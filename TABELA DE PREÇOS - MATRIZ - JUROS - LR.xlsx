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ilarimports-my.sharepoint.com/personal/henrique_pilarimports_com_br/Documents/PILAR/"/>
    </mc:Choice>
  </mc:AlternateContent>
  <xr:revisionPtr revIDLastSave="399" documentId="8_{6C75F59A-EF0C-D649-8677-F30750B5C552}" xr6:coauthVersionLast="47" xr6:coauthVersionMax="47" xr10:uidLastSave="{51156E33-C38D-AF40-90F6-2736E518B831}"/>
  <bookViews>
    <workbookView xWindow="31600" yWindow="600" windowWidth="38400" windowHeight="21000" tabRatio="601" activeTab="1" xr2:uid="{F9830A17-558C-4765-B227-9F95235F1EBE}"/>
  </bookViews>
  <sheets>
    <sheet name="CALCULO GERAL" sheetId="8" r:id="rId1"/>
    <sheet name="CALCULO GERAL (2)" sheetId="28" r:id="rId2"/>
    <sheet name="TABELA MATRIZ MG" sheetId="12" r:id="rId3"/>
    <sheet name="TABELA MATRIZ SC" sheetId="27" r:id="rId4"/>
    <sheet name="NCMS E ALÍQUOTAS" sheetId="5" r:id="rId5"/>
    <sheet name="TABELA DE VENDAS PILAR " sheetId="14" r:id="rId6"/>
  </sheets>
  <definedNames>
    <definedName name="_xlnm._FilterDatabase" localSheetId="4" hidden="1">'NCMS E ALÍQUOTAS'!$B$2:$I$137</definedName>
    <definedName name="_xlnm._FilterDatabase" localSheetId="5" hidden="1">'TABELA DE VENDAS PILAR '!$B$10:$F$191</definedName>
    <definedName name="_xlnm._FilterDatabase" localSheetId="2" hidden="1">'TABELA MATRIZ MG'!$A$1:$CF$329</definedName>
    <definedName name="_xlnm._FilterDatabase" localSheetId="3" hidden="1">'TABELA MATRIZ SC'!$A$1:$CE$262</definedName>
    <definedName name="_xlnm.Print_Area" localSheetId="0">'CALCULO GERAL'!$I$5:$M$80</definedName>
    <definedName name="_xlnm.Print_Area" localSheetId="1">'CALCULO GERAL (2)'!$I$5:$M$80</definedName>
    <definedName name="_xlnm.Print_Area" localSheetId="5">'TABELA DE VENDAS PILAR '!$B$1:$F$185</definedName>
    <definedName name="_xlnm.Print_Area" localSheetId="2">'TABELA MATRIZ MG'!#REF!</definedName>
    <definedName name="_xlnm.Print_Area" localSheetId="3">'TABELA MATRIZ SC'!#REF!</definedName>
    <definedName name="_xlnm.Print_Titles" localSheetId="5">'TABELA DE VENDAS PILAR '!$1:$10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28" l="1"/>
  <c r="F29" i="28"/>
  <c r="C25" i="28"/>
  <c r="A11" i="28"/>
  <c r="K26" i="28"/>
  <c r="J29" i="28" l="1"/>
  <c r="K34" i="28"/>
  <c r="J44" i="28"/>
  <c r="J45" i="28"/>
  <c r="D15" i="28" l="1"/>
  <c r="J19" i="28"/>
  <c r="K12" i="28"/>
  <c r="K11" i="28"/>
  <c r="K13" i="28" s="1"/>
  <c r="O22" i="28" s="1"/>
  <c r="J20" i="28"/>
  <c r="J21" i="28"/>
  <c r="J22" i="28"/>
  <c r="G22" i="28"/>
  <c r="O34" i="28" s="1"/>
  <c r="A16" i="28"/>
  <c r="A17" i="28"/>
  <c r="E201" i="28"/>
  <c r="E202" i="28"/>
  <c r="D189" i="28"/>
  <c r="G187" i="28"/>
  <c r="F187" i="28"/>
  <c r="F77" i="28"/>
  <c r="G78" i="28"/>
  <c r="F74" i="28"/>
  <c r="E74" i="28"/>
  <c r="C74" i="28"/>
  <c r="D74" i="28"/>
  <c r="G70" i="28"/>
  <c r="F69" i="28"/>
  <c r="G69" i="28"/>
  <c r="D61" i="28"/>
  <c r="J60" i="28"/>
  <c r="K60" i="28"/>
  <c r="K59" i="28"/>
  <c r="J59" i="28"/>
  <c r="J58" i="28"/>
  <c r="J57" i="28"/>
  <c r="J56" i="28"/>
  <c r="J55" i="28"/>
  <c r="K53" i="28"/>
  <c r="AD54" i="28"/>
  <c r="J54" i="28"/>
  <c r="K54" i="28"/>
  <c r="J53" i="28"/>
  <c r="C53" i="28"/>
  <c r="E50" i="28"/>
  <c r="A50" i="28"/>
  <c r="E49" i="28"/>
  <c r="A49" i="28"/>
  <c r="E48" i="28"/>
  <c r="A48" i="28"/>
  <c r="E47" i="28"/>
  <c r="E52" i="28"/>
  <c r="D53" i="28"/>
  <c r="A47" i="28"/>
  <c r="A52" i="28"/>
  <c r="B53" i="28"/>
  <c r="G46" i="28"/>
  <c r="E46" i="28"/>
  <c r="A46" i="28"/>
  <c r="M45" i="28"/>
  <c r="W44" i="28"/>
  <c r="C44" i="28"/>
  <c r="D44" i="28"/>
  <c r="W42" i="28"/>
  <c r="W40" i="28"/>
  <c r="W39" i="28"/>
  <c r="T39" i="28"/>
  <c r="X37" i="28"/>
  <c r="AD36" i="28"/>
  <c r="AD34" i="28"/>
  <c r="T34" i="28"/>
  <c r="AD33" i="28"/>
  <c r="A33" i="28"/>
  <c r="T32" i="28"/>
  <c r="A32" i="28"/>
  <c r="T31" i="28"/>
  <c r="A31" i="28"/>
  <c r="A34" i="28"/>
  <c r="T30" i="28"/>
  <c r="A30" i="28"/>
  <c r="T10" i="28"/>
  <c r="AH28" i="28"/>
  <c r="AD28" i="28"/>
  <c r="T28" i="28"/>
  <c r="AG26" i="28"/>
  <c r="AG27" i="28"/>
  <c r="AD26" i="28"/>
  <c r="T26" i="28"/>
  <c r="AD25" i="28"/>
  <c r="AP24" i="28"/>
  <c r="S22" i="28"/>
  <c r="E22" i="28"/>
  <c r="AN21" i="28"/>
  <c r="AN22" i="28"/>
  <c r="AL21" i="28"/>
  <c r="X21" i="28"/>
  <c r="S21" i="28"/>
  <c r="AL20" i="28"/>
  <c r="AD20" i="28"/>
  <c r="S20" i="28"/>
  <c r="W19" i="28"/>
  <c r="X19" i="28" s="1"/>
  <c r="Y19" i="28" s="1"/>
  <c r="S19" i="28"/>
  <c r="AD18" i="28"/>
  <c r="N18" i="28"/>
  <c r="C18" i="28"/>
  <c r="E18" i="28" s="1"/>
  <c r="G18" i="28" s="1"/>
  <c r="AD17" i="28"/>
  <c r="G17" i="28"/>
  <c r="E17" i="28"/>
  <c r="G16" i="28"/>
  <c r="G15" i="28"/>
  <c r="T14" i="28"/>
  <c r="X24" i="28" s="1"/>
  <c r="S29" i="28"/>
  <c r="K14" i="28"/>
  <c r="F14" i="28"/>
  <c r="K10" i="28" s="1"/>
  <c r="AO13" i="28"/>
  <c r="AP13" i="28"/>
  <c r="AP12" i="28"/>
  <c r="AO12" i="28"/>
  <c r="T12" i="28"/>
  <c r="X22" i="28"/>
  <c r="E12" i="28"/>
  <c r="T11" i="28"/>
  <c r="T13" i="28"/>
  <c r="AH9" i="28"/>
  <c r="AI9" i="28" s="1"/>
  <c r="AG9" i="28"/>
  <c r="M5" i="28"/>
  <c r="A5" i="28"/>
  <c r="F3" i="28"/>
  <c r="G4" i="28"/>
  <c r="D3" i="28"/>
  <c r="M45" i="8"/>
  <c r="M5" i="8"/>
  <c r="P22" i="8"/>
  <c r="P20" i="8"/>
  <c r="X20" i="28"/>
  <c r="X18" i="28"/>
  <c r="Y37" i="28"/>
  <c r="X46" i="28"/>
  <c r="A37" i="28"/>
  <c r="A38" i="28"/>
  <c r="S16" i="28"/>
  <c r="T15" i="28"/>
  <c r="X23" i="28"/>
  <c r="X17" i="28"/>
  <c r="A35" i="28"/>
  <c r="A36" i="28"/>
  <c r="X42" i="28"/>
  <c r="Y42" i="28"/>
  <c r="F78" i="28"/>
  <c r="F27" i="8"/>
  <c r="J29" i="8"/>
  <c r="CE128" i="12"/>
  <c r="CF128" i="12"/>
  <c r="CG128" i="12"/>
  <c r="BY128" i="12"/>
  <c r="AA128" i="12"/>
  <c r="AL128" i="12"/>
  <c r="Y128" i="12"/>
  <c r="Z128" i="12"/>
  <c r="AB128" i="12"/>
  <c r="AC128" i="12"/>
  <c r="X128" i="12"/>
  <c r="G46" i="8"/>
  <c r="BT121" i="12"/>
  <c r="BX328" i="27"/>
  <c r="CD328" i="27"/>
  <c r="CE328" i="27"/>
  <c r="CF328" i="27"/>
  <c r="AA328" i="27"/>
  <c r="AL328" i="27"/>
  <c r="Y328" i="27"/>
  <c r="Z328" i="27"/>
  <c r="X328" i="27"/>
  <c r="CF327" i="27"/>
  <c r="CE327" i="27"/>
  <c r="CD327" i="27"/>
  <c r="BX327" i="27"/>
  <c r="AA327" i="27"/>
  <c r="AI327" i="27"/>
  <c r="Z327" i="27"/>
  <c r="AB327" i="27"/>
  <c r="AC327" i="27"/>
  <c r="Y327" i="27"/>
  <c r="X327" i="27"/>
  <c r="BX326" i="27"/>
  <c r="CD326" i="27"/>
  <c r="CE326" i="27"/>
  <c r="CF326" i="27"/>
  <c r="AA326" i="27"/>
  <c r="AL326" i="27"/>
  <c r="Y326" i="27"/>
  <c r="Z326" i="27"/>
  <c r="AB326" i="27"/>
  <c r="AC326" i="27"/>
  <c r="AF326" i="27"/>
  <c r="X326" i="27"/>
  <c r="CE325" i="27"/>
  <c r="CF325" i="27"/>
  <c r="CD325" i="27"/>
  <c r="BX325" i="27"/>
  <c r="AA325" i="27"/>
  <c r="AB325" i="27"/>
  <c r="AC325" i="27"/>
  <c r="Z325" i="27"/>
  <c r="Y325" i="27"/>
  <c r="X325" i="27"/>
  <c r="BX324" i="27"/>
  <c r="CD324" i="27"/>
  <c r="CE324" i="27"/>
  <c r="CF324" i="27"/>
  <c r="AL324" i="27"/>
  <c r="AA324" i="27"/>
  <c r="AI324" i="27"/>
  <c r="Y324" i="27"/>
  <c r="Z324" i="27"/>
  <c r="X324" i="27"/>
  <c r="BX323" i="27"/>
  <c r="CD323" i="27"/>
  <c r="CE323" i="27"/>
  <c r="CF323" i="27"/>
  <c r="AA323" i="27"/>
  <c r="Z323" i="27"/>
  <c r="Y323" i="27"/>
  <c r="X323" i="27"/>
  <c r="BX322" i="27"/>
  <c r="CD322" i="27"/>
  <c r="CE322" i="27"/>
  <c r="CF322" i="27"/>
  <c r="AA322" i="27"/>
  <c r="AI322" i="27"/>
  <c r="Y322" i="27"/>
  <c r="Z322" i="27"/>
  <c r="X322" i="27"/>
  <c r="CD321" i="27"/>
  <c r="CE321" i="27"/>
  <c r="CF321" i="27"/>
  <c r="BX321" i="27"/>
  <c r="AA321" i="27"/>
  <c r="AI321" i="27"/>
  <c r="Y321" i="27"/>
  <c r="Z321" i="27"/>
  <c r="X321" i="27"/>
  <c r="BX320" i="27"/>
  <c r="CD320" i="27"/>
  <c r="CE320" i="27"/>
  <c r="CF320" i="27"/>
  <c r="AA320" i="27"/>
  <c r="AL320" i="27"/>
  <c r="Y320" i="27"/>
  <c r="Z320" i="27"/>
  <c r="X320" i="27"/>
  <c r="CE319" i="27"/>
  <c r="CF319" i="27"/>
  <c r="CD319" i="27"/>
  <c r="BX319" i="27"/>
  <c r="AA319" i="27"/>
  <c r="AL319" i="27"/>
  <c r="Y319" i="27"/>
  <c r="Z319" i="27"/>
  <c r="X319" i="27"/>
  <c r="BX318" i="27"/>
  <c r="CD318" i="27"/>
  <c r="CE318" i="27"/>
  <c r="CF318" i="27"/>
  <c r="AA318" i="27"/>
  <c r="AL318" i="27"/>
  <c r="Y318" i="27"/>
  <c r="Z318" i="27"/>
  <c r="AB318" i="27"/>
  <c r="AC318" i="27"/>
  <c r="AG318" i="27"/>
  <c r="X318" i="27"/>
  <c r="CD317" i="27"/>
  <c r="CE317" i="27"/>
  <c r="CF317" i="27"/>
  <c r="BX317" i="27"/>
  <c r="AA317" i="27"/>
  <c r="Y317" i="27"/>
  <c r="Z317" i="27"/>
  <c r="X317" i="27"/>
  <c r="BX316" i="27"/>
  <c r="CD316" i="27"/>
  <c r="CE316" i="27"/>
  <c r="CF316" i="27"/>
  <c r="AA316" i="27"/>
  <c r="AL316" i="27"/>
  <c r="Y316" i="27"/>
  <c r="Z316" i="27"/>
  <c r="X316" i="27"/>
  <c r="BX315" i="27"/>
  <c r="CD315" i="27"/>
  <c r="CE315" i="27"/>
  <c r="CF315" i="27"/>
  <c r="AA315" i="27"/>
  <c r="AI315" i="27"/>
  <c r="Z315" i="27"/>
  <c r="Y315" i="27"/>
  <c r="X315" i="27"/>
  <c r="CD314" i="27"/>
  <c r="CE314" i="27"/>
  <c r="CF314" i="27"/>
  <c r="BX314" i="27"/>
  <c r="AA314" i="27"/>
  <c r="AI314" i="27"/>
  <c r="Z314" i="27"/>
  <c r="Y314" i="27"/>
  <c r="X314" i="27"/>
  <c r="BX313" i="27"/>
  <c r="CD313" i="27"/>
  <c r="CE313" i="27"/>
  <c r="CF313" i="27"/>
  <c r="AL313" i="27"/>
  <c r="AI313" i="27"/>
  <c r="AA313" i="27"/>
  <c r="Y313" i="27"/>
  <c r="Z313" i="27"/>
  <c r="X313" i="27"/>
  <c r="BX312" i="27"/>
  <c r="CD312" i="27"/>
  <c r="CE312" i="27"/>
  <c r="CF312" i="27"/>
  <c r="AA312" i="27"/>
  <c r="AL312" i="27"/>
  <c r="Y312" i="27"/>
  <c r="Z312" i="27"/>
  <c r="X312" i="27"/>
  <c r="BX311" i="27"/>
  <c r="CD311" i="27"/>
  <c r="CE311" i="27"/>
  <c r="CF311" i="27"/>
  <c r="AA311" i="27"/>
  <c r="Z311" i="27"/>
  <c r="Y311" i="27"/>
  <c r="X311" i="27"/>
  <c r="CF310" i="27"/>
  <c r="CD310" i="27"/>
  <c r="CE310" i="27"/>
  <c r="BX310" i="27"/>
  <c r="AA310" i="27"/>
  <c r="AL310" i="27"/>
  <c r="Z310" i="27"/>
  <c r="Y310" i="27"/>
  <c r="X310" i="27"/>
  <c r="CD309" i="27"/>
  <c r="CE309" i="27"/>
  <c r="CF309" i="27"/>
  <c r="BX309" i="27"/>
  <c r="AA309" i="27"/>
  <c r="AL309" i="27"/>
  <c r="Z309" i="27"/>
  <c r="AB309" i="27"/>
  <c r="AC309" i="27"/>
  <c r="Y309" i="27"/>
  <c r="X309" i="27"/>
  <c r="CD308" i="27"/>
  <c r="CE308" i="27"/>
  <c r="CF308" i="27"/>
  <c r="BX308" i="27"/>
  <c r="AA308" i="27"/>
  <c r="AI308" i="27"/>
  <c r="Z308" i="27"/>
  <c r="Y308" i="27"/>
  <c r="X308" i="27"/>
  <c r="BX307" i="27"/>
  <c r="CD307" i="27"/>
  <c r="CE307" i="27"/>
  <c r="CF307" i="27"/>
  <c r="AA307" i="27"/>
  <c r="AL307" i="27"/>
  <c r="Y307" i="27"/>
  <c r="X307" i="27"/>
  <c r="Z307" i="27"/>
  <c r="BX306" i="27"/>
  <c r="CD306" i="27"/>
  <c r="CE306" i="27"/>
  <c r="CF306" i="27"/>
  <c r="AA306" i="27"/>
  <c r="AL306" i="27"/>
  <c r="Z306" i="27"/>
  <c r="Y306" i="27"/>
  <c r="X306" i="27"/>
  <c r="CE305" i="27"/>
  <c r="CF305" i="27"/>
  <c r="CD305" i="27"/>
  <c r="BX305" i="27"/>
  <c r="AA305" i="27"/>
  <c r="Y305" i="27"/>
  <c r="X305" i="27"/>
  <c r="Z305" i="27"/>
  <c r="BX304" i="27"/>
  <c r="CD304" i="27"/>
  <c r="CE304" i="27"/>
  <c r="CF304" i="27"/>
  <c r="AA304" i="27"/>
  <c r="AL304" i="27"/>
  <c r="Z304" i="27"/>
  <c r="Y304" i="27"/>
  <c r="X304" i="27"/>
  <c r="CE303" i="27"/>
  <c r="CF303" i="27"/>
  <c r="CD303" i="27"/>
  <c r="BX303" i="27"/>
  <c r="AA303" i="27"/>
  <c r="AL303" i="27"/>
  <c r="Y303" i="27"/>
  <c r="X303" i="27"/>
  <c r="Z303" i="27"/>
  <c r="CE302" i="27"/>
  <c r="CF302" i="27"/>
  <c r="CD302" i="27"/>
  <c r="BX302" i="27"/>
  <c r="AA302" i="27"/>
  <c r="AB302" i="27"/>
  <c r="AC302" i="27"/>
  <c r="Y302" i="27"/>
  <c r="X302" i="27"/>
  <c r="Z302" i="27"/>
  <c r="CE301" i="27"/>
  <c r="CF301" i="27"/>
  <c r="CD301" i="27"/>
  <c r="BX301" i="27"/>
  <c r="AA301" i="27"/>
  <c r="Z301" i="27"/>
  <c r="Y301" i="27"/>
  <c r="X301" i="27"/>
  <c r="BX300" i="27"/>
  <c r="CD300" i="27"/>
  <c r="CE300" i="27"/>
  <c r="CF300" i="27"/>
  <c r="AA300" i="27"/>
  <c r="AB300" i="27"/>
  <c r="AC300" i="27"/>
  <c r="Y300" i="27"/>
  <c r="X300" i="27"/>
  <c r="Z300" i="27"/>
  <c r="CE299" i="27"/>
  <c r="CF299" i="27"/>
  <c r="CD299" i="27"/>
  <c r="BX299" i="27"/>
  <c r="AA299" i="27"/>
  <c r="AL299" i="27"/>
  <c r="Y299" i="27"/>
  <c r="X299" i="27"/>
  <c r="Z299" i="27"/>
  <c r="BX298" i="27"/>
  <c r="CD298" i="27"/>
  <c r="CE298" i="27"/>
  <c r="CF298" i="27"/>
  <c r="AA298" i="27"/>
  <c r="AL298" i="27"/>
  <c r="Y298" i="27"/>
  <c r="X298" i="27"/>
  <c r="Z298" i="27"/>
  <c r="AB298" i="27"/>
  <c r="AC298" i="27"/>
  <c r="CD297" i="27"/>
  <c r="CE297" i="27"/>
  <c r="CF297" i="27"/>
  <c r="BX297" i="27"/>
  <c r="AA297" i="27"/>
  <c r="Y297" i="27"/>
  <c r="X297" i="27"/>
  <c r="Z297" i="27"/>
  <c r="CE296" i="27"/>
  <c r="CF296" i="27"/>
  <c r="BX296" i="27"/>
  <c r="CD296" i="27"/>
  <c r="AA296" i="27"/>
  <c r="Y296" i="27"/>
  <c r="X296" i="27"/>
  <c r="Z296" i="27"/>
  <c r="AB296" i="27"/>
  <c r="AC296" i="27"/>
  <c r="CF295" i="27"/>
  <c r="CD295" i="27"/>
  <c r="CE295" i="27"/>
  <c r="BX295" i="27"/>
  <c r="AA295" i="27"/>
  <c r="Z295" i="27"/>
  <c r="Y295" i="27"/>
  <c r="X295" i="27"/>
  <c r="CE294" i="27"/>
  <c r="CF294" i="27"/>
  <c r="CD294" i="27"/>
  <c r="BX294" i="27"/>
  <c r="AA294" i="27"/>
  <c r="Z294" i="27"/>
  <c r="Y294" i="27"/>
  <c r="X294" i="27"/>
  <c r="CE293" i="27"/>
  <c r="CF293" i="27"/>
  <c r="CD293" i="27"/>
  <c r="BX293" i="27"/>
  <c r="AA293" i="27"/>
  <c r="AL293" i="27"/>
  <c r="Y293" i="27"/>
  <c r="X293" i="27"/>
  <c r="Z293" i="27"/>
  <c r="CE292" i="27"/>
  <c r="CF292" i="27"/>
  <c r="CD292" i="27"/>
  <c r="BX292" i="27"/>
  <c r="AB292" i="27"/>
  <c r="AC292" i="27"/>
  <c r="AF292" i="27"/>
  <c r="AA292" i="27"/>
  <c r="Z292" i="27"/>
  <c r="Y292" i="27"/>
  <c r="X292" i="27"/>
  <c r="CD291" i="27"/>
  <c r="CE291" i="27"/>
  <c r="CF291" i="27"/>
  <c r="BX291" i="27"/>
  <c r="AA291" i="27"/>
  <c r="AI291" i="27"/>
  <c r="Z291" i="27"/>
  <c r="Y291" i="27"/>
  <c r="X291" i="27"/>
  <c r="CE290" i="27"/>
  <c r="CF290" i="27"/>
  <c r="CD290" i="27"/>
  <c r="BX290" i="27"/>
  <c r="AA290" i="27"/>
  <c r="AB290" i="27"/>
  <c r="AC290" i="27"/>
  <c r="Z290" i="27"/>
  <c r="Y290" i="27"/>
  <c r="X290" i="27"/>
  <c r="BX289" i="27"/>
  <c r="CD289" i="27"/>
  <c r="CE289" i="27"/>
  <c r="CF289" i="27"/>
  <c r="AA289" i="27"/>
  <c r="Z289" i="27"/>
  <c r="Y289" i="27"/>
  <c r="X289" i="27"/>
  <c r="CE288" i="27"/>
  <c r="CF288" i="27"/>
  <c r="CD288" i="27"/>
  <c r="BX288" i="27"/>
  <c r="AA288" i="27"/>
  <c r="Z288" i="27"/>
  <c r="Y288" i="27"/>
  <c r="X288" i="27"/>
  <c r="CD287" i="27"/>
  <c r="CE287" i="27"/>
  <c r="CF287" i="27"/>
  <c r="BX287" i="27"/>
  <c r="AA287" i="27"/>
  <c r="Z287" i="27"/>
  <c r="Y287" i="27"/>
  <c r="X287" i="27"/>
  <c r="CE286" i="27"/>
  <c r="CF286" i="27"/>
  <c r="CD286" i="27"/>
  <c r="BX286" i="27"/>
  <c r="AA286" i="27"/>
  <c r="Z286" i="27"/>
  <c r="Y286" i="27"/>
  <c r="X286" i="27"/>
  <c r="BX285" i="27"/>
  <c r="CD285" i="27"/>
  <c r="CE285" i="27"/>
  <c r="CF285" i="27"/>
  <c r="AA285" i="27"/>
  <c r="Z285" i="27"/>
  <c r="Y285" i="27"/>
  <c r="X285" i="27"/>
  <c r="CF284" i="27"/>
  <c r="CE284" i="27"/>
  <c r="CD284" i="27"/>
  <c r="BX284" i="27"/>
  <c r="AA284" i="27"/>
  <c r="AB284" i="27"/>
  <c r="AC284" i="27"/>
  <c r="Z284" i="27"/>
  <c r="Y284" i="27"/>
  <c r="X284" i="27"/>
  <c r="BX283" i="27"/>
  <c r="CD283" i="27"/>
  <c r="CE283" i="27"/>
  <c r="CF283" i="27"/>
  <c r="AA283" i="27"/>
  <c r="Z283" i="27"/>
  <c r="Y283" i="27"/>
  <c r="X283" i="27"/>
  <c r="CF282" i="27"/>
  <c r="CE282" i="27"/>
  <c r="CD282" i="27"/>
  <c r="BX282" i="27"/>
  <c r="AA282" i="27"/>
  <c r="AB282" i="27"/>
  <c r="AC282" i="27"/>
  <c r="Z282" i="27"/>
  <c r="Y282" i="27"/>
  <c r="X282" i="27"/>
  <c r="CD281" i="27"/>
  <c r="CE281" i="27"/>
  <c r="CF281" i="27"/>
  <c r="BX281" i="27"/>
  <c r="AA281" i="27"/>
  <c r="AL281" i="27"/>
  <c r="Y281" i="27"/>
  <c r="X281" i="27"/>
  <c r="Z281" i="27"/>
  <c r="AB281" i="27"/>
  <c r="AC281" i="27"/>
  <c r="CF280" i="27"/>
  <c r="CE280" i="27"/>
  <c r="CD280" i="27"/>
  <c r="BX280" i="27"/>
  <c r="AA280" i="27"/>
  <c r="AL280" i="27"/>
  <c r="Y280" i="27"/>
  <c r="X280" i="27"/>
  <c r="Z280" i="27"/>
  <c r="CD279" i="27"/>
  <c r="CE279" i="27"/>
  <c r="CF279" i="27"/>
  <c r="BX279" i="27"/>
  <c r="AA279" i="27"/>
  <c r="Z279" i="27"/>
  <c r="Y279" i="27"/>
  <c r="X279" i="27"/>
  <c r="CD278" i="27"/>
  <c r="CE278" i="27"/>
  <c r="CF278" i="27"/>
  <c r="BX278" i="27"/>
  <c r="AA278" i="27"/>
  <c r="AL278" i="27"/>
  <c r="Z278" i="27"/>
  <c r="Y278" i="27"/>
  <c r="X278" i="27"/>
  <c r="CE277" i="27"/>
  <c r="CF277" i="27"/>
  <c r="CD277" i="27"/>
  <c r="BX277" i="27"/>
  <c r="AI277" i="27"/>
  <c r="AA277" i="27"/>
  <c r="AL277" i="27"/>
  <c r="Y277" i="27"/>
  <c r="X277" i="27"/>
  <c r="Z277" i="27"/>
  <c r="AB277" i="27"/>
  <c r="AC277" i="27"/>
  <c r="CD276" i="27"/>
  <c r="CE276" i="27"/>
  <c r="CF276" i="27"/>
  <c r="BX276" i="27"/>
  <c r="AA276" i="27"/>
  <c r="AB276" i="27"/>
  <c r="AC276" i="27"/>
  <c r="Z276" i="27"/>
  <c r="Y276" i="27"/>
  <c r="X276" i="27"/>
  <c r="CD275" i="27"/>
  <c r="CE275" i="27"/>
  <c r="CF275" i="27"/>
  <c r="BX275" i="27"/>
  <c r="AA275" i="27"/>
  <c r="AI275" i="27"/>
  <c r="Y275" i="27"/>
  <c r="X275" i="27"/>
  <c r="Z275" i="27"/>
  <c r="CF274" i="27"/>
  <c r="CE274" i="27"/>
  <c r="CD274" i="27"/>
  <c r="BX274" i="27"/>
  <c r="AA274" i="27"/>
  <c r="AL274" i="27"/>
  <c r="X274" i="27"/>
  <c r="Z274" i="27"/>
  <c r="W274" i="27"/>
  <c r="Y274" i="27"/>
  <c r="CD273" i="27"/>
  <c r="CE273" i="27"/>
  <c r="CF273" i="27"/>
  <c r="BX273" i="27"/>
  <c r="AA273" i="27"/>
  <c r="AL273" i="27"/>
  <c r="X273" i="27"/>
  <c r="Z273" i="27"/>
  <c r="W273" i="27"/>
  <c r="Y273" i="27"/>
  <c r="BX272" i="27"/>
  <c r="CD272" i="27"/>
  <c r="CE272" i="27"/>
  <c r="CF272" i="27"/>
  <c r="AI272" i="27"/>
  <c r="AA272" i="27"/>
  <c r="AL272" i="27"/>
  <c r="W272" i="27"/>
  <c r="X272" i="27"/>
  <c r="Z272" i="27"/>
  <c r="AB272" i="27"/>
  <c r="AC272" i="27"/>
  <c r="CE271" i="27"/>
  <c r="CF271" i="27"/>
  <c r="CD271" i="27"/>
  <c r="BX271" i="27"/>
  <c r="AA271" i="27"/>
  <c r="AL271" i="27"/>
  <c r="Z271" i="27"/>
  <c r="Y271" i="27"/>
  <c r="X271" i="27"/>
  <c r="CE270" i="27"/>
  <c r="CF270" i="27"/>
  <c r="CD270" i="27"/>
  <c r="BX270" i="27"/>
  <c r="AA270" i="27"/>
  <c r="AI270" i="27"/>
  <c r="Y270" i="27"/>
  <c r="X270" i="27"/>
  <c r="Z270" i="27"/>
  <c r="BX269" i="27"/>
  <c r="CD269" i="27"/>
  <c r="CE269" i="27"/>
  <c r="CF269" i="27"/>
  <c r="AA269" i="27"/>
  <c r="AB269" i="27"/>
  <c r="AC269" i="27"/>
  <c r="Z269" i="27"/>
  <c r="Y269" i="27"/>
  <c r="X269" i="27"/>
  <c r="BX268" i="27"/>
  <c r="CD268" i="27"/>
  <c r="CE268" i="27"/>
  <c r="CF268" i="27"/>
  <c r="AA268" i="27"/>
  <c r="AL268" i="27"/>
  <c r="Z268" i="27"/>
  <c r="Y268" i="27"/>
  <c r="X268" i="27"/>
  <c r="CE267" i="27"/>
  <c r="CF267" i="27"/>
  <c r="CD267" i="27"/>
  <c r="BX267" i="27"/>
  <c r="AA267" i="27"/>
  <c r="AB267" i="27"/>
  <c r="AC267" i="27"/>
  <c r="Z267" i="27"/>
  <c r="Y267" i="27"/>
  <c r="X267" i="27"/>
  <c r="CD266" i="27"/>
  <c r="CE266" i="27"/>
  <c r="CF266" i="27"/>
  <c r="BX266" i="27"/>
  <c r="AA266" i="27"/>
  <c r="Z266" i="27"/>
  <c r="AB266" i="27"/>
  <c r="AC266" i="27"/>
  <c r="Y266" i="27"/>
  <c r="X266" i="27"/>
  <c r="CE265" i="27"/>
  <c r="CF265" i="27"/>
  <c r="CD265" i="27"/>
  <c r="BX265" i="27"/>
  <c r="AA265" i="27"/>
  <c r="AB265" i="27"/>
  <c r="AC265" i="27"/>
  <c r="Z265" i="27"/>
  <c r="Y265" i="27"/>
  <c r="X265" i="27"/>
  <c r="CD264" i="27"/>
  <c r="CE264" i="27"/>
  <c r="CF264" i="27"/>
  <c r="BX264" i="27"/>
  <c r="AA264" i="27"/>
  <c r="Z264" i="27"/>
  <c r="Y264" i="27"/>
  <c r="X264" i="27"/>
  <c r="CE263" i="27"/>
  <c r="CF263" i="27"/>
  <c r="CD263" i="27"/>
  <c r="BX263" i="27"/>
  <c r="AA263" i="27"/>
  <c r="Z263" i="27"/>
  <c r="Y263" i="27"/>
  <c r="X263" i="27"/>
  <c r="BX262" i="27"/>
  <c r="CD262" i="27"/>
  <c r="CE262" i="27"/>
  <c r="CF262" i="27"/>
  <c r="AA262" i="27"/>
  <c r="Y262" i="27"/>
  <c r="Z262" i="27"/>
  <c r="X262" i="27"/>
  <c r="CF261" i="27"/>
  <c r="CE261" i="27"/>
  <c r="CD261" i="27"/>
  <c r="BX261" i="27"/>
  <c r="AA261" i="27"/>
  <c r="Z261" i="27"/>
  <c r="Y261" i="27"/>
  <c r="X261" i="27"/>
  <c r="BX260" i="27"/>
  <c r="CD260" i="27"/>
  <c r="CE260" i="27"/>
  <c r="CF260" i="27"/>
  <c r="AA260" i="27"/>
  <c r="Z260" i="27"/>
  <c r="AB260" i="27"/>
  <c r="AC260" i="27"/>
  <c r="Y260" i="27"/>
  <c r="X260" i="27"/>
  <c r="CF259" i="27"/>
  <c r="CE259" i="27"/>
  <c r="CD259" i="27"/>
  <c r="BX259" i="27"/>
  <c r="AA259" i="27"/>
  <c r="AB259" i="27"/>
  <c r="AC259" i="27"/>
  <c r="Z259" i="27"/>
  <c r="Y259" i="27"/>
  <c r="X259" i="27"/>
  <c r="BX258" i="27"/>
  <c r="CD258" i="27"/>
  <c r="CE258" i="27"/>
  <c r="CF258" i="27"/>
  <c r="AA258" i="27"/>
  <c r="Z258" i="27"/>
  <c r="AB258" i="27"/>
  <c r="AC258" i="27"/>
  <c r="Y258" i="27"/>
  <c r="X258" i="27"/>
  <c r="CF257" i="27"/>
  <c r="CE257" i="27"/>
  <c r="CD257" i="27"/>
  <c r="BX257" i="27"/>
  <c r="AA257" i="27"/>
  <c r="Z257" i="27"/>
  <c r="Y257" i="27"/>
  <c r="X257" i="27"/>
  <c r="CE256" i="27"/>
  <c r="CF256" i="27"/>
  <c r="CD256" i="27"/>
  <c r="BX256" i="27"/>
  <c r="AA256" i="27"/>
  <c r="AI256" i="27"/>
  <c r="Z256" i="27"/>
  <c r="Y256" i="27"/>
  <c r="X256" i="27"/>
  <c r="CF255" i="27"/>
  <c r="CE255" i="27"/>
  <c r="CD255" i="27"/>
  <c r="BX255" i="27"/>
  <c r="AA255" i="27"/>
  <c r="Z255" i="27"/>
  <c r="Y255" i="27"/>
  <c r="X255" i="27"/>
  <c r="BX254" i="27"/>
  <c r="CD254" i="27"/>
  <c r="CE254" i="27"/>
  <c r="CF254" i="27"/>
  <c r="AA254" i="27"/>
  <c r="Y254" i="27"/>
  <c r="Z254" i="27"/>
  <c r="X254" i="27"/>
  <c r="CD253" i="27"/>
  <c r="CE253" i="27"/>
  <c r="CF253" i="27"/>
  <c r="BX253" i="27"/>
  <c r="AA253" i="27"/>
  <c r="AB253" i="27"/>
  <c r="AC253" i="27"/>
  <c r="Z253" i="27"/>
  <c r="Y253" i="27"/>
  <c r="X253" i="27"/>
  <c r="BX252" i="27"/>
  <c r="CD252" i="27"/>
  <c r="CE252" i="27"/>
  <c r="CF252" i="27"/>
  <c r="AA252" i="27"/>
  <c r="AL252" i="27"/>
  <c r="Z252" i="27"/>
  <c r="Y252" i="27"/>
  <c r="X252" i="27"/>
  <c r="CF251" i="27"/>
  <c r="CE251" i="27"/>
  <c r="CD251" i="27"/>
  <c r="BX251" i="27"/>
  <c r="AA251" i="27"/>
  <c r="AL251" i="27"/>
  <c r="Z251" i="27"/>
  <c r="AB251" i="27"/>
  <c r="AC251" i="27"/>
  <c r="AD251" i="27"/>
  <c r="Y251" i="27"/>
  <c r="X251" i="27"/>
  <c r="BX250" i="27"/>
  <c r="CD250" i="27"/>
  <c r="CE250" i="27"/>
  <c r="CF250" i="27"/>
  <c r="AA250" i="27"/>
  <c r="AL250" i="27"/>
  <c r="Z250" i="27"/>
  <c r="Y250" i="27"/>
  <c r="X250" i="27"/>
  <c r="CD249" i="27"/>
  <c r="CE249" i="27"/>
  <c r="CF249" i="27"/>
  <c r="BX249" i="27"/>
  <c r="AA249" i="27"/>
  <c r="Z249" i="27"/>
  <c r="Y249" i="27"/>
  <c r="X249" i="27"/>
  <c r="BX248" i="27"/>
  <c r="CD248" i="27"/>
  <c r="CE248" i="27"/>
  <c r="CF248" i="27"/>
  <c r="AA248" i="27"/>
  <c r="AI248" i="27"/>
  <c r="Y248" i="27"/>
  <c r="Z248" i="27"/>
  <c r="AB248" i="27"/>
  <c r="AC248" i="27"/>
  <c r="X248" i="27"/>
  <c r="CF247" i="27"/>
  <c r="CE247" i="27"/>
  <c r="CD247" i="27"/>
  <c r="BX247" i="27"/>
  <c r="AA247" i="27"/>
  <c r="AL247" i="27"/>
  <c r="Y247" i="27"/>
  <c r="X247" i="27"/>
  <c r="Z247" i="27"/>
  <c r="AB247" i="27"/>
  <c r="AC247" i="27"/>
  <c r="BX246" i="27"/>
  <c r="CD246" i="27"/>
  <c r="CE246" i="27"/>
  <c r="CF246" i="27"/>
  <c r="AA246" i="27"/>
  <c r="AL246" i="27"/>
  <c r="Y246" i="27"/>
  <c r="X246" i="27"/>
  <c r="Z246" i="27"/>
  <c r="BX245" i="27"/>
  <c r="CD245" i="27"/>
  <c r="CE245" i="27"/>
  <c r="CF245" i="27"/>
  <c r="AA245" i="27"/>
  <c r="AL245" i="27"/>
  <c r="Z245" i="27"/>
  <c r="Y245" i="27"/>
  <c r="X245" i="27"/>
  <c r="BX244" i="27"/>
  <c r="CD244" i="27"/>
  <c r="CE244" i="27"/>
  <c r="CF244" i="27"/>
  <c r="AA244" i="27"/>
  <c r="AB244" i="27"/>
  <c r="AC244" i="27"/>
  <c r="Y244" i="27"/>
  <c r="X244" i="27"/>
  <c r="Z244" i="27"/>
  <c r="BX243" i="27"/>
  <c r="CD243" i="27"/>
  <c r="CE243" i="27"/>
  <c r="CF243" i="27"/>
  <c r="AA243" i="27"/>
  <c r="Z243" i="27"/>
  <c r="Y243" i="27"/>
  <c r="X243" i="27"/>
  <c r="BX242" i="27"/>
  <c r="CD242" i="27"/>
  <c r="CE242" i="27"/>
  <c r="CF242" i="27"/>
  <c r="AA242" i="27"/>
  <c r="AL242" i="27"/>
  <c r="Y242" i="27"/>
  <c r="X242" i="27"/>
  <c r="Z242" i="27"/>
  <c r="CE241" i="27"/>
  <c r="CF241" i="27"/>
  <c r="CD241" i="27"/>
  <c r="BX241" i="27"/>
  <c r="AA241" i="27"/>
  <c r="AL241" i="27"/>
  <c r="Y241" i="27"/>
  <c r="X241" i="27"/>
  <c r="Z241" i="27"/>
  <c r="BX240" i="27"/>
  <c r="CD240" i="27"/>
  <c r="CE240" i="27"/>
  <c r="CF240" i="27"/>
  <c r="AA240" i="27"/>
  <c r="AL240" i="27"/>
  <c r="Y240" i="27"/>
  <c r="X240" i="27"/>
  <c r="Z240" i="27"/>
  <c r="AB240" i="27"/>
  <c r="AC240" i="27"/>
  <c r="CD239" i="27"/>
  <c r="CE239" i="27"/>
  <c r="CF239" i="27"/>
  <c r="BX239" i="27"/>
  <c r="AA239" i="27"/>
  <c r="AL239" i="27"/>
  <c r="Z239" i="27"/>
  <c r="Y239" i="27"/>
  <c r="X239" i="27"/>
  <c r="CF238" i="27"/>
  <c r="BX238" i="27"/>
  <c r="CD238" i="27"/>
  <c r="CE238" i="27"/>
  <c r="AA238" i="27"/>
  <c r="AL238" i="27"/>
  <c r="Y238" i="27"/>
  <c r="X238" i="27"/>
  <c r="Z238" i="27"/>
  <c r="CD237" i="27"/>
  <c r="CE237" i="27"/>
  <c r="CF237" i="27"/>
  <c r="BX237" i="27"/>
  <c r="AA237" i="27"/>
  <c r="AB237" i="27"/>
  <c r="AC237" i="27"/>
  <c r="Z237" i="27"/>
  <c r="Y237" i="27"/>
  <c r="X237" i="27"/>
  <c r="CF236" i="27"/>
  <c r="BX236" i="27"/>
  <c r="CD236" i="27"/>
  <c r="CE236" i="27"/>
  <c r="AA236" i="27"/>
  <c r="AL236" i="27"/>
  <c r="Y236" i="27"/>
  <c r="X236" i="27"/>
  <c r="Z236" i="27"/>
  <c r="CD235" i="27"/>
  <c r="CE235" i="27"/>
  <c r="CF235" i="27"/>
  <c r="BX235" i="27"/>
  <c r="AA235" i="27"/>
  <c r="AL235" i="27"/>
  <c r="Y235" i="27"/>
  <c r="X235" i="27"/>
  <c r="Z235" i="27"/>
  <c r="AB235" i="27"/>
  <c r="AC235" i="27"/>
  <c r="AG235" i="27"/>
  <c r="BX234" i="27"/>
  <c r="CD234" i="27"/>
  <c r="CE234" i="27"/>
  <c r="CF234" i="27"/>
  <c r="AA234" i="27"/>
  <c r="AI234" i="27"/>
  <c r="Y234" i="27"/>
  <c r="X234" i="27"/>
  <c r="Z234" i="27"/>
  <c r="AB234" i="27"/>
  <c r="AC234" i="27"/>
  <c r="BX233" i="27"/>
  <c r="CD233" i="27"/>
  <c r="CE233" i="27"/>
  <c r="CF233" i="27"/>
  <c r="AA233" i="27"/>
  <c r="Z233" i="27"/>
  <c r="AB233" i="27"/>
  <c r="AC233" i="27"/>
  <c r="AD233" i="27"/>
  <c r="Y233" i="27"/>
  <c r="X233" i="27"/>
  <c r="BX232" i="27"/>
  <c r="CD232" i="27"/>
  <c r="CE232" i="27"/>
  <c r="CF232" i="27"/>
  <c r="AA232" i="27"/>
  <c r="Y232" i="27"/>
  <c r="X232" i="27"/>
  <c r="Z232" i="27"/>
  <c r="BX231" i="27"/>
  <c r="CD231" i="27"/>
  <c r="CE231" i="27"/>
  <c r="CF231" i="27"/>
  <c r="AA231" i="27"/>
  <c r="Z231" i="27"/>
  <c r="AB231" i="27"/>
  <c r="AC231" i="27"/>
  <c r="Y231" i="27"/>
  <c r="X231" i="27"/>
  <c r="BX230" i="27"/>
  <c r="CD230" i="27"/>
  <c r="CE230" i="27"/>
  <c r="CF230" i="27"/>
  <c r="AA230" i="27"/>
  <c r="AB230" i="27"/>
  <c r="AC230" i="27"/>
  <c r="Y230" i="27"/>
  <c r="X230" i="27"/>
  <c r="Z230" i="27"/>
  <c r="CD229" i="27"/>
  <c r="CE229" i="27"/>
  <c r="CF229" i="27"/>
  <c r="BX229" i="27"/>
  <c r="AA229" i="27"/>
  <c r="AB229" i="27"/>
  <c r="AC229" i="27"/>
  <c r="Y229" i="27"/>
  <c r="X229" i="27"/>
  <c r="Z229" i="27"/>
  <c r="BX228" i="27"/>
  <c r="CD228" i="27"/>
  <c r="CE228" i="27"/>
  <c r="CF228" i="27"/>
  <c r="AA228" i="27"/>
  <c r="AL228" i="27"/>
  <c r="Y228" i="27"/>
  <c r="X228" i="27"/>
  <c r="Z228" i="27"/>
  <c r="CD227" i="27"/>
  <c r="CE227" i="27"/>
  <c r="CF227" i="27"/>
  <c r="BX227" i="27"/>
  <c r="AI227" i="27"/>
  <c r="AA227" i="27"/>
  <c r="AL227" i="27"/>
  <c r="Y227" i="27"/>
  <c r="X227" i="27"/>
  <c r="Z227" i="27"/>
  <c r="AB227" i="27"/>
  <c r="AC227" i="27"/>
  <c r="CE226" i="27"/>
  <c r="CF226" i="27"/>
  <c r="BX226" i="27"/>
  <c r="CD226" i="27"/>
  <c r="AA226" i="27"/>
  <c r="AL226" i="27"/>
  <c r="Y226" i="27"/>
  <c r="X226" i="27"/>
  <c r="Z226" i="27"/>
  <c r="AB226" i="27"/>
  <c r="AC226" i="27"/>
  <c r="AD226" i="27"/>
  <c r="AE226" i="27"/>
  <c r="BX225" i="27"/>
  <c r="CD225" i="27"/>
  <c r="CE225" i="27"/>
  <c r="CF225" i="27"/>
  <c r="AA225" i="27"/>
  <c r="AL225" i="27"/>
  <c r="Y225" i="27"/>
  <c r="X225" i="27"/>
  <c r="Z225" i="27"/>
  <c r="CE224" i="27"/>
  <c r="CF224" i="27"/>
  <c r="BX224" i="27"/>
  <c r="CD224" i="27"/>
  <c r="AA224" i="27"/>
  <c r="AL224" i="27"/>
  <c r="Y224" i="27"/>
  <c r="X224" i="27"/>
  <c r="Z224" i="27"/>
  <c r="CF223" i="27"/>
  <c r="CD223" i="27"/>
  <c r="CE223" i="27"/>
  <c r="BX223" i="27"/>
  <c r="AA223" i="27"/>
  <c r="AL223" i="27"/>
  <c r="Y223" i="27"/>
  <c r="X223" i="27"/>
  <c r="Z223" i="27"/>
  <c r="AB223" i="27"/>
  <c r="AC223" i="27"/>
  <c r="CE222" i="27"/>
  <c r="CF222" i="27"/>
  <c r="BX222" i="27"/>
  <c r="CD222" i="27"/>
  <c r="AA222" i="27"/>
  <c r="AI222" i="27"/>
  <c r="Y222" i="27"/>
  <c r="X222" i="27"/>
  <c r="Z222" i="27"/>
  <c r="AB222" i="27"/>
  <c r="AC222" i="27"/>
  <c r="AG222" i="27"/>
  <c r="CD221" i="27"/>
  <c r="CE221" i="27"/>
  <c r="CF221" i="27"/>
  <c r="BX221" i="27"/>
  <c r="AA221" i="27"/>
  <c r="AL221" i="27"/>
  <c r="Z221" i="27"/>
  <c r="AB221" i="27"/>
  <c r="AC221" i="27"/>
  <c r="Y221" i="27"/>
  <c r="X221" i="27"/>
  <c r="CD220" i="27"/>
  <c r="CE220" i="27"/>
  <c r="CF220" i="27"/>
  <c r="BX220" i="27"/>
  <c r="AA220" i="27"/>
  <c r="AB220" i="27"/>
  <c r="AC220" i="27"/>
  <c r="Z220" i="27"/>
  <c r="Y220" i="27"/>
  <c r="X220" i="27"/>
  <c r="CD219" i="27"/>
  <c r="CE219" i="27"/>
  <c r="CF219" i="27"/>
  <c r="BX219" i="27"/>
  <c r="AA219" i="27"/>
  <c r="AB219" i="27"/>
  <c r="AC219" i="27"/>
  <c r="Z219" i="27"/>
  <c r="Y219" i="27"/>
  <c r="X219" i="27"/>
  <c r="CD218" i="27"/>
  <c r="CE218" i="27"/>
  <c r="CF218" i="27"/>
  <c r="BX218" i="27"/>
  <c r="AA218" i="27"/>
  <c r="AL218" i="27"/>
  <c r="Z218" i="27"/>
  <c r="Y218" i="27"/>
  <c r="X218" i="27"/>
  <c r="CD217" i="27"/>
  <c r="CE217" i="27"/>
  <c r="CF217" i="27"/>
  <c r="BX217" i="27"/>
  <c r="AA217" i="27"/>
  <c r="Z217" i="27"/>
  <c r="Y217" i="27"/>
  <c r="X217" i="27"/>
  <c r="CD216" i="27"/>
  <c r="CE216" i="27"/>
  <c r="CF216" i="27"/>
  <c r="BX216" i="27"/>
  <c r="AA216" i="27"/>
  <c r="AL216" i="27"/>
  <c r="Y216" i="27"/>
  <c r="X216" i="27"/>
  <c r="Z216" i="27"/>
  <c r="CD215" i="27"/>
  <c r="CE215" i="27"/>
  <c r="CF215" i="27"/>
  <c r="BX215" i="27"/>
  <c r="AA215" i="27"/>
  <c r="AB215" i="27"/>
  <c r="AC215" i="27"/>
  <c r="Z215" i="27"/>
  <c r="Y215" i="27"/>
  <c r="X215" i="27"/>
  <c r="CD214" i="27"/>
  <c r="CE214" i="27"/>
  <c r="CF214" i="27"/>
  <c r="BX214" i="27"/>
  <c r="AA214" i="27"/>
  <c r="AL214" i="27"/>
  <c r="Z214" i="27"/>
  <c r="AB214" i="27"/>
  <c r="AC214" i="27"/>
  <c r="Y214" i="27"/>
  <c r="X214" i="27"/>
  <c r="CE213" i="27"/>
  <c r="CF213" i="27"/>
  <c r="CD213" i="27"/>
  <c r="BX213" i="27"/>
  <c r="AA213" i="27"/>
  <c r="Z213" i="27"/>
  <c r="Y213" i="27"/>
  <c r="X213" i="27"/>
  <c r="BX212" i="27"/>
  <c r="CD212" i="27"/>
  <c r="CE212" i="27"/>
  <c r="CF212" i="27"/>
  <c r="AA212" i="27"/>
  <c r="AL212" i="27"/>
  <c r="Y212" i="27"/>
  <c r="X212" i="27"/>
  <c r="Z212" i="27"/>
  <c r="CD211" i="27"/>
  <c r="CE211" i="27"/>
  <c r="CF211" i="27"/>
  <c r="BX211" i="27"/>
  <c r="AA211" i="27"/>
  <c r="Z211" i="27"/>
  <c r="AB211" i="27"/>
  <c r="AC211" i="27"/>
  <c r="Y211" i="27"/>
  <c r="X211" i="27"/>
  <c r="CD210" i="27"/>
  <c r="CE210" i="27"/>
  <c r="CF210" i="27"/>
  <c r="BX210" i="27"/>
  <c r="AA210" i="27"/>
  <c r="AL210" i="27"/>
  <c r="Y210" i="27"/>
  <c r="X210" i="27"/>
  <c r="Z210" i="27"/>
  <c r="CF209" i="27"/>
  <c r="CE209" i="27"/>
  <c r="CD209" i="27"/>
  <c r="BX209" i="27"/>
  <c r="AA209" i="27"/>
  <c r="AB209" i="27"/>
  <c r="AC209" i="27"/>
  <c r="Z209" i="27"/>
  <c r="Y209" i="27"/>
  <c r="X209" i="27"/>
  <c r="BX208" i="27"/>
  <c r="CD208" i="27"/>
  <c r="CE208" i="27"/>
  <c r="CF208" i="27"/>
  <c r="AA208" i="27"/>
  <c r="AL208" i="27"/>
  <c r="Z208" i="27"/>
  <c r="Y208" i="27"/>
  <c r="X208" i="27"/>
  <c r="CD207" i="27"/>
  <c r="CE207" i="27"/>
  <c r="CF207" i="27"/>
  <c r="BX207" i="27"/>
  <c r="AA207" i="27"/>
  <c r="Z207" i="27"/>
  <c r="Y207" i="27"/>
  <c r="X207" i="27"/>
  <c r="CD206" i="27"/>
  <c r="CE206" i="27"/>
  <c r="CF206" i="27"/>
  <c r="BX206" i="27"/>
  <c r="AA206" i="27"/>
  <c r="AL206" i="27"/>
  <c r="Y206" i="27"/>
  <c r="X206" i="27"/>
  <c r="Z206" i="27"/>
  <c r="CD205" i="27"/>
  <c r="CE205" i="27"/>
  <c r="CF205" i="27"/>
  <c r="BX205" i="27"/>
  <c r="AB205" i="27"/>
  <c r="AC205" i="27"/>
  <c r="AA205" i="27"/>
  <c r="Z205" i="27"/>
  <c r="Y205" i="27"/>
  <c r="X205" i="27"/>
  <c r="CD204" i="27"/>
  <c r="CE204" i="27"/>
  <c r="CF204" i="27"/>
  <c r="BX204" i="27"/>
  <c r="AA204" i="27"/>
  <c r="AL204" i="27"/>
  <c r="Z204" i="27"/>
  <c r="Y204" i="27"/>
  <c r="X204" i="27"/>
  <c r="CE203" i="27"/>
  <c r="CF203" i="27"/>
  <c r="CD203" i="27"/>
  <c r="BX203" i="27"/>
  <c r="AA203" i="27"/>
  <c r="Z203" i="27"/>
  <c r="Y203" i="27"/>
  <c r="X203" i="27"/>
  <c r="BX202" i="27"/>
  <c r="CD202" i="27"/>
  <c r="CE202" i="27"/>
  <c r="CF202" i="27"/>
  <c r="AI202" i="27"/>
  <c r="AA202" i="27"/>
  <c r="AL202" i="27"/>
  <c r="Y202" i="27"/>
  <c r="X202" i="27"/>
  <c r="Z202" i="27"/>
  <c r="AB202" i="27"/>
  <c r="AC202" i="27"/>
  <c r="CD201" i="27"/>
  <c r="CE201" i="27"/>
  <c r="CF201" i="27"/>
  <c r="BX201" i="27"/>
  <c r="AA201" i="27"/>
  <c r="Z201" i="27"/>
  <c r="Y201" i="27"/>
  <c r="X201" i="27"/>
  <c r="CE200" i="27"/>
  <c r="CF200" i="27"/>
  <c r="CD200" i="27"/>
  <c r="BX200" i="27"/>
  <c r="AA200" i="27"/>
  <c r="Z200" i="27"/>
  <c r="Y200" i="27"/>
  <c r="X200" i="27"/>
  <c r="CD199" i="27"/>
  <c r="CE199" i="27"/>
  <c r="CF199" i="27"/>
  <c r="BX199" i="27"/>
  <c r="AA199" i="27"/>
  <c r="AB199" i="27"/>
  <c r="AC199" i="27"/>
  <c r="AG199" i="27"/>
  <c r="Z199" i="27"/>
  <c r="Y199" i="27"/>
  <c r="X199" i="27"/>
  <c r="BX198" i="27"/>
  <c r="CD198" i="27"/>
  <c r="CE198" i="27"/>
  <c r="CF198" i="27"/>
  <c r="AA198" i="27"/>
  <c r="AL198" i="27"/>
  <c r="Y198" i="27"/>
  <c r="Z198" i="27"/>
  <c r="X198" i="27"/>
  <c r="CF197" i="27"/>
  <c r="CE197" i="27"/>
  <c r="CD197" i="27"/>
  <c r="BX197" i="27"/>
  <c r="AA197" i="27"/>
  <c r="Z197" i="27"/>
  <c r="Y197" i="27"/>
  <c r="X197" i="27"/>
  <c r="BX196" i="27"/>
  <c r="CD196" i="27"/>
  <c r="CE196" i="27"/>
  <c r="CF196" i="27"/>
  <c r="AA196" i="27"/>
  <c r="Z196" i="27"/>
  <c r="Y196" i="27"/>
  <c r="X196" i="27"/>
  <c r="CD195" i="27"/>
  <c r="CE195" i="27"/>
  <c r="CF195" i="27"/>
  <c r="BX195" i="27"/>
  <c r="AA195" i="27"/>
  <c r="AI195" i="27"/>
  <c r="Z195" i="27"/>
  <c r="Y195" i="27"/>
  <c r="X195" i="27"/>
  <c r="BX194" i="27"/>
  <c r="CD194" i="27"/>
  <c r="CE194" i="27"/>
  <c r="CF194" i="27"/>
  <c r="AA194" i="27"/>
  <c r="Z194" i="27"/>
  <c r="Y194" i="27"/>
  <c r="X194" i="27"/>
  <c r="CD193" i="27"/>
  <c r="CE193" i="27"/>
  <c r="CF193" i="27"/>
  <c r="BX193" i="27"/>
  <c r="AA193" i="27"/>
  <c r="AB193" i="27"/>
  <c r="AC193" i="27"/>
  <c r="Z193" i="27"/>
  <c r="Y193" i="27"/>
  <c r="X193" i="27"/>
  <c r="CD192" i="27"/>
  <c r="CE192" i="27"/>
  <c r="CF192" i="27"/>
  <c r="BX192" i="27"/>
  <c r="AA192" i="27"/>
  <c r="Z192" i="27"/>
  <c r="AB192" i="27"/>
  <c r="AC192" i="27"/>
  <c r="Y192" i="27"/>
  <c r="X192" i="27"/>
  <c r="BX191" i="27"/>
  <c r="CD191" i="27"/>
  <c r="CE191" i="27"/>
  <c r="CF191" i="27"/>
  <c r="AA191" i="27"/>
  <c r="Z191" i="27"/>
  <c r="Y191" i="27"/>
  <c r="X191" i="27"/>
  <c r="BX190" i="27"/>
  <c r="CD190" i="27"/>
  <c r="CE190" i="27"/>
  <c r="CF190" i="27"/>
  <c r="AA190" i="27"/>
  <c r="Z190" i="27"/>
  <c r="Y190" i="27"/>
  <c r="X190" i="27"/>
  <c r="CD189" i="27"/>
  <c r="CE189" i="27"/>
  <c r="CF189" i="27"/>
  <c r="BX189" i="27"/>
  <c r="AA189" i="27"/>
  <c r="AB189" i="27"/>
  <c r="AC189" i="27"/>
  <c r="AD189" i="27"/>
  <c r="Z189" i="27"/>
  <c r="Y189" i="27"/>
  <c r="X189" i="27"/>
  <c r="BX188" i="27"/>
  <c r="CD188" i="27"/>
  <c r="CE188" i="27"/>
  <c r="CF188" i="27"/>
  <c r="AA188" i="27"/>
  <c r="Z188" i="27"/>
  <c r="Y188" i="27"/>
  <c r="X188" i="27"/>
  <c r="CE187" i="27"/>
  <c r="CF187" i="27"/>
  <c r="CD187" i="27"/>
  <c r="BX187" i="27"/>
  <c r="AA187" i="27"/>
  <c r="AL187" i="27"/>
  <c r="Y187" i="27"/>
  <c r="Z187" i="27"/>
  <c r="X187" i="27"/>
  <c r="T187" i="27"/>
  <c r="CE186" i="27"/>
  <c r="CF186" i="27"/>
  <c r="CD186" i="27"/>
  <c r="BX186" i="27"/>
  <c r="AI186" i="27"/>
  <c r="AA186" i="27"/>
  <c r="AL186" i="27"/>
  <c r="Y186" i="27"/>
  <c r="Z186" i="27"/>
  <c r="T186" i="27"/>
  <c r="X186" i="27"/>
  <c r="CD185" i="27"/>
  <c r="CE185" i="27"/>
  <c r="CF185" i="27"/>
  <c r="BX185" i="27"/>
  <c r="AA185" i="27"/>
  <c r="T185" i="27"/>
  <c r="CF184" i="27"/>
  <c r="BX184" i="27"/>
  <c r="CD184" i="27"/>
  <c r="CE184" i="27"/>
  <c r="AA184" i="27"/>
  <c r="AI184" i="27"/>
  <c r="Y184" i="27"/>
  <c r="Z184" i="27"/>
  <c r="X184" i="27"/>
  <c r="T184" i="27"/>
  <c r="BX183" i="27"/>
  <c r="CD183" i="27"/>
  <c r="CE183" i="27"/>
  <c r="CF183" i="27"/>
  <c r="AA183" i="27"/>
  <c r="AL183" i="27"/>
  <c r="Z183" i="27"/>
  <c r="Y183" i="27"/>
  <c r="X183" i="27"/>
  <c r="T183" i="27"/>
  <c r="CD182" i="27"/>
  <c r="CE182" i="27"/>
  <c r="CF182" i="27"/>
  <c r="BX182" i="27"/>
  <c r="AA182" i="27"/>
  <c r="AL182" i="27"/>
  <c r="Y182" i="27"/>
  <c r="Z182" i="27"/>
  <c r="X182" i="27"/>
  <c r="CD181" i="27"/>
  <c r="CE181" i="27"/>
  <c r="CF181" i="27"/>
  <c r="BX181" i="27"/>
  <c r="AA181" i="27"/>
  <c r="AL181" i="27"/>
  <c r="Y181" i="27"/>
  <c r="Z181" i="27"/>
  <c r="X181" i="27"/>
  <c r="BX180" i="27"/>
  <c r="CD180" i="27"/>
  <c r="CE180" i="27"/>
  <c r="CF180" i="27"/>
  <c r="AA180" i="27"/>
  <c r="AL180" i="27"/>
  <c r="Y180" i="27"/>
  <c r="Z180" i="27"/>
  <c r="X180" i="27"/>
  <c r="CD179" i="27"/>
  <c r="CE179" i="27"/>
  <c r="CF179" i="27"/>
  <c r="BX179" i="27"/>
  <c r="AA179" i="27"/>
  <c r="AI179" i="27"/>
  <c r="Y179" i="27"/>
  <c r="Z179" i="27"/>
  <c r="AB179" i="27"/>
  <c r="AC179" i="27"/>
  <c r="AG179" i="27"/>
  <c r="X179" i="27"/>
  <c r="CF178" i="27"/>
  <c r="CD178" i="27"/>
  <c r="CE178" i="27"/>
  <c r="BX178" i="27"/>
  <c r="AA178" i="27"/>
  <c r="AL178" i="27"/>
  <c r="Y178" i="27"/>
  <c r="Z178" i="27"/>
  <c r="X178" i="27"/>
  <c r="BX177" i="27"/>
  <c r="CD177" i="27"/>
  <c r="CE177" i="27"/>
  <c r="CF177" i="27"/>
  <c r="AA177" i="27"/>
  <c r="AI177" i="27"/>
  <c r="Y177" i="27"/>
  <c r="Z177" i="27"/>
  <c r="AB177" i="27"/>
  <c r="AC177" i="27"/>
  <c r="X177" i="27"/>
  <c r="CF176" i="27"/>
  <c r="BX176" i="27"/>
  <c r="CD176" i="27"/>
  <c r="CE176" i="27"/>
  <c r="AA176" i="27"/>
  <c r="AL176" i="27"/>
  <c r="Y176" i="27"/>
  <c r="Z176" i="27"/>
  <c r="AB176" i="27"/>
  <c r="AC176" i="27"/>
  <c r="AF176" i="27"/>
  <c r="X176" i="27"/>
  <c r="CD175" i="27"/>
  <c r="CE175" i="27"/>
  <c r="CF175" i="27"/>
  <c r="BX175" i="27"/>
  <c r="AA175" i="27"/>
  <c r="AL175" i="27"/>
  <c r="Y175" i="27"/>
  <c r="Z175" i="27"/>
  <c r="AB175" i="27"/>
  <c r="AC175" i="27"/>
  <c r="X175" i="27"/>
  <c r="BX174" i="27"/>
  <c r="CD174" i="27"/>
  <c r="CE174" i="27"/>
  <c r="CF174" i="27"/>
  <c r="AA174" i="27"/>
  <c r="AL174" i="27"/>
  <c r="Y174" i="27"/>
  <c r="Z174" i="27"/>
  <c r="X174" i="27"/>
  <c r="BX173" i="27"/>
  <c r="CD173" i="27"/>
  <c r="CE173" i="27"/>
  <c r="CF173" i="27"/>
  <c r="AA173" i="27"/>
  <c r="AL173" i="27"/>
  <c r="Y173" i="27"/>
  <c r="Z173" i="27"/>
  <c r="X173" i="27"/>
  <c r="CF172" i="27"/>
  <c r="BX172" i="27"/>
  <c r="CD172" i="27"/>
  <c r="CE172" i="27"/>
  <c r="AA172" i="27"/>
  <c r="AL172" i="27"/>
  <c r="Z172" i="27"/>
  <c r="Y172" i="27"/>
  <c r="X172" i="27"/>
  <c r="CD171" i="27"/>
  <c r="CE171" i="27"/>
  <c r="CF171" i="27"/>
  <c r="BX171" i="27"/>
  <c r="AA171" i="27"/>
  <c r="AB171" i="27"/>
  <c r="AC171" i="27"/>
  <c r="Z171" i="27"/>
  <c r="Y171" i="27"/>
  <c r="X171" i="27"/>
  <c r="BX170" i="27"/>
  <c r="CD170" i="27"/>
  <c r="CE170" i="27"/>
  <c r="CF170" i="27"/>
  <c r="AA170" i="27"/>
  <c r="AL170" i="27"/>
  <c r="Z170" i="27"/>
  <c r="Y170" i="27"/>
  <c r="X170" i="27"/>
  <c r="CE169" i="27"/>
  <c r="CF169" i="27"/>
  <c r="BX169" i="27"/>
  <c r="CD169" i="27"/>
  <c r="AA169" i="27"/>
  <c r="AB169" i="27"/>
  <c r="AC169" i="27"/>
  <c r="AG169" i="27"/>
  <c r="Z169" i="27"/>
  <c r="Y169" i="27"/>
  <c r="X169" i="27"/>
  <c r="BX168" i="27"/>
  <c r="CD168" i="27"/>
  <c r="CE168" i="27"/>
  <c r="CF168" i="27"/>
  <c r="AA168" i="27"/>
  <c r="AL168" i="27"/>
  <c r="Z168" i="27"/>
  <c r="Y168" i="27"/>
  <c r="X168" i="27"/>
  <c r="BX167" i="27"/>
  <c r="CD167" i="27"/>
  <c r="CE167" i="27"/>
  <c r="CF167" i="27"/>
  <c r="AA167" i="27"/>
  <c r="AL167" i="27"/>
  <c r="Y167" i="27"/>
  <c r="Z167" i="27"/>
  <c r="X167" i="27"/>
  <c r="BX166" i="27"/>
  <c r="CD166" i="27"/>
  <c r="CE166" i="27"/>
  <c r="CF166" i="27"/>
  <c r="AA166" i="27"/>
  <c r="AL166" i="27"/>
  <c r="Y166" i="27"/>
  <c r="Z166" i="27"/>
  <c r="X166" i="27"/>
  <c r="BX165" i="27"/>
  <c r="CD165" i="27"/>
  <c r="CE165" i="27"/>
  <c r="CF165" i="27"/>
  <c r="AA165" i="27"/>
  <c r="Y165" i="27"/>
  <c r="Z165" i="27"/>
  <c r="X165" i="27"/>
  <c r="CF164" i="27"/>
  <c r="CD164" i="27"/>
  <c r="CE164" i="27"/>
  <c r="BX164" i="27"/>
  <c r="AA164" i="27"/>
  <c r="AL164" i="27"/>
  <c r="Y164" i="27"/>
  <c r="Z164" i="27"/>
  <c r="X164" i="27"/>
  <c r="BX163" i="27"/>
  <c r="CD163" i="27"/>
  <c r="CE163" i="27"/>
  <c r="CF163" i="27"/>
  <c r="AA163" i="27"/>
  <c r="Z163" i="27"/>
  <c r="AB163" i="27"/>
  <c r="AC163" i="27"/>
  <c r="Y163" i="27"/>
  <c r="X163" i="27"/>
  <c r="CF162" i="27"/>
  <c r="CD162" i="27"/>
  <c r="CE162" i="27"/>
  <c r="BX162" i="27"/>
  <c r="AA162" i="27"/>
  <c r="AL162" i="27"/>
  <c r="Z162" i="27"/>
  <c r="Y162" i="27"/>
  <c r="X162" i="27"/>
  <c r="BX161" i="27"/>
  <c r="CD161" i="27"/>
  <c r="CE161" i="27"/>
  <c r="CF161" i="27"/>
  <c r="AA161" i="27"/>
  <c r="Z161" i="27"/>
  <c r="Y161" i="27"/>
  <c r="X161" i="27"/>
  <c r="CF160" i="27"/>
  <c r="BX160" i="27"/>
  <c r="CD160" i="27"/>
  <c r="CE160" i="27"/>
  <c r="AA160" i="27"/>
  <c r="AL160" i="27"/>
  <c r="Y160" i="27"/>
  <c r="X160" i="27"/>
  <c r="Z160" i="27"/>
  <c r="BX159" i="27"/>
  <c r="CD159" i="27"/>
  <c r="CE159" i="27"/>
  <c r="CF159" i="27"/>
  <c r="AA159" i="27"/>
  <c r="Z159" i="27"/>
  <c r="Y159" i="27"/>
  <c r="X159" i="27"/>
  <c r="CF158" i="27"/>
  <c r="BX158" i="27"/>
  <c r="CD158" i="27"/>
  <c r="CE158" i="27"/>
  <c r="AA158" i="27"/>
  <c r="AL158" i="27"/>
  <c r="Y158" i="27"/>
  <c r="Z158" i="27"/>
  <c r="AB158" i="27"/>
  <c r="AC158" i="27"/>
  <c r="AF158" i="27"/>
  <c r="X158" i="27"/>
  <c r="CF157" i="27"/>
  <c r="CD157" i="27"/>
  <c r="CE157" i="27"/>
  <c r="BX157" i="27"/>
  <c r="AI157" i="27"/>
  <c r="AA157" i="27"/>
  <c r="AL157" i="27"/>
  <c r="Y157" i="27"/>
  <c r="Z157" i="27"/>
  <c r="AB157" i="27"/>
  <c r="AC157" i="27"/>
  <c r="X157" i="27"/>
  <c r="CF156" i="27"/>
  <c r="CD156" i="27"/>
  <c r="CE156" i="27"/>
  <c r="BX156" i="27"/>
  <c r="AA156" i="27"/>
  <c r="AL156" i="27"/>
  <c r="Y156" i="27"/>
  <c r="Z156" i="27"/>
  <c r="X156" i="27"/>
  <c r="CD155" i="27"/>
  <c r="CE155" i="27"/>
  <c r="CF155" i="27"/>
  <c r="BX155" i="27"/>
  <c r="AL155" i="27"/>
  <c r="AA155" i="27"/>
  <c r="AI155" i="27"/>
  <c r="Y155" i="27"/>
  <c r="Z155" i="27"/>
  <c r="AB155" i="27"/>
  <c r="AC155" i="27"/>
  <c r="X155" i="27"/>
  <c r="CD154" i="27"/>
  <c r="CE154" i="27"/>
  <c r="CF154" i="27"/>
  <c r="BX154" i="27"/>
  <c r="AA154" i="27"/>
  <c r="AL154" i="27"/>
  <c r="Z154" i="27"/>
  <c r="Y154" i="27"/>
  <c r="X154" i="27"/>
  <c r="CF153" i="27"/>
  <c r="CD153" i="27"/>
  <c r="CE153" i="27"/>
  <c r="BX153" i="27"/>
  <c r="AA153" i="27"/>
  <c r="AI153" i="27"/>
  <c r="Y153" i="27"/>
  <c r="Z153" i="27"/>
  <c r="X153" i="27"/>
  <c r="BX152" i="27"/>
  <c r="CD152" i="27"/>
  <c r="CE152" i="27"/>
  <c r="CF152" i="27"/>
  <c r="AA152" i="27"/>
  <c r="AL152" i="27"/>
  <c r="Y152" i="27"/>
  <c r="X152" i="27"/>
  <c r="N152" i="27"/>
  <c r="Z152" i="27"/>
  <c r="CD151" i="27"/>
  <c r="CE151" i="27"/>
  <c r="CF151" i="27"/>
  <c r="BX151" i="27"/>
  <c r="AA151" i="27"/>
  <c r="AL151" i="27"/>
  <c r="Y151" i="27"/>
  <c r="Z151" i="27"/>
  <c r="X151" i="27"/>
  <c r="BX150" i="27"/>
  <c r="CD150" i="27"/>
  <c r="CE150" i="27"/>
  <c r="CF150" i="27"/>
  <c r="AA150" i="27"/>
  <c r="AI150" i="27"/>
  <c r="Y150" i="27"/>
  <c r="Z150" i="27"/>
  <c r="X150" i="27"/>
  <c r="CE149" i="27"/>
  <c r="CF149" i="27"/>
  <c r="CD149" i="27"/>
  <c r="BX149" i="27"/>
  <c r="AA149" i="27"/>
  <c r="Z149" i="27"/>
  <c r="Y149" i="27"/>
  <c r="X149" i="27"/>
  <c r="CD148" i="27"/>
  <c r="CE148" i="27"/>
  <c r="CF148" i="27"/>
  <c r="BX148" i="27"/>
  <c r="AI148" i="27"/>
  <c r="AA148" i="27"/>
  <c r="AL148" i="27"/>
  <c r="Y148" i="27"/>
  <c r="Z148" i="27"/>
  <c r="X148" i="27"/>
  <c r="BX147" i="27"/>
  <c r="CD147" i="27"/>
  <c r="CE147" i="27"/>
  <c r="CF147" i="27"/>
  <c r="AA147" i="27"/>
  <c r="AB147" i="27"/>
  <c r="AC147" i="27"/>
  <c r="Z147" i="27"/>
  <c r="Y147" i="27"/>
  <c r="X147" i="27"/>
  <c r="BX146" i="27"/>
  <c r="CD146" i="27"/>
  <c r="CE146" i="27"/>
  <c r="CF146" i="27"/>
  <c r="AA146" i="27"/>
  <c r="AL146" i="27"/>
  <c r="Y146" i="27"/>
  <c r="Z146" i="27"/>
  <c r="X146" i="27"/>
  <c r="BX145" i="27"/>
  <c r="CD145" i="27"/>
  <c r="CE145" i="27"/>
  <c r="CF145" i="27"/>
  <c r="AA145" i="27"/>
  <c r="Y145" i="27"/>
  <c r="Z145" i="27"/>
  <c r="AB145" i="27"/>
  <c r="AC145" i="27"/>
  <c r="X145" i="27"/>
  <c r="BX144" i="27"/>
  <c r="CD144" i="27"/>
  <c r="CE144" i="27"/>
  <c r="CF144" i="27"/>
  <c r="AA144" i="27"/>
  <c r="AL144" i="27"/>
  <c r="Y144" i="27"/>
  <c r="Z144" i="27"/>
  <c r="X144" i="27"/>
  <c r="BX143" i="27"/>
  <c r="CD143" i="27"/>
  <c r="CE143" i="27"/>
  <c r="CF143" i="27"/>
  <c r="AA143" i="27"/>
  <c r="AL143" i="27"/>
  <c r="Y143" i="27"/>
  <c r="Z143" i="27"/>
  <c r="AB143" i="27"/>
  <c r="AC143" i="27"/>
  <c r="X143" i="27"/>
  <c r="CD142" i="27"/>
  <c r="CE142" i="27"/>
  <c r="CF142" i="27"/>
  <c r="BX142" i="27"/>
  <c r="AA142" i="27"/>
  <c r="AL142" i="27"/>
  <c r="Y142" i="27"/>
  <c r="Z142" i="27"/>
  <c r="X142" i="27"/>
  <c r="BX141" i="27"/>
  <c r="CD141" i="27"/>
  <c r="CE141" i="27"/>
  <c r="CF141" i="27"/>
  <c r="AA141" i="27"/>
  <c r="AI141" i="27"/>
  <c r="Z141" i="27"/>
  <c r="Y141" i="27"/>
  <c r="X141" i="27"/>
  <c r="BX140" i="27"/>
  <c r="CD140" i="27"/>
  <c r="CE140" i="27"/>
  <c r="CF140" i="27"/>
  <c r="AA140" i="27"/>
  <c r="AL140" i="27"/>
  <c r="Z140" i="27"/>
  <c r="Y140" i="27"/>
  <c r="X140" i="27"/>
  <c r="BX139" i="27"/>
  <c r="CD139" i="27"/>
  <c r="CE139" i="27"/>
  <c r="CF139" i="27"/>
  <c r="AA139" i="27"/>
  <c r="AL139" i="27"/>
  <c r="Z139" i="27"/>
  <c r="Y139" i="27"/>
  <c r="X139" i="27"/>
  <c r="BX138" i="27"/>
  <c r="CD138" i="27"/>
  <c r="CE138" i="27"/>
  <c r="CF138" i="27"/>
  <c r="AA138" i="27"/>
  <c r="AL138" i="27"/>
  <c r="Z138" i="27"/>
  <c r="Y138" i="27"/>
  <c r="X138" i="27"/>
  <c r="BX137" i="27"/>
  <c r="CD137" i="27"/>
  <c r="CE137" i="27"/>
  <c r="CF137" i="27"/>
  <c r="AA137" i="27"/>
  <c r="Z137" i="27"/>
  <c r="Y137" i="27"/>
  <c r="X137" i="27"/>
  <c r="BX136" i="27"/>
  <c r="CD136" i="27"/>
  <c r="CE136" i="27"/>
  <c r="CF136" i="27"/>
  <c r="AI136" i="27"/>
  <c r="AA136" i="27"/>
  <c r="AL136" i="27"/>
  <c r="Y136" i="27"/>
  <c r="Z136" i="27"/>
  <c r="X136" i="27"/>
  <c r="CF135" i="27"/>
  <c r="CE135" i="27"/>
  <c r="CD135" i="27"/>
  <c r="BX135" i="27"/>
  <c r="AA135" i="27"/>
  <c r="AL135" i="27"/>
  <c r="Y135" i="27"/>
  <c r="Z135" i="27"/>
  <c r="X135" i="27"/>
  <c r="BX134" i="27"/>
  <c r="CD134" i="27"/>
  <c r="CE134" i="27"/>
  <c r="CF134" i="27"/>
  <c r="AA134" i="27"/>
  <c r="AL134" i="27"/>
  <c r="Y134" i="27"/>
  <c r="Z134" i="27"/>
  <c r="X134" i="27"/>
  <c r="CE133" i="27"/>
  <c r="CF133" i="27"/>
  <c r="CD133" i="27"/>
  <c r="BX133" i="27"/>
  <c r="AB133" i="27"/>
  <c r="AC133" i="27"/>
  <c r="AA133" i="27"/>
  <c r="AL133" i="27"/>
  <c r="Z133" i="27"/>
  <c r="Y133" i="27"/>
  <c r="X133" i="27"/>
  <c r="BX132" i="27"/>
  <c r="CD132" i="27"/>
  <c r="CE132" i="27"/>
  <c r="CF132" i="27"/>
  <c r="AA132" i="27"/>
  <c r="AL132" i="27"/>
  <c r="Z132" i="27"/>
  <c r="AB132" i="27"/>
  <c r="AC132" i="27"/>
  <c r="AF132" i="27"/>
  <c r="Y132" i="27"/>
  <c r="X132" i="27"/>
  <c r="BX131" i="27"/>
  <c r="CD131" i="27"/>
  <c r="CE131" i="27"/>
  <c r="CF131" i="27"/>
  <c r="AA131" i="27"/>
  <c r="AL131" i="27"/>
  <c r="Z131" i="27"/>
  <c r="Y131" i="27"/>
  <c r="X131" i="27"/>
  <c r="BX130" i="27"/>
  <c r="CD130" i="27"/>
  <c r="CE130" i="27"/>
  <c r="CF130" i="27"/>
  <c r="AA130" i="27"/>
  <c r="AL130" i="27"/>
  <c r="Y130" i="27"/>
  <c r="Z130" i="27"/>
  <c r="X130" i="27"/>
  <c r="CF129" i="27"/>
  <c r="BX129" i="27"/>
  <c r="CD129" i="27"/>
  <c r="CE129" i="27"/>
  <c r="AA129" i="27"/>
  <c r="Y129" i="27"/>
  <c r="Z129" i="27"/>
  <c r="X129" i="27"/>
  <c r="BX128" i="27"/>
  <c r="CD128" i="27"/>
  <c r="CE128" i="27"/>
  <c r="CF128" i="27"/>
  <c r="AA128" i="27"/>
  <c r="AL128" i="27"/>
  <c r="Z128" i="27"/>
  <c r="Y128" i="27"/>
  <c r="X128" i="27"/>
  <c r="CE127" i="27"/>
  <c r="CF127" i="27"/>
  <c r="CD127" i="27"/>
  <c r="BX127" i="27"/>
  <c r="AA127" i="27"/>
  <c r="Z127" i="27"/>
  <c r="Y127" i="27"/>
  <c r="X127" i="27"/>
  <c r="CD126" i="27"/>
  <c r="CE126" i="27"/>
  <c r="CF126" i="27"/>
  <c r="BX126" i="27"/>
  <c r="AA126" i="27"/>
  <c r="AL126" i="27"/>
  <c r="Y126" i="27"/>
  <c r="Z126" i="27"/>
  <c r="X126" i="27"/>
  <c r="CE125" i="27"/>
  <c r="CF125" i="27"/>
  <c r="CD125" i="27"/>
  <c r="BX125" i="27"/>
  <c r="AA125" i="27"/>
  <c r="AB125" i="27"/>
  <c r="AC125" i="27"/>
  <c r="Z125" i="27"/>
  <c r="Y125" i="27"/>
  <c r="X125" i="27"/>
  <c r="CD124" i="27"/>
  <c r="CE124" i="27"/>
  <c r="CF124" i="27"/>
  <c r="BX124" i="27"/>
  <c r="AA124" i="27"/>
  <c r="Z124" i="27"/>
  <c r="Y124" i="27"/>
  <c r="X124" i="27"/>
  <c r="CE123" i="27"/>
  <c r="CF123" i="27"/>
  <c r="CD123" i="27"/>
  <c r="BX123" i="27"/>
  <c r="AA123" i="27"/>
  <c r="Z123" i="27"/>
  <c r="Y123" i="27"/>
  <c r="X123" i="27"/>
  <c r="BX122" i="27"/>
  <c r="CD122" i="27"/>
  <c r="CE122" i="27"/>
  <c r="CF122" i="27"/>
  <c r="AA122" i="27"/>
  <c r="AL122" i="27"/>
  <c r="Z122" i="27"/>
  <c r="Y122" i="27"/>
  <c r="X122" i="27"/>
  <c r="AV121" i="27"/>
  <c r="CE120" i="27"/>
  <c r="CF120" i="27"/>
  <c r="BX120" i="27"/>
  <c r="CD120" i="27"/>
  <c r="AA120" i="27"/>
  <c r="AL120" i="27"/>
  <c r="Y120" i="27"/>
  <c r="Z120" i="27"/>
  <c r="X120" i="27"/>
  <c r="CE119" i="27"/>
  <c r="CF119" i="27"/>
  <c r="CD119" i="27"/>
  <c r="BX119" i="27"/>
  <c r="AA119" i="27"/>
  <c r="AB119" i="27"/>
  <c r="AC119" i="27"/>
  <c r="Z119" i="27"/>
  <c r="Y119" i="27"/>
  <c r="X119" i="27"/>
  <c r="CE118" i="27"/>
  <c r="CF118" i="27"/>
  <c r="BX118" i="27"/>
  <c r="CD118" i="27"/>
  <c r="AA118" i="27"/>
  <c r="AL118" i="27"/>
  <c r="Y118" i="27"/>
  <c r="Z118" i="27"/>
  <c r="X118" i="27"/>
  <c r="CD117" i="27"/>
  <c r="CE117" i="27"/>
  <c r="CF117" i="27"/>
  <c r="BX117" i="27"/>
  <c r="AA117" i="27"/>
  <c r="AL117" i="27"/>
  <c r="Z117" i="27"/>
  <c r="Y117" i="27"/>
  <c r="X117" i="27"/>
  <c r="BX116" i="27"/>
  <c r="CD116" i="27"/>
  <c r="CE116" i="27"/>
  <c r="CF116" i="27"/>
  <c r="AA116" i="27"/>
  <c r="Y116" i="27"/>
  <c r="Z116" i="27"/>
  <c r="X116" i="27"/>
  <c r="BX115" i="27"/>
  <c r="CD115" i="27"/>
  <c r="CE115" i="27"/>
  <c r="CF115" i="27"/>
  <c r="AA115" i="27"/>
  <c r="AL115" i="27"/>
  <c r="Y115" i="27"/>
  <c r="Z115" i="27"/>
  <c r="X115" i="27"/>
  <c r="CE114" i="27"/>
  <c r="CF114" i="27"/>
  <c r="BX114" i="27"/>
  <c r="CD114" i="27"/>
  <c r="AA114" i="27"/>
  <c r="AL114" i="27"/>
  <c r="Y114" i="27"/>
  <c r="Z114" i="27"/>
  <c r="X114" i="27"/>
  <c r="BX113" i="27"/>
  <c r="CD113" i="27"/>
  <c r="CE113" i="27"/>
  <c r="CF113" i="27"/>
  <c r="AA113" i="27"/>
  <c r="Z113" i="27"/>
  <c r="Y113" i="27"/>
  <c r="X113" i="27"/>
  <c r="BX112" i="27"/>
  <c r="CD112" i="27"/>
  <c r="CE112" i="27"/>
  <c r="CF112" i="27"/>
  <c r="AA112" i="27"/>
  <c r="AL112" i="27"/>
  <c r="Y112" i="27"/>
  <c r="Z112" i="27"/>
  <c r="AB112" i="27"/>
  <c r="AC112" i="27"/>
  <c r="X112" i="27"/>
  <c r="CF111" i="27"/>
  <c r="CD111" i="27"/>
  <c r="CE111" i="27"/>
  <c r="BX111" i="27"/>
  <c r="AA111" i="27"/>
  <c r="AL111" i="27"/>
  <c r="Y111" i="27"/>
  <c r="Z111" i="27"/>
  <c r="X111" i="27"/>
  <c r="BX110" i="27"/>
  <c r="CD110" i="27"/>
  <c r="CE110" i="27"/>
  <c r="CF110" i="27"/>
  <c r="AA110" i="27"/>
  <c r="AL110" i="27"/>
  <c r="Y110" i="27"/>
  <c r="Z110" i="27"/>
  <c r="X110" i="27"/>
  <c r="CE109" i="27"/>
  <c r="CF109" i="27"/>
  <c r="BX109" i="27"/>
  <c r="CD109" i="27"/>
  <c r="AA109" i="27"/>
  <c r="Y109" i="27"/>
  <c r="Z109" i="27"/>
  <c r="AB109" i="27"/>
  <c r="AC109" i="27"/>
  <c r="X109" i="27"/>
  <c r="CE108" i="27"/>
  <c r="CF108" i="27"/>
  <c r="BX108" i="27"/>
  <c r="CD108" i="27"/>
  <c r="AA108" i="27"/>
  <c r="Y108" i="27"/>
  <c r="Z108" i="27"/>
  <c r="X108" i="27"/>
  <c r="CD107" i="27"/>
  <c r="CE107" i="27"/>
  <c r="CF107" i="27"/>
  <c r="BX107" i="27"/>
  <c r="AA107" i="27"/>
  <c r="AL107" i="27"/>
  <c r="Z107" i="27"/>
  <c r="Y107" i="27"/>
  <c r="X107" i="27"/>
  <c r="BX106" i="27"/>
  <c r="CD106" i="27"/>
  <c r="CE106" i="27"/>
  <c r="CF106" i="27"/>
  <c r="AA106" i="27"/>
  <c r="Y106" i="27"/>
  <c r="Z106" i="27"/>
  <c r="X106" i="27"/>
  <c r="BX105" i="27"/>
  <c r="CD105" i="27"/>
  <c r="CE105" i="27"/>
  <c r="CF105" i="27"/>
  <c r="AA105" i="27"/>
  <c r="AL105" i="27"/>
  <c r="Z105" i="27"/>
  <c r="Y105" i="27"/>
  <c r="X105" i="27"/>
  <c r="CF104" i="27"/>
  <c r="CE104" i="27"/>
  <c r="BX104" i="27"/>
  <c r="CD104" i="27"/>
  <c r="AA104" i="27"/>
  <c r="AL104" i="27"/>
  <c r="Y104" i="27"/>
  <c r="Z104" i="27"/>
  <c r="X104" i="27"/>
  <c r="CD103" i="27"/>
  <c r="CE103" i="27"/>
  <c r="CF103" i="27"/>
  <c r="BX103" i="27"/>
  <c r="AA103" i="27"/>
  <c r="Z103" i="27"/>
  <c r="AB103" i="27"/>
  <c r="AC103" i="27"/>
  <c r="Y103" i="27"/>
  <c r="X103" i="27"/>
  <c r="BX102" i="27"/>
  <c r="CD102" i="27"/>
  <c r="CE102" i="27"/>
  <c r="CF102" i="27"/>
  <c r="AA102" i="27"/>
  <c r="AL102" i="27"/>
  <c r="Y102" i="27"/>
  <c r="Z102" i="27"/>
  <c r="X102" i="27"/>
  <c r="BX101" i="27"/>
  <c r="CD101" i="27"/>
  <c r="CE101" i="27"/>
  <c r="CF101" i="27"/>
  <c r="AA101" i="27"/>
  <c r="AL101" i="27"/>
  <c r="Y101" i="27"/>
  <c r="Z101" i="27"/>
  <c r="X101" i="27"/>
  <c r="CF100" i="27"/>
  <c r="BX100" i="27"/>
  <c r="CD100" i="27"/>
  <c r="CE100" i="27"/>
  <c r="AA100" i="27"/>
  <c r="AL100" i="27"/>
  <c r="Y100" i="27"/>
  <c r="Z100" i="27"/>
  <c r="X100" i="27"/>
  <c r="BX99" i="27"/>
  <c r="CD99" i="27"/>
  <c r="CE99" i="27"/>
  <c r="CF99" i="27"/>
  <c r="AA99" i="27"/>
  <c r="Y99" i="27"/>
  <c r="Z99" i="27"/>
  <c r="X99" i="27"/>
  <c r="CE98" i="27"/>
  <c r="CF98" i="27"/>
  <c r="BX98" i="27"/>
  <c r="CD98" i="27"/>
  <c r="AA98" i="27"/>
  <c r="Y98" i="27"/>
  <c r="Z98" i="27"/>
  <c r="X98" i="27"/>
  <c r="CF97" i="27"/>
  <c r="CE97" i="27"/>
  <c r="CD97" i="27"/>
  <c r="BX97" i="27"/>
  <c r="AA97" i="27"/>
  <c r="AL97" i="27"/>
  <c r="Y97" i="27"/>
  <c r="Z97" i="27"/>
  <c r="X97" i="27"/>
  <c r="CE96" i="27"/>
  <c r="CF96" i="27"/>
  <c r="BX96" i="27"/>
  <c r="CD96" i="27"/>
  <c r="AA96" i="27"/>
  <c r="AB96" i="27"/>
  <c r="AC96" i="27"/>
  <c r="Y96" i="27"/>
  <c r="Z96" i="27"/>
  <c r="X96" i="27"/>
  <c r="BX95" i="27"/>
  <c r="CD95" i="27"/>
  <c r="CE95" i="27"/>
  <c r="CF95" i="27"/>
  <c r="AL95" i="27"/>
  <c r="AI95" i="27"/>
  <c r="AA95" i="27"/>
  <c r="Y95" i="27"/>
  <c r="Z95" i="27"/>
  <c r="AB95" i="27"/>
  <c r="AC95" i="27"/>
  <c r="AF95" i="27"/>
  <c r="X95" i="27"/>
  <c r="CE94" i="27"/>
  <c r="CF94" i="27"/>
  <c r="BX94" i="27"/>
  <c r="CD94" i="27"/>
  <c r="AA94" i="27"/>
  <c r="Y94" i="27"/>
  <c r="Z94" i="27"/>
  <c r="X94" i="27"/>
  <c r="BX93" i="27"/>
  <c r="CD93" i="27"/>
  <c r="CE93" i="27"/>
  <c r="CF93" i="27"/>
  <c r="AA93" i="27"/>
  <c r="AI93" i="27"/>
  <c r="Z93" i="27"/>
  <c r="Y93" i="27"/>
  <c r="X93" i="27"/>
  <c r="BX92" i="27"/>
  <c r="CD92" i="27"/>
  <c r="CE92" i="27"/>
  <c r="CF92" i="27"/>
  <c r="AA92" i="27"/>
  <c r="Y92" i="27"/>
  <c r="Z92" i="27"/>
  <c r="X92" i="27"/>
  <c r="CD91" i="27"/>
  <c r="CE91" i="27"/>
  <c r="CF91" i="27"/>
  <c r="BX91" i="27"/>
  <c r="AI91" i="27"/>
  <c r="AA91" i="27"/>
  <c r="AL91" i="27"/>
  <c r="Y91" i="27"/>
  <c r="Z91" i="27"/>
  <c r="AB91" i="27"/>
  <c r="AC91" i="27"/>
  <c r="X91" i="27"/>
  <c r="CE90" i="27"/>
  <c r="CF90" i="27"/>
  <c r="BX90" i="27"/>
  <c r="CD90" i="27"/>
  <c r="AA90" i="27"/>
  <c r="AL90" i="27"/>
  <c r="Y90" i="27"/>
  <c r="Z90" i="27"/>
  <c r="X90" i="27"/>
  <c r="CD89" i="27"/>
  <c r="CE89" i="27"/>
  <c r="CF89" i="27"/>
  <c r="BX89" i="27"/>
  <c r="AA89" i="27"/>
  <c r="Y89" i="27"/>
  <c r="Z89" i="27"/>
  <c r="AB89" i="27"/>
  <c r="AC89" i="27"/>
  <c r="X89" i="27"/>
  <c r="BX88" i="27"/>
  <c r="CD88" i="27"/>
  <c r="CE88" i="27"/>
  <c r="CF88" i="27"/>
  <c r="AA88" i="27"/>
  <c r="AL88" i="27"/>
  <c r="Y88" i="27"/>
  <c r="Z88" i="27"/>
  <c r="X88" i="27"/>
  <c r="CF87" i="27"/>
  <c r="CE87" i="27"/>
  <c r="CD87" i="27"/>
  <c r="BX87" i="27"/>
  <c r="AA87" i="27"/>
  <c r="AL87" i="27"/>
  <c r="Z87" i="27"/>
  <c r="Y87" i="27"/>
  <c r="X87" i="27"/>
  <c r="CF86" i="27"/>
  <c r="BX86" i="27"/>
  <c r="CD86" i="27"/>
  <c r="CE86" i="27"/>
  <c r="AA86" i="27"/>
  <c r="AL86" i="27"/>
  <c r="Y86" i="27"/>
  <c r="Z86" i="27"/>
  <c r="X86" i="27"/>
  <c r="BX85" i="27"/>
  <c r="CD85" i="27"/>
  <c r="CE85" i="27"/>
  <c r="CF85" i="27"/>
  <c r="AA85" i="27"/>
  <c r="Z85" i="27"/>
  <c r="Y85" i="27"/>
  <c r="X85" i="27"/>
  <c r="CE84" i="27"/>
  <c r="CF84" i="27"/>
  <c r="BX84" i="27"/>
  <c r="CD84" i="27"/>
  <c r="AA84" i="27"/>
  <c r="Y84" i="27"/>
  <c r="Z84" i="27"/>
  <c r="X84" i="27"/>
  <c r="CD83" i="27"/>
  <c r="CE83" i="27"/>
  <c r="CF83" i="27"/>
  <c r="BX83" i="27"/>
  <c r="AA83" i="27"/>
  <c r="Z83" i="27"/>
  <c r="Y83" i="27"/>
  <c r="X83" i="27"/>
  <c r="CF82" i="27"/>
  <c r="CE82" i="27"/>
  <c r="BX82" i="27"/>
  <c r="CD82" i="27"/>
  <c r="AA82" i="27"/>
  <c r="AL82" i="27"/>
  <c r="Y82" i="27"/>
  <c r="Z82" i="27"/>
  <c r="X82" i="27"/>
  <c r="CE81" i="27"/>
  <c r="CF81" i="27"/>
  <c r="CD81" i="27"/>
  <c r="BX81" i="27"/>
  <c r="AA81" i="27"/>
  <c r="AI81" i="27"/>
  <c r="Z81" i="27"/>
  <c r="Y81" i="27"/>
  <c r="X81" i="27"/>
  <c r="CE80" i="27"/>
  <c r="CF80" i="27"/>
  <c r="BX80" i="27"/>
  <c r="CD80" i="27"/>
  <c r="AA80" i="27"/>
  <c r="Y80" i="27"/>
  <c r="Z80" i="27"/>
  <c r="X80" i="27"/>
  <c r="CD79" i="27"/>
  <c r="CE79" i="27"/>
  <c r="CF79" i="27"/>
  <c r="BX79" i="27"/>
  <c r="AA79" i="27"/>
  <c r="AL79" i="27"/>
  <c r="Y79" i="27"/>
  <c r="Z79" i="27"/>
  <c r="X79" i="27"/>
  <c r="CF78" i="27"/>
  <c r="CE78" i="27"/>
  <c r="BX78" i="27"/>
  <c r="CD78" i="27"/>
  <c r="AA78" i="27"/>
  <c r="AL78" i="27"/>
  <c r="Y78" i="27"/>
  <c r="Z78" i="27"/>
  <c r="AB78" i="27"/>
  <c r="AC78" i="27"/>
  <c r="X78" i="27"/>
  <c r="BX77" i="27"/>
  <c r="CD77" i="27"/>
  <c r="CE77" i="27"/>
  <c r="CF77" i="27"/>
  <c r="AA77" i="27"/>
  <c r="AL77" i="27"/>
  <c r="Y77" i="27"/>
  <c r="Z77" i="27"/>
  <c r="X77" i="27"/>
  <c r="BX76" i="27"/>
  <c r="CD76" i="27"/>
  <c r="CE76" i="27"/>
  <c r="CF76" i="27"/>
  <c r="AA76" i="27"/>
  <c r="AI76" i="27"/>
  <c r="Y76" i="27"/>
  <c r="Z76" i="27"/>
  <c r="AB76" i="27"/>
  <c r="AC76" i="27"/>
  <c r="X76" i="27"/>
  <c r="CF75" i="27"/>
  <c r="CE75" i="27"/>
  <c r="BX75" i="27"/>
  <c r="CD75" i="27"/>
  <c r="AA75" i="27"/>
  <c r="Z75" i="27"/>
  <c r="Y75" i="27"/>
  <c r="X75" i="27"/>
  <c r="BX74" i="27"/>
  <c r="CD74" i="27"/>
  <c r="CE74" i="27"/>
  <c r="CF74" i="27"/>
  <c r="AA74" i="27"/>
  <c r="AI74" i="27"/>
  <c r="Y74" i="27"/>
  <c r="Z74" i="27"/>
  <c r="X74" i="27"/>
  <c r="CF73" i="27"/>
  <c r="CE73" i="27"/>
  <c r="BX73" i="27"/>
  <c r="CD73" i="27"/>
  <c r="AA73" i="27"/>
  <c r="AI73" i="27"/>
  <c r="Y73" i="27"/>
  <c r="Z73" i="27"/>
  <c r="X73" i="27"/>
  <c r="BX72" i="27"/>
  <c r="CD72" i="27"/>
  <c r="CE72" i="27"/>
  <c r="CF72" i="27"/>
  <c r="AL72" i="27"/>
  <c r="AA72" i="27"/>
  <c r="AI72" i="27"/>
  <c r="Y72" i="27"/>
  <c r="Z72" i="27"/>
  <c r="AB72" i="27"/>
  <c r="AC72" i="27"/>
  <c r="X72" i="27"/>
  <c r="BX71" i="27"/>
  <c r="CD71" i="27"/>
  <c r="CE71" i="27"/>
  <c r="CF71" i="27"/>
  <c r="AA71" i="27"/>
  <c r="Z71" i="27"/>
  <c r="Y71" i="27"/>
  <c r="X71" i="27"/>
  <c r="BX70" i="27"/>
  <c r="CD70" i="27"/>
  <c r="CE70" i="27"/>
  <c r="CF70" i="27"/>
  <c r="AA70" i="27"/>
  <c r="Y70" i="27"/>
  <c r="Z70" i="27"/>
  <c r="X70" i="27"/>
  <c r="CD69" i="27"/>
  <c r="CE69" i="27"/>
  <c r="CF69" i="27"/>
  <c r="BX69" i="27"/>
  <c r="AA69" i="27"/>
  <c r="Y69" i="27"/>
  <c r="Z69" i="27"/>
  <c r="X69" i="27"/>
  <c r="BX68" i="27"/>
  <c r="CD68" i="27"/>
  <c r="CE68" i="27"/>
  <c r="CF68" i="27"/>
  <c r="AA68" i="27"/>
  <c r="Z68" i="27"/>
  <c r="Y68" i="27"/>
  <c r="X68" i="27"/>
  <c r="BX67" i="27"/>
  <c r="CD67" i="27"/>
  <c r="CE67" i="27"/>
  <c r="CF67" i="27"/>
  <c r="AA67" i="27"/>
  <c r="Z67" i="27"/>
  <c r="Y67" i="27"/>
  <c r="X67" i="27"/>
  <c r="CD66" i="27"/>
  <c r="CE66" i="27"/>
  <c r="CF66" i="27"/>
  <c r="BX66" i="27"/>
  <c r="AA66" i="27"/>
  <c r="Y66" i="27"/>
  <c r="Z66" i="27"/>
  <c r="X66" i="27"/>
  <c r="BX65" i="27"/>
  <c r="CD65" i="27"/>
  <c r="CE65" i="27"/>
  <c r="CF65" i="27"/>
  <c r="AA65" i="27"/>
  <c r="Y65" i="27"/>
  <c r="Z65" i="27"/>
  <c r="X65" i="27"/>
  <c r="CE64" i="27"/>
  <c r="CF64" i="27"/>
  <c r="CD64" i="27"/>
  <c r="BX64" i="27"/>
  <c r="AA64" i="27"/>
  <c r="AL64" i="27"/>
  <c r="Y64" i="27"/>
  <c r="Z64" i="27"/>
  <c r="AB64" i="27"/>
  <c r="AC64" i="27"/>
  <c r="AF64" i="27"/>
  <c r="X64" i="27"/>
  <c r="BX63" i="27"/>
  <c r="CD63" i="27"/>
  <c r="CE63" i="27"/>
  <c r="CF63" i="27"/>
  <c r="AL63" i="27"/>
  <c r="AI63" i="27"/>
  <c r="AA63" i="27"/>
  <c r="Y63" i="27"/>
  <c r="Z63" i="27"/>
  <c r="AB63" i="27"/>
  <c r="AC63" i="27"/>
  <c r="X63" i="27"/>
  <c r="BX62" i="27"/>
  <c r="CD62" i="27"/>
  <c r="CE62" i="27"/>
  <c r="CF62" i="27"/>
  <c r="AA62" i="27"/>
  <c r="AL62" i="27"/>
  <c r="Z62" i="27"/>
  <c r="Y62" i="27"/>
  <c r="X62" i="27"/>
  <c r="BX61" i="27"/>
  <c r="CD61" i="27"/>
  <c r="CE61" i="27"/>
  <c r="CF61" i="27"/>
  <c r="AA61" i="27"/>
  <c r="AL61" i="27"/>
  <c r="Y61" i="27"/>
  <c r="Z61" i="27"/>
  <c r="X61" i="27"/>
  <c r="BX60" i="27"/>
  <c r="CD60" i="27"/>
  <c r="CE60" i="27"/>
  <c r="CF60" i="27"/>
  <c r="AA60" i="27"/>
  <c r="AL60" i="27"/>
  <c r="Z60" i="27"/>
  <c r="Y60" i="27"/>
  <c r="X60" i="27"/>
  <c r="BX59" i="27"/>
  <c r="CD59" i="27"/>
  <c r="CE59" i="27"/>
  <c r="CF59" i="27"/>
  <c r="AA59" i="27"/>
  <c r="AL59" i="27"/>
  <c r="Y59" i="27"/>
  <c r="Z59" i="27"/>
  <c r="X59" i="27"/>
  <c r="BX58" i="27"/>
  <c r="CD58" i="27"/>
  <c r="CE58" i="27"/>
  <c r="CF58" i="27"/>
  <c r="AA58" i="27"/>
  <c r="AL58" i="27"/>
  <c r="Z58" i="27"/>
  <c r="AB58" i="27"/>
  <c r="AC58" i="27"/>
  <c r="Y58" i="27"/>
  <c r="X58" i="27"/>
  <c r="BX57" i="27"/>
  <c r="CD57" i="27"/>
  <c r="CE57" i="27"/>
  <c r="CF57" i="27"/>
  <c r="AA57" i="27"/>
  <c r="AL57" i="27"/>
  <c r="Y57" i="27"/>
  <c r="Z57" i="27"/>
  <c r="X57" i="27"/>
  <c r="CD56" i="27"/>
  <c r="CE56" i="27"/>
  <c r="CF56" i="27"/>
  <c r="BX56" i="27"/>
  <c r="AA56" i="27"/>
  <c r="AL56" i="27"/>
  <c r="Z56" i="27"/>
  <c r="Y56" i="27"/>
  <c r="X56" i="27"/>
  <c r="BX55" i="27"/>
  <c r="CD55" i="27"/>
  <c r="CE55" i="27"/>
  <c r="CF55" i="27"/>
  <c r="AL55" i="27"/>
  <c r="AI55" i="27"/>
  <c r="AB55" i="27"/>
  <c r="AC55" i="27"/>
  <c r="AF55" i="27"/>
  <c r="AA55" i="27"/>
  <c r="Y55" i="27"/>
  <c r="Z55" i="27"/>
  <c r="X55" i="27"/>
  <c r="CD54" i="27"/>
  <c r="CE54" i="27"/>
  <c r="CF54" i="27"/>
  <c r="BX54" i="27"/>
  <c r="AA54" i="27"/>
  <c r="AL54" i="27"/>
  <c r="Z54" i="27"/>
  <c r="Y54" i="27"/>
  <c r="X54" i="27"/>
  <c r="BX53" i="27"/>
  <c r="CD53" i="27"/>
  <c r="CE53" i="27"/>
  <c r="CF53" i="27"/>
  <c r="AA53" i="27"/>
  <c r="AI53" i="27"/>
  <c r="Y53" i="27"/>
  <c r="Z53" i="27"/>
  <c r="X53" i="27"/>
  <c r="BX52" i="27"/>
  <c r="CD52" i="27"/>
  <c r="CE52" i="27"/>
  <c r="CF52" i="27"/>
  <c r="AA52" i="27"/>
  <c r="AL52" i="27"/>
  <c r="Z52" i="27"/>
  <c r="Y52" i="27"/>
  <c r="X52" i="27"/>
  <c r="BX51" i="27"/>
  <c r="CD51" i="27"/>
  <c r="CE51" i="27"/>
  <c r="CF51" i="27"/>
  <c r="AA51" i="27"/>
  <c r="AI51" i="27"/>
  <c r="Y51" i="27"/>
  <c r="Z51" i="27"/>
  <c r="X51" i="27"/>
  <c r="BX50" i="27"/>
  <c r="CD50" i="27"/>
  <c r="CE50" i="27"/>
  <c r="CF50" i="27"/>
  <c r="AB50" i="27"/>
  <c r="AC50" i="27"/>
  <c r="AA50" i="27"/>
  <c r="Z50" i="27"/>
  <c r="Y50" i="27"/>
  <c r="X50" i="27"/>
  <c r="BX49" i="27"/>
  <c r="CD49" i="27"/>
  <c r="CE49" i="27"/>
  <c r="CF49" i="27"/>
  <c r="AA49" i="27"/>
  <c r="AL49" i="27"/>
  <c r="Y49" i="27"/>
  <c r="Z49" i="27"/>
  <c r="X49" i="27"/>
  <c r="BX48" i="27"/>
  <c r="CD48" i="27"/>
  <c r="CE48" i="27"/>
  <c r="CF48" i="27"/>
  <c r="AA48" i="27"/>
  <c r="AL48" i="27"/>
  <c r="Y48" i="27"/>
  <c r="Z48" i="27"/>
  <c r="AB48" i="27"/>
  <c r="AC48" i="27"/>
  <c r="AD48" i="27"/>
  <c r="X48" i="27"/>
  <c r="BX47" i="27"/>
  <c r="CD47" i="27"/>
  <c r="CE47" i="27"/>
  <c r="CF47" i="27"/>
  <c r="AA47" i="27"/>
  <c r="AI47" i="27"/>
  <c r="Y47" i="27"/>
  <c r="Z47" i="27"/>
  <c r="X47" i="27"/>
  <c r="BX46" i="27"/>
  <c r="CD46" i="27"/>
  <c r="CE46" i="27"/>
  <c r="CF46" i="27"/>
  <c r="AA46" i="27"/>
  <c r="AL46" i="27"/>
  <c r="Y46" i="27"/>
  <c r="Z46" i="27"/>
  <c r="AB46" i="27"/>
  <c r="AC46" i="27"/>
  <c r="X46" i="27"/>
  <c r="CF45" i="27"/>
  <c r="BX45" i="27"/>
  <c r="CD45" i="27"/>
  <c r="CE45" i="27"/>
  <c r="AA45" i="27"/>
  <c r="AL45" i="27"/>
  <c r="Y45" i="27"/>
  <c r="Z45" i="27"/>
  <c r="AB45" i="27"/>
  <c r="AC45" i="27"/>
  <c r="X45" i="27"/>
  <c r="CE44" i="27"/>
  <c r="CF44" i="27"/>
  <c r="CD44" i="27"/>
  <c r="BX44" i="27"/>
  <c r="AA44" i="27"/>
  <c r="Z44" i="27"/>
  <c r="Y44" i="27"/>
  <c r="X44" i="27"/>
  <c r="CF43" i="27"/>
  <c r="BX43" i="27"/>
  <c r="CD43" i="27"/>
  <c r="CE43" i="27"/>
  <c r="AA43" i="27"/>
  <c r="AL43" i="27"/>
  <c r="Y43" i="27"/>
  <c r="Z43" i="27"/>
  <c r="AB43" i="27"/>
  <c r="AC43" i="27"/>
  <c r="AG43" i="27"/>
  <c r="X43" i="27"/>
  <c r="CD42" i="27"/>
  <c r="CE42" i="27"/>
  <c r="CF42" i="27"/>
  <c r="BX42" i="27"/>
  <c r="AA42" i="27"/>
  <c r="AL42" i="27"/>
  <c r="Z42" i="27"/>
  <c r="Y42" i="27"/>
  <c r="X42" i="27"/>
  <c r="BX41" i="27"/>
  <c r="CD41" i="27"/>
  <c r="CE41" i="27"/>
  <c r="CF41" i="27"/>
  <c r="AA41" i="27"/>
  <c r="AL41" i="27"/>
  <c r="Y41" i="27"/>
  <c r="Z41" i="27"/>
  <c r="AB41" i="27"/>
  <c r="AC41" i="27"/>
  <c r="X41" i="27"/>
  <c r="BX40" i="27"/>
  <c r="CD40" i="27"/>
  <c r="CE40" i="27"/>
  <c r="CF40" i="27"/>
  <c r="AA40" i="27"/>
  <c r="AL40" i="27"/>
  <c r="Y40" i="27"/>
  <c r="Z40" i="27"/>
  <c r="X40" i="27"/>
  <c r="BX39" i="27"/>
  <c r="CD39" i="27"/>
  <c r="CE39" i="27"/>
  <c r="CF39" i="27"/>
  <c r="AA39" i="27"/>
  <c r="AL39" i="27"/>
  <c r="Y39" i="27"/>
  <c r="Z39" i="27"/>
  <c r="X39" i="27"/>
  <c r="CD38" i="27"/>
  <c r="CE38" i="27"/>
  <c r="CF38" i="27"/>
  <c r="BX38" i="27"/>
  <c r="AA38" i="27"/>
  <c r="Y38" i="27"/>
  <c r="Z38" i="27"/>
  <c r="AB38" i="27"/>
  <c r="AC38" i="27"/>
  <c r="X38" i="27"/>
  <c r="CD37" i="27"/>
  <c r="CE37" i="27"/>
  <c r="CF37" i="27"/>
  <c r="BX37" i="27"/>
  <c r="AA37" i="27"/>
  <c r="AL37" i="27"/>
  <c r="Y37" i="27"/>
  <c r="Z37" i="27"/>
  <c r="X37" i="27"/>
  <c r="BX36" i="27"/>
  <c r="CD36" i="27"/>
  <c r="CE36" i="27"/>
  <c r="CF36" i="27"/>
  <c r="AA36" i="27"/>
  <c r="AB36" i="27"/>
  <c r="AC36" i="27"/>
  <c r="Z36" i="27"/>
  <c r="Y36" i="27"/>
  <c r="X36" i="27"/>
  <c r="BX35" i="27"/>
  <c r="CD35" i="27"/>
  <c r="CE35" i="27"/>
  <c r="CF35" i="27"/>
  <c r="AA35" i="27"/>
  <c r="AI35" i="27"/>
  <c r="Y35" i="27"/>
  <c r="Z35" i="27"/>
  <c r="AB35" i="27"/>
  <c r="AC35" i="27"/>
  <c r="X35" i="27"/>
  <c r="CD34" i="27"/>
  <c r="CE34" i="27"/>
  <c r="CF34" i="27"/>
  <c r="BX34" i="27"/>
  <c r="AL34" i="27"/>
  <c r="AA34" i="27"/>
  <c r="AB34" i="27"/>
  <c r="AC34" i="27"/>
  <c r="Z34" i="27"/>
  <c r="Y34" i="27"/>
  <c r="X34" i="27"/>
  <c r="BX33" i="27"/>
  <c r="CD33" i="27"/>
  <c r="CE33" i="27"/>
  <c r="CF33" i="27"/>
  <c r="AA33" i="27"/>
  <c r="AL33" i="27"/>
  <c r="Y33" i="27"/>
  <c r="Z33" i="27"/>
  <c r="X33" i="27"/>
  <c r="BX32" i="27"/>
  <c r="CD32" i="27"/>
  <c r="CE32" i="27"/>
  <c r="CF32" i="27"/>
  <c r="AA32" i="27"/>
  <c r="AL32" i="27"/>
  <c r="Y32" i="27"/>
  <c r="Z32" i="27"/>
  <c r="AB32" i="27"/>
  <c r="AC32" i="27"/>
  <c r="AG32" i="27"/>
  <c r="X32" i="27"/>
  <c r="BX31" i="27"/>
  <c r="CD31" i="27"/>
  <c r="CE31" i="27"/>
  <c r="CF31" i="27"/>
  <c r="AA31" i="27"/>
  <c r="AI31" i="27"/>
  <c r="Y31" i="27"/>
  <c r="Z31" i="27"/>
  <c r="X31" i="27"/>
  <c r="CD30" i="27"/>
  <c r="CE30" i="27"/>
  <c r="CF30" i="27"/>
  <c r="BX30" i="27"/>
  <c r="AA30" i="27"/>
  <c r="AL30" i="27"/>
  <c r="Y30" i="27"/>
  <c r="Z30" i="27"/>
  <c r="X30" i="27"/>
  <c r="CD29" i="27"/>
  <c r="CE29" i="27"/>
  <c r="CF29" i="27"/>
  <c r="BX29" i="27"/>
  <c r="AA29" i="27"/>
  <c r="AL29" i="27"/>
  <c r="Z29" i="27"/>
  <c r="Y29" i="27"/>
  <c r="X29" i="27"/>
  <c r="CF28" i="27"/>
  <c r="CD28" i="27"/>
  <c r="CE28" i="27"/>
  <c r="BX28" i="27"/>
  <c r="AA28" i="27"/>
  <c r="Z28" i="27"/>
  <c r="Y28" i="27"/>
  <c r="X28" i="27"/>
  <c r="CD27" i="27"/>
  <c r="CE27" i="27"/>
  <c r="CF27" i="27"/>
  <c r="BX27" i="27"/>
  <c r="AA27" i="27"/>
  <c r="AI27" i="27"/>
  <c r="Y27" i="27"/>
  <c r="Z27" i="27"/>
  <c r="X27" i="27"/>
  <c r="BX26" i="27"/>
  <c r="CD26" i="27"/>
  <c r="CE26" i="27"/>
  <c r="CF26" i="27"/>
  <c r="AA26" i="27"/>
  <c r="Z26" i="27"/>
  <c r="Y26" i="27"/>
  <c r="X26" i="27"/>
  <c r="BX25" i="27"/>
  <c r="CD25" i="27"/>
  <c r="CE25" i="27"/>
  <c r="CF25" i="27"/>
  <c r="AA25" i="27"/>
  <c r="AI25" i="27"/>
  <c r="Y25" i="27"/>
  <c r="Z25" i="27"/>
  <c r="X25" i="27"/>
  <c r="BX24" i="27"/>
  <c r="CD24" i="27"/>
  <c r="CE24" i="27"/>
  <c r="CF24" i="27"/>
  <c r="AA24" i="27"/>
  <c r="AL24" i="27"/>
  <c r="Z24" i="27"/>
  <c r="Y24" i="27"/>
  <c r="X24" i="27"/>
  <c r="BX23" i="27"/>
  <c r="CD23" i="27"/>
  <c r="CE23" i="27"/>
  <c r="CF23" i="27"/>
  <c r="AA23" i="27"/>
  <c r="AL23" i="27"/>
  <c r="Y23" i="27"/>
  <c r="Z23" i="27"/>
  <c r="X23" i="27"/>
  <c r="BX22" i="27"/>
  <c r="CD22" i="27"/>
  <c r="CE22" i="27"/>
  <c r="CF22" i="27"/>
  <c r="AA22" i="27"/>
  <c r="AL22" i="27"/>
  <c r="Y22" i="27"/>
  <c r="Z22" i="27"/>
  <c r="AB22" i="27"/>
  <c r="AC22" i="27"/>
  <c r="X22" i="27"/>
  <c r="CF21" i="27"/>
  <c r="CD21" i="27"/>
  <c r="CE21" i="27"/>
  <c r="BX21" i="27"/>
  <c r="AA21" i="27"/>
  <c r="AI21" i="27"/>
  <c r="Y21" i="27"/>
  <c r="Z21" i="27"/>
  <c r="X21" i="27"/>
  <c r="CE20" i="27"/>
  <c r="CF20" i="27"/>
  <c r="CD20" i="27"/>
  <c r="BX20" i="27"/>
  <c r="AA20" i="27"/>
  <c r="AL20" i="27"/>
  <c r="Y20" i="27"/>
  <c r="Z20" i="27"/>
  <c r="AB20" i="27"/>
  <c r="AC20" i="27"/>
  <c r="X20" i="27"/>
  <c r="CD19" i="27"/>
  <c r="CE19" i="27"/>
  <c r="CF19" i="27"/>
  <c r="BX19" i="27"/>
  <c r="AA19" i="27"/>
  <c r="AL19" i="27"/>
  <c r="Y19" i="27"/>
  <c r="Z19" i="27"/>
  <c r="X19" i="27"/>
  <c r="CF18" i="27"/>
  <c r="CD18" i="27"/>
  <c r="CE18" i="27"/>
  <c r="BX18" i="27"/>
  <c r="AA18" i="27"/>
  <c r="AI18" i="27"/>
  <c r="Y18" i="27"/>
  <c r="Z18" i="27"/>
  <c r="X18" i="27"/>
  <c r="CD17" i="27"/>
  <c r="CE17" i="27"/>
  <c r="CF17" i="27"/>
  <c r="BX17" i="27"/>
  <c r="AA17" i="27"/>
  <c r="AB17" i="27"/>
  <c r="AC17" i="27"/>
  <c r="Z17" i="27"/>
  <c r="Y17" i="27"/>
  <c r="X17" i="27"/>
  <c r="BX16" i="27"/>
  <c r="CD16" i="27"/>
  <c r="CE16" i="27"/>
  <c r="CF16" i="27"/>
  <c r="AA16" i="27"/>
  <c r="Z16" i="27"/>
  <c r="AB16" i="27"/>
  <c r="AC16" i="27"/>
  <c r="Y16" i="27"/>
  <c r="X16" i="27"/>
  <c r="BX15" i="27"/>
  <c r="CD15" i="27"/>
  <c r="CE15" i="27"/>
  <c r="CF15" i="27"/>
  <c r="AA15" i="27"/>
  <c r="AL15" i="27"/>
  <c r="Y15" i="27"/>
  <c r="Z15" i="27"/>
  <c r="X15" i="27"/>
  <c r="CD14" i="27"/>
  <c r="CE14" i="27"/>
  <c r="CF14" i="27"/>
  <c r="BX14" i="27"/>
  <c r="AA14" i="27"/>
  <c r="AL14" i="27"/>
  <c r="Z14" i="27"/>
  <c r="Y14" i="27"/>
  <c r="X14" i="27"/>
  <c r="BX13" i="27"/>
  <c r="CD13" i="27"/>
  <c r="CE13" i="27"/>
  <c r="CF13" i="27"/>
  <c r="AA13" i="27"/>
  <c r="AL13" i="27"/>
  <c r="Y13" i="27"/>
  <c r="Z13" i="27"/>
  <c r="AB13" i="27"/>
  <c r="AC13" i="27"/>
  <c r="AF13" i="27"/>
  <c r="X13" i="27"/>
  <c r="BX12" i="27"/>
  <c r="CD12" i="27"/>
  <c r="CE12" i="27"/>
  <c r="CF12" i="27"/>
  <c r="AA12" i="27"/>
  <c r="AI12" i="27"/>
  <c r="Y12" i="27"/>
  <c r="Z12" i="27"/>
  <c r="AB12" i="27"/>
  <c r="AC12" i="27"/>
  <c r="X12" i="27"/>
  <c r="BX11" i="27"/>
  <c r="CD11" i="27"/>
  <c r="CE11" i="27"/>
  <c r="CF11" i="27"/>
  <c r="AA11" i="27"/>
  <c r="AL11" i="27"/>
  <c r="Y11" i="27"/>
  <c r="Z11" i="27"/>
  <c r="X11" i="27"/>
  <c r="CD10" i="27"/>
  <c r="CE10" i="27"/>
  <c r="CF10" i="27"/>
  <c r="BX10" i="27"/>
  <c r="AA10" i="27"/>
  <c r="Z10" i="27"/>
  <c r="Y10" i="27"/>
  <c r="X10" i="27"/>
  <c r="CD9" i="27"/>
  <c r="CE9" i="27"/>
  <c r="CF9" i="27"/>
  <c r="BX9" i="27"/>
  <c r="AA9" i="27"/>
  <c r="AI9" i="27"/>
  <c r="Y9" i="27"/>
  <c r="Z9" i="27"/>
  <c r="X9" i="27"/>
  <c r="BX8" i="27"/>
  <c r="CD8" i="27"/>
  <c r="CE8" i="27"/>
  <c r="CF8" i="27"/>
  <c r="AA8" i="27"/>
  <c r="AL8" i="27"/>
  <c r="Y8" i="27"/>
  <c r="Z8" i="27"/>
  <c r="AB8" i="27"/>
  <c r="AC8" i="27"/>
  <c r="X8" i="27"/>
  <c r="CD7" i="27"/>
  <c r="CE7" i="27"/>
  <c r="CF7" i="27"/>
  <c r="BX7" i="27"/>
  <c r="AA7" i="27"/>
  <c r="AI7" i="27"/>
  <c r="Y7" i="27"/>
  <c r="Z7" i="27"/>
  <c r="X7" i="27"/>
  <c r="BX6" i="27"/>
  <c r="CD6" i="27"/>
  <c r="CE6" i="27"/>
  <c r="CF6" i="27"/>
  <c r="AA6" i="27"/>
  <c r="AI6" i="27"/>
  <c r="Y6" i="27"/>
  <c r="Z6" i="27"/>
  <c r="X6" i="27"/>
  <c r="BX5" i="27"/>
  <c r="CD5" i="27"/>
  <c r="CE5" i="27"/>
  <c r="CF5" i="27"/>
  <c r="AA5" i="27"/>
  <c r="Z5" i="27"/>
  <c r="Y5" i="27"/>
  <c r="X5" i="27"/>
  <c r="BX4" i="27"/>
  <c r="CD4" i="27"/>
  <c r="CE4" i="27"/>
  <c r="CF4" i="27"/>
  <c r="AA4" i="27"/>
  <c r="AI4" i="27"/>
  <c r="Y4" i="27"/>
  <c r="Z4" i="27"/>
  <c r="AB4" i="27"/>
  <c r="AC4" i="27"/>
  <c r="X4" i="27"/>
  <c r="CF3" i="27"/>
  <c r="BX3" i="27"/>
  <c r="CD3" i="27"/>
  <c r="CE3" i="27"/>
  <c r="AA3" i="27"/>
  <c r="AI3" i="27"/>
  <c r="Y3" i="27"/>
  <c r="Z3" i="27"/>
  <c r="X3" i="27"/>
  <c r="BX2" i="27"/>
  <c r="CD2" i="27"/>
  <c r="CE2" i="27"/>
  <c r="CF2" i="27"/>
  <c r="AA2" i="27"/>
  <c r="AL2" i="27"/>
  <c r="Y2" i="27"/>
  <c r="Z2" i="27"/>
  <c r="AB2" i="27"/>
  <c r="AC2" i="27"/>
  <c r="AG2" i="27"/>
  <c r="X2" i="27"/>
  <c r="O154" i="5"/>
  <c r="W275" i="12"/>
  <c r="W274" i="12"/>
  <c r="W273" i="12"/>
  <c r="BY269" i="12"/>
  <c r="CE269" i="12"/>
  <c r="CF269" i="12"/>
  <c r="CG269" i="12"/>
  <c r="AA269" i="12"/>
  <c r="AI269" i="12"/>
  <c r="Y269" i="12"/>
  <c r="Z269" i="12"/>
  <c r="X269" i="12"/>
  <c r="BY268" i="12"/>
  <c r="CE268" i="12"/>
  <c r="CF268" i="12"/>
  <c r="CG268" i="12"/>
  <c r="AA268" i="12"/>
  <c r="AI268" i="12"/>
  <c r="Y268" i="12"/>
  <c r="Z268" i="12"/>
  <c r="X268" i="12"/>
  <c r="BY267" i="12"/>
  <c r="CE267" i="12"/>
  <c r="CF267" i="12"/>
  <c r="CG267" i="12"/>
  <c r="AA267" i="12"/>
  <c r="AL267" i="12"/>
  <c r="Y267" i="12"/>
  <c r="Z267" i="12"/>
  <c r="X267" i="12"/>
  <c r="BY266" i="12"/>
  <c r="CE266" i="12"/>
  <c r="CF266" i="12"/>
  <c r="CG266" i="12"/>
  <c r="AA266" i="12"/>
  <c r="Y266" i="12"/>
  <c r="Z266" i="12"/>
  <c r="X266" i="12"/>
  <c r="BY265" i="12"/>
  <c r="CE265" i="12"/>
  <c r="CF265" i="12"/>
  <c r="CG265" i="12"/>
  <c r="AA265" i="12"/>
  <c r="AI265" i="12"/>
  <c r="Y265" i="12"/>
  <c r="Z265" i="12"/>
  <c r="X265" i="12"/>
  <c r="BY264" i="12"/>
  <c r="CE264" i="12"/>
  <c r="CF264" i="12"/>
  <c r="CG264" i="12"/>
  <c r="AA264" i="12"/>
  <c r="Y264" i="12"/>
  <c r="Z264" i="12"/>
  <c r="X264" i="12"/>
  <c r="BY263" i="12"/>
  <c r="CE263" i="12"/>
  <c r="CF263" i="12"/>
  <c r="CG263" i="12"/>
  <c r="AA263" i="12"/>
  <c r="AL263" i="12"/>
  <c r="Y263" i="12"/>
  <c r="Z263" i="12"/>
  <c r="X263" i="12"/>
  <c r="BY262" i="12"/>
  <c r="CE262" i="12"/>
  <c r="CF262" i="12"/>
  <c r="CG262" i="12"/>
  <c r="AA262" i="12"/>
  <c r="Y262" i="12"/>
  <c r="Z262" i="12"/>
  <c r="X262" i="12"/>
  <c r="BY261" i="12"/>
  <c r="CE261" i="12"/>
  <c r="CF261" i="12"/>
  <c r="CG261" i="12"/>
  <c r="AA261" i="12"/>
  <c r="AI261" i="12"/>
  <c r="Y261" i="12"/>
  <c r="Z261" i="12"/>
  <c r="X261" i="12"/>
  <c r="BY260" i="12"/>
  <c r="CE260" i="12"/>
  <c r="CF260" i="12"/>
  <c r="CG260" i="12"/>
  <c r="AA260" i="12"/>
  <c r="AI260" i="12"/>
  <c r="Y260" i="12"/>
  <c r="Z260" i="12"/>
  <c r="X260" i="12"/>
  <c r="BY259" i="12"/>
  <c r="CE259" i="12"/>
  <c r="CF259" i="12"/>
  <c r="CG259" i="12"/>
  <c r="AA259" i="12"/>
  <c r="AL259" i="12"/>
  <c r="Y259" i="12"/>
  <c r="Z259" i="12"/>
  <c r="X259" i="12"/>
  <c r="BY258" i="12"/>
  <c r="CE258" i="12"/>
  <c r="CF258" i="12"/>
  <c r="CG258" i="12"/>
  <c r="AA258" i="12"/>
  <c r="AI258" i="12"/>
  <c r="Y258" i="12"/>
  <c r="Z258" i="12"/>
  <c r="X258" i="12"/>
  <c r="BY257" i="12"/>
  <c r="CE257" i="12"/>
  <c r="CF257" i="12"/>
  <c r="CG257" i="12"/>
  <c r="AA257" i="12"/>
  <c r="Y257" i="12"/>
  <c r="Z257" i="12"/>
  <c r="X257" i="12"/>
  <c r="BY256" i="12"/>
  <c r="CE256" i="12"/>
  <c r="CF256" i="12"/>
  <c r="CG256" i="12"/>
  <c r="AA256" i="12"/>
  <c r="AI256" i="12"/>
  <c r="Y256" i="12"/>
  <c r="Z256" i="12"/>
  <c r="AB256" i="12"/>
  <c r="AC256" i="12"/>
  <c r="AF256" i="12"/>
  <c r="X256" i="12"/>
  <c r="BY255" i="12"/>
  <c r="CE255" i="12"/>
  <c r="CF255" i="12"/>
  <c r="CG255" i="12"/>
  <c r="AA255" i="12"/>
  <c r="Y255" i="12"/>
  <c r="Z255" i="12"/>
  <c r="X255" i="12"/>
  <c r="BY254" i="12"/>
  <c r="CE254" i="12"/>
  <c r="CF254" i="12"/>
  <c r="CG254" i="12"/>
  <c r="AA254" i="12"/>
  <c r="AI254" i="12"/>
  <c r="Y254" i="12"/>
  <c r="Z254" i="12"/>
  <c r="X254" i="12"/>
  <c r="BY253" i="12"/>
  <c r="CE253" i="12"/>
  <c r="CF253" i="12"/>
  <c r="CG253" i="12"/>
  <c r="AA253" i="12"/>
  <c r="Y253" i="12"/>
  <c r="Z253" i="12"/>
  <c r="X253" i="12"/>
  <c r="BY252" i="12"/>
  <c r="CE252" i="12"/>
  <c r="CF252" i="12"/>
  <c r="CG252" i="12"/>
  <c r="AA252" i="12"/>
  <c r="Y252" i="12"/>
  <c r="Z252" i="12"/>
  <c r="X252" i="12"/>
  <c r="BY251" i="12"/>
  <c r="CE251" i="12"/>
  <c r="CF251" i="12"/>
  <c r="CG251" i="12"/>
  <c r="AA251" i="12"/>
  <c r="Y251" i="12"/>
  <c r="Z251" i="12"/>
  <c r="X251" i="12"/>
  <c r="BY250" i="12"/>
  <c r="CE250" i="12"/>
  <c r="CF250" i="12"/>
  <c r="CG250" i="12"/>
  <c r="AA250" i="12"/>
  <c r="Y250" i="12"/>
  <c r="Z250" i="12"/>
  <c r="X250" i="12"/>
  <c r="BY249" i="12"/>
  <c r="CE249" i="12"/>
  <c r="CF249" i="12"/>
  <c r="CG249" i="12"/>
  <c r="AA249" i="12"/>
  <c r="Y249" i="12"/>
  <c r="Z249" i="12"/>
  <c r="X249" i="12"/>
  <c r="BY248" i="12"/>
  <c r="CE248" i="12"/>
  <c r="CF248" i="12"/>
  <c r="CG248" i="12"/>
  <c r="AA248" i="12"/>
  <c r="Y248" i="12"/>
  <c r="X248" i="12"/>
  <c r="Z248" i="12"/>
  <c r="BY247" i="12"/>
  <c r="CE247" i="12"/>
  <c r="CF247" i="12"/>
  <c r="CG247" i="12"/>
  <c r="AA247" i="12"/>
  <c r="Y247" i="12"/>
  <c r="X247" i="12"/>
  <c r="Z247" i="12"/>
  <c r="BY246" i="12"/>
  <c r="CE246" i="12"/>
  <c r="CF246" i="12"/>
  <c r="CG246" i="12"/>
  <c r="AA246" i="12"/>
  <c r="Y246" i="12"/>
  <c r="X246" i="12"/>
  <c r="Z246" i="12"/>
  <c r="BY245" i="12"/>
  <c r="CE245" i="12"/>
  <c r="CF245" i="12"/>
  <c r="CG245" i="12"/>
  <c r="AA245" i="12"/>
  <c r="AI245" i="12"/>
  <c r="Y245" i="12"/>
  <c r="X245" i="12"/>
  <c r="Z245" i="12"/>
  <c r="BY244" i="12"/>
  <c r="CE244" i="12"/>
  <c r="CF244" i="12"/>
  <c r="CG244" i="12"/>
  <c r="AA244" i="12"/>
  <c r="Y244" i="12"/>
  <c r="X244" i="12"/>
  <c r="Z244" i="12"/>
  <c r="BY243" i="12"/>
  <c r="CE243" i="12"/>
  <c r="CF243" i="12"/>
  <c r="CG243" i="12"/>
  <c r="AA243" i="12"/>
  <c r="AL243" i="12"/>
  <c r="Y243" i="12"/>
  <c r="X243" i="12"/>
  <c r="Z243" i="12"/>
  <c r="BY242" i="12"/>
  <c r="CE242" i="12"/>
  <c r="CF242" i="12"/>
  <c r="CG242" i="12"/>
  <c r="AA242" i="12"/>
  <c r="AL242" i="12"/>
  <c r="Y242" i="12"/>
  <c r="X242" i="12"/>
  <c r="Z242" i="12"/>
  <c r="BY241" i="12"/>
  <c r="CE241" i="12"/>
  <c r="CF241" i="12"/>
  <c r="CG241" i="12"/>
  <c r="AA241" i="12"/>
  <c r="Y241" i="12"/>
  <c r="X241" i="12"/>
  <c r="Z241" i="12"/>
  <c r="BY240" i="12"/>
  <c r="CE240" i="12"/>
  <c r="CF240" i="12"/>
  <c r="CG240" i="12"/>
  <c r="AA240" i="12"/>
  <c r="AI240" i="12"/>
  <c r="Y240" i="12"/>
  <c r="X240" i="12"/>
  <c r="Z240" i="12"/>
  <c r="AB240" i="12"/>
  <c r="AC240" i="12"/>
  <c r="BY239" i="12"/>
  <c r="CE239" i="12"/>
  <c r="CF239" i="12"/>
  <c r="CG239" i="12"/>
  <c r="AA239" i="12"/>
  <c r="AL239" i="12"/>
  <c r="Y239" i="12"/>
  <c r="X239" i="12"/>
  <c r="Z239" i="12"/>
  <c r="BY238" i="12"/>
  <c r="CE238" i="12"/>
  <c r="CF238" i="12"/>
  <c r="CG238" i="12"/>
  <c r="AA238" i="12"/>
  <c r="AL238" i="12"/>
  <c r="Y238" i="12"/>
  <c r="X238" i="12"/>
  <c r="Z238" i="12"/>
  <c r="BY237" i="12"/>
  <c r="CE237" i="12"/>
  <c r="CF237" i="12"/>
  <c r="CG237" i="12"/>
  <c r="AA237" i="12"/>
  <c r="AI237" i="12"/>
  <c r="Y237" i="12"/>
  <c r="X237" i="12"/>
  <c r="Z237" i="12"/>
  <c r="BY236" i="12"/>
  <c r="CE236" i="12"/>
  <c r="CF236" i="12"/>
  <c r="CG236" i="12"/>
  <c r="AA236" i="12"/>
  <c r="AI236" i="12"/>
  <c r="Y236" i="12"/>
  <c r="X236" i="12"/>
  <c r="Z236" i="12"/>
  <c r="AB236" i="12"/>
  <c r="AC236" i="12"/>
  <c r="BY235" i="12"/>
  <c r="CE235" i="12"/>
  <c r="CF235" i="12"/>
  <c r="CG235" i="12"/>
  <c r="AA235" i="12"/>
  <c r="AI235" i="12"/>
  <c r="Y235" i="12"/>
  <c r="X235" i="12"/>
  <c r="Z235" i="12"/>
  <c r="BY234" i="12"/>
  <c r="CE234" i="12"/>
  <c r="CF234" i="12"/>
  <c r="CG234" i="12"/>
  <c r="AA234" i="12"/>
  <c r="AL234" i="12"/>
  <c r="Y234" i="12"/>
  <c r="X234" i="12"/>
  <c r="Z234" i="12"/>
  <c r="BY233" i="12"/>
  <c r="CE233" i="12"/>
  <c r="CF233" i="12"/>
  <c r="CG233" i="12"/>
  <c r="AA233" i="12"/>
  <c r="AL233" i="12"/>
  <c r="Y233" i="12"/>
  <c r="X233" i="12"/>
  <c r="Z233" i="12"/>
  <c r="BY232" i="12"/>
  <c r="CE232" i="12"/>
  <c r="CF232" i="12"/>
  <c r="CG232" i="12"/>
  <c r="AA232" i="12"/>
  <c r="AL232" i="12"/>
  <c r="Y232" i="12"/>
  <c r="X232" i="12"/>
  <c r="Z232" i="12"/>
  <c r="BY231" i="12"/>
  <c r="CE231" i="12"/>
  <c r="CF231" i="12"/>
  <c r="CG231" i="12"/>
  <c r="AA231" i="12"/>
  <c r="AI231" i="12"/>
  <c r="Y231" i="12"/>
  <c r="X231" i="12"/>
  <c r="Z231" i="12"/>
  <c r="BY230" i="12"/>
  <c r="CE230" i="12"/>
  <c r="CF230" i="12"/>
  <c r="CG230" i="12"/>
  <c r="AA230" i="12"/>
  <c r="AL230" i="12"/>
  <c r="Y230" i="12"/>
  <c r="X230" i="12"/>
  <c r="Z230" i="12"/>
  <c r="BY229" i="12"/>
  <c r="CE229" i="12"/>
  <c r="CF229" i="12"/>
  <c r="CG229" i="12"/>
  <c r="AA229" i="12"/>
  <c r="AL229" i="12"/>
  <c r="Y229" i="12"/>
  <c r="X229" i="12"/>
  <c r="Z229" i="12"/>
  <c r="BY228" i="12"/>
  <c r="CE228" i="12"/>
  <c r="CF228" i="12"/>
  <c r="CG228" i="12"/>
  <c r="AA228" i="12"/>
  <c r="AL228" i="12"/>
  <c r="Y228" i="12"/>
  <c r="X228" i="12"/>
  <c r="Z228" i="12"/>
  <c r="BY227" i="12"/>
  <c r="CE227" i="12"/>
  <c r="CF227" i="12"/>
  <c r="CG227" i="12"/>
  <c r="AA227" i="12"/>
  <c r="Y227" i="12"/>
  <c r="X227" i="12"/>
  <c r="Z227" i="12"/>
  <c r="BY226" i="12"/>
  <c r="CE226" i="12"/>
  <c r="CF226" i="12"/>
  <c r="CG226" i="12"/>
  <c r="AA226" i="12"/>
  <c r="AL226" i="12"/>
  <c r="Y226" i="12"/>
  <c r="X226" i="12"/>
  <c r="Z226" i="12"/>
  <c r="BY225" i="12"/>
  <c r="CE225" i="12"/>
  <c r="CF225" i="12"/>
  <c r="CG225" i="12"/>
  <c r="AA225" i="12"/>
  <c r="AL225" i="12"/>
  <c r="Y225" i="12"/>
  <c r="X225" i="12"/>
  <c r="Z225" i="12"/>
  <c r="BY224" i="12"/>
  <c r="CE224" i="12"/>
  <c r="CF224" i="12"/>
  <c r="CG224" i="12"/>
  <c r="AA224" i="12"/>
  <c r="AI224" i="12"/>
  <c r="Y224" i="12"/>
  <c r="X224" i="12"/>
  <c r="Z224" i="12"/>
  <c r="BY223" i="12"/>
  <c r="CE223" i="12"/>
  <c r="CF223" i="12"/>
  <c r="CG223" i="12"/>
  <c r="AA223" i="12"/>
  <c r="AL223" i="12"/>
  <c r="Y223" i="12"/>
  <c r="X223" i="12"/>
  <c r="Z223" i="12"/>
  <c r="BY222" i="12"/>
  <c r="CE222" i="12"/>
  <c r="CF222" i="12"/>
  <c r="CG222" i="12"/>
  <c r="AA222" i="12"/>
  <c r="AL222" i="12"/>
  <c r="Y222" i="12"/>
  <c r="X222" i="12"/>
  <c r="Z222" i="12"/>
  <c r="BY221" i="12"/>
  <c r="CE221" i="12"/>
  <c r="CF221" i="12"/>
  <c r="CG221" i="12"/>
  <c r="AA221" i="12"/>
  <c r="Y221" i="12"/>
  <c r="X221" i="12"/>
  <c r="Z221" i="12"/>
  <c r="BY220" i="12"/>
  <c r="CE220" i="12"/>
  <c r="CF220" i="12"/>
  <c r="CG220" i="12"/>
  <c r="AA220" i="12"/>
  <c r="AL220" i="12"/>
  <c r="Y220" i="12"/>
  <c r="X220" i="12"/>
  <c r="Z220" i="12"/>
  <c r="BY219" i="12"/>
  <c r="CE219" i="12"/>
  <c r="CF219" i="12"/>
  <c r="CG219" i="12"/>
  <c r="AA219" i="12"/>
  <c r="Y219" i="12"/>
  <c r="X219" i="12"/>
  <c r="Z219" i="12"/>
  <c r="BY218" i="12"/>
  <c r="CE218" i="12"/>
  <c r="CF218" i="12"/>
  <c r="CG218" i="12"/>
  <c r="AA218" i="12"/>
  <c r="AL218" i="12"/>
  <c r="Y218" i="12"/>
  <c r="X218" i="12"/>
  <c r="Z218" i="12"/>
  <c r="AB218" i="12"/>
  <c r="AC218" i="12"/>
  <c r="BY217" i="12"/>
  <c r="CE217" i="12"/>
  <c r="CF217" i="12"/>
  <c r="CG217" i="12"/>
  <c r="AA217" i="12"/>
  <c r="AL217" i="12"/>
  <c r="Y217" i="12"/>
  <c r="X217" i="12"/>
  <c r="Z217" i="12"/>
  <c r="BY216" i="12"/>
  <c r="CE216" i="12"/>
  <c r="CF216" i="12"/>
  <c r="CG216" i="12"/>
  <c r="AA216" i="12"/>
  <c r="AL216" i="12"/>
  <c r="Y216" i="12"/>
  <c r="X216" i="12"/>
  <c r="Z216" i="12"/>
  <c r="AB216" i="12"/>
  <c r="AC216" i="12"/>
  <c r="BY215" i="12"/>
  <c r="CE215" i="12"/>
  <c r="CF215" i="12"/>
  <c r="CG215" i="12"/>
  <c r="AA215" i="12"/>
  <c r="AI215" i="12"/>
  <c r="Y215" i="12"/>
  <c r="X215" i="12"/>
  <c r="Z215" i="12"/>
  <c r="BY214" i="12"/>
  <c r="CE214" i="12"/>
  <c r="CF214" i="12"/>
  <c r="CG214" i="12"/>
  <c r="AA214" i="12"/>
  <c r="AL214" i="12"/>
  <c r="Y214" i="12"/>
  <c r="X214" i="12"/>
  <c r="Z214" i="12"/>
  <c r="BY213" i="12"/>
  <c r="CE213" i="12"/>
  <c r="CF213" i="12"/>
  <c r="CG213" i="12"/>
  <c r="AA213" i="12"/>
  <c r="AL213" i="12"/>
  <c r="Y213" i="12"/>
  <c r="X213" i="12"/>
  <c r="Z213" i="12"/>
  <c r="AB213" i="12"/>
  <c r="AC213" i="12"/>
  <c r="BY212" i="12"/>
  <c r="CE212" i="12"/>
  <c r="CF212" i="12"/>
  <c r="CG212" i="12"/>
  <c r="AA212" i="12"/>
  <c r="AL212" i="12"/>
  <c r="Y212" i="12"/>
  <c r="X212" i="12"/>
  <c r="Z212" i="12"/>
  <c r="BY211" i="12"/>
  <c r="CE211" i="12"/>
  <c r="CF211" i="12"/>
  <c r="CG211" i="12"/>
  <c r="AA211" i="12"/>
  <c r="AL211" i="12"/>
  <c r="Y211" i="12"/>
  <c r="X211" i="12"/>
  <c r="Z211" i="12"/>
  <c r="AB211" i="12"/>
  <c r="AC211" i="12"/>
  <c r="BY210" i="12"/>
  <c r="CE210" i="12"/>
  <c r="CF210" i="12"/>
  <c r="CG210" i="12"/>
  <c r="AA210" i="12"/>
  <c r="AI210" i="12"/>
  <c r="Y210" i="12"/>
  <c r="X210" i="12"/>
  <c r="Z210" i="12"/>
  <c r="T16" i="28"/>
  <c r="T27" i="28" s="1"/>
  <c r="Y49" i="28"/>
  <c r="X49" i="28"/>
  <c r="Y48" i="28"/>
  <c r="X48" i="28"/>
  <c r="Y47" i="28"/>
  <c r="X47" i="28"/>
  <c r="AB19" i="27"/>
  <c r="AC19" i="27"/>
  <c r="AI34" i="27"/>
  <c r="AB118" i="27"/>
  <c r="AC118" i="27"/>
  <c r="AG118" i="27"/>
  <c r="AB144" i="27"/>
  <c r="AC144" i="27"/>
  <c r="AG144" i="27"/>
  <c r="AB166" i="27"/>
  <c r="AC166" i="27"/>
  <c r="AD166" i="27"/>
  <c r="AB184" i="27"/>
  <c r="AC184" i="27"/>
  <c r="AB186" i="27"/>
  <c r="AC186" i="27"/>
  <c r="AB295" i="27"/>
  <c r="AC295" i="27"/>
  <c r="AB297" i="27"/>
  <c r="AC297" i="27"/>
  <c r="AB21" i="27"/>
  <c r="AC21" i="27"/>
  <c r="AB23" i="27"/>
  <c r="AC23" i="27"/>
  <c r="AF23" i="27"/>
  <c r="AB51" i="27"/>
  <c r="AC51" i="27"/>
  <c r="AG51" i="27"/>
  <c r="AB53" i="27"/>
  <c r="AC53" i="27"/>
  <c r="AB69" i="27"/>
  <c r="AC69" i="27"/>
  <c r="AB114" i="27"/>
  <c r="AC114" i="27"/>
  <c r="AG114" i="27"/>
  <c r="AI118" i="27"/>
  <c r="AI142" i="27"/>
  <c r="AL150" i="27"/>
  <c r="AL184" i="27"/>
  <c r="AB206" i="27"/>
  <c r="AC206" i="27"/>
  <c r="AI241" i="27"/>
  <c r="AL275" i="27"/>
  <c r="AL308" i="27"/>
  <c r="AB250" i="12"/>
  <c r="AC250" i="12"/>
  <c r="AB265" i="12"/>
  <c r="AC265" i="12"/>
  <c r="AF265" i="12"/>
  <c r="AB47" i="27"/>
  <c r="AC47" i="27"/>
  <c r="AB67" i="27"/>
  <c r="AC67" i="27"/>
  <c r="AB111" i="27"/>
  <c r="AC111" i="27"/>
  <c r="AB167" i="27"/>
  <c r="AC167" i="27"/>
  <c r="AB181" i="27"/>
  <c r="AC181" i="27"/>
  <c r="AB256" i="27"/>
  <c r="AC256" i="27"/>
  <c r="AB262" i="27"/>
  <c r="AC262" i="27"/>
  <c r="AI107" i="27"/>
  <c r="AI111" i="27"/>
  <c r="AI169" i="27"/>
  <c r="AB255" i="27"/>
  <c r="AC255" i="27"/>
  <c r="AB285" i="27"/>
  <c r="AC285" i="27"/>
  <c r="AG285" i="27"/>
  <c r="AL322" i="27"/>
  <c r="AL31" i="27"/>
  <c r="AI8" i="27"/>
  <c r="AB66" i="27"/>
  <c r="AC66" i="27"/>
  <c r="AB85" i="27"/>
  <c r="AC85" i="27"/>
  <c r="AB98" i="27"/>
  <c r="AC98" i="27"/>
  <c r="AF98" i="27"/>
  <c r="AB102" i="27"/>
  <c r="AC102" i="27"/>
  <c r="AB141" i="27"/>
  <c r="AC141" i="27"/>
  <c r="AB148" i="27"/>
  <c r="AC148" i="27"/>
  <c r="AB224" i="27"/>
  <c r="AC224" i="27"/>
  <c r="AD224" i="27"/>
  <c r="AE224" i="27"/>
  <c r="AB250" i="27"/>
  <c r="AC250" i="27"/>
  <c r="AL236" i="12"/>
  <c r="AB24" i="27"/>
  <c r="AC24" i="27"/>
  <c r="AI102" i="27"/>
  <c r="AL12" i="27"/>
  <c r="AB222" i="12"/>
  <c r="AC222" i="12"/>
  <c r="AB241" i="27"/>
  <c r="AC241" i="27"/>
  <c r="AB270" i="27"/>
  <c r="AC270" i="27"/>
  <c r="AL6" i="27"/>
  <c r="AB14" i="27"/>
  <c r="AC14" i="27"/>
  <c r="AF14" i="27"/>
  <c r="AB27" i="27"/>
  <c r="AC27" i="27"/>
  <c r="AL53" i="27"/>
  <c r="AB128" i="27"/>
  <c r="AC128" i="27"/>
  <c r="AB139" i="27"/>
  <c r="AC139" i="27"/>
  <c r="AL169" i="27"/>
  <c r="AB187" i="27"/>
  <c r="AC187" i="27"/>
  <c r="AB236" i="27"/>
  <c r="AC236" i="27"/>
  <c r="AB249" i="27"/>
  <c r="AC249" i="27"/>
  <c r="AB303" i="27"/>
  <c r="AC303" i="27"/>
  <c r="AB249" i="12"/>
  <c r="AC249" i="12"/>
  <c r="AB25" i="27"/>
  <c r="AC25" i="27"/>
  <c r="AD25" i="27"/>
  <c r="AB87" i="27"/>
  <c r="AC87" i="27"/>
  <c r="AL27" i="27"/>
  <c r="AB106" i="27"/>
  <c r="AC106" i="27"/>
  <c r="AB168" i="27"/>
  <c r="AC168" i="27"/>
  <c r="AD168" i="27"/>
  <c r="AI210" i="27"/>
  <c r="AI242" i="27"/>
  <c r="AI244" i="27"/>
  <c r="AB252" i="27"/>
  <c r="AC252" i="27"/>
  <c r="AB230" i="12"/>
  <c r="AC230" i="12"/>
  <c r="AB257" i="12"/>
  <c r="AC257" i="12"/>
  <c r="AB267" i="12"/>
  <c r="AC267" i="12"/>
  <c r="AB3" i="27"/>
  <c r="AC3" i="27"/>
  <c r="AB5" i="27"/>
  <c r="AC5" i="27"/>
  <c r="AB7" i="27"/>
  <c r="AC7" i="27"/>
  <c r="AI20" i="27"/>
  <c r="AI46" i="27"/>
  <c r="AB79" i="27"/>
  <c r="AC79" i="27"/>
  <c r="AB84" i="27"/>
  <c r="AC84" i="27"/>
  <c r="AB108" i="27"/>
  <c r="AC108" i="27"/>
  <c r="AB117" i="27"/>
  <c r="AC117" i="27"/>
  <c r="AB120" i="27"/>
  <c r="AC120" i="27"/>
  <c r="AI122" i="27"/>
  <c r="AB156" i="27"/>
  <c r="AC156" i="27"/>
  <c r="AB159" i="27"/>
  <c r="AC159" i="27"/>
  <c r="AB161" i="27"/>
  <c r="AC161" i="27"/>
  <c r="AL177" i="27"/>
  <c r="AB191" i="27"/>
  <c r="AC191" i="27"/>
  <c r="AB204" i="27"/>
  <c r="AC204" i="27"/>
  <c r="AB239" i="27"/>
  <c r="AC239" i="27"/>
  <c r="AG239" i="27"/>
  <c r="AL244" i="27"/>
  <c r="AI251" i="27"/>
  <c r="AI252" i="27"/>
  <c r="AB254" i="27"/>
  <c r="AC254" i="27"/>
  <c r="AB271" i="27"/>
  <c r="AC271" i="27"/>
  <c r="AL321" i="27"/>
  <c r="AB323" i="27"/>
  <c r="AC323" i="27"/>
  <c r="AB15" i="27"/>
  <c r="AC15" i="27"/>
  <c r="AB29" i="27"/>
  <c r="AC29" i="27"/>
  <c r="AB129" i="27"/>
  <c r="AC129" i="27"/>
  <c r="AL141" i="27"/>
  <c r="AB49" i="27"/>
  <c r="AC49" i="27"/>
  <c r="AG49" i="27"/>
  <c r="AI79" i="27"/>
  <c r="AB81" i="27"/>
  <c r="AC81" i="27"/>
  <c r="AD81" i="27"/>
  <c r="AB86" i="27"/>
  <c r="AC86" i="27"/>
  <c r="AB110" i="27"/>
  <c r="AC110" i="27"/>
  <c r="AG110" i="27"/>
  <c r="AI120" i="27"/>
  <c r="AB135" i="27"/>
  <c r="AC135" i="27"/>
  <c r="AB140" i="27"/>
  <c r="AC140" i="27"/>
  <c r="AB146" i="27"/>
  <c r="AC146" i="27"/>
  <c r="AB174" i="27"/>
  <c r="AC174" i="27"/>
  <c r="AI226" i="27"/>
  <c r="AI236" i="27"/>
  <c r="AI307" i="27"/>
  <c r="AI312" i="27"/>
  <c r="AL17" i="27"/>
  <c r="AI86" i="27"/>
  <c r="AI110" i="27"/>
  <c r="AL153" i="27"/>
  <c r="AI167" i="27"/>
  <c r="AL248" i="27"/>
  <c r="AI326" i="27"/>
  <c r="AI24" i="27"/>
  <c r="AI49" i="27"/>
  <c r="AI64" i="27"/>
  <c r="AI135" i="27"/>
  <c r="AI140" i="27"/>
  <c r="AI146" i="27"/>
  <c r="AI247" i="27"/>
  <c r="AI268" i="27"/>
  <c r="AI320" i="27"/>
  <c r="AB322" i="27"/>
  <c r="AC322" i="27"/>
  <c r="AG322" i="27"/>
  <c r="AB324" i="27"/>
  <c r="AC324" i="27"/>
  <c r="AL35" i="27"/>
  <c r="AL47" i="27"/>
  <c r="AL51" i="27"/>
  <c r="AB123" i="27"/>
  <c r="AC123" i="27"/>
  <c r="AG123" i="27"/>
  <c r="AB152" i="27"/>
  <c r="AC152" i="27"/>
  <c r="AI221" i="27"/>
  <c r="AB328" i="27"/>
  <c r="AC328" i="27"/>
  <c r="AD328" i="27"/>
  <c r="AL74" i="27"/>
  <c r="AB164" i="27"/>
  <c r="AC164" i="27"/>
  <c r="AB210" i="27"/>
  <c r="AC210" i="27"/>
  <c r="AF210" i="27"/>
  <c r="AB242" i="27"/>
  <c r="AC242" i="27"/>
  <c r="AG242" i="27"/>
  <c r="AB283" i="27"/>
  <c r="AC283" i="27"/>
  <c r="AI299" i="27"/>
  <c r="AB308" i="27"/>
  <c r="AC308" i="27"/>
  <c r="AB311" i="27"/>
  <c r="AC311" i="27"/>
  <c r="AB313" i="27"/>
  <c r="AC313" i="27"/>
  <c r="AB319" i="27"/>
  <c r="AC319" i="27"/>
  <c r="AG128" i="12"/>
  <c r="AF128" i="12"/>
  <c r="AD128" i="12"/>
  <c r="AB220" i="12"/>
  <c r="AC220" i="12"/>
  <c r="AB242" i="12"/>
  <c r="AC242" i="12"/>
  <c r="AI128" i="12"/>
  <c r="AB233" i="12"/>
  <c r="AC233" i="12"/>
  <c r="AD233" i="12"/>
  <c r="AE233" i="12"/>
  <c r="AB245" i="12"/>
  <c r="AC245" i="12"/>
  <c r="AB262" i="12"/>
  <c r="AC262" i="12"/>
  <c r="AB214" i="12"/>
  <c r="AC214" i="12"/>
  <c r="AL245" i="12"/>
  <c r="AB224" i="12"/>
  <c r="AC224" i="12"/>
  <c r="AF224" i="12"/>
  <c r="AB229" i="12"/>
  <c r="AC229" i="12"/>
  <c r="AB234" i="12"/>
  <c r="AC234" i="12"/>
  <c r="AB253" i="12"/>
  <c r="AC253" i="12"/>
  <c r="AB268" i="12"/>
  <c r="AC268" i="12"/>
  <c r="AL258" i="12"/>
  <c r="AB246" i="12"/>
  <c r="AC246" i="12"/>
  <c r="AG246" i="12"/>
  <c r="AB269" i="12"/>
  <c r="AC269" i="12"/>
  <c r="AD269" i="12"/>
  <c r="AB244" i="12"/>
  <c r="AC244" i="12"/>
  <c r="AF244" i="12"/>
  <c r="AL210" i="12"/>
  <c r="AB227" i="12"/>
  <c r="AC227" i="12"/>
  <c r="AD227" i="12"/>
  <c r="AE227" i="12"/>
  <c r="AI227" i="12"/>
  <c r="AL254" i="12"/>
  <c r="AL261" i="12"/>
  <c r="AL240" i="12"/>
  <c r="AL227" i="12"/>
  <c r="AL235" i="12"/>
  <c r="AL265" i="12"/>
  <c r="AB248" i="12"/>
  <c r="AC248" i="12"/>
  <c r="AF248" i="12"/>
  <c r="AF181" i="27"/>
  <c r="AD181" i="27"/>
  <c r="AE181" i="27"/>
  <c r="AF244" i="27"/>
  <c r="AG244" i="27"/>
  <c r="AD125" i="27"/>
  <c r="AE125" i="27"/>
  <c r="AF125" i="27"/>
  <c r="AD269" i="27"/>
  <c r="AE269" i="27"/>
  <c r="AF269" i="27"/>
  <c r="AG300" i="27"/>
  <c r="AF300" i="27"/>
  <c r="AF53" i="27"/>
  <c r="AD53" i="27"/>
  <c r="AE53" i="27"/>
  <c r="AD227" i="27"/>
  <c r="AG227" i="27"/>
  <c r="AF227" i="27"/>
  <c r="AG63" i="27"/>
  <c r="AF63" i="27"/>
  <c r="AD63" i="27"/>
  <c r="AE63" i="27"/>
  <c r="AT63" i="27"/>
  <c r="AU63" i="27"/>
  <c r="AW63" i="27"/>
  <c r="BM63" i="27"/>
  <c r="AG14" i="27"/>
  <c r="AD14" i="27"/>
  <c r="AE14" i="27"/>
  <c r="AI213" i="12"/>
  <c r="AB219" i="12"/>
  <c r="AC219" i="12"/>
  <c r="AG219" i="12"/>
  <c r="AB231" i="12"/>
  <c r="AC231" i="12"/>
  <c r="AF231" i="12"/>
  <c r="AB263" i="12"/>
  <c r="AC263" i="12"/>
  <c r="AG263" i="12"/>
  <c r="AL4" i="27"/>
  <c r="AL7" i="27"/>
  <c r="AB9" i="27"/>
  <c r="AC9" i="27"/>
  <c r="AF9" i="27"/>
  <c r="AI14" i="27"/>
  <c r="AI17" i="27"/>
  <c r="AL21" i="27"/>
  <c r="AL25" i="27"/>
  <c r="AB30" i="27"/>
  <c r="AC30" i="27"/>
  <c r="AF30" i="27"/>
  <c r="AB37" i="27"/>
  <c r="AC37" i="27"/>
  <c r="AB40" i="27"/>
  <c r="AC40" i="27"/>
  <c r="AG40" i="27"/>
  <c r="AB75" i="27"/>
  <c r="AC75" i="27"/>
  <c r="AF75" i="27"/>
  <c r="AB77" i="27"/>
  <c r="AC77" i="27"/>
  <c r="AB101" i="27"/>
  <c r="AC101" i="27"/>
  <c r="AF101" i="27"/>
  <c r="AB113" i="27"/>
  <c r="AC113" i="27"/>
  <c r="AG113" i="27"/>
  <c r="AB126" i="27"/>
  <c r="AC126" i="27"/>
  <c r="AB134" i="27"/>
  <c r="AC134" i="27"/>
  <c r="AB138" i="27"/>
  <c r="AC138" i="27"/>
  <c r="AD138" i="27"/>
  <c r="AE138" i="27"/>
  <c r="AL179" i="27"/>
  <c r="AB183" i="27"/>
  <c r="AC183" i="27"/>
  <c r="AB198" i="27"/>
  <c r="AC198" i="27"/>
  <c r="AD198" i="27"/>
  <c r="AB208" i="27"/>
  <c r="AC208" i="27"/>
  <c r="AB212" i="27"/>
  <c r="AC212" i="27"/>
  <c r="AG212" i="27"/>
  <c r="AL222" i="27"/>
  <c r="AB225" i="27"/>
  <c r="AC225" i="27"/>
  <c r="AG225" i="27"/>
  <c r="AB274" i="27"/>
  <c r="AC274" i="27"/>
  <c r="AF274" i="27"/>
  <c r="AB293" i="27"/>
  <c r="AC293" i="27"/>
  <c r="AG293" i="27"/>
  <c r="AL314" i="27"/>
  <c r="AL315" i="27"/>
  <c r="AG326" i="27"/>
  <c r="AB235" i="12"/>
  <c r="AC235" i="12"/>
  <c r="AB251" i="12"/>
  <c r="AC251" i="12"/>
  <c r="AB260" i="12"/>
  <c r="AC260" i="12"/>
  <c r="AB11" i="27"/>
  <c r="AC11" i="27"/>
  <c r="AG11" i="27"/>
  <c r="AB60" i="27"/>
  <c r="AC60" i="27"/>
  <c r="AF60" i="27"/>
  <c r="AB70" i="27"/>
  <c r="AC70" i="27"/>
  <c r="AD70" i="27"/>
  <c r="AB83" i="27"/>
  <c r="AC83" i="27"/>
  <c r="AF83" i="27"/>
  <c r="AI30" i="27"/>
  <c r="AB33" i="27"/>
  <c r="AC33" i="27"/>
  <c r="AI37" i="27"/>
  <c r="AI40" i="27"/>
  <c r="AB54" i="27"/>
  <c r="AC54" i="27"/>
  <c r="AF54" i="27"/>
  <c r="AI77" i="27"/>
  <c r="AB104" i="27"/>
  <c r="AC104" i="27"/>
  <c r="AI126" i="27"/>
  <c r="AB131" i="27"/>
  <c r="AC131" i="27"/>
  <c r="AF131" i="27"/>
  <c r="AI138" i="27"/>
  <c r="AB182" i="27"/>
  <c r="AC182" i="27"/>
  <c r="AG182" i="27"/>
  <c r="AI198" i="27"/>
  <c r="AI216" i="27"/>
  <c r="AB237" i="12"/>
  <c r="AC237" i="12"/>
  <c r="AD237" i="12"/>
  <c r="AE237" i="12"/>
  <c r="AG23" i="27"/>
  <c r="AI43" i="27"/>
  <c r="AI54" i="27"/>
  <c r="AB57" i="27"/>
  <c r="AC57" i="27"/>
  <c r="AG57" i="27"/>
  <c r="AB62" i="27"/>
  <c r="AC62" i="27"/>
  <c r="AB74" i="27"/>
  <c r="AC74" i="27"/>
  <c r="AF74" i="27"/>
  <c r="AB88" i="27"/>
  <c r="AC88" i="27"/>
  <c r="AI101" i="27"/>
  <c r="AB115" i="27"/>
  <c r="AC115" i="27"/>
  <c r="AF115" i="27"/>
  <c r="AF144" i="27"/>
  <c r="AB173" i="27"/>
  <c r="AC173" i="27"/>
  <c r="AI187" i="27"/>
  <c r="AL195" i="27"/>
  <c r="AI204" i="27"/>
  <c r="AB246" i="27"/>
  <c r="AC246" i="27"/>
  <c r="AD246" i="27"/>
  <c r="AE246" i="27"/>
  <c r="AI250" i="27"/>
  <c r="AB273" i="27"/>
  <c r="AC273" i="27"/>
  <c r="AI274" i="27"/>
  <c r="AB278" i="27"/>
  <c r="AC278" i="27"/>
  <c r="AB280" i="27"/>
  <c r="AC280" i="27"/>
  <c r="AI293" i="27"/>
  <c r="AI304" i="27"/>
  <c r="AB316" i="27"/>
  <c r="AC316" i="27"/>
  <c r="AI319" i="27"/>
  <c r="AI243" i="12"/>
  <c r="AB266" i="12"/>
  <c r="AC266" i="12"/>
  <c r="AI11" i="27"/>
  <c r="AI19" i="27"/>
  <c r="AI23" i="27"/>
  <c r="AB26" i="27"/>
  <c r="AC26" i="27"/>
  <c r="AI33" i="27"/>
  <c r="AB39" i="27"/>
  <c r="AC39" i="27"/>
  <c r="AF39" i="27"/>
  <c r="AI57" i="27"/>
  <c r="AB97" i="27"/>
  <c r="AC97" i="27"/>
  <c r="AF97" i="27"/>
  <c r="AB105" i="27"/>
  <c r="AC105" i="27"/>
  <c r="AD105" i="27"/>
  <c r="AE105" i="27"/>
  <c r="AF118" i="27"/>
  <c r="AB124" i="27"/>
  <c r="AC124" i="27"/>
  <c r="AB130" i="27"/>
  <c r="AC130" i="27"/>
  <c r="AG130" i="27"/>
  <c r="AB142" i="27"/>
  <c r="AC142" i="27"/>
  <c r="AI144" i="27"/>
  <c r="AB162" i="27"/>
  <c r="AC162" i="27"/>
  <c r="AD162" i="27"/>
  <c r="AB172" i="27"/>
  <c r="AC172" i="27"/>
  <c r="AI173" i="27"/>
  <c r="AG176" i="27"/>
  <c r="AB178" i="27"/>
  <c r="AC178" i="27"/>
  <c r="AD178" i="27"/>
  <c r="AE178" i="27"/>
  <c r="AB180" i="27"/>
  <c r="AC180" i="27"/>
  <c r="AD180" i="27"/>
  <c r="AI182" i="27"/>
  <c r="AI183" i="27"/>
  <c r="AB207" i="27"/>
  <c r="AC207" i="27"/>
  <c r="AI208" i="27"/>
  <c r="AI212" i="27"/>
  <c r="AB218" i="27"/>
  <c r="AC218" i="27"/>
  <c r="AF224" i="27"/>
  <c r="AI225" i="27"/>
  <c r="AI240" i="27"/>
  <c r="AI278" i="27"/>
  <c r="AB259" i="12"/>
  <c r="AC259" i="12"/>
  <c r="AB261" i="12"/>
  <c r="AC261" i="12"/>
  <c r="AB264" i="12"/>
  <c r="AC264" i="12"/>
  <c r="AB18" i="27"/>
  <c r="AC18" i="27"/>
  <c r="AD18" i="27"/>
  <c r="AI29" i="27"/>
  <c r="AB42" i="27"/>
  <c r="AC42" i="27"/>
  <c r="AF42" i="27"/>
  <c r="AB52" i="27"/>
  <c r="AC52" i="27"/>
  <c r="AE52" i="27"/>
  <c r="AB56" i="27"/>
  <c r="AC56" i="27"/>
  <c r="AD56" i="27"/>
  <c r="AE56" i="27"/>
  <c r="AB59" i="27"/>
  <c r="AC59" i="27"/>
  <c r="AG59" i="27"/>
  <c r="AI82" i="27"/>
  <c r="AI88" i="27"/>
  <c r="AB90" i="27"/>
  <c r="AC90" i="27"/>
  <c r="AD90" i="27"/>
  <c r="AB100" i="27"/>
  <c r="AC100" i="27"/>
  <c r="AT100" i="27"/>
  <c r="AU100" i="27"/>
  <c r="AW100" i="27"/>
  <c r="BM100" i="27"/>
  <c r="AB107" i="27"/>
  <c r="AC107" i="27"/>
  <c r="AF107" i="27"/>
  <c r="AI115" i="27"/>
  <c r="AB137" i="27"/>
  <c r="AC137" i="27"/>
  <c r="AI176" i="27"/>
  <c r="AD179" i="27"/>
  <c r="AG224" i="27"/>
  <c r="AI235" i="27"/>
  <c r="AI246" i="27"/>
  <c r="AI273" i="27"/>
  <c r="AI298" i="27"/>
  <c r="AI303" i="27"/>
  <c r="AB310" i="27"/>
  <c r="AC310" i="27"/>
  <c r="AI316" i="27"/>
  <c r="AF2" i="27"/>
  <c r="AD13" i="27"/>
  <c r="AE13" i="27"/>
  <c r="AD32" i="27"/>
  <c r="AE32" i="27"/>
  <c r="AI39" i="27"/>
  <c r="AI42" i="27"/>
  <c r="AD51" i="27"/>
  <c r="AE51" i="27"/>
  <c r="AI59" i="27"/>
  <c r="AI87" i="27"/>
  <c r="AI97" i="27"/>
  <c r="AI100" i="27"/>
  <c r="AI104" i="27"/>
  <c r="AI130" i="27"/>
  <c r="AI134" i="27"/>
  <c r="AB151" i="27"/>
  <c r="AC151" i="27"/>
  <c r="AG151" i="27"/>
  <c r="AI171" i="27"/>
  <c r="AI181" i="27"/>
  <c r="AI223" i="27"/>
  <c r="AI224" i="27"/>
  <c r="AL270" i="27"/>
  <c r="AI306" i="27"/>
  <c r="AI218" i="12"/>
  <c r="AL224" i="12"/>
  <c r="AI232" i="12"/>
  <c r="AL237" i="12"/>
  <c r="AI259" i="12"/>
  <c r="AI15" i="27"/>
  <c r="AL18" i="27"/>
  <c r="AI22" i="27"/>
  <c r="AB31" i="27"/>
  <c r="AC31" i="27"/>
  <c r="AD31" i="27"/>
  <c r="AI45" i="27"/>
  <c r="AI48" i="27"/>
  <c r="AI56" i="27"/>
  <c r="AB61" i="27"/>
  <c r="AC61" i="27"/>
  <c r="AF61" i="27"/>
  <c r="AB65" i="27"/>
  <c r="AC65" i="27"/>
  <c r="AG65" i="27"/>
  <c r="AB71" i="27"/>
  <c r="AC71" i="27"/>
  <c r="AI90" i="27"/>
  <c r="AF114" i="27"/>
  <c r="AI117" i="27"/>
  <c r="AI143" i="27"/>
  <c r="AB150" i="27"/>
  <c r="AC150" i="27"/>
  <c r="AF150" i="27"/>
  <c r="AI151" i="27"/>
  <c r="AB153" i="27"/>
  <c r="AC153" i="27"/>
  <c r="AG153" i="27"/>
  <c r="AI164" i="27"/>
  <c r="AL171" i="27"/>
  <c r="AI175" i="27"/>
  <c r="AI178" i="27"/>
  <c r="AF179" i="27"/>
  <c r="AI180" i="27"/>
  <c r="AB238" i="27"/>
  <c r="AC238" i="27"/>
  <c r="AI239" i="27"/>
  <c r="AI281" i="27"/>
  <c r="AI309" i="27"/>
  <c r="AB314" i="27"/>
  <c r="AC314" i="27"/>
  <c r="AD314" i="27"/>
  <c r="AB315" i="27"/>
  <c r="AC315" i="27"/>
  <c r="AI318" i="27"/>
  <c r="AD326" i="27"/>
  <c r="AI328" i="27"/>
  <c r="AI228" i="12"/>
  <c r="AI234" i="12"/>
  <c r="AI2" i="27"/>
  <c r="AB6" i="27"/>
  <c r="AC6" i="27"/>
  <c r="AI13" i="27"/>
  <c r="AI32" i="27"/>
  <c r="AI41" i="27"/>
  <c r="AF51" i="27"/>
  <c r="AI61" i="27"/>
  <c r="AI78" i="27"/>
  <c r="AB122" i="27"/>
  <c r="AC122" i="27"/>
  <c r="AF122" i="27"/>
  <c r="AF123" i="27"/>
  <c r="AB136" i="27"/>
  <c r="AC136" i="27"/>
  <c r="AG136" i="27"/>
  <c r="AB170" i="27"/>
  <c r="AC170" i="27"/>
  <c r="AI206" i="27"/>
  <c r="AI214" i="27"/>
  <c r="AI218" i="27"/>
  <c r="AB228" i="27"/>
  <c r="AC228" i="27"/>
  <c r="AD228" i="27"/>
  <c r="AE228" i="27"/>
  <c r="AI238" i="27"/>
  <c r="AL256" i="27"/>
  <c r="AB275" i="27"/>
  <c r="AC275" i="27"/>
  <c r="AD275" i="27"/>
  <c r="AB299" i="27"/>
  <c r="AC299" i="27"/>
  <c r="AB307" i="27"/>
  <c r="AC307" i="27"/>
  <c r="AI310" i="27"/>
  <c r="AL327" i="27"/>
  <c r="AB223" i="12"/>
  <c r="AC223" i="12"/>
  <c r="AG223" i="12"/>
  <c r="AB225" i="12"/>
  <c r="AC225" i="12"/>
  <c r="AF225" i="12"/>
  <c r="AB238" i="12"/>
  <c r="AC238" i="12"/>
  <c r="AD238" i="12"/>
  <c r="AB44" i="27"/>
  <c r="AC44" i="27"/>
  <c r="AF44" i="27"/>
  <c r="AB99" i="27"/>
  <c r="AC99" i="27"/>
  <c r="AT99" i="27"/>
  <c r="AU99" i="27"/>
  <c r="AW99" i="27"/>
  <c r="BM99" i="27"/>
  <c r="BP99" i="27"/>
  <c r="AI114" i="27"/>
  <c r="AI132" i="27"/>
  <c r="AB154" i="27"/>
  <c r="AC154" i="27"/>
  <c r="AB160" i="27"/>
  <c r="AC160" i="27"/>
  <c r="AG160" i="27"/>
  <c r="AB216" i="27"/>
  <c r="AC216" i="27"/>
  <c r="AB279" i="27"/>
  <c r="AC279" i="27"/>
  <c r="AD279" i="27"/>
  <c r="AE279" i="27"/>
  <c r="AI280" i="27"/>
  <c r="AB287" i="27"/>
  <c r="AC287" i="27"/>
  <c r="AG287" i="27"/>
  <c r="AB301" i="27"/>
  <c r="AC301" i="27"/>
  <c r="AB312" i="27"/>
  <c r="AC312" i="27"/>
  <c r="AB317" i="27"/>
  <c r="AC317" i="27"/>
  <c r="AG317" i="27"/>
  <c r="AB320" i="27"/>
  <c r="AC320" i="27"/>
  <c r="AB321" i="27"/>
  <c r="AC321" i="27"/>
  <c r="AD321" i="27"/>
  <c r="AE321" i="27"/>
  <c r="AG5" i="27"/>
  <c r="AF5" i="27"/>
  <c r="AD5" i="27"/>
  <c r="AG17" i="27"/>
  <c r="AF17" i="27"/>
  <c r="AD17" i="27"/>
  <c r="AE17" i="27"/>
  <c r="AG9" i="27"/>
  <c r="AG7" i="27"/>
  <c r="AF7" i="27"/>
  <c r="AD7" i="27"/>
  <c r="AE7" i="27"/>
  <c r="AI10" i="27"/>
  <c r="AL10" i="27"/>
  <c r="AG13" i="27"/>
  <c r="AD19" i="27"/>
  <c r="AF19" i="27"/>
  <c r="AG19" i="27"/>
  <c r="AG25" i="27"/>
  <c r="AF25" i="27"/>
  <c r="AE25" i="27"/>
  <c r="AF38" i="27"/>
  <c r="AG38" i="27"/>
  <c r="AD38" i="27"/>
  <c r="AE38" i="27"/>
  <c r="AF16" i="27"/>
  <c r="AG16" i="27"/>
  <c r="AD16" i="27"/>
  <c r="AE16" i="27"/>
  <c r="AG47" i="27"/>
  <c r="AF47" i="27"/>
  <c r="AD47" i="27"/>
  <c r="AD62" i="27"/>
  <c r="AF62" i="27"/>
  <c r="AG62" i="27"/>
  <c r="AG42" i="27"/>
  <c r="AG66" i="27"/>
  <c r="AF66" i="27"/>
  <c r="AD71" i="27"/>
  <c r="AE71" i="27"/>
  <c r="AF71" i="27"/>
  <c r="AG71" i="27"/>
  <c r="AD83" i="27"/>
  <c r="AD89" i="27"/>
  <c r="AE89" i="27"/>
  <c r="AF89" i="27"/>
  <c r="AG89" i="27"/>
  <c r="AF24" i="27"/>
  <c r="AD24" i="27"/>
  <c r="AE24" i="27"/>
  <c r="AG24" i="27"/>
  <c r="AG30" i="27"/>
  <c r="AG55" i="27"/>
  <c r="AD55" i="27"/>
  <c r="AE55" i="27"/>
  <c r="AG69" i="27"/>
  <c r="AF69" i="27"/>
  <c r="AD69" i="27"/>
  <c r="AG3" i="27"/>
  <c r="AF3" i="27"/>
  <c r="AD3" i="27"/>
  <c r="AE3" i="27"/>
  <c r="AD4" i="27"/>
  <c r="AE4" i="27"/>
  <c r="AG4" i="27"/>
  <c r="AF4" i="27"/>
  <c r="AF20" i="27"/>
  <c r="AD20" i="27"/>
  <c r="AF46" i="27"/>
  <c r="AD46" i="27"/>
  <c r="AE46" i="27"/>
  <c r="AG46" i="27"/>
  <c r="AD58" i="27"/>
  <c r="AE58" i="27"/>
  <c r="AF58" i="27"/>
  <c r="AG58" i="27"/>
  <c r="AG20" i="27"/>
  <c r="AD66" i="27"/>
  <c r="AG27" i="27"/>
  <c r="AD27" i="27"/>
  <c r="AE27" i="27"/>
  <c r="AF27" i="27"/>
  <c r="AI28" i="27"/>
  <c r="AL28" i="27"/>
  <c r="AB28" i="27"/>
  <c r="AC28" i="27"/>
  <c r="AI5" i="27"/>
  <c r="AL5" i="27"/>
  <c r="AF22" i="27"/>
  <c r="AD22" i="27"/>
  <c r="AE22" i="27"/>
  <c r="AG22" i="27"/>
  <c r="AG33" i="27"/>
  <c r="AF33" i="27"/>
  <c r="AD33" i="27"/>
  <c r="AF36" i="27"/>
  <c r="AG36" i="27"/>
  <c r="AD36" i="27"/>
  <c r="AE36" i="27"/>
  <c r="AF57" i="27"/>
  <c r="AG15" i="27"/>
  <c r="AD15" i="27"/>
  <c r="AE15" i="27"/>
  <c r="AF37" i="27"/>
  <c r="AD37" i="27"/>
  <c r="AE37" i="27"/>
  <c r="AF15" i="27"/>
  <c r="AD23" i="27"/>
  <c r="AE23" i="27"/>
  <c r="AF50" i="27"/>
  <c r="AG50" i="27"/>
  <c r="AD50" i="27"/>
  <c r="AE50" i="27"/>
  <c r="AD60" i="27"/>
  <c r="AE60" i="27"/>
  <c r="AD75" i="27"/>
  <c r="AE75" i="27"/>
  <c r="AG75" i="27"/>
  <c r="AF84" i="27"/>
  <c r="AG84" i="27"/>
  <c r="AD84" i="27"/>
  <c r="AE84" i="27"/>
  <c r="AG41" i="27"/>
  <c r="AF41" i="27"/>
  <c r="AD41" i="27"/>
  <c r="AD54" i="27"/>
  <c r="AE54" i="27"/>
  <c r="AG54" i="27"/>
  <c r="AD52" i="27"/>
  <c r="AF52" i="27"/>
  <c r="AG52" i="27"/>
  <c r="AD21" i="27"/>
  <c r="AE21" i="27"/>
  <c r="AG21" i="27"/>
  <c r="AF21" i="27"/>
  <c r="AF35" i="27"/>
  <c r="AG35" i="27"/>
  <c r="AD35" i="27"/>
  <c r="AE35" i="27"/>
  <c r="AG45" i="27"/>
  <c r="AF45" i="27"/>
  <c r="AD45" i="27"/>
  <c r="AB10" i="27"/>
  <c r="AC10" i="27"/>
  <c r="AD11" i="27"/>
  <c r="AF11" i="27"/>
  <c r="AF12" i="27"/>
  <c r="AD12" i="27"/>
  <c r="AE12" i="27"/>
  <c r="AG12" i="27"/>
  <c r="AF26" i="27"/>
  <c r="AF34" i="27"/>
  <c r="AG34" i="27"/>
  <c r="AD34" i="27"/>
  <c r="AG39" i="27"/>
  <c r="AD39" i="27"/>
  <c r="AE39" i="27"/>
  <c r="AE48" i="27"/>
  <c r="AF48" i="27"/>
  <c r="AG48" i="27"/>
  <c r="AI52" i="27"/>
  <c r="AI62" i="27"/>
  <c r="AL73" i="27"/>
  <c r="AI84" i="27"/>
  <c r="AL84" i="27"/>
  <c r="AL89" i="27"/>
  <c r="AI89" i="27"/>
  <c r="AL3" i="27"/>
  <c r="AG8" i="27"/>
  <c r="AI36" i="27"/>
  <c r="AL36" i="27"/>
  <c r="AL50" i="27"/>
  <c r="AI50" i="27"/>
  <c r="AG53" i="27"/>
  <c r="AT53" i="27"/>
  <c r="AU53" i="27"/>
  <c r="AW53" i="27"/>
  <c r="BM53" i="27"/>
  <c r="AL68" i="27"/>
  <c r="AI68" i="27"/>
  <c r="AF81" i="27"/>
  <c r="AG81" i="27"/>
  <c r="AD43" i="27"/>
  <c r="AE43" i="27"/>
  <c r="AL75" i="27"/>
  <c r="AI75" i="27"/>
  <c r="AL83" i="27"/>
  <c r="AI83" i="27"/>
  <c r="AD29" i="27"/>
  <c r="AE29" i="27"/>
  <c r="AT29" i="27"/>
  <c r="AU29" i="27"/>
  <c r="AW29" i="27"/>
  <c r="BM29" i="27"/>
  <c r="AF29" i="27"/>
  <c r="AF65" i="27"/>
  <c r="AD76" i="27"/>
  <c r="AE76" i="27"/>
  <c r="AG76" i="27"/>
  <c r="AF76" i="27"/>
  <c r="AG88" i="27"/>
  <c r="AF88" i="27"/>
  <c r="AD88" i="27"/>
  <c r="AF43" i="27"/>
  <c r="AL44" i="27"/>
  <c r="AI44" i="27"/>
  <c r="AG67" i="27"/>
  <c r="AI69" i="27"/>
  <c r="AL69" i="27"/>
  <c r="AB73" i="27"/>
  <c r="AC73" i="27"/>
  <c r="AG77" i="27"/>
  <c r="AF77" i="27"/>
  <c r="AD77" i="27"/>
  <c r="AE77" i="27"/>
  <c r="AT77" i="27"/>
  <c r="AU77" i="27"/>
  <c r="AW77" i="27"/>
  <c r="BM77" i="27"/>
  <c r="AD79" i="27"/>
  <c r="AE79" i="27"/>
  <c r="AF79" i="27"/>
  <c r="AF145" i="27"/>
  <c r="AD145" i="27"/>
  <c r="AE145" i="27"/>
  <c r="AG145" i="27"/>
  <c r="AL16" i="27"/>
  <c r="AI16" i="27"/>
  <c r="AG79" i="27"/>
  <c r="AD8" i="27"/>
  <c r="AE8" i="27"/>
  <c r="AI38" i="27"/>
  <c r="AL38" i="27"/>
  <c r="AI60" i="27"/>
  <c r="AG64" i="27"/>
  <c r="AD74" i="27"/>
  <c r="AD85" i="27"/>
  <c r="AE85" i="27"/>
  <c r="AG85" i="27"/>
  <c r="AF85" i="27"/>
  <c r="AD91" i="27"/>
  <c r="AE91" i="27"/>
  <c r="AG91" i="27"/>
  <c r="AL94" i="27"/>
  <c r="AB94" i="27"/>
  <c r="AC94" i="27"/>
  <c r="AI94" i="27"/>
  <c r="AL26" i="27"/>
  <c r="AI26" i="27"/>
  <c r="AG29" i="27"/>
  <c r="AD67" i="27"/>
  <c r="AL9" i="27"/>
  <c r="AD40" i="27"/>
  <c r="AE40" i="27"/>
  <c r="AL66" i="27"/>
  <c r="AI66" i="27"/>
  <c r="AF67" i="27"/>
  <c r="AG78" i="27"/>
  <c r="AF78" i="27"/>
  <c r="AD78" i="27"/>
  <c r="AE78" i="27"/>
  <c r="AL80" i="27"/>
  <c r="AI80" i="27"/>
  <c r="AI85" i="27"/>
  <c r="AL85" i="27"/>
  <c r="AF86" i="27"/>
  <c r="AG86" i="27"/>
  <c r="AD86" i="27"/>
  <c r="AE86" i="27"/>
  <c r="AG90" i="27"/>
  <c r="AL71" i="27"/>
  <c r="AI71" i="27"/>
  <c r="AD2" i="27"/>
  <c r="AE2" i="27"/>
  <c r="AF8" i="27"/>
  <c r="AF32" i="27"/>
  <c r="AT32" i="27"/>
  <c r="AU32" i="27"/>
  <c r="AW32" i="27"/>
  <c r="BM32" i="27"/>
  <c r="AD49" i="27"/>
  <c r="AF49" i="27"/>
  <c r="AI58" i="27"/>
  <c r="AD64" i="27"/>
  <c r="AB68" i="27"/>
  <c r="AC68" i="27"/>
  <c r="AE70" i="27"/>
  <c r="AB80" i="27"/>
  <c r="AC80" i="27"/>
  <c r="AD87" i="27"/>
  <c r="AE87" i="27"/>
  <c r="AG87" i="27"/>
  <c r="AF87" i="27"/>
  <c r="AF91" i="27"/>
  <c r="AF112" i="27"/>
  <c r="AD112" i="27"/>
  <c r="AG112" i="27"/>
  <c r="AG72" i="27"/>
  <c r="AD131" i="27"/>
  <c r="AE131" i="27"/>
  <c r="AG131" i="27"/>
  <c r="AG138" i="27"/>
  <c r="AF138" i="27"/>
  <c r="AD107" i="27"/>
  <c r="AE107" i="27"/>
  <c r="AE115" i="27"/>
  <c r="AD115" i="27"/>
  <c r="AD117" i="27"/>
  <c r="AE117" i="27"/>
  <c r="AF117" i="27"/>
  <c r="AG140" i="27"/>
  <c r="AD140" i="27"/>
  <c r="AE140" i="27"/>
  <c r="AF140" i="27"/>
  <c r="AG148" i="27"/>
  <c r="AF148" i="27"/>
  <c r="AG106" i="27"/>
  <c r="AF106" i="27"/>
  <c r="AD106" i="27"/>
  <c r="AE106" i="27"/>
  <c r="AG117" i="27"/>
  <c r="AI119" i="27"/>
  <c r="AL119" i="27"/>
  <c r="AD148" i="27"/>
  <c r="AD173" i="27"/>
  <c r="AE173" i="27"/>
  <c r="AF173" i="27"/>
  <c r="AG173" i="27"/>
  <c r="AD103" i="27"/>
  <c r="AE103" i="27"/>
  <c r="AF103" i="27"/>
  <c r="AG103" i="27"/>
  <c r="AF113" i="27"/>
  <c r="AD119" i="27"/>
  <c r="AE119" i="27"/>
  <c r="AG119" i="27"/>
  <c r="AF119" i="27"/>
  <c r="AD120" i="27"/>
  <c r="AE120" i="27"/>
  <c r="AF120" i="27"/>
  <c r="AG120" i="27"/>
  <c r="AF133" i="27"/>
  <c r="AD133" i="27"/>
  <c r="AE133" i="27"/>
  <c r="AG133" i="27"/>
  <c r="AB92" i="27"/>
  <c r="AC92" i="27"/>
  <c r="AL93" i="27"/>
  <c r="AL96" i="27"/>
  <c r="AI96" i="27"/>
  <c r="AD124" i="27"/>
  <c r="AG124" i="27"/>
  <c r="AF124" i="27"/>
  <c r="AF129" i="27"/>
  <c r="AD129" i="27"/>
  <c r="AE129" i="27"/>
  <c r="AG129" i="27"/>
  <c r="AG146" i="27"/>
  <c r="AF146" i="27"/>
  <c r="AD146" i="27"/>
  <c r="AE146" i="27"/>
  <c r="AF147" i="27"/>
  <c r="AD147" i="27"/>
  <c r="AE147" i="27"/>
  <c r="AG147" i="27"/>
  <c r="AF151" i="27"/>
  <c r="AD151" i="27"/>
  <c r="AE151" i="27"/>
  <c r="AI70" i="27"/>
  <c r="AL70" i="27"/>
  <c r="AL76" i="27"/>
  <c r="AL81" i="27"/>
  <c r="AL92" i="27"/>
  <c r="AI92" i="27"/>
  <c r="AG96" i="27"/>
  <c r="AF96" i="27"/>
  <c r="AD96" i="27"/>
  <c r="AE96" i="27"/>
  <c r="AD99" i="27"/>
  <c r="AE99" i="27"/>
  <c r="AG99" i="27"/>
  <c r="AF99" i="27"/>
  <c r="AF100" i="27"/>
  <c r="AF110" i="27"/>
  <c r="AD110" i="27"/>
  <c r="AI217" i="27"/>
  <c r="AL217" i="27"/>
  <c r="AL65" i="27"/>
  <c r="AI65" i="27"/>
  <c r="AD72" i="27"/>
  <c r="AE72" i="27"/>
  <c r="AT97" i="27"/>
  <c r="AU97" i="27"/>
  <c r="AW97" i="27"/>
  <c r="BM97" i="27"/>
  <c r="AD161" i="27"/>
  <c r="AE161" i="27"/>
  <c r="AF161" i="27"/>
  <c r="AG161" i="27"/>
  <c r="AL67" i="27"/>
  <c r="AI67" i="27"/>
  <c r="AF72" i="27"/>
  <c r="AD100" i="27"/>
  <c r="AE100" i="27"/>
  <c r="AD109" i="27"/>
  <c r="AG109" i="27"/>
  <c r="AF109" i="27"/>
  <c r="AB82" i="27"/>
  <c r="AC82" i="27"/>
  <c r="AB93" i="27"/>
  <c r="AC93" i="27"/>
  <c r="AI112" i="27"/>
  <c r="AD118" i="27"/>
  <c r="AE118" i="27"/>
  <c r="AI133" i="27"/>
  <c r="AI145" i="27"/>
  <c r="AL145" i="27"/>
  <c r="AD158" i="27"/>
  <c r="AE158" i="27"/>
  <c r="AG158" i="27"/>
  <c r="AD172" i="27"/>
  <c r="AE172" i="27"/>
  <c r="AG205" i="27"/>
  <c r="AF205" i="27"/>
  <c r="AD205" i="27"/>
  <c r="AE205" i="27"/>
  <c r="AG215" i="27"/>
  <c r="AF215" i="27"/>
  <c r="AD215" i="27"/>
  <c r="AE215" i="27"/>
  <c r="AD98" i="27"/>
  <c r="AI99" i="27"/>
  <c r="AL99" i="27"/>
  <c r="AD101" i="27"/>
  <c r="AE101" i="27"/>
  <c r="AG101" i="27"/>
  <c r="AL103" i="27"/>
  <c r="AI103" i="27"/>
  <c r="AL106" i="27"/>
  <c r="AI106" i="27"/>
  <c r="AG192" i="27"/>
  <c r="AF192" i="27"/>
  <c r="AD192" i="27"/>
  <c r="AF198" i="27"/>
  <c r="AG198" i="27"/>
  <c r="AI213" i="27"/>
  <c r="AL213" i="27"/>
  <c r="AD254" i="27"/>
  <c r="AE254" i="27"/>
  <c r="AG254" i="27"/>
  <c r="AF254" i="27"/>
  <c r="AL98" i="27"/>
  <c r="AI98" i="27"/>
  <c r="AL127" i="27"/>
  <c r="AI127" i="27"/>
  <c r="AB127" i="27"/>
  <c r="AC127" i="27"/>
  <c r="AI192" i="27"/>
  <c r="AL192" i="27"/>
  <c r="AG220" i="27"/>
  <c r="AF220" i="27"/>
  <c r="AF223" i="27"/>
  <c r="AD223" i="27"/>
  <c r="AG223" i="27"/>
  <c r="AT102" i="27"/>
  <c r="AU102" i="27"/>
  <c r="AW102" i="27"/>
  <c r="BM102" i="27"/>
  <c r="AF102" i="27"/>
  <c r="AD102" i="27"/>
  <c r="AE102" i="27"/>
  <c r="AG102" i="27"/>
  <c r="AF105" i="27"/>
  <c r="AT105" i="27"/>
  <c r="AU105" i="27"/>
  <c r="AW105" i="27"/>
  <c r="BM105" i="27"/>
  <c r="AD108" i="27"/>
  <c r="AE108" i="27"/>
  <c r="AF108" i="27"/>
  <c r="AI109" i="27"/>
  <c r="AL109" i="27"/>
  <c r="AD111" i="27"/>
  <c r="AI129" i="27"/>
  <c r="AL129" i="27"/>
  <c r="AF141" i="27"/>
  <c r="AD141" i="27"/>
  <c r="AE141" i="27"/>
  <c r="AG141" i="27"/>
  <c r="AL149" i="27"/>
  <c r="AB149" i="27"/>
  <c r="AC149" i="27"/>
  <c r="AD163" i="27"/>
  <c r="AE163" i="27"/>
  <c r="AF163" i="27"/>
  <c r="AG163" i="27"/>
  <c r="AD171" i="27"/>
  <c r="AF171" i="27"/>
  <c r="AD177" i="27"/>
  <c r="AE177" i="27"/>
  <c r="AF177" i="27"/>
  <c r="AG177" i="27"/>
  <c r="AL188" i="27"/>
  <c r="AI188" i="27"/>
  <c r="AG189" i="27"/>
  <c r="AF189" i="27"/>
  <c r="AE189" i="27"/>
  <c r="AB194" i="27"/>
  <c r="AC194" i="27"/>
  <c r="AL196" i="27"/>
  <c r="AI196" i="27"/>
  <c r="AI201" i="27"/>
  <c r="AL201" i="27"/>
  <c r="AD220" i="27"/>
  <c r="AE220" i="27"/>
  <c r="AG98" i="27"/>
  <c r="AL108" i="27"/>
  <c r="AI108" i="27"/>
  <c r="AG171" i="27"/>
  <c r="AF182" i="27"/>
  <c r="AG191" i="27"/>
  <c r="AF191" i="27"/>
  <c r="AD191" i="27"/>
  <c r="AG193" i="27"/>
  <c r="AF193" i="27"/>
  <c r="AI194" i="27"/>
  <c r="AL194" i="27"/>
  <c r="AG211" i="27"/>
  <c r="AF211" i="27"/>
  <c r="AD211" i="27"/>
  <c r="AI105" i="27"/>
  <c r="AG108" i="27"/>
  <c r="AF111" i="27"/>
  <c r="AB116" i="27"/>
  <c r="AC116" i="27"/>
  <c r="AD128" i="27"/>
  <c r="AE128" i="27"/>
  <c r="AG128" i="27"/>
  <c r="AF128" i="27"/>
  <c r="AI149" i="27"/>
  <c r="AD155" i="27"/>
  <c r="AF155" i="27"/>
  <c r="AG155" i="27"/>
  <c r="AD182" i="27"/>
  <c r="AE182" i="27"/>
  <c r="Y185" i="27"/>
  <c r="Z185" i="27"/>
  <c r="AB185" i="27"/>
  <c r="AC185" i="27"/>
  <c r="X185" i="27"/>
  <c r="AD193" i="27"/>
  <c r="AT101" i="27"/>
  <c r="AU101" i="27"/>
  <c r="AW101" i="27"/>
  <c r="BM101" i="27"/>
  <c r="AG111" i="27"/>
  <c r="AL116" i="27"/>
  <c r="AI116" i="27"/>
  <c r="AI131" i="27"/>
  <c r="AF143" i="27"/>
  <c r="AD143" i="27"/>
  <c r="AG143" i="27"/>
  <c r="AF152" i="27"/>
  <c r="AE152" i="27"/>
  <c r="AD152" i="27"/>
  <c r="AG152" i="27"/>
  <c r="AL165" i="27"/>
  <c r="AI165" i="27"/>
  <c r="AG207" i="27"/>
  <c r="AF207" i="27"/>
  <c r="AD207" i="27"/>
  <c r="AE207" i="27"/>
  <c r="AD95" i="27"/>
  <c r="AE95" i="27"/>
  <c r="AG95" i="27"/>
  <c r="AD114" i="27"/>
  <c r="AE114" i="27"/>
  <c r="AT114" i="27"/>
  <c r="AU114" i="27"/>
  <c r="AW114" i="27"/>
  <c r="BM114" i="27"/>
  <c r="AI124" i="27"/>
  <c r="AL124" i="27"/>
  <c r="AF126" i="27"/>
  <c r="AG126" i="27"/>
  <c r="AF135" i="27"/>
  <c r="AD135" i="27"/>
  <c r="AG135" i="27"/>
  <c r="AD157" i="27"/>
  <c r="AE157" i="27"/>
  <c r="AF157" i="27"/>
  <c r="AG157" i="27"/>
  <c r="AB165" i="27"/>
  <c r="AC165" i="27"/>
  <c r="AI207" i="27"/>
  <c r="AL207" i="27"/>
  <c r="AF137" i="27"/>
  <c r="AD137" i="27"/>
  <c r="AE137" i="27"/>
  <c r="AG137" i="27"/>
  <c r="AD167" i="27"/>
  <c r="AE167" i="27"/>
  <c r="AF167" i="27"/>
  <c r="AT167" i="27"/>
  <c r="AU167" i="27"/>
  <c r="AW167" i="27"/>
  <c r="BM167" i="27"/>
  <c r="AG167" i="27"/>
  <c r="AG178" i="27"/>
  <c r="AB201" i="27"/>
  <c r="AC201" i="27"/>
  <c r="AD218" i="27"/>
  <c r="AE218" i="27"/>
  <c r="AF235" i="27"/>
  <c r="AD235" i="27"/>
  <c r="AE235" i="27"/>
  <c r="AF237" i="27"/>
  <c r="AG237" i="27"/>
  <c r="AD237" i="27"/>
  <c r="AE237" i="27"/>
  <c r="AG240" i="27"/>
  <c r="AF240" i="27"/>
  <c r="AD240" i="27"/>
  <c r="AE240" i="27"/>
  <c r="AF249" i="27"/>
  <c r="AG249" i="27"/>
  <c r="AD249" i="27"/>
  <c r="AE249" i="27"/>
  <c r="AD216" i="27"/>
  <c r="AE216" i="27"/>
  <c r="AG216" i="27"/>
  <c r="AF216" i="27"/>
  <c r="AG229" i="27"/>
  <c r="AF229" i="27"/>
  <c r="AL113" i="27"/>
  <c r="AI113" i="27"/>
  <c r="AG187" i="27"/>
  <c r="AF187" i="27"/>
  <c r="AD199" i="27"/>
  <c r="AE199" i="27"/>
  <c r="AD206" i="27"/>
  <c r="AE206" i="27"/>
  <c r="AG206" i="27"/>
  <c r="AF206" i="27"/>
  <c r="AD221" i="27"/>
  <c r="AE221" i="27"/>
  <c r="AG221" i="27"/>
  <c r="AF221" i="27"/>
  <c r="AD229" i="27"/>
  <c r="AE229" i="27"/>
  <c r="AD123" i="27"/>
  <c r="AE123" i="27"/>
  <c r="AG132" i="27"/>
  <c r="AD136" i="27"/>
  <c r="AF136" i="27"/>
  <c r="AF139" i="27"/>
  <c r="AD139" i="27"/>
  <c r="AE139" i="27"/>
  <c r="AG139" i="27"/>
  <c r="AD156" i="27"/>
  <c r="AG156" i="27"/>
  <c r="AF156" i="27"/>
  <c r="AE156" i="27"/>
  <c r="AD159" i="27"/>
  <c r="AF159" i="27"/>
  <c r="AG159" i="27"/>
  <c r="AG164" i="27"/>
  <c r="AF164" i="27"/>
  <c r="AD164" i="27"/>
  <c r="AE164" i="27"/>
  <c r="AG209" i="27"/>
  <c r="AF209" i="27"/>
  <c r="AD209" i="27"/>
  <c r="AE209" i="27"/>
  <c r="AD219" i="27"/>
  <c r="AE219" i="27"/>
  <c r="AG219" i="27"/>
  <c r="AF219" i="27"/>
  <c r="AL123" i="27"/>
  <c r="AI123" i="27"/>
  <c r="AD132" i="27"/>
  <c r="AE132" i="27"/>
  <c r="AL147" i="27"/>
  <c r="AI147" i="27"/>
  <c r="AD153" i="27"/>
  <c r="AE153" i="27"/>
  <c r="AI159" i="27"/>
  <c r="AL159" i="27"/>
  <c r="AT166" i="27"/>
  <c r="AU166" i="27"/>
  <c r="AW166" i="27"/>
  <c r="BM166" i="27"/>
  <c r="AG166" i="27"/>
  <c r="AF166" i="27"/>
  <c r="AE166" i="27"/>
  <c r="AG181" i="27"/>
  <c r="AT181" i="27"/>
  <c r="AU181" i="27"/>
  <c r="AW181" i="27"/>
  <c r="BM181" i="27"/>
  <c r="AD187" i="27"/>
  <c r="AE187" i="27"/>
  <c r="AB196" i="27"/>
  <c r="AC196" i="27"/>
  <c r="AF199" i="27"/>
  <c r="AD202" i="27"/>
  <c r="AE202" i="27"/>
  <c r="AF202" i="27"/>
  <c r="AG202" i="27"/>
  <c r="AB217" i="27"/>
  <c r="AC217" i="27"/>
  <c r="AI220" i="27"/>
  <c r="AL220" i="27"/>
  <c r="AI128" i="27"/>
  <c r="AI139" i="27"/>
  <c r="AG183" i="27"/>
  <c r="AF183" i="27"/>
  <c r="AL189" i="27"/>
  <c r="AI189" i="27"/>
  <c r="AB195" i="27"/>
  <c r="AC195" i="27"/>
  <c r="AI203" i="27"/>
  <c r="AL203" i="27"/>
  <c r="AF225" i="27"/>
  <c r="AG226" i="27"/>
  <c r="AF226" i="27"/>
  <c r="AL125" i="27"/>
  <c r="AI125" i="27"/>
  <c r="AD144" i="27"/>
  <c r="AE144" i="27"/>
  <c r="AL191" i="27"/>
  <c r="AI191" i="27"/>
  <c r="AB200" i="27"/>
  <c r="AC200" i="27"/>
  <c r="AD176" i="27"/>
  <c r="AE176" i="27"/>
  <c r="AL185" i="27"/>
  <c r="AI185" i="27"/>
  <c r="AB197" i="27"/>
  <c r="AC197" i="27"/>
  <c r="AL200" i="27"/>
  <c r="AI200" i="27"/>
  <c r="AD208" i="27"/>
  <c r="AE208" i="27"/>
  <c r="AD212" i="27"/>
  <c r="AE212" i="27"/>
  <c r="AF212" i="27"/>
  <c r="AG230" i="27"/>
  <c r="AE230" i="27"/>
  <c r="AD230" i="27"/>
  <c r="AF230" i="27"/>
  <c r="AG125" i="27"/>
  <c r="AL137" i="27"/>
  <c r="AI137" i="27"/>
  <c r="AL161" i="27"/>
  <c r="AI161" i="27"/>
  <c r="AG162" i="27"/>
  <c r="AF162" i="27"/>
  <c r="AE162" i="27"/>
  <c r="AL163" i="27"/>
  <c r="AI163" i="27"/>
  <c r="AG168" i="27"/>
  <c r="AF168" i="27"/>
  <c r="AD169" i="27"/>
  <c r="AE169" i="27"/>
  <c r="AF169" i="27"/>
  <c r="AD175" i="27"/>
  <c r="AF175" i="27"/>
  <c r="AG175" i="27"/>
  <c r="AG184" i="27"/>
  <c r="AF184" i="27"/>
  <c r="AD184" i="27"/>
  <c r="AE184" i="27"/>
  <c r="AI197" i="27"/>
  <c r="AL197" i="27"/>
  <c r="AD210" i="27"/>
  <c r="AE210" i="27"/>
  <c r="AG210" i="27"/>
  <c r="AL190" i="27"/>
  <c r="AI190" i="27"/>
  <c r="AB203" i="27"/>
  <c r="AC203" i="27"/>
  <c r="AD204" i="27"/>
  <c r="AG204" i="27"/>
  <c r="AF204" i="27"/>
  <c r="AI205" i="27"/>
  <c r="AL205" i="27"/>
  <c r="AB213" i="27"/>
  <c r="AC213" i="27"/>
  <c r="AD214" i="27"/>
  <c r="AE214" i="27"/>
  <c r="AG214" i="27"/>
  <c r="AF214" i="27"/>
  <c r="AI215" i="27"/>
  <c r="AL215" i="27"/>
  <c r="AE227" i="27"/>
  <c r="AT227" i="27"/>
  <c r="AU227" i="27"/>
  <c r="AW227" i="27"/>
  <c r="BM227" i="27"/>
  <c r="AG234" i="27"/>
  <c r="AF234" i="27"/>
  <c r="AD234" i="27"/>
  <c r="AE234" i="27"/>
  <c r="AB190" i="27"/>
  <c r="AC190" i="27"/>
  <c r="AI193" i="27"/>
  <c r="AL193" i="27"/>
  <c r="AB188" i="27"/>
  <c r="AC188" i="27"/>
  <c r="AI199" i="27"/>
  <c r="AL199" i="27"/>
  <c r="AI209" i="27"/>
  <c r="AL209" i="27"/>
  <c r="AL219" i="27"/>
  <c r="AI219" i="27"/>
  <c r="AI152" i="27"/>
  <c r="AI154" i="27"/>
  <c r="AI156" i="27"/>
  <c r="AI158" i="27"/>
  <c r="AI160" i="27"/>
  <c r="AI162" i="27"/>
  <c r="AI166" i="27"/>
  <c r="AI168" i="27"/>
  <c r="AI170" i="27"/>
  <c r="AI172" i="27"/>
  <c r="AI174" i="27"/>
  <c r="AG238" i="27"/>
  <c r="AF238" i="27"/>
  <c r="AD238" i="27"/>
  <c r="AE238" i="27"/>
  <c r="AF241" i="27"/>
  <c r="AG241" i="27"/>
  <c r="AD241" i="27"/>
  <c r="AE241" i="27"/>
  <c r="AD272" i="27"/>
  <c r="AE272" i="27"/>
  <c r="AG272" i="27"/>
  <c r="AF272" i="27"/>
  <c r="AI211" i="27"/>
  <c r="AL211" i="27"/>
  <c r="AD222" i="27"/>
  <c r="AE222" i="27"/>
  <c r="AF222" i="27"/>
  <c r="AG231" i="27"/>
  <c r="AD231" i="27"/>
  <c r="AE231" i="27"/>
  <c r="AF231" i="27"/>
  <c r="AE233" i="27"/>
  <c r="AG233" i="27"/>
  <c r="AF233" i="27"/>
  <c r="AF247" i="27"/>
  <c r="AG247" i="27"/>
  <c r="AD247" i="27"/>
  <c r="AE247" i="27"/>
  <c r="AD248" i="27"/>
  <c r="AF248" i="27"/>
  <c r="AG248" i="27"/>
  <c r="AG255" i="27"/>
  <c r="AF255" i="27"/>
  <c r="AD255" i="27"/>
  <c r="AE255" i="27"/>
  <c r="AD262" i="27"/>
  <c r="AE262" i="27"/>
  <c r="AG262" i="27"/>
  <c r="AF262" i="27"/>
  <c r="AG265" i="27"/>
  <c r="AF265" i="27"/>
  <c r="AD265" i="27"/>
  <c r="AE265" i="27"/>
  <c r="AG276" i="27"/>
  <c r="AF276" i="27"/>
  <c r="AD276" i="27"/>
  <c r="AL231" i="27"/>
  <c r="AI231" i="27"/>
  <c r="AI232" i="27"/>
  <c r="AL232" i="27"/>
  <c r="AB232" i="27"/>
  <c r="AC232" i="27"/>
  <c r="AG253" i="27"/>
  <c r="AF253" i="27"/>
  <c r="AD253" i="27"/>
  <c r="AG259" i="27"/>
  <c r="AF259" i="27"/>
  <c r="AD259" i="27"/>
  <c r="AE259" i="27"/>
  <c r="AB245" i="27"/>
  <c r="AC245" i="27"/>
  <c r="AD250" i="27"/>
  <c r="AE250" i="27"/>
  <c r="AF250" i="27"/>
  <c r="AG250" i="27"/>
  <c r="AD252" i="27"/>
  <c r="AE252" i="27"/>
  <c r="AF252" i="27"/>
  <c r="AG252" i="27"/>
  <c r="AB264" i="27"/>
  <c r="AC264" i="27"/>
  <c r="AG271" i="27"/>
  <c r="AD271" i="27"/>
  <c r="AE271" i="27"/>
  <c r="AF271" i="27"/>
  <c r="AG275" i="27"/>
  <c r="AD297" i="27"/>
  <c r="AE297" i="27"/>
  <c r="AG297" i="27"/>
  <c r="AF297" i="27"/>
  <c r="AL243" i="27"/>
  <c r="AI243" i="27"/>
  <c r="AD256" i="27"/>
  <c r="AG256" i="27"/>
  <c r="AF256" i="27"/>
  <c r="AD258" i="27"/>
  <c r="AE258" i="27"/>
  <c r="AG258" i="27"/>
  <c r="AF258" i="27"/>
  <c r="AD260" i="27"/>
  <c r="AE260" i="27"/>
  <c r="AG260" i="27"/>
  <c r="AL264" i="27"/>
  <c r="AI264" i="27"/>
  <c r="AG282" i="27"/>
  <c r="AD282" i="27"/>
  <c r="AE282" i="27"/>
  <c r="AF282" i="27"/>
  <c r="AG290" i="27"/>
  <c r="AF290" i="27"/>
  <c r="AD290" i="27"/>
  <c r="AE290" i="27"/>
  <c r="AF308" i="27"/>
  <c r="AG308" i="27"/>
  <c r="AD308" i="27"/>
  <c r="AE308" i="27"/>
  <c r="AG316" i="27"/>
  <c r="AF316" i="27"/>
  <c r="AD316" i="27"/>
  <c r="AB243" i="27"/>
  <c r="AC243" i="27"/>
  <c r="AI245" i="27"/>
  <c r="AI258" i="27"/>
  <c r="AL258" i="27"/>
  <c r="AL260" i="27"/>
  <c r="AI260" i="27"/>
  <c r="AL229" i="27"/>
  <c r="AI229" i="27"/>
  <c r="AF260" i="27"/>
  <c r="AL262" i="27"/>
  <c r="AI262" i="27"/>
  <c r="AG267" i="27"/>
  <c r="AT267" i="27"/>
  <c r="AU267" i="27"/>
  <c r="AW267" i="27"/>
  <c r="BM267" i="27"/>
  <c r="AD267" i="27"/>
  <c r="AE267" i="27"/>
  <c r="AL279" i="27"/>
  <c r="AI279" i="27"/>
  <c r="AD283" i="27"/>
  <c r="AE283" i="27"/>
  <c r="AG283" i="27"/>
  <c r="AF239" i="27"/>
  <c r="AD239" i="27"/>
  <c r="AE239" i="27"/>
  <c r="AG246" i="27"/>
  <c r="AF246" i="27"/>
  <c r="AL259" i="27"/>
  <c r="AI259" i="27"/>
  <c r="AL265" i="27"/>
  <c r="AI265" i="27"/>
  <c r="AF267" i="27"/>
  <c r="AL283" i="27"/>
  <c r="AI283" i="27"/>
  <c r="AG284" i="27"/>
  <c r="AF284" i="27"/>
  <c r="AD284" i="27"/>
  <c r="AE284" i="27"/>
  <c r="AI237" i="27"/>
  <c r="AL237" i="27"/>
  <c r="AL255" i="27"/>
  <c r="AI255" i="27"/>
  <c r="AL261" i="27"/>
  <c r="AI261" i="27"/>
  <c r="AL263" i="27"/>
  <c r="AI263" i="27"/>
  <c r="AF270" i="27"/>
  <c r="AD270" i="27"/>
  <c r="AE270" i="27"/>
  <c r="AG270" i="27"/>
  <c r="AL276" i="27"/>
  <c r="AI276" i="27"/>
  <c r="AF283" i="27"/>
  <c r="AD242" i="27"/>
  <c r="AE242" i="27"/>
  <c r="AE251" i="27"/>
  <c r="AI254" i="27"/>
  <c r="AL254" i="27"/>
  <c r="AL257" i="27"/>
  <c r="AI257" i="27"/>
  <c r="AB261" i="27"/>
  <c r="AC261" i="27"/>
  <c r="AB263" i="27"/>
  <c r="AC263" i="27"/>
  <c r="AD273" i="27"/>
  <c r="AE273" i="27"/>
  <c r="AF273" i="27"/>
  <c r="AD281" i="27"/>
  <c r="AE281" i="27"/>
  <c r="AF281" i="27"/>
  <c r="AL286" i="27"/>
  <c r="AI286" i="27"/>
  <c r="AB286" i="27"/>
  <c r="AC286" i="27"/>
  <c r="AG327" i="27"/>
  <c r="AF327" i="27"/>
  <c r="AD327" i="27"/>
  <c r="AE327" i="27"/>
  <c r="AT327" i="27"/>
  <c r="AU327" i="27"/>
  <c r="AW327" i="27"/>
  <c r="BM327" i="27"/>
  <c r="AT224" i="27"/>
  <c r="AU224" i="27"/>
  <c r="AW224" i="27"/>
  <c r="BM224" i="27"/>
  <c r="AL234" i="27"/>
  <c r="AL249" i="27"/>
  <c r="AI249" i="27"/>
  <c r="AF251" i="27"/>
  <c r="AB257" i="27"/>
  <c r="AC257" i="27"/>
  <c r="AD285" i="27"/>
  <c r="AE285" i="27"/>
  <c r="AI233" i="27"/>
  <c r="AL233" i="27"/>
  <c r="AD244" i="27"/>
  <c r="AG251" i="27"/>
  <c r="AD266" i="27"/>
  <c r="AE266" i="27"/>
  <c r="AG266" i="27"/>
  <c r="AF266" i="27"/>
  <c r="AG273" i="27"/>
  <c r="AD274" i="27"/>
  <c r="AE274" i="27"/>
  <c r="AL285" i="27"/>
  <c r="AI285" i="27"/>
  <c r="AL287" i="27"/>
  <c r="AI287" i="27"/>
  <c r="AL288" i="27"/>
  <c r="AI288" i="27"/>
  <c r="AD302" i="27"/>
  <c r="AE302" i="27"/>
  <c r="AG302" i="27"/>
  <c r="AF302" i="27"/>
  <c r="AL230" i="27"/>
  <c r="AI230" i="27"/>
  <c r="AD236" i="27"/>
  <c r="AE236" i="27"/>
  <c r="AF242" i="27"/>
  <c r="AI266" i="27"/>
  <c r="AL266" i="27"/>
  <c r="AG281" i="27"/>
  <c r="AF285" i="27"/>
  <c r="AB288" i="27"/>
  <c r="AC288" i="27"/>
  <c r="AL253" i="27"/>
  <c r="AI253" i="27"/>
  <c r="AG269" i="27"/>
  <c r="AG278" i="27"/>
  <c r="AD278" i="27"/>
  <c r="AE278" i="27"/>
  <c r="AF278" i="27"/>
  <c r="AL289" i="27"/>
  <c r="AI289" i="27"/>
  <c r="AF311" i="27"/>
  <c r="AD311" i="27"/>
  <c r="AE311" i="27"/>
  <c r="AG311" i="27"/>
  <c r="AI228" i="27"/>
  <c r="AL297" i="27"/>
  <c r="AI297" i="27"/>
  <c r="AI271" i="27"/>
  <c r="AD277" i="27"/>
  <c r="AE277" i="27"/>
  <c r="AF277" i="27"/>
  <c r="AG277" i="27"/>
  <c r="AB289" i="27"/>
  <c r="AC289" i="27"/>
  <c r="AL267" i="27"/>
  <c r="AI267" i="27"/>
  <c r="AB268" i="27"/>
  <c r="AC268" i="27"/>
  <c r="Y272" i="27"/>
  <c r="AL284" i="27"/>
  <c r="AI284" i="27"/>
  <c r="AL291" i="27"/>
  <c r="AD296" i="27"/>
  <c r="AE296" i="27"/>
  <c r="AF296" i="27"/>
  <c r="AG296" i="27"/>
  <c r="AL302" i="27"/>
  <c r="AI302" i="27"/>
  <c r="AG321" i="27"/>
  <c r="AF321" i="27"/>
  <c r="AG325" i="27"/>
  <c r="AF325" i="27"/>
  <c r="AD325" i="27"/>
  <c r="AE325" i="27"/>
  <c r="AT325" i="27"/>
  <c r="AU325" i="27"/>
  <c r="AW325" i="27"/>
  <c r="BM325" i="27"/>
  <c r="AL282" i="27"/>
  <c r="AI282" i="27"/>
  <c r="AG301" i="27"/>
  <c r="AF301" i="27"/>
  <c r="AD301" i="27"/>
  <c r="AE301" i="27"/>
  <c r="AG292" i="27"/>
  <c r="AL305" i="27"/>
  <c r="AI305" i="27"/>
  <c r="AL269" i="27"/>
  <c r="AI269" i="27"/>
  <c r="AD292" i="27"/>
  <c r="AE292" i="27"/>
  <c r="AF293" i="27"/>
  <c r="AB305" i="27"/>
  <c r="AC305" i="27"/>
  <c r="AL290" i="27"/>
  <c r="AI290" i="27"/>
  <c r="AB291" i="27"/>
  <c r="AC291" i="27"/>
  <c r="AD298" i="27"/>
  <c r="AE298" i="27"/>
  <c r="AG298" i="27"/>
  <c r="AF298" i="27"/>
  <c r="AD300" i="27"/>
  <c r="AE300" i="27"/>
  <c r="AD303" i="27"/>
  <c r="AE303" i="27"/>
  <c r="AG303" i="27"/>
  <c r="AF303" i="27"/>
  <c r="AI325" i="27"/>
  <c r="AL325" i="27"/>
  <c r="AL301" i="27"/>
  <c r="AI301" i="27"/>
  <c r="AL311" i="27"/>
  <c r="AI311" i="27"/>
  <c r="AL294" i="27"/>
  <c r="AI294" i="27"/>
  <c r="AG295" i="27"/>
  <c r="AF295" i="27"/>
  <c r="AD295" i="27"/>
  <c r="AE295" i="27"/>
  <c r="AL296" i="27"/>
  <c r="AI296" i="27"/>
  <c r="AL292" i="27"/>
  <c r="AI292" i="27"/>
  <c r="AB294" i="27"/>
  <c r="AC294" i="27"/>
  <c r="AL295" i="27"/>
  <c r="AI295" i="27"/>
  <c r="AG299" i="27"/>
  <c r="AD310" i="27"/>
  <c r="AE310" i="27"/>
  <c r="AB304" i="27"/>
  <c r="AC304" i="27"/>
  <c r="AD307" i="27"/>
  <c r="AE307" i="27"/>
  <c r="AF313" i="27"/>
  <c r="AD313" i="27"/>
  <c r="AG313" i="27"/>
  <c r="AF314" i="27"/>
  <c r="AG314" i="27"/>
  <c r="AG315" i="27"/>
  <c r="AF315" i="27"/>
  <c r="AD315" i="27"/>
  <c r="AF317" i="27"/>
  <c r="AD317" i="27"/>
  <c r="AE317" i="27"/>
  <c r="AT317" i="27"/>
  <c r="AU317" i="27"/>
  <c r="AW317" i="27"/>
  <c r="BM317" i="27"/>
  <c r="AF309" i="27"/>
  <c r="AD309" i="27"/>
  <c r="AG309" i="27"/>
  <c r="AG323" i="27"/>
  <c r="AF323" i="27"/>
  <c r="AD323" i="27"/>
  <c r="AE323" i="27"/>
  <c r="AT324" i="27"/>
  <c r="AU324" i="27"/>
  <c r="AW324" i="27"/>
  <c r="BM324" i="27"/>
  <c r="AG324" i="27"/>
  <c r="AT328" i="27"/>
  <c r="AU328" i="27"/>
  <c r="AW328" i="27"/>
  <c r="BM328" i="27"/>
  <c r="AG328" i="27"/>
  <c r="AF328" i="27"/>
  <c r="AE328" i="27"/>
  <c r="AL300" i="27"/>
  <c r="AI300" i="27"/>
  <c r="AB306" i="27"/>
  <c r="AC306" i="27"/>
  <c r="AI323" i="27"/>
  <c r="AL323" i="27"/>
  <c r="AG319" i="27"/>
  <c r="AF319" i="27"/>
  <c r="AL317" i="27"/>
  <c r="AI317" i="27"/>
  <c r="AD318" i="27"/>
  <c r="AE318" i="27"/>
  <c r="AF318" i="27"/>
  <c r="AD322" i="27"/>
  <c r="AE322" i="27"/>
  <c r="AF322" i="27"/>
  <c r="AD319" i="27"/>
  <c r="AE319" i="27"/>
  <c r="AD236" i="12"/>
  <c r="AE236" i="12"/>
  <c r="AG236" i="12"/>
  <c r="AF236" i="12"/>
  <c r="AF240" i="12"/>
  <c r="AD240" i="12"/>
  <c r="AG234" i="12"/>
  <c r="AF234" i="12"/>
  <c r="AB217" i="12"/>
  <c r="AC217" i="12"/>
  <c r="AF217" i="12"/>
  <c r="AI217" i="12"/>
  <c r="AI226" i="12"/>
  <c r="AI233" i="12"/>
  <c r="AI220" i="12"/>
  <c r="AI242" i="12"/>
  <c r="AI216" i="12"/>
  <c r="AI222" i="12"/>
  <c r="AL231" i="12"/>
  <c r="AI263" i="12"/>
  <c r="AB212" i="12"/>
  <c r="AC212" i="12"/>
  <c r="AD212" i="12"/>
  <c r="AB221" i="12"/>
  <c r="AC221" i="12"/>
  <c r="AF221" i="12"/>
  <c r="AB226" i="12"/>
  <c r="AC226" i="12"/>
  <c r="AG226" i="12"/>
  <c r="AB239" i="12"/>
  <c r="AC239" i="12"/>
  <c r="AD239" i="12"/>
  <c r="AE239" i="12"/>
  <c r="AB247" i="12"/>
  <c r="AC247" i="12"/>
  <c r="AF247" i="12"/>
  <c r="AI239" i="12"/>
  <c r="AD267" i="12"/>
  <c r="AE267" i="12"/>
  <c r="AL260" i="12"/>
  <c r="AL269" i="12"/>
  <c r="AI214" i="12"/>
  <c r="AF267" i="12"/>
  <c r="AI225" i="12"/>
  <c r="AI230" i="12"/>
  <c r="AI238" i="12"/>
  <c r="AB254" i="12"/>
  <c r="AC254" i="12"/>
  <c r="AG254" i="12"/>
  <c r="AL256" i="12"/>
  <c r="AB258" i="12"/>
  <c r="AC258" i="12"/>
  <c r="AG258" i="12"/>
  <c r="AD265" i="12"/>
  <c r="AE265" i="12"/>
  <c r="AG267" i="12"/>
  <c r="AI212" i="12"/>
  <c r="AB210" i="12"/>
  <c r="AC210" i="12"/>
  <c r="AD210" i="12"/>
  <c r="AI211" i="12"/>
  <c r="AB228" i="12"/>
  <c r="AC228" i="12"/>
  <c r="AD228" i="12"/>
  <c r="AI229" i="12"/>
  <c r="AB232" i="12"/>
  <c r="AC232" i="12"/>
  <c r="AG232" i="12"/>
  <c r="AB241" i="12"/>
  <c r="AC241" i="12"/>
  <c r="AF241" i="12"/>
  <c r="AB243" i="12"/>
  <c r="AC243" i="12"/>
  <c r="AI267" i="12"/>
  <c r="AL268" i="12"/>
  <c r="AB215" i="12"/>
  <c r="AC215" i="12"/>
  <c r="AD215" i="12"/>
  <c r="AE215" i="12"/>
  <c r="AF211" i="12"/>
  <c r="AD211" i="12"/>
  <c r="AE211" i="12"/>
  <c r="AG211" i="12"/>
  <c r="AG218" i="12"/>
  <c r="AD218" i="12"/>
  <c r="AF218" i="12"/>
  <c r="AF235" i="12"/>
  <c r="AD235" i="12"/>
  <c r="AE235" i="12"/>
  <c r="AG235" i="12"/>
  <c r="AF219" i="12"/>
  <c r="AG220" i="12"/>
  <c r="AF220" i="12"/>
  <c r="AD220" i="12"/>
  <c r="AE220" i="12"/>
  <c r="AD231" i="12"/>
  <c r="AE231" i="12"/>
  <c r="AG231" i="12"/>
  <c r="AF233" i="12"/>
  <c r="AG233" i="12"/>
  <c r="AF227" i="12"/>
  <c r="AG227" i="12"/>
  <c r="AF213" i="12"/>
  <c r="AD213" i="12"/>
  <c r="AE213" i="12"/>
  <c r="AG213" i="12"/>
  <c r="AD214" i="12"/>
  <c r="AF214" i="12"/>
  <c r="AD224" i="12"/>
  <c r="AE224" i="12"/>
  <c r="AG224" i="12"/>
  <c r="AF237" i="12"/>
  <c r="AG237" i="12"/>
  <c r="AG244" i="12"/>
  <c r="AD244" i="12"/>
  <c r="AE244" i="12"/>
  <c r="AG230" i="12"/>
  <c r="AF230" i="12"/>
  <c r="AD230" i="12"/>
  <c r="AD219" i="12"/>
  <c r="AE219" i="12"/>
  <c r="AG216" i="12"/>
  <c r="AF216" i="12"/>
  <c r="AD216" i="12"/>
  <c r="AD222" i="12"/>
  <c r="AE222" i="12"/>
  <c r="AF222" i="12"/>
  <c r="AG222" i="12"/>
  <c r="AF223" i="12"/>
  <c r="AD223" i="12"/>
  <c r="AL255" i="12"/>
  <c r="AI255" i="12"/>
  <c r="AI221" i="12"/>
  <c r="AL221" i="12"/>
  <c r="AG250" i="12"/>
  <c r="AF250" i="12"/>
  <c r="AD250" i="12"/>
  <c r="AE250" i="12"/>
  <c r="AG214" i="12"/>
  <c r="AF229" i="12"/>
  <c r="AD229" i="12"/>
  <c r="AE229" i="12"/>
  <c r="AG229" i="12"/>
  <c r="AG249" i="12"/>
  <c r="AF249" i="12"/>
  <c r="AD249" i="12"/>
  <c r="AE249" i="12"/>
  <c r="AG251" i="12"/>
  <c r="AF251" i="12"/>
  <c r="AD251" i="12"/>
  <c r="AE251" i="12"/>
  <c r="AL252" i="12"/>
  <c r="AI252" i="12"/>
  <c r="AF263" i="12"/>
  <c r="AD263" i="12"/>
  <c r="AE263" i="12"/>
  <c r="AF226" i="12"/>
  <c r="AF246" i="12"/>
  <c r="AB252" i="12"/>
  <c r="AC252" i="12"/>
  <c r="AG253" i="12"/>
  <c r="AF253" i="12"/>
  <c r="AD253" i="12"/>
  <c r="AD257" i="12"/>
  <c r="AG257" i="12"/>
  <c r="AF257" i="12"/>
  <c r="AI223" i="12"/>
  <c r="AD225" i="12"/>
  <c r="AE225" i="12"/>
  <c r="AL257" i="12"/>
  <c r="AI257" i="12"/>
  <c r="AG260" i="12"/>
  <c r="AF260" i="12"/>
  <c r="AD260" i="12"/>
  <c r="AE260" i="12"/>
  <c r="AL215" i="12"/>
  <c r="AB255" i="12"/>
  <c r="AC255" i="12"/>
  <c r="AG262" i="12"/>
  <c r="AF262" i="12"/>
  <c r="AD262" i="12"/>
  <c r="AD259" i="12"/>
  <c r="AE259" i="12"/>
  <c r="AG259" i="12"/>
  <c r="AG225" i="12"/>
  <c r="AD234" i="12"/>
  <c r="AE234" i="12"/>
  <c r="AF238" i="12"/>
  <c r="AG242" i="12"/>
  <c r="AF242" i="12"/>
  <c r="AD242" i="12"/>
  <c r="AE242" i="12"/>
  <c r="AF245" i="12"/>
  <c r="AD245" i="12"/>
  <c r="AG245" i="12"/>
  <c r="AI250" i="12"/>
  <c r="AL250" i="12"/>
  <c r="AI251" i="12"/>
  <c r="AL251" i="12"/>
  <c r="AL241" i="12"/>
  <c r="AI241" i="12"/>
  <c r="AD246" i="12"/>
  <c r="AE246" i="12"/>
  <c r="AL219" i="12"/>
  <c r="AI219" i="12"/>
  <c r="AF259" i="12"/>
  <c r="AG240" i="12"/>
  <c r="AE240" i="12"/>
  <c r="AL244" i="12"/>
  <c r="AI244" i="12"/>
  <c r="AG256" i="12"/>
  <c r="AD256" i="12"/>
  <c r="AE256" i="12"/>
  <c r="AG266" i="12"/>
  <c r="AF266" i="12"/>
  <c r="AD266" i="12"/>
  <c r="AG268" i="12"/>
  <c r="AF268" i="12"/>
  <c r="AD268" i="12"/>
  <c r="AE268" i="12"/>
  <c r="AT268" i="12"/>
  <c r="AU268" i="12"/>
  <c r="AW268" i="12"/>
  <c r="BM268" i="12"/>
  <c r="AL249" i="12"/>
  <c r="AI249" i="12"/>
  <c r="AG248" i="12"/>
  <c r="AD248" i="12"/>
  <c r="AE248" i="12"/>
  <c r="AI266" i="12"/>
  <c r="AL266" i="12"/>
  <c r="AL262" i="12"/>
  <c r="AI262" i="12"/>
  <c r="AL246" i="12"/>
  <c r="AI246" i="12"/>
  <c r="AL247" i="12"/>
  <c r="AI247" i="12"/>
  <c r="AL248" i="12"/>
  <c r="AI248" i="12"/>
  <c r="AL253" i="12"/>
  <c r="AI253" i="12"/>
  <c r="AG264" i="12"/>
  <c r="AF264" i="12"/>
  <c r="AD264" i="12"/>
  <c r="AE264" i="12"/>
  <c r="AG265" i="12"/>
  <c r="AT269" i="12"/>
  <c r="AU269" i="12"/>
  <c r="AW269" i="12"/>
  <c r="BM269" i="12"/>
  <c r="AG269" i="12"/>
  <c r="AF269" i="12"/>
  <c r="AE269" i="12"/>
  <c r="AI264" i="12"/>
  <c r="AL264" i="12"/>
  <c r="AT239" i="27"/>
  <c r="AU239" i="27"/>
  <c r="AW239" i="27"/>
  <c r="BM239" i="27"/>
  <c r="AD225" i="27"/>
  <c r="AE225" i="27"/>
  <c r="AD113" i="27"/>
  <c r="AE113" i="27"/>
  <c r="AD160" i="27"/>
  <c r="AT13" i="27"/>
  <c r="AU13" i="27"/>
  <c r="AW13" i="27"/>
  <c r="BM13" i="27"/>
  <c r="AE179" i="27"/>
  <c r="AT179" i="27"/>
  <c r="AU179" i="27"/>
  <c r="AW179" i="27"/>
  <c r="BM179" i="27"/>
  <c r="AT51" i="27"/>
  <c r="AU51" i="27"/>
  <c r="AW51" i="27"/>
  <c r="BM51" i="27"/>
  <c r="BN51" i="27"/>
  <c r="AT238" i="27"/>
  <c r="AU238" i="27"/>
  <c r="AW238" i="27"/>
  <c r="BM238" i="27"/>
  <c r="BN238" i="27"/>
  <c r="AG60" i="27"/>
  <c r="AE315" i="27"/>
  <c r="AT138" i="27"/>
  <c r="AU138" i="27"/>
  <c r="AW138" i="27"/>
  <c r="BM138" i="27"/>
  <c r="AT258" i="27"/>
  <c r="AU258" i="27"/>
  <c r="AW258" i="27"/>
  <c r="BM258" i="27"/>
  <c r="AG122" i="27"/>
  <c r="AD44" i="27"/>
  <c r="AE44" i="27"/>
  <c r="AD57" i="27"/>
  <c r="AD61" i="27"/>
  <c r="AE61" i="27"/>
  <c r="AE62" i="27"/>
  <c r="AE126" i="27"/>
  <c r="AD186" i="27"/>
  <c r="AG186" i="27"/>
  <c r="AF186" i="27"/>
  <c r="AF279" i="27"/>
  <c r="AT141" i="27"/>
  <c r="AU141" i="27"/>
  <c r="AW141" i="27"/>
  <c r="BM141" i="27"/>
  <c r="AG279" i="27"/>
  <c r="AT177" i="27"/>
  <c r="AU177" i="27"/>
  <c r="AW177" i="27"/>
  <c r="BM177" i="27"/>
  <c r="BP177" i="27"/>
  <c r="AD9" i="27"/>
  <c r="AE9" i="27"/>
  <c r="AE186" i="27"/>
  <c r="AT322" i="27"/>
  <c r="AU322" i="27"/>
  <c r="AW322" i="27"/>
  <c r="BM322" i="27"/>
  <c r="BN322" i="27"/>
  <c r="AF180" i="27"/>
  <c r="AG238" i="12"/>
  <c r="AD293" i="27"/>
  <c r="AE293" i="27"/>
  <c r="AT226" i="27"/>
  <c r="AU226" i="27"/>
  <c r="AW226" i="27"/>
  <c r="BM226" i="27"/>
  <c r="AF153" i="27"/>
  <c r="AD126" i="27"/>
  <c r="AT126" i="27"/>
  <c r="AU126" i="27"/>
  <c r="AW126" i="27"/>
  <c r="BM126" i="27"/>
  <c r="BP126" i="27"/>
  <c r="AG150" i="27"/>
  <c r="AG70" i="27"/>
  <c r="AG74" i="27"/>
  <c r="AG180" i="27"/>
  <c r="AG56" i="27"/>
  <c r="AD59" i="27"/>
  <c r="AE59" i="27"/>
  <c r="AD42" i="27"/>
  <c r="AE42" i="27"/>
  <c r="AF56" i="27"/>
  <c r="AE81" i="27"/>
  <c r="AT81" i="27"/>
  <c r="AU81" i="27"/>
  <c r="AW81" i="27"/>
  <c r="BM81" i="27"/>
  <c r="AT17" i="27"/>
  <c r="AU17" i="27"/>
  <c r="AW17" i="27"/>
  <c r="BM17" i="27"/>
  <c r="AG236" i="27"/>
  <c r="AF236" i="27"/>
  <c r="AT236" i="27"/>
  <c r="AU236" i="27"/>
  <c r="AW236" i="27"/>
  <c r="BM236" i="27"/>
  <c r="AT37" i="27"/>
  <c r="AU37" i="27"/>
  <c r="AW37" i="27"/>
  <c r="BM37" i="27"/>
  <c r="BP37" i="27"/>
  <c r="AT216" i="27"/>
  <c r="AU216" i="27"/>
  <c r="AW216" i="27"/>
  <c r="BM216" i="27"/>
  <c r="AT220" i="27"/>
  <c r="AU220" i="27"/>
  <c r="AW220" i="27"/>
  <c r="BM220" i="27"/>
  <c r="BP220" i="27"/>
  <c r="AT106" i="27"/>
  <c r="AU106" i="27"/>
  <c r="AW106" i="27"/>
  <c r="BM106" i="27"/>
  <c r="BN106" i="27"/>
  <c r="AG115" i="27"/>
  <c r="AD130" i="27"/>
  <c r="AF90" i="27"/>
  <c r="AT7" i="27"/>
  <c r="AU7" i="27"/>
  <c r="AW7" i="27"/>
  <c r="BM7" i="27"/>
  <c r="BN7" i="27"/>
  <c r="AT300" i="27"/>
  <c r="AU300" i="27"/>
  <c r="AW300" i="27"/>
  <c r="BM300" i="27"/>
  <c r="AT202" i="27"/>
  <c r="AU202" i="27"/>
  <c r="AW202" i="27"/>
  <c r="BM202" i="27"/>
  <c r="AF130" i="27"/>
  <c r="AT48" i="27"/>
  <c r="AU48" i="27"/>
  <c r="AW48" i="27"/>
  <c r="BM48" i="27"/>
  <c r="BN48" i="27"/>
  <c r="AT14" i="27"/>
  <c r="AU14" i="27"/>
  <c r="AW14" i="27"/>
  <c r="BM14" i="27"/>
  <c r="AD324" i="27"/>
  <c r="AE324" i="27"/>
  <c r="AF324" i="27"/>
  <c r="AT209" i="27"/>
  <c r="AU209" i="27"/>
  <c r="AW209" i="27"/>
  <c r="BM209" i="27"/>
  <c r="AT215" i="27"/>
  <c r="AU215" i="27"/>
  <c r="AW215" i="27"/>
  <c r="BM215" i="27"/>
  <c r="BN215" i="27"/>
  <c r="AF228" i="12"/>
  <c r="AT131" i="27"/>
  <c r="AU131" i="27"/>
  <c r="AW131" i="27"/>
  <c r="BM131" i="27"/>
  <c r="BN131" i="27"/>
  <c r="AD174" i="27"/>
  <c r="AE174" i="27"/>
  <c r="AG174" i="27"/>
  <c r="AF174" i="27"/>
  <c r="AG228" i="12"/>
  <c r="AT285" i="27"/>
  <c r="AU285" i="27"/>
  <c r="AW285" i="27"/>
  <c r="BM285" i="27"/>
  <c r="AT255" i="27"/>
  <c r="AU255" i="27"/>
  <c r="AW255" i="27"/>
  <c r="BM255" i="27"/>
  <c r="AT153" i="27"/>
  <c r="AU153" i="27"/>
  <c r="AW153" i="27"/>
  <c r="BM153" i="27"/>
  <c r="AG274" i="27"/>
  <c r="AT274" i="27"/>
  <c r="AU274" i="27"/>
  <c r="AW274" i="27"/>
  <c r="BM274" i="27"/>
  <c r="AF275" i="27"/>
  <c r="AF178" i="27"/>
  <c r="AT178" i="27"/>
  <c r="AU178" i="27"/>
  <c r="AW178" i="27"/>
  <c r="BM178" i="27"/>
  <c r="AG105" i="27"/>
  <c r="AG97" i="27"/>
  <c r="AG107" i="27"/>
  <c r="AE74" i="27"/>
  <c r="AE31" i="27"/>
  <c r="AG44" i="27"/>
  <c r="AT54" i="27"/>
  <c r="AU54" i="27"/>
  <c r="AW54" i="27"/>
  <c r="BM54" i="27"/>
  <c r="AG61" i="27"/>
  <c r="AT44" i="27"/>
  <c r="AU44" i="27"/>
  <c r="AW44" i="27"/>
  <c r="BM44" i="27"/>
  <c r="BP44" i="27"/>
  <c r="AT55" i="27"/>
  <c r="AU55" i="27"/>
  <c r="AW55" i="27"/>
  <c r="BM55" i="27"/>
  <c r="BP55" i="27"/>
  <c r="AT16" i="27"/>
  <c r="AU16" i="27"/>
  <c r="AW16" i="27"/>
  <c r="BM16" i="27"/>
  <c r="AE168" i="27"/>
  <c r="AT168" i="27"/>
  <c r="AU168" i="27"/>
  <c r="AW168" i="27"/>
  <c r="BM168" i="27"/>
  <c r="BN168" i="27"/>
  <c r="AT315" i="27"/>
  <c r="AU315" i="27"/>
  <c r="AW315" i="27"/>
  <c r="BM315" i="27"/>
  <c r="AT164" i="27"/>
  <c r="AU164" i="27"/>
  <c r="AW164" i="27"/>
  <c r="BM164" i="27"/>
  <c r="AT281" i="27"/>
  <c r="AU281" i="27"/>
  <c r="AW281" i="27"/>
  <c r="BM281" i="27"/>
  <c r="AT234" i="27"/>
  <c r="AU234" i="27"/>
  <c r="AW234" i="27"/>
  <c r="BM234" i="27"/>
  <c r="AD122" i="27"/>
  <c r="AD97" i="27"/>
  <c r="AE97" i="27"/>
  <c r="AT140" i="27"/>
  <c r="AU140" i="27"/>
  <c r="AW140" i="27"/>
  <c r="BM140" i="27"/>
  <c r="BP140" i="27"/>
  <c r="AF70" i="27"/>
  <c r="AT70" i="27"/>
  <c r="AU70" i="27"/>
  <c r="AW70" i="27"/>
  <c r="BM70" i="27"/>
  <c r="AF40" i="27"/>
  <c r="AT40" i="27"/>
  <c r="AU40" i="27"/>
  <c r="AW40" i="27"/>
  <c r="BM40" i="27"/>
  <c r="AT91" i="27"/>
  <c r="AU91" i="27"/>
  <c r="AW91" i="27"/>
  <c r="BM91" i="27"/>
  <c r="BP91" i="27"/>
  <c r="AG37" i="27"/>
  <c r="AG83" i="27"/>
  <c r="AF160" i="27"/>
  <c r="BN99" i="27"/>
  <c r="AE128" i="12"/>
  <c r="AT128" i="12"/>
  <c r="AU128" i="12"/>
  <c r="AW128" i="12"/>
  <c r="BM128" i="12"/>
  <c r="AT263" i="12"/>
  <c r="AU263" i="12"/>
  <c r="AW263" i="12"/>
  <c r="BM263" i="12"/>
  <c r="BN263" i="12"/>
  <c r="AD247" i="12"/>
  <c r="AE247" i="12"/>
  <c r="AT240" i="12"/>
  <c r="AU240" i="12"/>
  <c r="AW240" i="12"/>
  <c r="BM240" i="12"/>
  <c r="BN240" i="12"/>
  <c r="AE228" i="12"/>
  <c r="AT228" i="12"/>
  <c r="AU228" i="12"/>
  <c r="AW228" i="12"/>
  <c r="BM228" i="12"/>
  <c r="AT236" i="12"/>
  <c r="AU236" i="12"/>
  <c r="AW236" i="12"/>
  <c r="BM236" i="12"/>
  <c r="BP236" i="12"/>
  <c r="AD226" i="12"/>
  <c r="AE226" i="12"/>
  <c r="AT226" i="12"/>
  <c r="AU226" i="12"/>
  <c r="AW226" i="12"/>
  <c r="BM226" i="12"/>
  <c r="AF239" i="12"/>
  <c r="AG239" i="12"/>
  <c r="AE18" i="27"/>
  <c r="AE90" i="27"/>
  <c r="AT265" i="27"/>
  <c r="AU265" i="27"/>
  <c r="AW265" i="27"/>
  <c r="BM265" i="27"/>
  <c r="BN265" i="27"/>
  <c r="AT137" i="27"/>
  <c r="AU137" i="27"/>
  <c r="AW137" i="27"/>
  <c r="BM137" i="27"/>
  <c r="BP137" i="27"/>
  <c r="AG280" i="27"/>
  <c r="AF280" i="27"/>
  <c r="AD280" i="27"/>
  <c r="AT242" i="12"/>
  <c r="AU242" i="12"/>
  <c r="AW242" i="12"/>
  <c r="BM242" i="12"/>
  <c r="BN242" i="12"/>
  <c r="AT260" i="12"/>
  <c r="AU260" i="12"/>
  <c r="AW260" i="12"/>
  <c r="BM260" i="12"/>
  <c r="BN260" i="12"/>
  <c r="AT323" i="27"/>
  <c r="AU323" i="27"/>
  <c r="AW323" i="27"/>
  <c r="BM323" i="27"/>
  <c r="AE313" i="27"/>
  <c r="AT313" i="27"/>
  <c r="AU313" i="27"/>
  <c r="AW313" i="27"/>
  <c r="BM313" i="27"/>
  <c r="AT221" i="27"/>
  <c r="AU221" i="27"/>
  <c r="AW221" i="27"/>
  <c r="BM221" i="27"/>
  <c r="BN221" i="27"/>
  <c r="AE135" i="27"/>
  <c r="AT135" i="27"/>
  <c r="AU135" i="27"/>
  <c r="AW135" i="27"/>
  <c r="BM135" i="27"/>
  <c r="AT152" i="27"/>
  <c r="AU152" i="27"/>
  <c r="AW152" i="27"/>
  <c r="BM152" i="27"/>
  <c r="BP152" i="27"/>
  <c r="AE211" i="27"/>
  <c r="AT211" i="27"/>
  <c r="AU211" i="27"/>
  <c r="AW211" i="27"/>
  <c r="BM211" i="27"/>
  <c r="AT107" i="27"/>
  <c r="AU107" i="27"/>
  <c r="AW107" i="27"/>
  <c r="BM107" i="27"/>
  <c r="BP107" i="27"/>
  <c r="AT35" i="27"/>
  <c r="AU35" i="27"/>
  <c r="AW35" i="27"/>
  <c r="BM35" i="27"/>
  <c r="BP35" i="27"/>
  <c r="AG18" i="27"/>
  <c r="AF228" i="27"/>
  <c r="AG228" i="27"/>
  <c r="AF142" i="27"/>
  <c r="AD142" i="27"/>
  <c r="AG142" i="27"/>
  <c r="AD183" i="27"/>
  <c r="AE183" i="27"/>
  <c r="AT183" i="27"/>
  <c r="AU183" i="27"/>
  <c r="AW183" i="27"/>
  <c r="BM183" i="27"/>
  <c r="AT269" i="27"/>
  <c r="AU269" i="27"/>
  <c r="AW269" i="27"/>
  <c r="BM269" i="27"/>
  <c r="BN269" i="27"/>
  <c r="AT266" i="27"/>
  <c r="AU266" i="27"/>
  <c r="AW266" i="27"/>
  <c r="BM266" i="27"/>
  <c r="BN266" i="27"/>
  <c r="AT251" i="27"/>
  <c r="AU251" i="27"/>
  <c r="AW251" i="27"/>
  <c r="BM251" i="27"/>
  <c r="AT283" i="27"/>
  <c r="AU283" i="27"/>
  <c r="AW283" i="27"/>
  <c r="BM283" i="27"/>
  <c r="BP283" i="27"/>
  <c r="AT271" i="27"/>
  <c r="AU271" i="27"/>
  <c r="AW271" i="27"/>
  <c r="BM271" i="27"/>
  <c r="AT125" i="27"/>
  <c r="AU125" i="27"/>
  <c r="AW125" i="27"/>
  <c r="BM125" i="27"/>
  <c r="AT158" i="27"/>
  <c r="AU158" i="27"/>
  <c r="AW158" i="27"/>
  <c r="BM158" i="27"/>
  <c r="BN158" i="27"/>
  <c r="AT161" i="27"/>
  <c r="AU161" i="27"/>
  <c r="AW161" i="27"/>
  <c r="BM161" i="27"/>
  <c r="BN161" i="27"/>
  <c r="AT96" i="27"/>
  <c r="AU96" i="27"/>
  <c r="AW96" i="27"/>
  <c r="BM96" i="27"/>
  <c r="BN96" i="27"/>
  <c r="AT151" i="27"/>
  <c r="AU151" i="27"/>
  <c r="AW151" i="27"/>
  <c r="BM151" i="27"/>
  <c r="BP151" i="27"/>
  <c r="AT129" i="27"/>
  <c r="AU129" i="27"/>
  <c r="AW129" i="27"/>
  <c r="BM129" i="27"/>
  <c r="BP129" i="27"/>
  <c r="AT133" i="27"/>
  <c r="AU133" i="27"/>
  <c r="AW133" i="27"/>
  <c r="BM133" i="27"/>
  <c r="AT113" i="27"/>
  <c r="AU113" i="27"/>
  <c r="AW113" i="27"/>
  <c r="BM113" i="27"/>
  <c r="BP113" i="27"/>
  <c r="AT87" i="27"/>
  <c r="AU87" i="27"/>
  <c r="AW87" i="27"/>
  <c r="BM87" i="27"/>
  <c r="AT39" i="27"/>
  <c r="AU39" i="27"/>
  <c r="AW39" i="27"/>
  <c r="BM39" i="27"/>
  <c r="AT24" i="27"/>
  <c r="AU24" i="27"/>
  <c r="AW24" i="27"/>
  <c r="BM24" i="27"/>
  <c r="AT71" i="27"/>
  <c r="AU71" i="27"/>
  <c r="AW71" i="27"/>
  <c r="BM71" i="27"/>
  <c r="BN71" i="27"/>
  <c r="AF18" i="27"/>
  <c r="AF261" i="12"/>
  <c r="AD261" i="12"/>
  <c r="AG261" i="12"/>
  <c r="AT144" i="27"/>
  <c r="AU144" i="27"/>
  <c r="AW144" i="27"/>
  <c r="BM144" i="27"/>
  <c r="BN144" i="27"/>
  <c r="AT145" i="27"/>
  <c r="AU145" i="27"/>
  <c r="AW145" i="27"/>
  <c r="BM145" i="27"/>
  <c r="AT12" i="27"/>
  <c r="AU12" i="27"/>
  <c r="AW12" i="27"/>
  <c r="BM12" i="27"/>
  <c r="AT38" i="27"/>
  <c r="AU38" i="27"/>
  <c r="AW38" i="27"/>
  <c r="BM38" i="27"/>
  <c r="BP38" i="27"/>
  <c r="AT265" i="12"/>
  <c r="AU265" i="12"/>
  <c r="AW265" i="12"/>
  <c r="BM265" i="12"/>
  <c r="BN265" i="12"/>
  <c r="AT224" i="12"/>
  <c r="AU224" i="12"/>
  <c r="AW224" i="12"/>
  <c r="BM224" i="12"/>
  <c r="BP224" i="12"/>
  <c r="AT267" i="12"/>
  <c r="AU267" i="12"/>
  <c r="AW267" i="12"/>
  <c r="BM267" i="12"/>
  <c r="BP267" i="12"/>
  <c r="AT311" i="27"/>
  <c r="AU311" i="27"/>
  <c r="AW311" i="27"/>
  <c r="BM311" i="27"/>
  <c r="BN311" i="27"/>
  <c r="AE248" i="27"/>
  <c r="AT248" i="27"/>
  <c r="AU248" i="27"/>
  <c r="AW248" i="27"/>
  <c r="BM248" i="27"/>
  <c r="AT231" i="27"/>
  <c r="AU231" i="27"/>
  <c r="AW231" i="27"/>
  <c r="BM231" i="27"/>
  <c r="BN231" i="27"/>
  <c r="AT272" i="27"/>
  <c r="AU272" i="27"/>
  <c r="AW272" i="27"/>
  <c r="BM272" i="27"/>
  <c r="BN272" i="27"/>
  <c r="AT182" i="27"/>
  <c r="AU182" i="27"/>
  <c r="AW182" i="27"/>
  <c r="BM182" i="27"/>
  <c r="AT108" i="27"/>
  <c r="AU108" i="27"/>
  <c r="AW108" i="27"/>
  <c r="BM108" i="27"/>
  <c r="AT117" i="27"/>
  <c r="AU117" i="27"/>
  <c r="AW117" i="27"/>
  <c r="BM117" i="27"/>
  <c r="BP117" i="27"/>
  <c r="AT78" i="27"/>
  <c r="AU78" i="27"/>
  <c r="AW78" i="27"/>
  <c r="BM78" i="27"/>
  <c r="AT56" i="27"/>
  <c r="AU56" i="27"/>
  <c r="AW56" i="27"/>
  <c r="BM56" i="27"/>
  <c r="BN56" i="27"/>
  <c r="AE41" i="27"/>
  <c r="AT41" i="27"/>
  <c r="AU41" i="27"/>
  <c r="AW41" i="27"/>
  <c r="BM41" i="27"/>
  <c r="AT23" i="27"/>
  <c r="AU23" i="27"/>
  <c r="AW23" i="27"/>
  <c r="BM23" i="27"/>
  <c r="BN23" i="27"/>
  <c r="AT4" i="27"/>
  <c r="AU4" i="27"/>
  <c r="AW4" i="27"/>
  <c r="BM4" i="27"/>
  <c r="BP4" i="27"/>
  <c r="AE326" i="27"/>
  <c r="AT326" i="27"/>
  <c r="AU326" i="27"/>
  <c r="AW326" i="27"/>
  <c r="BM326" i="27"/>
  <c r="AG134" i="27"/>
  <c r="AF134" i="27"/>
  <c r="AD134" i="27"/>
  <c r="AT270" i="27"/>
  <c r="AU270" i="27"/>
  <c r="AW270" i="27"/>
  <c r="BM270" i="27"/>
  <c r="BN270" i="27"/>
  <c r="AT260" i="27"/>
  <c r="AU260" i="27"/>
  <c r="AW260" i="27"/>
  <c r="BM260" i="27"/>
  <c r="BP260" i="27"/>
  <c r="AT259" i="27"/>
  <c r="AU259" i="27"/>
  <c r="AW259" i="27"/>
  <c r="BM259" i="27"/>
  <c r="BN259" i="27"/>
  <c r="AT262" i="27"/>
  <c r="AU262" i="27"/>
  <c r="AW262" i="27"/>
  <c r="BM262" i="27"/>
  <c r="BN262" i="27"/>
  <c r="AT230" i="27"/>
  <c r="AU230" i="27"/>
  <c r="AW230" i="27"/>
  <c r="BM230" i="27"/>
  <c r="BN230" i="27"/>
  <c r="AT237" i="27"/>
  <c r="AU237" i="27"/>
  <c r="AW237" i="27"/>
  <c r="BM237" i="27"/>
  <c r="BP237" i="27"/>
  <c r="AT128" i="27"/>
  <c r="AU128" i="27"/>
  <c r="AW128" i="27"/>
  <c r="BM128" i="27"/>
  <c r="BP128" i="27"/>
  <c r="AT75" i="27"/>
  <c r="AU75" i="27"/>
  <c r="AW75" i="27"/>
  <c r="BM75" i="27"/>
  <c r="BP75" i="27"/>
  <c r="AT15" i="27"/>
  <c r="AU15" i="27"/>
  <c r="AW15" i="27"/>
  <c r="BM15" i="27"/>
  <c r="AT3" i="27"/>
  <c r="AU3" i="27"/>
  <c r="AW3" i="27"/>
  <c r="BM3" i="27"/>
  <c r="AG154" i="27"/>
  <c r="AF154" i="27"/>
  <c r="AD154" i="27"/>
  <c r="AE154" i="27"/>
  <c r="AT154" i="27"/>
  <c r="AU154" i="27"/>
  <c r="AW154" i="27"/>
  <c r="BM154" i="27"/>
  <c r="AD170" i="27"/>
  <c r="AE170" i="27"/>
  <c r="AF170" i="27"/>
  <c r="AG6" i="27"/>
  <c r="AF6" i="27"/>
  <c r="AD6" i="27"/>
  <c r="AT147" i="27"/>
  <c r="AU147" i="27"/>
  <c r="AW147" i="27"/>
  <c r="BM147" i="27"/>
  <c r="BN147" i="27"/>
  <c r="AT120" i="27"/>
  <c r="AU120" i="27"/>
  <c r="AW120" i="27"/>
  <c r="BM120" i="27"/>
  <c r="BN120" i="27"/>
  <c r="AT85" i="27"/>
  <c r="AU85" i="27"/>
  <c r="AW85" i="27"/>
  <c r="BM85" i="27"/>
  <c r="BP85" i="27"/>
  <c r="AT79" i="27"/>
  <c r="AU79" i="27"/>
  <c r="AW79" i="27"/>
  <c r="BM79" i="27"/>
  <c r="BN79" i="27"/>
  <c r="AT43" i="27"/>
  <c r="AU43" i="27"/>
  <c r="AW43" i="27"/>
  <c r="BM43" i="27"/>
  <c r="BN43" i="27"/>
  <c r="AT21" i="27"/>
  <c r="AU21" i="27"/>
  <c r="AW21" i="27"/>
  <c r="BM21" i="27"/>
  <c r="BN21" i="27"/>
  <c r="AT89" i="27"/>
  <c r="AU89" i="27"/>
  <c r="AW89" i="27"/>
  <c r="BM89" i="27"/>
  <c r="BP89" i="27"/>
  <c r="AT42" i="27"/>
  <c r="AU42" i="27"/>
  <c r="AW42" i="27"/>
  <c r="BM42" i="27"/>
  <c r="BP42" i="27"/>
  <c r="AG320" i="27"/>
  <c r="AF320" i="27"/>
  <c r="AD320" i="27"/>
  <c r="AG307" i="27"/>
  <c r="AF307" i="27"/>
  <c r="AT307" i="27"/>
  <c r="AU307" i="27"/>
  <c r="AW307" i="27"/>
  <c r="BM307" i="27"/>
  <c r="AE316" i="27"/>
  <c r="AT316" i="27"/>
  <c r="AU316" i="27"/>
  <c r="AW316" i="27"/>
  <c r="BM316" i="27"/>
  <c r="AT301" i="27"/>
  <c r="AU301" i="27"/>
  <c r="AW301" i="27"/>
  <c r="BM301" i="27"/>
  <c r="BP301" i="27"/>
  <c r="AT296" i="27"/>
  <c r="AU296" i="27"/>
  <c r="AW296" i="27"/>
  <c r="BM296" i="27"/>
  <c r="BN296" i="27"/>
  <c r="AT297" i="27"/>
  <c r="AU297" i="27"/>
  <c r="AW297" i="27"/>
  <c r="BM297" i="27"/>
  <c r="BN297" i="27"/>
  <c r="AT162" i="27"/>
  <c r="AU162" i="27"/>
  <c r="AW162" i="27"/>
  <c r="BM162" i="27"/>
  <c r="BN162" i="27"/>
  <c r="AT212" i="27"/>
  <c r="AU212" i="27"/>
  <c r="AW212" i="27"/>
  <c r="BM212" i="27"/>
  <c r="AT189" i="27"/>
  <c r="AU189" i="27"/>
  <c r="AW189" i="27"/>
  <c r="BM189" i="27"/>
  <c r="AE223" i="27"/>
  <c r="AT223" i="27"/>
  <c r="AU223" i="27"/>
  <c r="AW223" i="27"/>
  <c r="BM223" i="27"/>
  <c r="AE198" i="27"/>
  <c r="AT198" i="27"/>
  <c r="AU198" i="27"/>
  <c r="AW198" i="27"/>
  <c r="BM198" i="27"/>
  <c r="AG100" i="27"/>
  <c r="AD65" i="27"/>
  <c r="AE65" i="27"/>
  <c r="AT65" i="27"/>
  <c r="AU65" i="27"/>
  <c r="AW65" i="27"/>
  <c r="BM65" i="27"/>
  <c r="AD26" i="27"/>
  <c r="AF59" i="27"/>
  <c r="AT59" i="27"/>
  <c r="AU59" i="27"/>
  <c r="AW59" i="27"/>
  <c r="BM59" i="27"/>
  <c r="BN59" i="27"/>
  <c r="AT46" i="27"/>
  <c r="AU46" i="27"/>
  <c r="AW46" i="27"/>
  <c r="BM46" i="27"/>
  <c r="BN46" i="27"/>
  <c r="AT25" i="27"/>
  <c r="AU25" i="27"/>
  <c r="AW25" i="27"/>
  <c r="BM25" i="27"/>
  <c r="BN25" i="27"/>
  <c r="AF299" i="27"/>
  <c r="AD299" i="27"/>
  <c r="AE299" i="27"/>
  <c r="AT104" i="27"/>
  <c r="AU104" i="27"/>
  <c r="AW104" i="27"/>
  <c r="BM104" i="27"/>
  <c r="AG104" i="27"/>
  <c r="AF104" i="27"/>
  <c r="AD104" i="27"/>
  <c r="AE104" i="27"/>
  <c r="AT246" i="27"/>
  <c r="AU246" i="27"/>
  <c r="AW246" i="27"/>
  <c r="BM246" i="27"/>
  <c r="BN246" i="27"/>
  <c r="AT290" i="27"/>
  <c r="AU290" i="27"/>
  <c r="AW290" i="27"/>
  <c r="BM290" i="27"/>
  <c r="BN290" i="27"/>
  <c r="AT252" i="27"/>
  <c r="AU252" i="27"/>
  <c r="AW252" i="27"/>
  <c r="BM252" i="27"/>
  <c r="BN252" i="27"/>
  <c r="AT219" i="27"/>
  <c r="AU219" i="27"/>
  <c r="AW219" i="27"/>
  <c r="BM219" i="27"/>
  <c r="BP219" i="27"/>
  <c r="AT187" i="27"/>
  <c r="AU187" i="27"/>
  <c r="AW187" i="27"/>
  <c r="BM187" i="27"/>
  <c r="BN187" i="27"/>
  <c r="AG247" i="12"/>
  <c r="AT303" i="27"/>
  <c r="AU303" i="27"/>
  <c r="AW303" i="27"/>
  <c r="BM303" i="27"/>
  <c r="BN303" i="27"/>
  <c r="AF287" i="27"/>
  <c r="AT279" i="27"/>
  <c r="AU279" i="27"/>
  <c r="AW279" i="27"/>
  <c r="BM279" i="27"/>
  <c r="BP279" i="27"/>
  <c r="AT176" i="27"/>
  <c r="AU176" i="27"/>
  <c r="AW176" i="27"/>
  <c r="BM176" i="27"/>
  <c r="BN176" i="27"/>
  <c r="AG170" i="27"/>
  <c r="AT249" i="27"/>
  <c r="AU249" i="27"/>
  <c r="AW249" i="27"/>
  <c r="BM249" i="27"/>
  <c r="BN249" i="27"/>
  <c r="AD150" i="27"/>
  <c r="AE150" i="27"/>
  <c r="AT150" i="27"/>
  <c r="AU150" i="27"/>
  <c r="AW150" i="27"/>
  <c r="BM150" i="27"/>
  <c r="AT163" i="27"/>
  <c r="AU163" i="27"/>
  <c r="AW163" i="27"/>
  <c r="BM163" i="27"/>
  <c r="BN163" i="27"/>
  <c r="AT254" i="27"/>
  <c r="AU254" i="27"/>
  <c r="AW254" i="27"/>
  <c r="BM254" i="27"/>
  <c r="BP254" i="27"/>
  <c r="AT72" i="27"/>
  <c r="AU72" i="27"/>
  <c r="AW72" i="27"/>
  <c r="BM72" i="27"/>
  <c r="AT146" i="27"/>
  <c r="AU146" i="27"/>
  <c r="AW146" i="27"/>
  <c r="BM146" i="27"/>
  <c r="BP146" i="27"/>
  <c r="AT115" i="27"/>
  <c r="AU115" i="27"/>
  <c r="AW115" i="27"/>
  <c r="BM115" i="27"/>
  <c r="BN115" i="27"/>
  <c r="AT74" i="27"/>
  <c r="AU74" i="27"/>
  <c r="AW74" i="27"/>
  <c r="BM74" i="27"/>
  <c r="BN74" i="27"/>
  <c r="AG26" i="27"/>
  <c r="AT60" i="27"/>
  <c r="AU60" i="27"/>
  <c r="AW60" i="27"/>
  <c r="BM60" i="27"/>
  <c r="BP60" i="27"/>
  <c r="AT22" i="27"/>
  <c r="AU22" i="27"/>
  <c r="AW22" i="27"/>
  <c r="BM22" i="27"/>
  <c r="BP22" i="27"/>
  <c r="AD30" i="27"/>
  <c r="AG312" i="27"/>
  <c r="AF312" i="27"/>
  <c r="AD312" i="27"/>
  <c r="AF31" i="27"/>
  <c r="AG31" i="27"/>
  <c r="AG218" i="27"/>
  <c r="AF218" i="27"/>
  <c r="AG172" i="27"/>
  <c r="AF172" i="27"/>
  <c r="AT172" i="27"/>
  <c r="AU172" i="27"/>
  <c r="AW172" i="27"/>
  <c r="BM172" i="27"/>
  <c r="AE210" i="12"/>
  <c r="AF215" i="12"/>
  <c r="AT233" i="27"/>
  <c r="AU233" i="27"/>
  <c r="AW233" i="27"/>
  <c r="BM233" i="27"/>
  <c r="BN233" i="27"/>
  <c r="AT247" i="27"/>
  <c r="AU247" i="27"/>
  <c r="AW247" i="27"/>
  <c r="BM247" i="27"/>
  <c r="BN247" i="27"/>
  <c r="AT234" i="12"/>
  <c r="AU234" i="12"/>
  <c r="AW234" i="12"/>
  <c r="BM234" i="12"/>
  <c r="BP234" i="12"/>
  <c r="AF258" i="12"/>
  <c r="AF254" i="12"/>
  <c r="AD254" i="12"/>
  <c r="AE254" i="12"/>
  <c r="AG212" i="12"/>
  <c r="AD287" i="27"/>
  <c r="AE287" i="27"/>
  <c r="AT242" i="27"/>
  <c r="AU242" i="27"/>
  <c r="AW242" i="27"/>
  <c r="BM242" i="27"/>
  <c r="AT282" i="27"/>
  <c r="AU282" i="27"/>
  <c r="AW282" i="27"/>
  <c r="BM282" i="27"/>
  <c r="BP282" i="27"/>
  <c r="AT222" i="27"/>
  <c r="AU222" i="27"/>
  <c r="AW222" i="27"/>
  <c r="BM222" i="27"/>
  <c r="BN222" i="27"/>
  <c r="AT210" i="27"/>
  <c r="AU210" i="27"/>
  <c r="AW210" i="27"/>
  <c r="BM210" i="27"/>
  <c r="BP210" i="27"/>
  <c r="AT156" i="27"/>
  <c r="AU156" i="27"/>
  <c r="AW156" i="27"/>
  <c r="BM156" i="27"/>
  <c r="BP156" i="27"/>
  <c r="AT118" i="27"/>
  <c r="AU118" i="27"/>
  <c r="AW118" i="27"/>
  <c r="BM118" i="27"/>
  <c r="BP118" i="27"/>
  <c r="AT119" i="27"/>
  <c r="AU119" i="27"/>
  <c r="AW119" i="27"/>
  <c r="BM119" i="27"/>
  <c r="BP119" i="27"/>
  <c r="AT2" i="27"/>
  <c r="AU2" i="27"/>
  <c r="AW2" i="27"/>
  <c r="BM2" i="27"/>
  <c r="BP2" i="27"/>
  <c r="AE67" i="27"/>
  <c r="AT67" i="27"/>
  <c r="AU67" i="27"/>
  <c r="AW67" i="27"/>
  <c r="BM67" i="27"/>
  <c r="AT62" i="27"/>
  <c r="AU62" i="27"/>
  <c r="AW62" i="27"/>
  <c r="BM62" i="27"/>
  <c r="BP62" i="27"/>
  <c r="AT52" i="27"/>
  <c r="AU52" i="27"/>
  <c r="AW52" i="27"/>
  <c r="BM52" i="27"/>
  <c r="BN52" i="27"/>
  <c r="AT50" i="27"/>
  <c r="AU50" i="27"/>
  <c r="AW50" i="27"/>
  <c r="BM50" i="27"/>
  <c r="BP50" i="27"/>
  <c r="AG310" i="27"/>
  <c r="AF310" i="27"/>
  <c r="AG208" i="27"/>
  <c r="AF208" i="27"/>
  <c r="BN301" i="27"/>
  <c r="BP162" i="27"/>
  <c r="BP25" i="27"/>
  <c r="BP163" i="27"/>
  <c r="BN282" i="27"/>
  <c r="BN164" i="27"/>
  <c r="BP164" i="27"/>
  <c r="BP77" i="27"/>
  <c r="BN77" i="27"/>
  <c r="BP141" i="27"/>
  <c r="BN141" i="27"/>
  <c r="BP15" i="27"/>
  <c r="BN15" i="27"/>
  <c r="BP3" i="27"/>
  <c r="BN3" i="27"/>
  <c r="BP181" i="27"/>
  <c r="BN181" i="27"/>
  <c r="BP153" i="27"/>
  <c r="BN153" i="27"/>
  <c r="BN209" i="27"/>
  <c r="BP209" i="27"/>
  <c r="BP120" i="27"/>
  <c r="BN255" i="27"/>
  <c r="BP255" i="27"/>
  <c r="BN72" i="27"/>
  <c r="BP72" i="27"/>
  <c r="BN60" i="27"/>
  <c r="BP322" i="27"/>
  <c r="BN251" i="27"/>
  <c r="BP251" i="27"/>
  <c r="BN271" i="27"/>
  <c r="BP271" i="27"/>
  <c r="BN125" i="27"/>
  <c r="BP125" i="27"/>
  <c r="BN151" i="27"/>
  <c r="BP133" i="27"/>
  <c r="BN133" i="27"/>
  <c r="BP87" i="27"/>
  <c r="BN87" i="27"/>
  <c r="BP39" i="27"/>
  <c r="BN39" i="27"/>
  <c r="BP24" i="27"/>
  <c r="BN24" i="27"/>
  <c r="BP71" i="27"/>
  <c r="BP13" i="27"/>
  <c r="BN13" i="27"/>
  <c r="BP242" i="27"/>
  <c r="BN242" i="27"/>
  <c r="BP144" i="27"/>
  <c r="BN91" i="27"/>
  <c r="BN145" i="27"/>
  <c r="BP145" i="27"/>
  <c r="BN12" i="27"/>
  <c r="BP12" i="27"/>
  <c r="BN54" i="27"/>
  <c r="BP54" i="27"/>
  <c r="BP234" i="27"/>
  <c r="BN234" i="27"/>
  <c r="BP189" i="27"/>
  <c r="BN189" i="27"/>
  <c r="BN239" i="27"/>
  <c r="BP239" i="27"/>
  <c r="BN220" i="27"/>
  <c r="BP238" i="27"/>
  <c r="BN114" i="27"/>
  <c r="BP114" i="27"/>
  <c r="BN285" i="27"/>
  <c r="BP285" i="27"/>
  <c r="BP16" i="27"/>
  <c r="BN16" i="27"/>
  <c r="BP323" i="27"/>
  <c r="BN323" i="27"/>
  <c r="BP216" i="27"/>
  <c r="BN216" i="27"/>
  <c r="BP182" i="27"/>
  <c r="BN182" i="27"/>
  <c r="BN108" i="27"/>
  <c r="BP108" i="27"/>
  <c r="BP78" i="27"/>
  <c r="BN78" i="27"/>
  <c r="BN53" i="27"/>
  <c r="BP53" i="27"/>
  <c r="BP56" i="27"/>
  <c r="AE244" i="27"/>
  <c r="AT244" i="27"/>
  <c r="AU244" i="27"/>
  <c r="AW244" i="27"/>
  <c r="BM244" i="27"/>
  <c r="AG286" i="27"/>
  <c r="AF286" i="27"/>
  <c r="AD286" i="27"/>
  <c r="AE286" i="27"/>
  <c r="AT318" i="27"/>
  <c r="AU318" i="27"/>
  <c r="AW318" i="27"/>
  <c r="BM318" i="27"/>
  <c r="AT321" i="27"/>
  <c r="AU321" i="27"/>
  <c r="AW321" i="27"/>
  <c r="BM321" i="27"/>
  <c r="AT284" i="27"/>
  <c r="AU284" i="27"/>
  <c r="AW284" i="27"/>
  <c r="BM284" i="27"/>
  <c r="AE64" i="27"/>
  <c r="AT64" i="27"/>
  <c r="AU64" i="27"/>
  <c r="AW64" i="27"/>
  <c r="BM64" i="27"/>
  <c r="AE34" i="27"/>
  <c r="AT34" i="27"/>
  <c r="AU34" i="27"/>
  <c r="AW34" i="27"/>
  <c r="BM34" i="27"/>
  <c r="AD188" i="27"/>
  <c r="AE188" i="27"/>
  <c r="AF188" i="27"/>
  <c r="AG188" i="27"/>
  <c r="BP97" i="27"/>
  <c r="BN97" i="27"/>
  <c r="AD92" i="27"/>
  <c r="AE92" i="27"/>
  <c r="AG92" i="27"/>
  <c r="AF92" i="27"/>
  <c r="AE148" i="27"/>
  <c r="AT148" i="27"/>
  <c r="AU148" i="27"/>
  <c r="AW148" i="27"/>
  <c r="BM148" i="27"/>
  <c r="AE112" i="27"/>
  <c r="AT112" i="27"/>
  <c r="AU112" i="27"/>
  <c r="AW112" i="27"/>
  <c r="BM112" i="27"/>
  <c r="AT86" i="27"/>
  <c r="AU86" i="27"/>
  <c r="AW86" i="27"/>
  <c r="BM86" i="27"/>
  <c r="AT298" i="27"/>
  <c r="AU298" i="27"/>
  <c r="AW298" i="27"/>
  <c r="BM298" i="27"/>
  <c r="BN177" i="27"/>
  <c r="AF82" i="27"/>
  <c r="AD82" i="27"/>
  <c r="AE82" i="27"/>
  <c r="AG82" i="27"/>
  <c r="AT8" i="27"/>
  <c r="AU8" i="27"/>
  <c r="AW8" i="27"/>
  <c r="BM8" i="27"/>
  <c r="AT84" i="27"/>
  <c r="AU84" i="27"/>
  <c r="AW84" i="27"/>
  <c r="BM84" i="27"/>
  <c r="AG294" i="27"/>
  <c r="AD294" i="27"/>
  <c r="AF294" i="27"/>
  <c r="AG305" i="27"/>
  <c r="AF305" i="27"/>
  <c r="AD305" i="27"/>
  <c r="AE305" i="27"/>
  <c r="AT278" i="27"/>
  <c r="AU278" i="27"/>
  <c r="AW278" i="27"/>
  <c r="BM278" i="27"/>
  <c r="AE256" i="27"/>
  <c r="AT256" i="27"/>
  <c r="AU256" i="27"/>
  <c r="AW256" i="27"/>
  <c r="BM256" i="27"/>
  <c r="AE275" i="27"/>
  <c r="AG232" i="27"/>
  <c r="AF232" i="27"/>
  <c r="AD232" i="27"/>
  <c r="AE232" i="27"/>
  <c r="AT169" i="27"/>
  <c r="AU169" i="27"/>
  <c r="AW169" i="27"/>
  <c r="BM169" i="27"/>
  <c r="BN226" i="27"/>
  <c r="BP226" i="27"/>
  <c r="AT139" i="27"/>
  <c r="AU139" i="27"/>
  <c r="AW139" i="27"/>
  <c r="BM139" i="27"/>
  <c r="AT132" i="27"/>
  <c r="AU132" i="27"/>
  <c r="AW132" i="27"/>
  <c r="BM132" i="27"/>
  <c r="AT206" i="27"/>
  <c r="AU206" i="27"/>
  <c r="AW206" i="27"/>
  <c r="BM206" i="27"/>
  <c r="AT240" i="27"/>
  <c r="AU240" i="27"/>
  <c r="AW240" i="27"/>
  <c r="BM240" i="27"/>
  <c r="AT157" i="27"/>
  <c r="AU157" i="27"/>
  <c r="AW157" i="27"/>
  <c r="BM157" i="27"/>
  <c r="AE191" i="27"/>
  <c r="AT191" i="27"/>
  <c r="AU191" i="27"/>
  <c r="AW191" i="27"/>
  <c r="BM191" i="27"/>
  <c r="AE122" i="27"/>
  <c r="AT122" i="27"/>
  <c r="AU122" i="27"/>
  <c r="AW122" i="27"/>
  <c r="BM122" i="27"/>
  <c r="AT173" i="27"/>
  <c r="AU173" i="27"/>
  <c r="AW173" i="27"/>
  <c r="BM173" i="27"/>
  <c r="AG68" i="27"/>
  <c r="AF68" i="27"/>
  <c r="AD68" i="27"/>
  <c r="AE68" i="27"/>
  <c r="AE11" i="27"/>
  <c r="AT11" i="27"/>
  <c r="AU11" i="27"/>
  <c r="AW11" i="27"/>
  <c r="BM11" i="27"/>
  <c r="AT58" i="27"/>
  <c r="AU58" i="27"/>
  <c r="AW58" i="27"/>
  <c r="BM58" i="27"/>
  <c r="AE20" i="27"/>
  <c r="AT20" i="27"/>
  <c r="AU20" i="27"/>
  <c r="AW20" i="27"/>
  <c r="BM20" i="27"/>
  <c r="AE83" i="27"/>
  <c r="AT83" i="27"/>
  <c r="AU83" i="27"/>
  <c r="AW83" i="27"/>
  <c r="BM83" i="27"/>
  <c r="BN254" i="27"/>
  <c r="BP63" i="27"/>
  <c r="BN63" i="27"/>
  <c r="BP29" i="27"/>
  <c r="BN29" i="27"/>
  <c r="BO99" i="27"/>
  <c r="BQ99" i="27"/>
  <c r="BR99" i="27"/>
  <c r="BT99" i="27"/>
  <c r="BP14" i="27"/>
  <c r="BN14" i="27"/>
  <c r="AF10" i="27"/>
  <c r="AD10" i="27"/>
  <c r="AE10" i="27"/>
  <c r="AG10" i="27"/>
  <c r="AE57" i="27"/>
  <c r="AT57" i="27"/>
  <c r="AU57" i="27"/>
  <c r="AW57" i="27"/>
  <c r="BM57" i="27"/>
  <c r="AE130" i="27"/>
  <c r="BS99" i="27"/>
  <c r="BC99" i="27"/>
  <c r="BD99" i="27"/>
  <c r="BA99" i="27"/>
  <c r="BB99" i="27"/>
  <c r="AX99" i="27"/>
  <c r="AT76" i="27"/>
  <c r="AU76" i="27"/>
  <c r="AW76" i="27"/>
  <c r="BM76" i="27"/>
  <c r="AE33" i="27"/>
  <c r="AT33" i="27"/>
  <c r="AU33" i="27"/>
  <c r="AW33" i="27"/>
  <c r="BM33" i="27"/>
  <c r="AE69" i="27"/>
  <c r="AT69" i="27"/>
  <c r="AU69" i="27"/>
  <c r="AW69" i="27"/>
  <c r="BM69" i="27"/>
  <c r="AF28" i="27"/>
  <c r="AG28" i="27"/>
  <c r="AD28" i="27"/>
  <c r="BP300" i="27"/>
  <c r="BN300" i="27"/>
  <c r="AG203" i="27"/>
  <c r="AF203" i="27"/>
  <c r="AD203" i="27"/>
  <c r="AE203" i="27"/>
  <c r="BP138" i="27"/>
  <c r="BN138" i="27"/>
  <c r="AT273" i="27"/>
  <c r="AU273" i="27"/>
  <c r="AW273" i="27"/>
  <c r="BM273" i="27"/>
  <c r="AG201" i="27"/>
  <c r="AD201" i="27"/>
  <c r="AE201" i="27"/>
  <c r="AF201" i="27"/>
  <c r="BN100" i="27"/>
  <c r="BP100" i="27"/>
  <c r="AD306" i="27"/>
  <c r="AE306" i="27"/>
  <c r="AG306" i="27"/>
  <c r="AF306" i="27"/>
  <c r="AD304" i="27"/>
  <c r="AE304" i="27"/>
  <c r="AF304" i="27"/>
  <c r="AG304" i="27"/>
  <c r="AT308" i="27"/>
  <c r="AU308" i="27"/>
  <c r="AW308" i="27"/>
  <c r="BM308" i="27"/>
  <c r="AT229" i="27"/>
  <c r="AU229" i="27"/>
  <c r="AW229" i="27"/>
  <c r="BM229" i="27"/>
  <c r="AT207" i="27"/>
  <c r="AU207" i="27"/>
  <c r="AW207" i="27"/>
  <c r="BM207" i="27"/>
  <c r="AT225" i="27"/>
  <c r="AU225" i="27"/>
  <c r="AW225" i="27"/>
  <c r="BM225" i="27"/>
  <c r="AE192" i="27"/>
  <c r="AT192" i="27"/>
  <c r="AU192" i="27"/>
  <c r="AW192" i="27"/>
  <c r="BM192" i="27"/>
  <c r="AE45" i="27"/>
  <c r="AT45" i="27"/>
  <c r="AU45" i="27"/>
  <c r="AW45" i="27"/>
  <c r="BM45" i="27"/>
  <c r="AE143" i="27"/>
  <c r="AT143" i="27"/>
  <c r="AU143" i="27"/>
  <c r="AW143" i="27"/>
  <c r="BM143" i="27"/>
  <c r="AG80" i="27"/>
  <c r="AF80" i="27"/>
  <c r="AD80" i="27"/>
  <c r="AE80" i="27"/>
  <c r="AT80" i="27"/>
  <c r="AU80" i="27"/>
  <c r="AW80" i="27"/>
  <c r="BM80" i="27"/>
  <c r="AE253" i="27"/>
  <c r="AT253" i="27"/>
  <c r="AU253" i="27"/>
  <c r="AW253" i="27"/>
  <c r="BM253" i="27"/>
  <c r="BP227" i="27"/>
  <c r="BN227" i="27"/>
  <c r="AE110" i="27"/>
  <c r="AT110" i="27"/>
  <c r="AU110" i="27"/>
  <c r="AW110" i="27"/>
  <c r="BM110" i="27"/>
  <c r="AE49" i="27"/>
  <c r="AT49" i="27"/>
  <c r="AU49" i="27"/>
  <c r="AW49" i="27"/>
  <c r="BM49" i="27"/>
  <c r="AD291" i="27"/>
  <c r="AE291" i="27"/>
  <c r="AG291" i="27"/>
  <c r="AF291" i="27"/>
  <c r="AT292" i="27"/>
  <c r="AU292" i="27"/>
  <c r="AW292" i="27"/>
  <c r="BM292" i="27"/>
  <c r="AT293" i="27"/>
  <c r="AU293" i="27"/>
  <c r="AW293" i="27"/>
  <c r="BM293" i="27"/>
  <c r="AG288" i="27"/>
  <c r="AF288" i="27"/>
  <c r="AD288" i="27"/>
  <c r="BP224" i="27"/>
  <c r="BN224" i="27"/>
  <c r="AT241" i="27"/>
  <c r="AU241" i="27"/>
  <c r="AW241" i="27"/>
  <c r="BM241" i="27"/>
  <c r="AE204" i="27"/>
  <c r="AT204" i="27"/>
  <c r="AU204" i="27"/>
  <c r="AW204" i="27"/>
  <c r="BM204" i="27"/>
  <c r="AE136" i="27"/>
  <c r="AT136" i="27"/>
  <c r="AU136" i="27"/>
  <c r="AW136" i="27"/>
  <c r="BM136" i="27"/>
  <c r="AT235" i="27"/>
  <c r="AU235" i="27"/>
  <c r="AW235" i="27"/>
  <c r="BM235" i="27"/>
  <c r="BN167" i="27"/>
  <c r="BP167" i="27"/>
  <c r="AD185" i="27"/>
  <c r="AF185" i="27"/>
  <c r="AG185" i="27"/>
  <c r="AE193" i="27"/>
  <c r="AT193" i="27"/>
  <c r="AU193" i="27"/>
  <c r="AW193" i="27"/>
  <c r="BM193" i="27"/>
  <c r="AG127" i="27"/>
  <c r="AD127" i="27"/>
  <c r="AE127" i="27"/>
  <c r="AF127" i="27"/>
  <c r="AE98" i="27"/>
  <c r="AT98" i="27"/>
  <c r="AU98" i="27"/>
  <c r="AW98" i="27"/>
  <c r="BM98" i="27"/>
  <c r="AT205" i="27"/>
  <c r="AU205" i="27"/>
  <c r="AW205" i="27"/>
  <c r="BM205" i="27"/>
  <c r="AE124" i="27"/>
  <c r="AT124" i="27"/>
  <c r="AU124" i="27"/>
  <c r="AW124" i="27"/>
  <c r="BM124" i="27"/>
  <c r="AT103" i="27"/>
  <c r="AU103" i="27"/>
  <c r="AW103" i="27"/>
  <c r="BM103" i="27"/>
  <c r="AE180" i="27"/>
  <c r="AE88" i="27"/>
  <c r="AT88" i="27"/>
  <c r="AU88" i="27"/>
  <c r="AW88" i="27"/>
  <c r="BM88" i="27"/>
  <c r="AT36" i="27"/>
  <c r="AU36" i="27"/>
  <c r="AW36" i="27"/>
  <c r="BM36" i="27"/>
  <c r="AT27" i="27"/>
  <c r="AU27" i="27"/>
  <c r="AW27" i="27"/>
  <c r="BM27" i="27"/>
  <c r="AT61" i="27"/>
  <c r="AU61" i="27"/>
  <c r="AW61" i="27"/>
  <c r="BM61" i="27"/>
  <c r="AE66" i="27"/>
  <c r="AT66" i="27"/>
  <c r="AU66" i="27"/>
  <c r="AW66" i="27"/>
  <c r="BM66" i="27"/>
  <c r="AE160" i="27"/>
  <c r="AT160" i="27"/>
  <c r="AU160" i="27"/>
  <c r="AW160" i="27"/>
  <c r="BM160" i="27"/>
  <c r="AE47" i="27"/>
  <c r="AT47" i="27"/>
  <c r="AU47" i="27"/>
  <c r="AW47" i="27"/>
  <c r="BM47" i="27"/>
  <c r="AE19" i="27"/>
  <c r="AT19" i="27"/>
  <c r="AU19" i="27"/>
  <c r="AW19" i="27"/>
  <c r="BM19" i="27"/>
  <c r="AE5" i="27"/>
  <c r="AT5" i="27"/>
  <c r="AU5" i="27"/>
  <c r="AW5" i="27"/>
  <c r="BM5" i="27"/>
  <c r="BP324" i="27"/>
  <c r="BN324" i="27"/>
  <c r="BP202" i="27"/>
  <c r="BN202" i="27"/>
  <c r="BP48" i="27"/>
  <c r="AE109" i="27"/>
  <c r="AT109" i="27"/>
  <c r="AU109" i="27"/>
  <c r="AW109" i="27"/>
  <c r="BM109" i="27"/>
  <c r="AE314" i="27"/>
  <c r="AT314" i="27"/>
  <c r="AU314" i="27"/>
  <c r="AW314" i="27"/>
  <c r="BM314" i="27"/>
  <c r="BP258" i="27"/>
  <c r="BN258" i="27"/>
  <c r="AT214" i="27"/>
  <c r="AU214" i="27"/>
  <c r="AW214" i="27"/>
  <c r="BM214" i="27"/>
  <c r="AE155" i="27"/>
  <c r="AT155" i="27"/>
  <c r="AU155" i="27"/>
  <c r="AW155" i="27"/>
  <c r="BM155" i="27"/>
  <c r="AE171" i="27"/>
  <c r="AT171" i="27"/>
  <c r="AU171" i="27"/>
  <c r="AW171" i="27"/>
  <c r="BM171" i="27"/>
  <c r="AG263" i="27"/>
  <c r="AF263" i="27"/>
  <c r="AD263" i="27"/>
  <c r="BP212" i="27"/>
  <c r="BN212" i="27"/>
  <c r="AE159" i="27"/>
  <c r="AT159" i="27"/>
  <c r="AU159" i="27"/>
  <c r="AW159" i="27"/>
  <c r="BM159" i="27"/>
  <c r="AT319" i="27"/>
  <c r="AU319" i="27"/>
  <c r="AW319" i="27"/>
  <c r="BM319" i="27"/>
  <c r="BN102" i="27"/>
  <c r="BP102" i="27"/>
  <c r="AD93" i="27"/>
  <c r="AE93" i="27"/>
  <c r="AF93" i="27"/>
  <c r="AG93" i="27"/>
  <c r="AT295" i="27"/>
  <c r="AU295" i="27"/>
  <c r="AW295" i="27"/>
  <c r="BM295" i="27"/>
  <c r="AT277" i="27"/>
  <c r="AU277" i="27"/>
  <c r="AW277" i="27"/>
  <c r="BM277" i="27"/>
  <c r="BN281" i="27"/>
  <c r="BP281" i="27"/>
  <c r="AE276" i="27"/>
  <c r="AT276" i="27"/>
  <c r="AU276" i="27"/>
  <c r="AW276" i="27"/>
  <c r="BM276" i="27"/>
  <c r="BP325" i="27"/>
  <c r="BN325" i="27"/>
  <c r="BN327" i="27"/>
  <c r="BP327" i="27"/>
  <c r="BN267" i="27"/>
  <c r="BP267" i="27"/>
  <c r="AT250" i="27"/>
  <c r="AU250" i="27"/>
  <c r="AW250" i="27"/>
  <c r="BM250" i="27"/>
  <c r="AG190" i="27"/>
  <c r="AD190" i="27"/>
  <c r="AF190" i="27"/>
  <c r="AD200" i="27"/>
  <c r="AE200" i="27"/>
  <c r="AG200" i="27"/>
  <c r="AF200" i="27"/>
  <c r="AG195" i="27"/>
  <c r="AF195" i="27"/>
  <c r="AD195" i="27"/>
  <c r="AE195" i="27"/>
  <c r="AT195" i="27"/>
  <c r="AU195" i="27"/>
  <c r="AW195" i="27"/>
  <c r="BM195" i="27"/>
  <c r="BP32" i="27"/>
  <c r="BN32" i="27"/>
  <c r="BN317" i="27"/>
  <c r="BP317" i="27"/>
  <c r="AG257" i="27"/>
  <c r="AD257" i="27"/>
  <c r="AE257" i="27"/>
  <c r="AF257" i="27"/>
  <c r="BP81" i="27"/>
  <c r="BN81" i="27"/>
  <c r="BP17" i="27"/>
  <c r="BN17" i="27"/>
  <c r="AD289" i="27"/>
  <c r="AE289" i="27"/>
  <c r="AG289" i="27"/>
  <c r="AF289" i="27"/>
  <c r="AT302" i="27"/>
  <c r="AU302" i="27"/>
  <c r="AW302" i="27"/>
  <c r="BM302" i="27"/>
  <c r="AT184" i="27"/>
  <c r="AU184" i="27"/>
  <c r="AW184" i="27"/>
  <c r="BM184" i="27"/>
  <c r="AG197" i="27"/>
  <c r="AF197" i="27"/>
  <c r="AD197" i="27"/>
  <c r="AE197" i="27"/>
  <c r="AT197" i="27"/>
  <c r="AU197" i="27"/>
  <c r="AW197" i="27"/>
  <c r="BM197" i="27"/>
  <c r="AT123" i="27"/>
  <c r="AU123" i="27"/>
  <c r="AW123" i="27"/>
  <c r="BM123" i="27"/>
  <c r="AT199" i="27"/>
  <c r="AU199" i="27"/>
  <c r="AW199" i="27"/>
  <c r="BM199" i="27"/>
  <c r="BN101" i="27"/>
  <c r="BP101" i="27"/>
  <c r="AG213" i="27"/>
  <c r="AF213" i="27"/>
  <c r="AD213" i="27"/>
  <c r="AE213" i="27"/>
  <c r="AT213" i="27"/>
  <c r="AU213" i="27"/>
  <c r="AW213" i="27"/>
  <c r="BM213" i="27"/>
  <c r="BN166" i="27"/>
  <c r="BP166" i="27"/>
  <c r="AG73" i="27"/>
  <c r="AF73" i="27"/>
  <c r="AD73" i="27"/>
  <c r="AE73" i="27"/>
  <c r="AG261" i="27"/>
  <c r="AF261" i="27"/>
  <c r="AD261" i="27"/>
  <c r="AE261" i="27"/>
  <c r="AG116" i="27"/>
  <c r="AF116" i="27"/>
  <c r="AD116" i="27"/>
  <c r="AE116" i="27"/>
  <c r="BN315" i="27"/>
  <c r="BP315" i="27"/>
  <c r="AF243" i="27"/>
  <c r="AG243" i="27"/>
  <c r="AD243" i="27"/>
  <c r="AE243" i="27"/>
  <c r="AD196" i="27"/>
  <c r="AE196" i="27"/>
  <c r="AG196" i="27"/>
  <c r="AF196" i="27"/>
  <c r="BN105" i="27"/>
  <c r="BP105" i="27"/>
  <c r="BP328" i="27"/>
  <c r="BN328" i="27"/>
  <c r="AE309" i="27"/>
  <c r="AT309" i="27"/>
  <c r="AU309" i="27"/>
  <c r="AW309" i="27"/>
  <c r="BM309" i="27"/>
  <c r="AD268" i="27"/>
  <c r="AE268" i="27"/>
  <c r="AF268" i="27"/>
  <c r="AG268" i="27"/>
  <c r="AT268" i="27"/>
  <c r="AU268" i="27"/>
  <c r="AW268" i="27"/>
  <c r="BM268" i="27"/>
  <c r="AD264" i="27"/>
  <c r="AE264" i="27"/>
  <c r="AG264" i="27"/>
  <c r="AF264" i="27"/>
  <c r="AT264" i="27"/>
  <c r="AU264" i="27"/>
  <c r="AW264" i="27"/>
  <c r="BM264" i="27"/>
  <c r="AF245" i="27"/>
  <c r="AD245" i="27"/>
  <c r="AE245" i="27"/>
  <c r="AG245" i="27"/>
  <c r="AE175" i="27"/>
  <c r="AT175" i="27"/>
  <c r="AU175" i="27"/>
  <c r="AW175" i="27"/>
  <c r="BM175" i="27"/>
  <c r="AG217" i="27"/>
  <c r="AF217" i="27"/>
  <c r="AD217" i="27"/>
  <c r="AE217" i="27"/>
  <c r="AD165" i="27"/>
  <c r="AF165" i="27"/>
  <c r="AG165" i="27"/>
  <c r="AT95" i="27"/>
  <c r="AU95" i="27"/>
  <c r="AW95" i="27"/>
  <c r="BM95" i="27"/>
  <c r="AG194" i="27"/>
  <c r="AF194" i="27"/>
  <c r="AD194" i="27"/>
  <c r="AF149" i="27"/>
  <c r="AD149" i="27"/>
  <c r="AE149" i="27"/>
  <c r="AG149" i="27"/>
  <c r="AE111" i="27"/>
  <c r="AT111" i="27"/>
  <c r="AU111" i="27"/>
  <c r="AW111" i="27"/>
  <c r="BM111" i="27"/>
  <c r="AG94" i="27"/>
  <c r="AF94" i="27"/>
  <c r="AD94" i="27"/>
  <c r="AE94" i="27"/>
  <c r="AT94" i="27"/>
  <c r="AU94" i="27"/>
  <c r="AW94" i="27"/>
  <c r="BM94" i="27"/>
  <c r="AE223" i="12"/>
  <c r="AT223" i="12"/>
  <c r="AU223" i="12"/>
  <c r="AW223" i="12"/>
  <c r="BM223" i="12"/>
  <c r="AT237" i="12"/>
  <c r="AU237" i="12"/>
  <c r="AW237" i="12"/>
  <c r="BM237" i="12"/>
  <c r="BN237" i="12"/>
  <c r="AT227" i="12"/>
  <c r="AU227" i="12"/>
  <c r="AW227" i="12"/>
  <c r="BM227" i="12"/>
  <c r="BN227" i="12"/>
  <c r="AT235" i="12"/>
  <c r="AU235" i="12"/>
  <c r="AW235" i="12"/>
  <c r="BM235" i="12"/>
  <c r="BN235" i="12"/>
  <c r="AD221" i="12"/>
  <c r="AE221" i="12"/>
  <c r="AG210" i="12"/>
  <c r="AF243" i="12"/>
  <c r="AG243" i="12"/>
  <c r="AD243" i="12"/>
  <c r="AE243" i="12"/>
  <c r="AE257" i="12"/>
  <c r="AT257" i="12"/>
  <c r="AU257" i="12"/>
  <c r="AW257" i="12"/>
  <c r="BM257" i="12"/>
  <c r="BP257" i="12"/>
  <c r="AT233" i="12"/>
  <c r="AU233" i="12"/>
  <c r="AW233" i="12"/>
  <c r="BM233" i="12"/>
  <c r="BP233" i="12"/>
  <c r="AD217" i="12"/>
  <c r="AE217" i="12"/>
  <c r="AF210" i="12"/>
  <c r="AG241" i="12"/>
  <c r="AE212" i="12"/>
  <c r="AF232" i="12"/>
  <c r="AD232" i="12"/>
  <c r="AT239" i="12"/>
  <c r="AU239" i="12"/>
  <c r="AW239" i="12"/>
  <c r="BM239" i="12"/>
  <c r="BN239" i="12"/>
  <c r="AT222" i="12"/>
  <c r="AU222" i="12"/>
  <c r="AW222" i="12"/>
  <c r="BM222" i="12"/>
  <c r="BN222" i="12"/>
  <c r="AE266" i="12"/>
  <c r="AT266" i="12"/>
  <c r="AU266" i="12"/>
  <c r="AW266" i="12"/>
  <c r="BM266" i="12"/>
  <c r="AT249" i="12"/>
  <c r="AU249" i="12"/>
  <c r="AW249" i="12"/>
  <c r="BM249" i="12"/>
  <c r="BP249" i="12"/>
  <c r="AG217" i="12"/>
  <c r="AG215" i="12"/>
  <c r="AT215" i="12"/>
  <c r="AU215" i="12"/>
  <c r="AW215" i="12"/>
  <c r="BM215" i="12"/>
  <c r="AD241" i="12"/>
  <c r="AE241" i="12"/>
  <c r="AG221" i="12"/>
  <c r="AF212" i="12"/>
  <c r="AT264" i="12"/>
  <c r="AU264" i="12"/>
  <c r="AW264" i="12"/>
  <c r="BM264" i="12"/>
  <c r="BN264" i="12"/>
  <c r="AT246" i="12"/>
  <c r="AU246" i="12"/>
  <c r="AW246" i="12"/>
  <c r="BM246" i="12"/>
  <c r="BP246" i="12"/>
  <c r="AT250" i="12"/>
  <c r="AU250" i="12"/>
  <c r="AW250" i="12"/>
  <c r="BM250" i="12"/>
  <c r="BP250" i="12"/>
  <c r="AD258" i="12"/>
  <c r="AT259" i="12"/>
  <c r="AU259" i="12"/>
  <c r="AW259" i="12"/>
  <c r="BM259" i="12"/>
  <c r="BP259" i="12"/>
  <c r="AT256" i="12"/>
  <c r="AU256" i="12"/>
  <c r="AW256" i="12"/>
  <c r="BM256" i="12"/>
  <c r="BN256" i="12"/>
  <c r="AT213" i="12"/>
  <c r="AU213" i="12"/>
  <c r="AW213" i="12"/>
  <c r="BM213" i="12"/>
  <c r="BN213" i="12"/>
  <c r="AT211" i="12"/>
  <c r="AU211" i="12"/>
  <c r="AW211" i="12"/>
  <c r="BM211" i="12"/>
  <c r="BN211" i="12"/>
  <c r="BP265" i="12"/>
  <c r="BP263" i="12"/>
  <c r="AF255" i="12"/>
  <c r="AD255" i="12"/>
  <c r="AE255" i="12"/>
  <c r="AG255" i="12"/>
  <c r="AE230" i="12"/>
  <c r="AT230" i="12"/>
  <c r="AU230" i="12"/>
  <c r="AW230" i="12"/>
  <c r="BM230" i="12"/>
  <c r="AT231" i="12"/>
  <c r="AU231" i="12"/>
  <c r="AW231" i="12"/>
  <c r="BM231" i="12"/>
  <c r="AT219" i="12"/>
  <c r="AU219" i="12"/>
  <c r="AW219" i="12"/>
  <c r="BM219" i="12"/>
  <c r="AE218" i="12"/>
  <c r="AT218" i="12"/>
  <c r="AU218" i="12"/>
  <c r="AW218" i="12"/>
  <c r="BM218" i="12"/>
  <c r="BN267" i="12"/>
  <c r="BP269" i="12"/>
  <c r="BN269" i="12"/>
  <c r="AE253" i="12"/>
  <c r="AT253" i="12"/>
  <c r="AU253" i="12"/>
  <c r="AW253" i="12"/>
  <c r="BM253" i="12"/>
  <c r="AE238" i="12"/>
  <c r="AT238" i="12"/>
  <c r="AU238" i="12"/>
  <c r="AW238" i="12"/>
  <c r="BM238" i="12"/>
  <c r="AG252" i="12"/>
  <c r="AF252" i="12"/>
  <c r="AD252" i="12"/>
  <c r="AT229" i="12"/>
  <c r="AU229" i="12"/>
  <c r="AW229" i="12"/>
  <c r="BM229" i="12"/>
  <c r="AT244" i="12"/>
  <c r="AU244" i="12"/>
  <c r="AW244" i="12"/>
  <c r="BM244" i="12"/>
  <c r="BN268" i="12"/>
  <c r="BP268" i="12"/>
  <c r="AE216" i="12"/>
  <c r="AT216" i="12"/>
  <c r="AU216" i="12"/>
  <c r="AW216" i="12"/>
  <c r="BM216" i="12"/>
  <c r="AT248" i="12"/>
  <c r="AU248" i="12"/>
  <c r="AW248" i="12"/>
  <c r="BM248" i="12"/>
  <c r="AE262" i="12"/>
  <c r="AT262" i="12"/>
  <c r="AU262" i="12"/>
  <c r="AW262" i="12"/>
  <c r="BM262" i="12"/>
  <c r="AT251" i="12"/>
  <c r="AU251" i="12"/>
  <c r="AW251" i="12"/>
  <c r="BM251" i="12"/>
  <c r="AE214" i="12"/>
  <c r="AT214" i="12"/>
  <c r="AU214" i="12"/>
  <c r="AW214" i="12"/>
  <c r="BM214" i="12"/>
  <c r="BN234" i="12"/>
  <c r="AE245" i="12"/>
  <c r="AT245" i="12"/>
  <c r="AU245" i="12"/>
  <c r="AW245" i="12"/>
  <c r="BM245" i="12"/>
  <c r="AT225" i="12"/>
  <c r="AU225" i="12"/>
  <c r="AW225" i="12"/>
  <c r="BM225" i="12"/>
  <c r="AT220" i="12"/>
  <c r="AU220" i="12"/>
  <c r="AW220" i="12"/>
  <c r="BM220" i="12"/>
  <c r="BP178" i="27"/>
  <c r="BN178" i="27"/>
  <c r="BP179" i="27"/>
  <c r="BN179" i="27"/>
  <c r="AT241" i="12"/>
  <c r="AU241" i="12"/>
  <c r="AW241" i="12"/>
  <c r="BM241" i="12"/>
  <c r="BN241" i="12"/>
  <c r="AT73" i="27"/>
  <c r="AU73" i="27"/>
  <c r="AW73" i="27"/>
  <c r="BM73" i="27"/>
  <c r="BP73" i="27"/>
  <c r="AT180" i="27"/>
  <c r="AU180" i="27"/>
  <c r="AW180" i="27"/>
  <c r="BM180" i="27"/>
  <c r="BP180" i="27"/>
  <c r="AT9" i="27"/>
  <c r="AU9" i="27"/>
  <c r="AW9" i="27"/>
  <c r="BM9" i="27"/>
  <c r="BP9" i="27"/>
  <c r="BN55" i="27"/>
  <c r="BO55" i="27"/>
  <c r="BQ55" i="27"/>
  <c r="BP231" i="27"/>
  <c r="BP221" i="27"/>
  <c r="AT186" i="27"/>
  <c r="AU186" i="27"/>
  <c r="AW186" i="27"/>
  <c r="BM186" i="27"/>
  <c r="AT130" i="27"/>
  <c r="AU130" i="27"/>
  <c r="AW130" i="27"/>
  <c r="BM130" i="27"/>
  <c r="AT92" i="27"/>
  <c r="AU92" i="27"/>
  <c r="AW92" i="27"/>
  <c r="BM92" i="27"/>
  <c r="BN129" i="27"/>
  <c r="BP266" i="27"/>
  <c r="AT218" i="27"/>
  <c r="AU218" i="27"/>
  <c r="AW218" i="27"/>
  <c r="BM218" i="27"/>
  <c r="BN218" i="27"/>
  <c r="AT170" i="27"/>
  <c r="AU170" i="27"/>
  <c r="AW170" i="27"/>
  <c r="BM170" i="27"/>
  <c r="BN170" i="27"/>
  <c r="AT257" i="27"/>
  <c r="AU257" i="27"/>
  <c r="AW257" i="27"/>
  <c r="BM257" i="27"/>
  <c r="BN257" i="27"/>
  <c r="BP161" i="27"/>
  <c r="BP7" i="27"/>
  <c r="AT31" i="27"/>
  <c r="AU31" i="27"/>
  <c r="AW31" i="27"/>
  <c r="BM31" i="27"/>
  <c r="AT90" i="27"/>
  <c r="AU90" i="27"/>
  <c r="AW90" i="27"/>
  <c r="BM90" i="27"/>
  <c r="AT200" i="27"/>
  <c r="AU200" i="27"/>
  <c r="AW200" i="27"/>
  <c r="BM200" i="27"/>
  <c r="BP51" i="27"/>
  <c r="BC51" i="27"/>
  <c r="BD51" i="27"/>
  <c r="BA51" i="27"/>
  <c r="BB51" i="27"/>
  <c r="AX51" i="27"/>
  <c r="BN140" i="27"/>
  <c r="AT232" i="27"/>
  <c r="AU232" i="27"/>
  <c r="AW232" i="27"/>
  <c r="BM232" i="27"/>
  <c r="BN232" i="27"/>
  <c r="BP265" i="27"/>
  <c r="BP43" i="27"/>
  <c r="BS43" i="27"/>
  <c r="BP252" i="27"/>
  <c r="AT228" i="27"/>
  <c r="AU228" i="27"/>
  <c r="AW228" i="27"/>
  <c r="BM228" i="27"/>
  <c r="BP79" i="27"/>
  <c r="BP290" i="27"/>
  <c r="BP70" i="27"/>
  <c r="BN70" i="27"/>
  <c r="BO70" i="27"/>
  <c r="BQ70" i="27"/>
  <c r="BN228" i="27"/>
  <c r="BP228" i="27"/>
  <c r="BC228" i="27"/>
  <c r="BD228" i="27"/>
  <c r="BA228" i="27"/>
  <c r="BB228" i="27"/>
  <c r="AX228" i="27"/>
  <c r="BN274" i="27"/>
  <c r="BO274" i="27"/>
  <c r="BQ274" i="27"/>
  <c r="BP274" i="27"/>
  <c r="BC274" i="27"/>
  <c r="BD274" i="27"/>
  <c r="BA274" i="27"/>
  <c r="BB274" i="27"/>
  <c r="AX274" i="27"/>
  <c r="BP240" i="12"/>
  <c r="AT10" i="27"/>
  <c r="AU10" i="27"/>
  <c r="AW10" i="27"/>
  <c r="BM10" i="27"/>
  <c r="BN10" i="27"/>
  <c r="BN156" i="27"/>
  <c r="BR156" i="27"/>
  <c r="BT156" i="27"/>
  <c r="BP270" i="27"/>
  <c r="AT203" i="27"/>
  <c r="AU203" i="27"/>
  <c r="AW203" i="27"/>
  <c r="BM203" i="27"/>
  <c r="AT208" i="27"/>
  <c r="AU208" i="27"/>
  <c r="AW208" i="27"/>
  <c r="BM208" i="27"/>
  <c r="BP208" i="27"/>
  <c r="AT287" i="27"/>
  <c r="AU287" i="27"/>
  <c r="AW287" i="27"/>
  <c r="BM287" i="27"/>
  <c r="AT275" i="27"/>
  <c r="AU275" i="27"/>
  <c r="AW275" i="27"/>
  <c r="BM275" i="27"/>
  <c r="BN275" i="27"/>
  <c r="BN117" i="27"/>
  <c r="BO117" i="27"/>
  <c r="BQ117" i="27"/>
  <c r="BP311" i="27"/>
  <c r="BS311" i="27"/>
  <c r="BP303" i="27"/>
  <c r="BP158" i="27"/>
  <c r="BC158" i="27"/>
  <c r="BD158" i="27"/>
  <c r="BA158" i="27"/>
  <c r="BB158" i="27"/>
  <c r="AX158" i="27"/>
  <c r="BN44" i="27"/>
  <c r="BP262" i="27"/>
  <c r="AT18" i="27"/>
  <c r="AU18" i="27"/>
  <c r="AW18" i="27"/>
  <c r="BM18" i="27"/>
  <c r="BN37" i="27"/>
  <c r="BP168" i="27"/>
  <c r="BP147" i="27"/>
  <c r="BC147" i="27"/>
  <c r="BD147" i="27"/>
  <c r="BA147" i="27"/>
  <c r="BB147" i="27"/>
  <c r="AX147" i="27"/>
  <c r="AT174" i="27"/>
  <c r="AU174" i="27"/>
  <c r="AW174" i="27"/>
  <c r="BM174" i="27"/>
  <c r="BP106" i="27"/>
  <c r="BN38" i="27"/>
  <c r="BO38" i="27"/>
  <c r="BQ38" i="27"/>
  <c r="BP131" i="27"/>
  <c r="BC131" i="27"/>
  <c r="BD131" i="27"/>
  <c r="BA131" i="27"/>
  <c r="BB131" i="27"/>
  <c r="AX131" i="27"/>
  <c r="BP215" i="27"/>
  <c r="BC215" i="27"/>
  <c r="BD215" i="27"/>
  <c r="BA215" i="27"/>
  <c r="BB215" i="27"/>
  <c r="AX215" i="27"/>
  <c r="BN137" i="27"/>
  <c r="BP21" i="27"/>
  <c r="BP259" i="27"/>
  <c r="AT291" i="27"/>
  <c r="AU291" i="27"/>
  <c r="AW291" i="27"/>
  <c r="BM291" i="27"/>
  <c r="AT217" i="12"/>
  <c r="AU217" i="12"/>
  <c r="AW217" i="12"/>
  <c r="BM217" i="12"/>
  <c r="BP217" i="12"/>
  <c r="BS217" i="12"/>
  <c r="BT217" i="12"/>
  <c r="BP74" i="27"/>
  <c r="BC74" i="27"/>
  <c r="BD74" i="27"/>
  <c r="BA74" i="27"/>
  <c r="BB74" i="27"/>
  <c r="AX74" i="27"/>
  <c r="BP269" i="27"/>
  <c r="BP187" i="27"/>
  <c r="BP227" i="12"/>
  <c r="BP246" i="27"/>
  <c r="BS246" i="27"/>
  <c r="BN152" i="27"/>
  <c r="BN118" i="27"/>
  <c r="BN113" i="27"/>
  <c r="BO113" i="27"/>
  <c r="BQ113" i="27"/>
  <c r="BN283" i="27"/>
  <c r="BR283" i="27"/>
  <c r="BT283" i="27"/>
  <c r="BP230" i="27"/>
  <c r="BC230" i="27"/>
  <c r="BD230" i="27"/>
  <c r="BA230" i="27"/>
  <c r="BB230" i="27"/>
  <c r="AX230" i="27"/>
  <c r="BP46" i="27"/>
  <c r="BS46" i="27"/>
  <c r="BN75" i="27"/>
  <c r="BR75" i="27"/>
  <c r="BT75" i="27"/>
  <c r="BN22" i="27"/>
  <c r="BO22" i="27"/>
  <c r="BQ22" i="27"/>
  <c r="BN4" i="27"/>
  <c r="BR4" i="27"/>
  <c r="BT4" i="27"/>
  <c r="BP272" i="27"/>
  <c r="BC272" i="27"/>
  <c r="BD272" i="27"/>
  <c r="BA272" i="27"/>
  <c r="BB272" i="27"/>
  <c r="AX272" i="27"/>
  <c r="BN107" i="27"/>
  <c r="BP249" i="27"/>
  <c r="BP297" i="27"/>
  <c r="BC297" i="27"/>
  <c r="BD297" i="27"/>
  <c r="BA297" i="27"/>
  <c r="BB297" i="27"/>
  <c r="AX297" i="27"/>
  <c r="BN128" i="27"/>
  <c r="BP23" i="27"/>
  <c r="BC23" i="27"/>
  <c r="BD23" i="27"/>
  <c r="BA23" i="27"/>
  <c r="BB23" i="27"/>
  <c r="AX23" i="27"/>
  <c r="BN35" i="27"/>
  <c r="BR35" i="27"/>
  <c r="BT35" i="27"/>
  <c r="BN119" i="27"/>
  <c r="BO119" i="27"/>
  <c r="BQ119" i="27"/>
  <c r="BN237" i="27"/>
  <c r="BN279" i="27"/>
  <c r="BO279" i="27"/>
  <c r="BQ279" i="27"/>
  <c r="BP242" i="12"/>
  <c r="BP176" i="27"/>
  <c r="BP296" i="27"/>
  <c r="BN2" i="27"/>
  <c r="BP260" i="12"/>
  <c r="BN236" i="12"/>
  <c r="BN62" i="27"/>
  <c r="BR62" i="27"/>
  <c r="BT62" i="27"/>
  <c r="BP247" i="27"/>
  <c r="BS247" i="27"/>
  <c r="BP226" i="12"/>
  <c r="BN226" i="12"/>
  <c r="BO226" i="12"/>
  <c r="BQ226" i="12"/>
  <c r="BP128" i="12"/>
  <c r="BN128" i="12"/>
  <c r="BN250" i="12"/>
  <c r="AT247" i="12"/>
  <c r="AU247" i="12"/>
  <c r="AW247" i="12"/>
  <c r="BM247" i="12"/>
  <c r="BP247" i="12"/>
  <c r="BN233" i="12"/>
  <c r="BN224" i="12"/>
  <c r="BO224" i="12"/>
  <c r="BQ224" i="12"/>
  <c r="AT254" i="12"/>
  <c r="AU254" i="12"/>
  <c r="AW254" i="12"/>
  <c r="BM254" i="12"/>
  <c r="BN254" i="12"/>
  <c r="BP241" i="12"/>
  <c r="BS241" i="12"/>
  <c r="BT241" i="12"/>
  <c r="BP211" i="12"/>
  <c r="BS211" i="12"/>
  <c r="BT211" i="12"/>
  <c r="BP213" i="12"/>
  <c r="BP237" i="12"/>
  <c r="BN246" i="12"/>
  <c r="BN172" i="27"/>
  <c r="BP172" i="27"/>
  <c r="BC172" i="27"/>
  <c r="BD172" i="27"/>
  <c r="BA172" i="27"/>
  <c r="BB172" i="27"/>
  <c r="AX172" i="27"/>
  <c r="BP67" i="27"/>
  <c r="BC67" i="27"/>
  <c r="BD67" i="27"/>
  <c r="BA67" i="27"/>
  <c r="BB67" i="27"/>
  <c r="AX67" i="27"/>
  <c r="BN67" i="27"/>
  <c r="BR67" i="27"/>
  <c r="BT67" i="27"/>
  <c r="BP326" i="27"/>
  <c r="BS326" i="27"/>
  <c r="BN326" i="27"/>
  <c r="BO326" i="27"/>
  <c r="BQ326" i="27"/>
  <c r="BP248" i="27"/>
  <c r="BC248" i="27"/>
  <c r="BD248" i="27"/>
  <c r="BA248" i="27"/>
  <c r="BB248" i="27"/>
  <c r="AX248" i="27"/>
  <c r="BN248" i="27"/>
  <c r="BO248" i="27"/>
  <c r="BQ248" i="27"/>
  <c r="BN211" i="27"/>
  <c r="BP211" i="27"/>
  <c r="BN208" i="27"/>
  <c r="BN287" i="27"/>
  <c r="BP287" i="27"/>
  <c r="BS287" i="27"/>
  <c r="BP316" i="27"/>
  <c r="BS316" i="27"/>
  <c r="BN316" i="27"/>
  <c r="BO316" i="27"/>
  <c r="BQ316" i="27"/>
  <c r="BP41" i="27"/>
  <c r="BS41" i="27"/>
  <c r="BN41" i="27"/>
  <c r="BR41" i="27"/>
  <c r="BT41" i="27"/>
  <c r="BP183" i="27"/>
  <c r="BC183" i="27"/>
  <c r="BD183" i="27"/>
  <c r="BA183" i="27"/>
  <c r="BB183" i="27"/>
  <c r="AX183" i="27"/>
  <c r="BN183" i="27"/>
  <c r="BN31" i="27"/>
  <c r="BP31" i="27"/>
  <c r="BC31" i="27"/>
  <c r="BD31" i="27"/>
  <c r="BA31" i="27"/>
  <c r="BB31" i="27"/>
  <c r="AX31" i="27"/>
  <c r="BN198" i="27"/>
  <c r="BO198" i="27"/>
  <c r="BQ198" i="27"/>
  <c r="BP198" i="27"/>
  <c r="BC198" i="27"/>
  <c r="BD198" i="27"/>
  <c r="BA198" i="27"/>
  <c r="BB198" i="27"/>
  <c r="AX198" i="27"/>
  <c r="BN154" i="27"/>
  <c r="BO154" i="27"/>
  <c r="BQ154" i="27"/>
  <c r="BP154" i="27"/>
  <c r="BS154" i="27"/>
  <c r="BP135" i="27"/>
  <c r="BN135" i="27"/>
  <c r="BR135" i="27"/>
  <c r="BT135" i="27"/>
  <c r="BN223" i="27"/>
  <c r="BP223" i="27"/>
  <c r="BP90" i="27"/>
  <c r="BN90" i="27"/>
  <c r="BO90" i="27"/>
  <c r="BQ90" i="27"/>
  <c r="BN313" i="27"/>
  <c r="BR313" i="27"/>
  <c r="BT313" i="27"/>
  <c r="BP313" i="27"/>
  <c r="BC313" i="27"/>
  <c r="BD313" i="27"/>
  <c r="BA313" i="27"/>
  <c r="BB313" i="27"/>
  <c r="AX313" i="27"/>
  <c r="BN18" i="27"/>
  <c r="BP18" i="27"/>
  <c r="BC18" i="27"/>
  <c r="BD18" i="27"/>
  <c r="BA18" i="27"/>
  <c r="BB18" i="27"/>
  <c r="AX18" i="27"/>
  <c r="AT127" i="27"/>
  <c r="AU127" i="27"/>
  <c r="AW127" i="27"/>
  <c r="BM127" i="27"/>
  <c r="BN127" i="27"/>
  <c r="AE312" i="27"/>
  <c r="AT312" i="27"/>
  <c r="AU312" i="27"/>
  <c r="AW312" i="27"/>
  <c r="BM312" i="27"/>
  <c r="AT196" i="27"/>
  <c r="AU196" i="27"/>
  <c r="AW196" i="27"/>
  <c r="BM196" i="27"/>
  <c r="AT261" i="27"/>
  <c r="AU261" i="27"/>
  <c r="AW261" i="27"/>
  <c r="BM261" i="27"/>
  <c r="BN261" i="27"/>
  <c r="BN104" i="27"/>
  <c r="BP104" i="27"/>
  <c r="AE6" i="27"/>
  <c r="AT6" i="27"/>
  <c r="AU6" i="27"/>
  <c r="AW6" i="27"/>
  <c r="BM6" i="27"/>
  <c r="AE280" i="27"/>
  <c r="AT280" i="27"/>
  <c r="AU280" i="27"/>
  <c r="AW280" i="27"/>
  <c r="BM280" i="27"/>
  <c r="BN210" i="27"/>
  <c r="BO210" i="27"/>
  <c r="BQ210" i="27"/>
  <c r="BN50" i="27"/>
  <c r="BR50" i="27"/>
  <c r="BT50" i="27"/>
  <c r="BN146" i="27"/>
  <c r="AT299" i="27"/>
  <c r="AU299" i="27"/>
  <c r="AW299" i="27"/>
  <c r="BM299" i="27"/>
  <c r="AE134" i="27"/>
  <c r="AT134" i="27"/>
  <c r="AU134" i="27"/>
  <c r="AW134" i="27"/>
  <c r="BM134" i="27"/>
  <c r="BN42" i="27"/>
  <c r="BN260" i="27"/>
  <c r="BO260" i="27"/>
  <c r="BQ260" i="27"/>
  <c r="AT30" i="27"/>
  <c r="AU30" i="27"/>
  <c r="AW30" i="27"/>
  <c r="BM30" i="27"/>
  <c r="AE142" i="27"/>
  <c r="AT142" i="27"/>
  <c r="AU142" i="27"/>
  <c r="AW142" i="27"/>
  <c r="BM142" i="27"/>
  <c r="AT221" i="12"/>
  <c r="AU221" i="12"/>
  <c r="AW221" i="12"/>
  <c r="BM221" i="12"/>
  <c r="AE26" i="27"/>
  <c r="AT26" i="27"/>
  <c r="AU26" i="27"/>
  <c r="AW26" i="27"/>
  <c r="BM26" i="27"/>
  <c r="BN89" i="27"/>
  <c r="BR89" i="27"/>
  <c r="BT89" i="27"/>
  <c r="BP256" i="12"/>
  <c r="BS256" i="12"/>
  <c r="BT256" i="12"/>
  <c r="AT210" i="12"/>
  <c r="AU210" i="12"/>
  <c r="AW210" i="12"/>
  <c r="BM210" i="12"/>
  <c r="AT149" i="27"/>
  <c r="AU149" i="27"/>
  <c r="AW149" i="27"/>
  <c r="BM149" i="27"/>
  <c r="BP149" i="27"/>
  <c r="AT217" i="27"/>
  <c r="AU217" i="27"/>
  <c r="AW217" i="27"/>
  <c r="BM217" i="27"/>
  <c r="BN217" i="27"/>
  <c r="AT201" i="27"/>
  <c r="AU201" i="27"/>
  <c r="AW201" i="27"/>
  <c r="BM201" i="27"/>
  <c r="BP201" i="27"/>
  <c r="AT305" i="27"/>
  <c r="AU305" i="27"/>
  <c r="AW305" i="27"/>
  <c r="BM305" i="27"/>
  <c r="BN305" i="27"/>
  <c r="BP115" i="27"/>
  <c r="BC115" i="27"/>
  <c r="BD115" i="27"/>
  <c r="BA115" i="27"/>
  <c r="BB115" i="27"/>
  <c r="AX115" i="27"/>
  <c r="BP222" i="27"/>
  <c r="BP170" i="27"/>
  <c r="BC170" i="27"/>
  <c r="BD170" i="27"/>
  <c r="BA170" i="27"/>
  <c r="BB170" i="27"/>
  <c r="AX170" i="27"/>
  <c r="BN85" i="27"/>
  <c r="BN126" i="27"/>
  <c r="BO126" i="27"/>
  <c r="BQ126" i="27"/>
  <c r="BN219" i="27"/>
  <c r="AE30" i="27"/>
  <c r="AE320" i="27"/>
  <c r="AT320" i="27"/>
  <c r="AU320" i="27"/>
  <c r="AW320" i="27"/>
  <c r="BM320" i="27"/>
  <c r="AT289" i="27"/>
  <c r="AU289" i="27"/>
  <c r="AW289" i="27"/>
  <c r="BM289" i="27"/>
  <c r="BN289" i="27"/>
  <c r="AT188" i="27"/>
  <c r="AU188" i="27"/>
  <c r="AW188" i="27"/>
  <c r="BM188" i="27"/>
  <c r="BP188" i="27"/>
  <c r="BP52" i="27"/>
  <c r="BC52" i="27"/>
  <c r="BD52" i="27"/>
  <c r="BA52" i="27"/>
  <c r="BB52" i="27"/>
  <c r="AX52" i="27"/>
  <c r="BP96" i="27"/>
  <c r="BC96" i="27"/>
  <c r="BD96" i="27"/>
  <c r="BA96" i="27"/>
  <c r="BB96" i="27"/>
  <c r="AX96" i="27"/>
  <c r="BP59" i="27"/>
  <c r="BP233" i="27"/>
  <c r="BS233" i="27"/>
  <c r="AT116" i="27"/>
  <c r="AU116" i="27"/>
  <c r="AW116" i="27"/>
  <c r="BM116" i="27"/>
  <c r="BP116" i="27"/>
  <c r="AE294" i="27"/>
  <c r="AT294" i="27"/>
  <c r="AU294" i="27"/>
  <c r="AW294" i="27"/>
  <c r="BM294" i="27"/>
  <c r="AT82" i="27"/>
  <c r="AU82" i="27"/>
  <c r="AW82" i="27"/>
  <c r="BM82" i="27"/>
  <c r="BP82" i="27"/>
  <c r="AT286" i="27"/>
  <c r="AU286" i="27"/>
  <c r="AW286" i="27"/>
  <c r="BM286" i="27"/>
  <c r="BN286" i="27"/>
  <c r="AT310" i="27"/>
  <c r="AU310" i="27"/>
  <c r="AW310" i="27"/>
  <c r="BM310" i="27"/>
  <c r="AE261" i="12"/>
  <c r="AT261" i="12"/>
  <c r="AU261" i="12"/>
  <c r="AW261" i="12"/>
  <c r="BM261" i="12"/>
  <c r="BN197" i="27"/>
  <c r="BP197" i="27"/>
  <c r="BN110" i="27"/>
  <c r="BP110" i="27"/>
  <c r="BN149" i="27"/>
  <c r="BP155" i="27"/>
  <c r="BN155" i="27"/>
  <c r="BP66" i="27"/>
  <c r="BN66" i="27"/>
  <c r="BP33" i="27"/>
  <c r="BN33" i="27"/>
  <c r="BP200" i="27"/>
  <c r="BN200" i="27"/>
  <c r="BN98" i="27"/>
  <c r="BP98" i="27"/>
  <c r="BP232" i="27"/>
  <c r="BP130" i="27"/>
  <c r="BN130" i="27"/>
  <c r="BN213" i="27"/>
  <c r="BP213" i="27"/>
  <c r="BP34" i="27"/>
  <c r="BN34" i="27"/>
  <c r="BP314" i="27"/>
  <c r="BN314" i="27"/>
  <c r="BP109" i="27"/>
  <c r="BN109" i="27"/>
  <c r="BN80" i="27"/>
  <c r="BP80" i="27"/>
  <c r="BP195" i="27"/>
  <c r="BN195" i="27"/>
  <c r="BP19" i="27"/>
  <c r="BN19" i="27"/>
  <c r="BP150" i="27"/>
  <c r="BN150" i="27"/>
  <c r="BN57" i="27"/>
  <c r="BP57" i="27"/>
  <c r="BN116" i="27"/>
  <c r="BP45" i="27"/>
  <c r="BN45" i="27"/>
  <c r="AY99" i="27"/>
  <c r="AZ99" i="27"/>
  <c r="BP196" i="27"/>
  <c r="BN196" i="27"/>
  <c r="BP244" i="27"/>
  <c r="BN244" i="27"/>
  <c r="BN94" i="27"/>
  <c r="BP94" i="27"/>
  <c r="BN111" i="27"/>
  <c r="BP111" i="27"/>
  <c r="BN73" i="27"/>
  <c r="BP122" i="27"/>
  <c r="BN122" i="27"/>
  <c r="BP65" i="27"/>
  <c r="BN65" i="27"/>
  <c r="BP49" i="27"/>
  <c r="BN49" i="27"/>
  <c r="BN192" i="27"/>
  <c r="BP192" i="27"/>
  <c r="BN193" i="27"/>
  <c r="BP193" i="27"/>
  <c r="BP83" i="27"/>
  <c r="BN83" i="27"/>
  <c r="BN264" i="27"/>
  <c r="BP264" i="27"/>
  <c r="BN69" i="27"/>
  <c r="BP69" i="27"/>
  <c r="BP20" i="27"/>
  <c r="BN20" i="27"/>
  <c r="BP191" i="27"/>
  <c r="BN191" i="27"/>
  <c r="BP241" i="27"/>
  <c r="BN241" i="27"/>
  <c r="BR14" i="27"/>
  <c r="BT14" i="27"/>
  <c r="BO14" i="27"/>
  <c r="BQ14" i="27"/>
  <c r="BP84" i="27"/>
  <c r="BN84" i="27"/>
  <c r="BC152" i="27"/>
  <c r="BD152" i="27"/>
  <c r="BA152" i="27"/>
  <c r="BB152" i="27"/>
  <c r="AX152" i="27"/>
  <c r="BS152" i="27"/>
  <c r="BS12" i="27"/>
  <c r="BC12" i="27"/>
  <c r="BD12" i="27"/>
  <c r="BA12" i="27"/>
  <c r="BB12" i="27"/>
  <c r="AX12" i="27"/>
  <c r="BC303" i="27"/>
  <c r="BD303" i="27"/>
  <c r="BA303" i="27"/>
  <c r="BB303" i="27"/>
  <c r="AX303" i="27"/>
  <c r="BS303" i="27"/>
  <c r="BO96" i="27"/>
  <c r="BQ96" i="27"/>
  <c r="BR96" i="27"/>
  <c r="BT96" i="27"/>
  <c r="BN112" i="27"/>
  <c r="BP112" i="27"/>
  <c r="BS279" i="27"/>
  <c r="BC279" i="27"/>
  <c r="BD279" i="27"/>
  <c r="BA279" i="27"/>
  <c r="BB279" i="27"/>
  <c r="AX279" i="27"/>
  <c r="AE194" i="27"/>
  <c r="AT194" i="27"/>
  <c r="AU194" i="27"/>
  <c r="AW194" i="27"/>
  <c r="BM194" i="27"/>
  <c r="BP309" i="27"/>
  <c r="BN309" i="27"/>
  <c r="BS212" i="27"/>
  <c r="BC212" i="27"/>
  <c r="BD212" i="27"/>
  <c r="BA212" i="27"/>
  <c r="BB212" i="27"/>
  <c r="AX212" i="27"/>
  <c r="BP291" i="27"/>
  <c r="BN291" i="27"/>
  <c r="BO254" i="27"/>
  <c r="BQ254" i="27"/>
  <c r="BR254" i="27"/>
  <c r="BT254" i="27"/>
  <c r="BN88" i="27"/>
  <c r="BP88" i="27"/>
  <c r="BS113" i="27"/>
  <c r="BC113" i="27"/>
  <c r="BD113" i="27"/>
  <c r="BA113" i="27"/>
  <c r="BB113" i="27"/>
  <c r="AX113" i="27"/>
  <c r="BO269" i="27"/>
  <c r="BQ269" i="27"/>
  <c r="BR269" i="27"/>
  <c r="BT269" i="27"/>
  <c r="BO255" i="27"/>
  <c r="BQ255" i="27"/>
  <c r="BR255" i="27"/>
  <c r="BT255" i="27"/>
  <c r="BO209" i="27"/>
  <c r="BQ209" i="27"/>
  <c r="BR209" i="27"/>
  <c r="BT209" i="27"/>
  <c r="BR262" i="27"/>
  <c r="BT262" i="27"/>
  <c r="BO262" i="27"/>
  <c r="BQ262" i="27"/>
  <c r="BN40" i="27"/>
  <c r="BP40" i="27"/>
  <c r="BS101" i="27"/>
  <c r="BC101" i="27"/>
  <c r="BD101" i="27"/>
  <c r="BA101" i="27"/>
  <c r="BB101" i="27"/>
  <c r="AX101" i="27"/>
  <c r="BR258" i="27"/>
  <c r="BT258" i="27"/>
  <c r="BO258" i="27"/>
  <c r="BQ258" i="27"/>
  <c r="AE185" i="27"/>
  <c r="AT185" i="27"/>
  <c r="AU185" i="27"/>
  <c r="AW185" i="27"/>
  <c r="BM185" i="27"/>
  <c r="BE99" i="27"/>
  <c r="BF99" i="27"/>
  <c r="BG99" i="27"/>
  <c r="BN298" i="27"/>
  <c r="BP298" i="27"/>
  <c r="BP136" i="27"/>
  <c r="BN136" i="27"/>
  <c r="BP47" i="27"/>
  <c r="BN47" i="27"/>
  <c r="BS252" i="27"/>
  <c r="BC252" i="27"/>
  <c r="BD252" i="27"/>
  <c r="BA252" i="27"/>
  <c r="BB252" i="27"/>
  <c r="AX252" i="27"/>
  <c r="BO313" i="27"/>
  <c r="BQ313" i="27"/>
  <c r="BR101" i="27"/>
  <c r="BT101" i="27"/>
  <c r="BO101" i="27"/>
  <c r="BQ101" i="27"/>
  <c r="BS281" i="27"/>
  <c r="BC281" i="27"/>
  <c r="BD281" i="27"/>
  <c r="BA281" i="27"/>
  <c r="BB281" i="27"/>
  <c r="AX281" i="27"/>
  <c r="BP236" i="27"/>
  <c r="BN236" i="27"/>
  <c r="BO37" i="27"/>
  <c r="BQ37" i="27"/>
  <c r="BR37" i="27"/>
  <c r="BT37" i="27"/>
  <c r="BC55" i="27"/>
  <c r="BD55" i="27"/>
  <c r="BA55" i="27"/>
  <c r="BB55" i="27"/>
  <c r="AX55" i="27"/>
  <c r="BS55" i="27"/>
  <c r="BS117" i="27"/>
  <c r="BC117" i="27"/>
  <c r="BD117" i="27"/>
  <c r="BA117" i="27"/>
  <c r="BB117" i="27"/>
  <c r="AX117" i="27"/>
  <c r="BO272" i="27"/>
  <c r="BQ272" i="27"/>
  <c r="BR272" i="27"/>
  <c r="BT272" i="27"/>
  <c r="BS296" i="27"/>
  <c r="BC296" i="27"/>
  <c r="BD296" i="27"/>
  <c r="BA296" i="27"/>
  <c r="BB296" i="27"/>
  <c r="AX296" i="27"/>
  <c r="BC265" i="27"/>
  <c r="BD265" i="27"/>
  <c r="BA265" i="27"/>
  <c r="BB265" i="27"/>
  <c r="AX265" i="27"/>
  <c r="BS265" i="27"/>
  <c r="BO133" i="27"/>
  <c r="BQ133" i="27"/>
  <c r="BR133" i="27"/>
  <c r="BT133" i="27"/>
  <c r="BS153" i="27"/>
  <c r="BC153" i="27"/>
  <c r="BD153" i="27"/>
  <c r="BA153" i="27"/>
  <c r="BB153" i="27"/>
  <c r="AX153" i="27"/>
  <c r="BP95" i="27"/>
  <c r="BN95" i="27"/>
  <c r="BR317" i="27"/>
  <c r="BT317" i="27"/>
  <c r="BO317" i="27"/>
  <c r="BQ317" i="27"/>
  <c r="BN207" i="27"/>
  <c r="BP207" i="27"/>
  <c r="BC37" i="27"/>
  <c r="BD37" i="27"/>
  <c r="BA37" i="27"/>
  <c r="BB37" i="27"/>
  <c r="AX37" i="27"/>
  <c r="BS37" i="27"/>
  <c r="BS23" i="27"/>
  <c r="AT245" i="27"/>
  <c r="AU245" i="27"/>
  <c r="AW245" i="27"/>
  <c r="BM245" i="27"/>
  <c r="BP268" i="27"/>
  <c r="BN268" i="27"/>
  <c r="BS315" i="27"/>
  <c r="BC315" i="27"/>
  <c r="BD315" i="27"/>
  <c r="BA315" i="27"/>
  <c r="BB315" i="27"/>
  <c r="AX315" i="27"/>
  <c r="BN175" i="27"/>
  <c r="BP175" i="27"/>
  <c r="BR327" i="27"/>
  <c r="BT327" i="27"/>
  <c r="BO327" i="27"/>
  <c r="BQ327" i="27"/>
  <c r="AT93" i="27"/>
  <c r="AU93" i="27"/>
  <c r="AW93" i="27"/>
  <c r="BM93" i="27"/>
  <c r="BP319" i="27"/>
  <c r="BN319" i="27"/>
  <c r="BP103" i="27"/>
  <c r="BN103" i="27"/>
  <c r="AT304" i="27"/>
  <c r="AU304" i="27"/>
  <c r="AW304" i="27"/>
  <c r="BM304" i="27"/>
  <c r="BC100" i="27"/>
  <c r="BD100" i="27"/>
  <c r="BA100" i="27"/>
  <c r="BB100" i="27"/>
  <c r="AX100" i="27"/>
  <c r="BS100" i="27"/>
  <c r="BS172" i="27"/>
  <c r="BR63" i="27"/>
  <c r="BT63" i="27"/>
  <c r="BO63" i="27"/>
  <c r="BQ63" i="27"/>
  <c r="BC90" i="27"/>
  <c r="BD90" i="27"/>
  <c r="BA90" i="27"/>
  <c r="BB90" i="27"/>
  <c r="AX90" i="27"/>
  <c r="BS90" i="27"/>
  <c r="BP204" i="27"/>
  <c r="BN204" i="27"/>
  <c r="BO177" i="27"/>
  <c r="BQ177" i="27"/>
  <c r="BR177" i="27"/>
  <c r="BT177" i="27"/>
  <c r="BC231" i="27"/>
  <c r="BD231" i="27"/>
  <c r="BA231" i="27"/>
  <c r="BB231" i="27"/>
  <c r="AX231" i="27"/>
  <c r="BS231" i="27"/>
  <c r="BC53" i="27"/>
  <c r="BD53" i="27"/>
  <c r="BA53" i="27"/>
  <c r="BB53" i="27"/>
  <c r="AX53" i="27"/>
  <c r="BS53" i="27"/>
  <c r="BR182" i="27"/>
  <c r="BT182" i="27"/>
  <c r="BO182" i="27"/>
  <c r="BQ182" i="27"/>
  <c r="BS285" i="27"/>
  <c r="BC285" i="27"/>
  <c r="BD285" i="27"/>
  <c r="BA285" i="27"/>
  <c r="BB285" i="27"/>
  <c r="AX285" i="27"/>
  <c r="BO46" i="27"/>
  <c r="BQ46" i="27"/>
  <c r="BR46" i="27"/>
  <c r="BT46" i="27"/>
  <c r="BS54" i="27"/>
  <c r="BC54" i="27"/>
  <c r="BD54" i="27"/>
  <c r="BA54" i="27"/>
  <c r="BB54" i="27"/>
  <c r="AX54" i="27"/>
  <c r="BO144" i="27"/>
  <c r="BQ144" i="27"/>
  <c r="BR144" i="27"/>
  <c r="BT144" i="27"/>
  <c r="BC154" i="27"/>
  <c r="BD154" i="27"/>
  <c r="BA154" i="27"/>
  <c r="BB154" i="27"/>
  <c r="AX154" i="27"/>
  <c r="BP148" i="27"/>
  <c r="BN148" i="27"/>
  <c r="BR198" i="27"/>
  <c r="BT198" i="27"/>
  <c r="BP5" i="27"/>
  <c r="BN5" i="27"/>
  <c r="BS87" i="27"/>
  <c r="BC87" i="27"/>
  <c r="BD87" i="27"/>
  <c r="BA87" i="27"/>
  <c r="BB87" i="27"/>
  <c r="AX87" i="27"/>
  <c r="BS151" i="27"/>
  <c r="BC151" i="27"/>
  <c r="BD151" i="27"/>
  <c r="BA151" i="27"/>
  <c r="BB151" i="27"/>
  <c r="AX151" i="27"/>
  <c r="BR178" i="27"/>
  <c r="BT178" i="27"/>
  <c r="BO178" i="27"/>
  <c r="BQ178" i="27"/>
  <c r="BS266" i="27"/>
  <c r="BC266" i="27"/>
  <c r="BD266" i="27"/>
  <c r="BA266" i="27"/>
  <c r="BB266" i="27"/>
  <c r="AX266" i="27"/>
  <c r="BS221" i="27"/>
  <c r="BC221" i="27"/>
  <c r="BD221" i="27"/>
  <c r="BA221" i="27"/>
  <c r="BB221" i="27"/>
  <c r="AX221" i="27"/>
  <c r="BC156" i="27"/>
  <c r="BD156" i="27"/>
  <c r="BA156" i="27"/>
  <c r="BB156" i="27"/>
  <c r="AX156" i="27"/>
  <c r="BS156" i="27"/>
  <c r="BC249" i="27"/>
  <c r="BD249" i="27"/>
  <c r="BA249" i="27"/>
  <c r="BB249" i="27"/>
  <c r="AX249" i="27"/>
  <c r="BS249" i="27"/>
  <c r="BO59" i="27"/>
  <c r="BQ59" i="27"/>
  <c r="BR59" i="27"/>
  <c r="BT59" i="27"/>
  <c r="BR31" i="27"/>
  <c r="BT31" i="27"/>
  <c r="BO31" i="27"/>
  <c r="BQ31" i="27"/>
  <c r="BR187" i="27"/>
  <c r="BT187" i="27"/>
  <c r="BO187" i="27"/>
  <c r="BQ187" i="27"/>
  <c r="BR247" i="27"/>
  <c r="BT247" i="27"/>
  <c r="BO247" i="27"/>
  <c r="BQ247" i="27"/>
  <c r="BO233" i="27"/>
  <c r="BQ233" i="27"/>
  <c r="BR233" i="27"/>
  <c r="BT233" i="27"/>
  <c r="BS67" i="27"/>
  <c r="BO230" i="27"/>
  <c r="BQ230" i="27"/>
  <c r="BR230" i="27"/>
  <c r="BT230" i="27"/>
  <c r="BO77" i="27"/>
  <c r="BQ77" i="27"/>
  <c r="BR77" i="27"/>
  <c r="BT77" i="27"/>
  <c r="BC164" i="27"/>
  <c r="BD164" i="27"/>
  <c r="BA164" i="27"/>
  <c r="BB164" i="27"/>
  <c r="AX164" i="27"/>
  <c r="BS164" i="27"/>
  <c r="BN253" i="27"/>
  <c r="BP253" i="27"/>
  <c r="AE165" i="27"/>
  <c r="AT165" i="27"/>
  <c r="AU165" i="27"/>
  <c r="AW165" i="27"/>
  <c r="BM165" i="27"/>
  <c r="BO315" i="27"/>
  <c r="BQ315" i="27"/>
  <c r="BR315" i="27"/>
  <c r="BT315" i="27"/>
  <c r="BN123" i="27"/>
  <c r="BP123" i="27"/>
  <c r="BO325" i="27"/>
  <c r="BQ325" i="27"/>
  <c r="BR325" i="27"/>
  <c r="BT325" i="27"/>
  <c r="BP293" i="27"/>
  <c r="BN293" i="27"/>
  <c r="BO100" i="27"/>
  <c r="BQ100" i="27"/>
  <c r="BR100" i="27"/>
  <c r="BT100" i="27"/>
  <c r="BO172" i="27"/>
  <c r="BQ172" i="27"/>
  <c r="BR172" i="27"/>
  <c r="BT172" i="27"/>
  <c r="AE28" i="27"/>
  <c r="AT28" i="27"/>
  <c r="AU28" i="27"/>
  <c r="AW28" i="27"/>
  <c r="BM28" i="27"/>
  <c r="BS63" i="27"/>
  <c r="BC63" i="27"/>
  <c r="BD63" i="27"/>
  <c r="BA63" i="27"/>
  <c r="BB63" i="27"/>
  <c r="AX63" i="27"/>
  <c r="BR90" i="27"/>
  <c r="BT90" i="27"/>
  <c r="BP157" i="27"/>
  <c r="BN157" i="27"/>
  <c r="BS177" i="27"/>
  <c r="BC177" i="27"/>
  <c r="BD177" i="27"/>
  <c r="BA177" i="27"/>
  <c r="BB177" i="27"/>
  <c r="AX177" i="27"/>
  <c r="BO53" i="27"/>
  <c r="BQ53" i="27"/>
  <c r="BR53" i="27"/>
  <c r="BT53" i="27"/>
  <c r="BS182" i="27"/>
  <c r="BC182" i="27"/>
  <c r="BD182" i="27"/>
  <c r="BA182" i="27"/>
  <c r="BB182" i="27"/>
  <c r="AX182" i="27"/>
  <c r="BC35" i="27"/>
  <c r="BD35" i="27"/>
  <c r="BA35" i="27"/>
  <c r="BB35" i="27"/>
  <c r="AX35" i="27"/>
  <c r="BS35" i="27"/>
  <c r="BR285" i="27"/>
  <c r="BT285" i="27"/>
  <c r="BO285" i="27"/>
  <c r="BQ285" i="27"/>
  <c r="BS74" i="27"/>
  <c r="BO189" i="27"/>
  <c r="BQ189" i="27"/>
  <c r="BR189" i="27"/>
  <c r="BT189" i="27"/>
  <c r="BR54" i="27"/>
  <c r="BT54" i="27"/>
  <c r="BO54" i="27"/>
  <c r="BQ54" i="27"/>
  <c r="BC144" i="27"/>
  <c r="BD144" i="27"/>
  <c r="BA144" i="27"/>
  <c r="BB144" i="27"/>
  <c r="AX144" i="27"/>
  <c r="BS144" i="27"/>
  <c r="BC118" i="27"/>
  <c r="BD118" i="27"/>
  <c r="BA118" i="27"/>
  <c r="BB118" i="27"/>
  <c r="AX118" i="27"/>
  <c r="BS118" i="27"/>
  <c r="BR13" i="27"/>
  <c r="BT13" i="27"/>
  <c r="BO13" i="27"/>
  <c r="BQ13" i="27"/>
  <c r="BC125" i="27"/>
  <c r="BD125" i="27"/>
  <c r="BA125" i="27"/>
  <c r="BB125" i="27"/>
  <c r="AX125" i="27"/>
  <c r="BS125" i="27"/>
  <c r="BR266" i="27"/>
  <c r="BT266" i="27"/>
  <c r="BO266" i="27"/>
  <c r="BQ266" i="27"/>
  <c r="BR44" i="27"/>
  <c r="BT44" i="27"/>
  <c r="BO44" i="27"/>
  <c r="BQ44" i="27"/>
  <c r="BR249" i="27"/>
  <c r="BT249" i="27"/>
  <c r="BO249" i="27"/>
  <c r="BQ249" i="27"/>
  <c r="BR21" i="27"/>
  <c r="BT21" i="27"/>
  <c r="BO21" i="27"/>
  <c r="BQ21" i="27"/>
  <c r="BS31" i="27"/>
  <c r="BS187" i="27"/>
  <c r="BC187" i="27"/>
  <c r="BD187" i="27"/>
  <c r="BA187" i="27"/>
  <c r="BB187" i="27"/>
  <c r="AX187" i="27"/>
  <c r="BS77" i="27"/>
  <c r="BC77" i="27"/>
  <c r="BD77" i="27"/>
  <c r="BA77" i="27"/>
  <c r="BB77" i="27"/>
  <c r="AX77" i="27"/>
  <c r="BO164" i="27"/>
  <c r="BQ164" i="27"/>
  <c r="BR164" i="27"/>
  <c r="BT164" i="27"/>
  <c r="BR279" i="27"/>
  <c r="BT279" i="27"/>
  <c r="BS325" i="27"/>
  <c r="BC325" i="27"/>
  <c r="BD325" i="27"/>
  <c r="BA325" i="27"/>
  <c r="BB325" i="27"/>
  <c r="AX325" i="27"/>
  <c r="BR48" i="27"/>
  <c r="BT48" i="27"/>
  <c r="BO48" i="27"/>
  <c r="BQ48" i="27"/>
  <c r="AV99" i="27"/>
  <c r="BN92" i="27"/>
  <c r="BP92" i="27"/>
  <c r="BO78" i="27"/>
  <c r="BQ78" i="27"/>
  <c r="BR78" i="27"/>
  <c r="BT78" i="27"/>
  <c r="BR216" i="27"/>
  <c r="BT216" i="27"/>
  <c r="BO216" i="27"/>
  <c r="BQ216" i="27"/>
  <c r="BO74" i="27"/>
  <c r="BQ74" i="27"/>
  <c r="BR74" i="27"/>
  <c r="BT74" i="27"/>
  <c r="BC189" i="27"/>
  <c r="BD189" i="27"/>
  <c r="BA189" i="27"/>
  <c r="BB189" i="27"/>
  <c r="AX189" i="27"/>
  <c r="BS189" i="27"/>
  <c r="BO118" i="27"/>
  <c r="BQ118" i="27"/>
  <c r="BR118" i="27"/>
  <c r="BT118" i="27"/>
  <c r="BO125" i="27"/>
  <c r="BQ125" i="27"/>
  <c r="BR125" i="27"/>
  <c r="BT125" i="27"/>
  <c r="BN276" i="27"/>
  <c r="BP276" i="27"/>
  <c r="BC282" i="27"/>
  <c r="BD282" i="27"/>
  <c r="BA282" i="27"/>
  <c r="BB282" i="27"/>
  <c r="AX282" i="27"/>
  <c r="BS282" i="27"/>
  <c r="BP214" i="27"/>
  <c r="BN214" i="27"/>
  <c r="BO224" i="27"/>
  <c r="BQ224" i="27"/>
  <c r="BR224" i="27"/>
  <c r="BT224" i="27"/>
  <c r="BP240" i="27"/>
  <c r="BN240" i="27"/>
  <c r="BS78" i="27"/>
  <c r="BC78" i="27"/>
  <c r="BD78" i="27"/>
  <c r="BA78" i="27"/>
  <c r="BB78" i="27"/>
  <c r="AX78" i="27"/>
  <c r="BO152" i="27"/>
  <c r="BQ152" i="27"/>
  <c r="BR152" i="27"/>
  <c r="BT152" i="27"/>
  <c r="BO234" i="27"/>
  <c r="BQ234" i="27"/>
  <c r="BR234" i="27"/>
  <c r="BT234" i="27"/>
  <c r="BS228" i="27"/>
  <c r="BR71" i="27"/>
  <c r="BT71" i="27"/>
  <c r="BO71" i="27"/>
  <c r="BQ71" i="27"/>
  <c r="BS271" i="27"/>
  <c r="BC271" i="27"/>
  <c r="BD271" i="27"/>
  <c r="BA271" i="27"/>
  <c r="BB271" i="27"/>
  <c r="AX271" i="27"/>
  <c r="BO137" i="27"/>
  <c r="BQ137" i="27"/>
  <c r="BR137" i="27"/>
  <c r="BT137" i="27"/>
  <c r="BR7" i="27"/>
  <c r="BT7" i="27"/>
  <c r="BO7" i="27"/>
  <c r="BQ7" i="27"/>
  <c r="BR252" i="27"/>
  <c r="BT252" i="27"/>
  <c r="BO252" i="27"/>
  <c r="BQ252" i="27"/>
  <c r="BS313" i="27"/>
  <c r="BP27" i="27"/>
  <c r="BN27" i="27"/>
  <c r="AT68" i="27"/>
  <c r="AU68" i="27"/>
  <c r="AW68" i="27"/>
  <c r="BM68" i="27"/>
  <c r="BP321" i="27"/>
  <c r="BN321" i="27"/>
  <c r="BR117" i="27"/>
  <c r="BT117" i="27"/>
  <c r="BO220" i="27"/>
  <c r="BQ220" i="27"/>
  <c r="BR220" i="27"/>
  <c r="BT220" i="27"/>
  <c r="BS71" i="27"/>
  <c r="BC71" i="27"/>
  <c r="BD71" i="27"/>
  <c r="BA71" i="27"/>
  <c r="BB71" i="27"/>
  <c r="AX71" i="27"/>
  <c r="BO271" i="27"/>
  <c r="BQ271" i="27"/>
  <c r="BR271" i="27"/>
  <c r="BT271" i="27"/>
  <c r="BO322" i="27"/>
  <c r="BQ322" i="27"/>
  <c r="BR322" i="27"/>
  <c r="BT322" i="27"/>
  <c r="BR153" i="27"/>
  <c r="BT153" i="27"/>
  <c r="BO153" i="27"/>
  <c r="BQ153" i="27"/>
  <c r="BC259" i="27"/>
  <c r="BD259" i="27"/>
  <c r="BA259" i="27"/>
  <c r="BB259" i="27"/>
  <c r="BS259" i="27"/>
  <c r="BC17" i="27"/>
  <c r="BD17" i="27"/>
  <c r="BA17" i="27"/>
  <c r="BB17" i="27"/>
  <c r="AX17" i="27"/>
  <c r="BS17" i="27"/>
  <c r="BO102" i="27"/>
  <c r="BQ102" i="27"/>
  <c r="BR102" i="27"/>
  <c r="BT102" i="27"/>
  <c r="AE263" i="27"/>
  <c r="AT263" i="27"/>
  <c r="AU263" i="27"/>
  <c r="AW263" i="27"/>
  <c r="BM263" i="27"/>
  <c r="BS258" i="27"/>
  <c r="BC258" i="27"/>
  <c r="BD258" i="27"/>
  <c r="BA258" i="27"/>
  <c r="BB258" i="27"/>
  <c r="AX258" i="27"/>
  <c r="BN86" i="27"/>
  <c r="BP86" i="27"/>
  <c r="BO23" i="27"/>
  <c r="BQ23" i="27"/>
  <c r="BR23" i="27"/>
  <c r="BT23" i="27"/>
  <c r="BO168" i="27"/>
  <c r="BQ168" i="27"/>
  <c r="BR168" i="27"/>
  <c r="BT168" i="27"/>
  <c r="BR145" i="27"/>
  <c r="BT145" i="27"/>
  <c r="BO145" i="27"/>
  <c r="BQ145" i="27"/>
  <c r="BO242" i="27"/>
  <c r="BQ242" i="27"/>
  <c r="BR242" i="27"/>
  <c r="BT242" i="27"/>
  <c r="BC322" i="27"/>
  <c r="BD322" i="27"/>
  <c r="BA322" i="27"/>
  <c r="BB322" i="27"/>
  <c r="AX322" i="27"/>
  <c r="BS322" i="27"/>
  <c r="BR42" i="27"/>
  <c r="BT42" i="27"/>
  <c r="BO42" i="27"/>
  <c r="BQ42" i="27"/>
  <c r="BP171" i="27"/>
  <c r="BN171" i="27"/>
  <c r="AT243" i="27"/>
  <c r="AU243" i="27"/>
  <c r="AW243" i="27"/>
  <c r="BM243" i="27"/>
  <c r="BO324" i="27"/>
  <c r="BQ324" i="27"/>
  <c r="BR324" i="27"/>
  <c r="BT324" i="27"/>
  <c r="BR167" i="27"/>
  <c r="BT167" i="27"/>
  <c r="BO167" i="27"/>
  <c r="BQ167" i="27"/>
  <c r="BO176" i="27"/>
  <c r="BQ176" i="27"/>
  <c r="BR176" i="27"/>
  <c r="BT176" i="27"/>
  <c r="BO265" i="27"/>
  <c r="BQ265" i="27"/>
  <c r="BR265" i="27"/>
  <c r="BT265" i="27"/>
  <c r="BS133" i="27"/>
  <c r="BC133" i="27"/>
  <c r="BD133" i="27"/>
  <c r="BA133" i="27"/>
  <c r="BB133" i="27"/>
  <c r="AX133" i="27"/>
  <c r="BO140" i="27"/>
  <c r="BQ140" i="27"/>
  <c r="BR140" i="27"/>
  <c r="BT140" i="27"/>
  <c r="BR60" i="27"/>
  <c r="BT60" i="27"/>
  <c r="BO60" i="27"/>
  <c r="BQ60" i="27"/>
  <c r="BR79" i="27"/>
  <c r="BT79" i="27"/>
  <c r="BO79" i="27"/>
  <c r="BQ79" i="27"/>
  <c r="BO290" i="27"/>
  <c r="BQ290" i="27"/>
  <c r="BR290" i="27"/>
  <c r="BT290" i="27"/>
  <c r="BC162" i="27"/>
  <c r="BD162" i="27"/>
  <c r="BA162" i="27"/>
  <c r="BB162" i="27"/>
  <c r="AX162" i="27"/>
  <c r="BS162" i="27"/>
  <c r="BC328" i="27"/>
  <c r="BD328" i="27"/>
  <c r="BA328" i="27"/>
  <c r="BB328" i="27"/>
  <c r="AX328" i="27"/>
  <c r="BS328" i="27"/>
  <c r="BC166" i="27"/>
  <c r="BD166" i="27"/>
  <c r="BA166" i="27"/>
  <c r="BB166" i="27"/>
  <c r="AX166" i="27"/>
  <c r="BS166" i="27"/>
  <c r="BN184" i="27"/>
  <c r="BP184" i="27"/>
  <c r="BS81" i="27"/>
  <c r="BC81" i="27"/>
  <c r="BD81" i="27"/>
  <c r="BA81" i="27"/>
  <c r="BB81" i="27"/>
  <c r="AX81" i="27"/>
  <c r="BR32" i="27"/>
  <c r="BT32" i="27"/>
  <c r="BO32" i="27"/>
  <c r="BQ32" i="27"/>
  <c r="BC267" i="27"/>
  <c r="BD267" i="27"/>
  <c r="BA267" i="27"/>
  <c r="BB267" i="27"/>
  <c r="AX267" i="27"/>
  <c r="BS267" i="27"/>
  <c r="BN277" i="27"/>
  <c r="BP277" i="27"/>
  <c r="BC324" i="27"/>
  <c r="BD324" i="27"/>
  <c r="BA324" i="27"/>
  <c r="BB324" i="27"/>
  <c r="AX324" i="27"/>
  <c r="BS324" i="27"/>
  <c r="BO51" i="27"/>
  <c r="BQ51" i="27"/>
  <c r="BR51" i="27"/>
  <c r="BT51" i="27"/>
  <c r="BP235" i="27"/>
  <c r="BN235" i="27"/>
  <c r="AE288" i="27"/>
  <c r="AT288" i="27"/>
  <c r="AU288" i="27"/>
  <c r="AW288" i="27"/>
  <c r="BM288" i="27"/>
  <c r="BP229" i="27"/>
  <c r="BN229" i="27"/>
  <c r="AT306" i="27"/>
  <c r="AU306" i="27"/>
  <c r="AW306" i="27"/>
  <c r="BM306" i="27"/>
  <c r="BN273" i="27"/>
  <c r="BP273" i="27"/>
  <c r="BO300" i="27"/>
  <c r="BQ300" i="27"/>
  <c r="BR300" i="27"/>
  <c r="BT300" i="27"/>
  <c r="BC70" i="27"/>
  <c r="BD70" i="27"/>
  <c r="BA70" i="27"/>
  <c r="BB70" i="27"/>
  <c r="AX70" i="27"/>
  <c r="BS70" i="27"/>
  <c r="BS29" i="27"/>
  <c r="BC29" i="27"/>
  <c r="BD29" i="27"/>
  <c r="BA29" i="27"/>
  <c r="BB29" i="27"/>
  <c r="AX29" i="27"/>
  <c r="BP173" i="27"/>
  <c r="BN173" i="27"/>
  <c r="BS226" i="27"/>
  <c r="BC226" i="27"/>
  <c r="BD226" i="27"/>
  <c r="BA226" i="27"/>
  <c r="BB226" i="27"/>
  <c r="AX226" i="27"/>
  <c r="BO183" i="27"/>
  <c r="BQ183" i="27"/>
  <c r="BR183" i="27"/>
  <c r="BT183" i="27"/>
  <c r="BO106" i="27"/>
  <c r="BQ106" i="27"/>
  <c r="BR106" i="27"/>
  <c r="BT106" i="27"/>
  <c r="BS323" i="27"/>
  <c r="BC323" i="27"/>
  <c r="BD323" i="27"/>
  <c r="BA323" i="27"/>
  <c r="BB323" i="27"/>
  <c r="AX323" i="27"/>
  <c r="BO114" i="27"/>
  <c r="BQ114" i="27"/>
  <c r="BR114" i="27"/>
  <c r="BT114" i="27"/>
  <c r="BC239" i="27"/>
  <c r="BD239" i="27"/>
  <c r="BA239" i="27"/>
  <c r="BB239" i="27"/>
  <c r="AX239" i="27"/>
  <c r="BS239" i="27"/>
  <c r="BR91" i="27"/>
  <c r="BT91" i="27"/>
  <c r="BO91" i="27"/>
  <c r="BQ91" i="27"/>
  <c r="BS107" i="27"/>
  <c r="BC107" i="27"/>
  <c r="BD107" i="27"/>
  <c r="BA107" i="27"/>
  <c r="BB107" i="27"/>
  <c r="AX107" i="27"/>
  <c r="BO39" i="27"/>
  <c r="BQ39" i="27"/>
  <c r="BR39" i="27"/>
  <c r="BT39" i="27"/>
  <c r="BR129" i="27"/>
  <c r="BT129" i="27"/>
  <c r="BO129" i="27"/>
  <c r="BQ129" i="27"/>
  <c r="BS215" i="27"/>
  <c r="BO283" i="27"/>
  <c r="BQ283" i="27"/>
  <c r="BC140" i="27"/>
  <c r="BD140" i="27"/>
  <c r="BA140" i="27"/>
  <c r="BB140" i="27"/>
  <c r="AX140" i="27"/>
  <c r="BS140" i="27"/>
  <c r="BC72" i="27"/>
  <c r="BD72" i="27"/>
  <c r="BA72" i="27"/>
  <c r="BB72" i="27"/>
  <c r="AX72" i="27"/>
  <c r="BS72" i="27"/>
  <c r="BC79" i="27"/>
  <c r="BD79" i="27"/>
  <c r="BA79" i="27"/>
  <c r="BB79" i="27"/>
  <c r="AX79" i="27"/>
  <c r="BS79" i="27"/>
  <c r="BR147" i="27"/>
  <c r="BT147" i="27"/>
  <c r="BO147" i="27"/>
  <c r="BQ147" i="27"/>
  <c r="BS181" i="27"/>
  <c r="BC181" i="27"/>
  <c r="BD181" i="27"/>
  <c r="BA181" i="27"/>
  <c r="BB181" i="27"/>
  <c r="AX181" i="27"/>
  <c r="BO246" i="27"/>
  <c r="BQ246" i="27"/>
  <c r="BR246" i="27"/>
  <c r="BT246" i="27"/>
  <c r="BC128" i="27"/>
  <c r="BD128" i="27"/>
  <c r="BA128" i="27"/>
  <c r="BB128" i="27"/>
  <c r="AX128" i="27"/>
  <c r="BS128" i="27"/>
  <c r="BS260" i="27"/>
  <c r="BC260" i="27"/>
  <c r="BD260" i="27"/>
  <c r="BA260" i="27"/>
  <c r="BB260" i="27"/>
  <c r="AX260" i="27"/>
  <c r="BO2" i="27"/>
  <c r="BQ2" i="27"/>
  <c r="BR2" i="27"/>
  <c r="BT2" i="27"/>
  <c r="BC146" i="27"/>
  <c r="BD146" i="27"/>
  <c r="BA146" i="27"/>
  <c r="BB146" i="27"/>
  <c r="AX146" i="27"/>
  <c r="BS146" i="27"/>
  <c r="BO162" i="27"/>
  <c r="BQ162" i="27"/>
  <c r="BR162" i="27"/>
  <c r="BT162" i="27"/>
  <c r="BR212" i="27"/>
  <c r="BT212" i="27"/>
  <c r="BO212" i="27"/>
  <c r="BQ212" i="27"/>
  <c r="BN292" i="27"/>
  <c r="BP292" i="27"/>
  <c r="BS254" i="27"/>
  <c r="BC254" i="27"/>
  <c r="BD254" i="27"/>
  <c r="BA254" i="27"/>
  <c r="BB254" i="27"/>
  <c r="AX254" i="27"/>
  <c r="BP143" i="27"/>
  <c r="BN143" i="27"/>
  <c r="BN160" i="27"/>
  <c r="BP160" i="27"/>
  <c r="BO131" i="27"/>
  <c r="BQ131" i="27"/>
  <c r="BR131" i="27"/>
  <c r="BT131" i="27"/>
  <c r="BC44" i="27"/>
  <c r="BD44" i="27"/>
  <c r="BA44" i="27"/>
  <c r="BB44" i="27"/>
  <c r="AX44" i="27"/>
  <c r="BS44" i="27"/>
  <c r="BS222" i="27"/>
  <c r="BC222" i="27"/>
  <c r="BD222" i="27"/>
  <c r="BA222" i="27"/>
  <c r="BB222" i="27"/>
  <c r="AX222" i="27"/>
  <c r="BC255" i="27"/>
  <c r="BD255" i="27"/>
  <c r="BA255" i="27"/>
  <c r="BB255" i="27"/>
  <c r="AX255" i="27"/>
  <c r="BS255" i="27"/>
  <c r="BS21" i="27"/>
  <c r="BC21" i="27"/>
  <c r="BD21" i="27"/>
  <c r="BA21" i="27"/>
  <c r="BB21" i="27"/>
  <c r="AX21" i="27"/>
  <c r="BC209" i="27"/>
  <c r="BD209" i="27"/>
  <c r="BA209" i="27"/>
  <c r="BB209" i="27"/>
  <c r="AX209" i="27"/>
  <c r="BS209" i="27"/>
  <c r="BS223" i="27"/>
  <c r="BC223" i="27"/>
  <c r="BD223" i="27"/>
  <c r="BA223" i="27"/>
  <c r="BB223" i="27"/>
  <c r="AX223" i="27"/>
  <c r="BS262" i="27"/>
  <c r="BC262" i="27"/>
  <c r="BD262" i="27"/>
  <c r="BA262" i="27"/>
  <c r="BB262" i="27"/>
  <c r="AX262" i="27"/>
  <c r="AE190" i="27"/>
  <c r="AT190" i="27"/>
  <c r="AU190" i="27"/>
  <c r="AW190" i="27"/>
  <c r="BM190" i="27"/>
  <c r="BS48" i="27"/>
  <c r="BC48" i="27"/>
  <c r="BD48" i="27"/>
  <c r="BA48" i="27"/>
  <c r="BB48" i="27"/>
  <c r="AX48" i="27"/>
  <c r="BP225" i="27"/>
  <c r="BN225" i="27"/>
  <c r="BN284" i="27"/>
  <c r="BP284" i="27"/>
  <c r="BS216" i="27"/>
  <c r="BC216" i="27"/>
  <c r="BD216" i="27"/>
  <c r="BA216" i="27"/>
  <c r="BB216" i="27"/>
  <c r="AX216" i="27"/>
  <c r="BC220" i="27"/>
  <c r="BD220" i="27"/>
  <c r="BA220" i="27"/>
  <c r="BB220" i="27"/>
  <c r="AX220" i="27"/>
  <c r="BS220" i="27"/>
  <c r="BR12" i="27"/>
  <c r="BT12" i="27"/>
  <c r="BO12" i="27"/>
  <c r="BQ12" i="27"/>
  <c r="BO303" i="27"/>
  <c r="BQ303" i="27"/>
  <c r="BR303" i="27"/>
  <c r="BT303" i="27"/>
  <c r="BS161" i="27"/>
  <c r="BC161" i="27"/>
  <c r="BD161" i="27"/>
  <c r="BA161" i="27"/>
  <c r="BB161" i="27"/>
  <c r="AX161" i="27"/>
  <c r="BO222" i="27"/>
  <c r="BQ222" i="27"/>
  <c r="BR222" i="27"/>
  <c r="BT222" i="27"/>
  <c r="BC120" i="27"/>
  <c r="BD120" i="27"/>
  <c r="BA120" i="27"/>
  <c r="BB120" i="27"/>
  <c r="AX120" i="27"/>
  <c r="BS120" i="27"/>
  <c r="BR3" i="27"/>
  <c r="BT3" i="27"/>
  <c r="BO3" i="27"/>
  <c r="BQ3" i="27"/>
  <c r="BO282" i="27"/>
  <c r="BQ282" i="27"/>
  <c r="BR282" i="27"/>
  <c r="BT282" i="27"/>
  <c r="BO17" i="27"/>
  <c r="BQ17" i="27"/>
  <c r="BR17" i="27"/>
  <c r="BT17" i="27"/>
  <c r="BC102" i="27"/>
  <c r="BD102" i="27"/>
  <c r="BA102" i="27"/>
  <c r="BB102" i="27"/>
  <c r="AX102" i="27"/>
  <c r="BS102" i="27"/>
  <c r="BR202" i="27"/>
  <c r="BT202" i="27"/>
  <c r="BO202" i="27"/>
  <c r="BQ202" i="27"/>
  <c r="BP8" i="27"/>
  <c r="BN8" i="27"/>
  <c r="BN307" i="27"/>
  <c r="BP307" i="27"/>
  <c r="BC4" i="27"/>
  <c r="BD4" i="27"/>
  <c r="BA4" i="27"/>
  <c r="BB4" i="27"/>
  <c r="AX4" i="27"/>
  <c r="BS4" i="27"/>
  <c r="BC168" i="27"/>
  <c r="BD168" i="27"/>
  <c r="BA168" i="27"/>
  <c r="BB168" i="27"/>
  <c r="AX168" i="27"/>
  <c r="BS168" i="27"/>
  <c r="BS145" i="27"/>
  <c r="BC145" i="27"/>
  <c r="BD145" i="27"/>
  <c r="BA145" i="27"/>
  <c r="BB145" i="27"/>
  <c r="AX145" i="27"/>
  <c r="BR161" i="27"/>
  <c r="BT161" i="27"/>
  <c r="BO161" i="27"/>
  <c r="BQ161" i="27"/>
  <c r="BS137" i="27"/>
  <c r="BC137" i="27"/>
  <c r="BD137" i="27"/>
  <c r="BA137" i="27"/>
  <c r="BB137" i="27"/>
  <c r="AX137" i="27"/>
  <c r="BO43" i="27"/>
  <c r="BQ43" i="27"/>
  <c r="BR43" i="27"/>
  <c r="BT43" i="27"/>
  <c r="BS3" i="27"/>
  <c r="BC3" i="27"/>
  <c r="BD3" i="27"/>
  <c r="BA3" i="27"/>
  <c r="BB3" i="27"/>
  <c r="AX3" i="27"/>
  <c r="BC25" i="27"/>
  <c r="BD25" i="27"/>
  <c r="BA25" i="27"/>
  <c r="BB25" i="27"/>
  <c r="AX25" i="27"/>
  <c r="BS25" i="27"/>
  <c r="BP36" i="27"/>
  <c r="BN36" i="27"/>
  <c r="BS167" i="27"/>
  <c r="BC167" i="27"/>
  <c r="BD167" i="27"/>
  <c r="BA167" i="27"/>
  <c r="BB167" i="27"/>
  <c r="AX167" i="27"/>
  <c r="BR227" i="27"/>
  <c r="BT227" i="27"/>
  <c r="BO227" i="27"/>
  <c r="BQ227" i="27"/>
  <c r="BP132" i="27"/>
  <c r="BN132" i="27"/>
  <c r="BO41" i="27"/>
  <c r="BQ41" i="27"/>
  <c r="BC176" i="27"/>
  <c r="BD176" i="27"/>
  <c r="BA176" i="27"/>
  <c r="BB176" i="27"/>
  <c r="AX176" i="27"/>
  <c r="BS176" i="27"/>
  <c r="BP256" i="27"/>
  <c r="BN256" i="27"/>
  <c r="BS60" i="27"/>
  <c r="BC60" i="27"/>
  <c r="BD60" i="27"/>
  <c r="BA60" i="27"/>
  <c r="BB60" i="27"/>
  <c r="AX60" i="27"/>
  <c r="BA43" i="27"/>
  <c r="BB43" i="27"/>
  <c r="AX43" i="27"/>
  <c r="BC43" i="27"/>
  <c r="BD43" i="27"/>
  <c r="BO15" i="27"/>
  <c r="BQ15" i="27"/>
  <c r="BR15" i="27"/>
  <c r="BT15" i="27"/>
  <c r="BS22" i="27"/>
  <c r="BC22" i="27"/>
  <c r="BD22" i="27"/>
  <c r="BA22" i="27"/>
  <c r="BB22" i="27"/>
  <c r="AX22" i="27"/>
  <c r="BN199" i="27"/>
  <c r="BP199" i="27"/>
  <c r="BR81" i="27"/>
  <c r="BT81" i="27"/>
  <c r="BO81" i="27"/>
  <c r="BQ81" i="27"/>
  <c r="BR281" i="27"/>
  <c r="BT281" i="27"/>
  <c r="BO281" i="27"/>
  <c r="BQ281" i="27"/>
  <c r="BS227" i="27"/>
  <c r="BC227" i="27"/>
  <c r="BD227" i="27"/>
  <c r="BA227" i="27"/>
  <c r="BB227" i="27"/>
  <c r="AX227" i="27"/>
  <c r="BR70" i="27"/>
  <c r="BT70" i="27"/>
  <c r="BR29" i="27"/>
  <c r="BT29" i="27"/>
  <c r="BO29" i="27"/>
  <c r="BQ29" i="27"/>
  <c r="BC41" i="27"/>
  <c r="BD41" i="27"/>
  <c r="BA41" i="27"/>
  <c r="BB41" i="27"/>
  <c r="AX41" i="27"/>
  <c r="BR323" i="27"/>
  <c r="BT323" i="27"/>
  <c r="BO323" i="27"/>
  <c r="BQ323" i="27"/>
  <c r="BS91" i="27"/>
  <c r="BC91" i="27"/>
  <c r="BD91" i="27"/>
  <c r="BA91" i="27"/>
  <c r="BB91" i="27"/>
  <c r="AX91" i="27"/>
  <c r="BO158" i="27"/>
  <c r="BQ158" i="27"/>
  <c r="BR158" i="27"/>
  <c r="BT158" i="27"/>
  <c r="BO18" i="27"/>
  <c r="BQ18" i="27"/>
  <c r="BR18" i="27"/>
  <c r="BT18" i="27"/>
  <c r="BS42" i="27"/>
  <c r="BC42" i="27"/>
  <c r="BD42" i="27"/>
  <c r="BA42" i="27"/>
  <c r="BB42" i="27"/>
  <c r="AX42" i="27"/>
  <c r="BR181" i="27"/>
  <c r="BT181" i="27"/>
  <c r="BO181" i="27"/>
  <c r="BQ181" i="27"/>
  <c r="BO128" i="27"/>
  <c r="BQ128" i="27"/>
  <c r="BR128" i="27"/>
  <c r="BT128" i="27"/>
  <c r="BO146" i="27"/>
  <c r="BQ146" i="27"/>
  <c r="BR146" i="27"/>
  <c r="BT146" i="27"/>
  <c r="BR179" i="27"/>
  <c r="BT179" i="27"/>
  <c r="BO179" i="27"/>
  <c r="BQ179" i="27"/>
  <c r="BS105" i="27"/>
  <c r="BC105" i="27"/>
  <c r="BD105" i="27"/>
  <c r="BA105" i="27"/>
  <c r="BB105" i="27"/>
  <c r="AX105" i="27"/>
  <c r="BO166" i="27"/>
  <c r="BQ166" i="27"/>
  <c r="BR166" i="27"/>
  <c r="BT166" i="27"/>
  <c r="BP302" i="27"/>
  <c r="BN302" i="27"/>
  <c r="BC211" i="27"/>
  <c r="BD211" i="27"/>
  <c r="BA211" i="27"/>
  <c r="BB211" i="27"/>
  <c r="AX211" i="27"/>
  <c r="BS211" i="27"/>
  <c r="BS32" i="27"/>
  <c r="BC32" i="27"/>
  <c r="BD32" i="27"/>
  <c r="BA32" i="27"/>
  <c r="BB32" i="27"/>
  <c r="AX32" i="27"/>
  <c r="BO267" i="27"/>
  <c r="BQ267" i="27"/>
  <c r="BR267" i="27"/>
  <c r="BT267" i="27"/>
  <c r="BN295" i="27"/>
  <c r="BP295" i="27"/>
  <c r="BC287" i="27"/>
  <c r="BD287" i="27"/>
  <c r="BA287" i="27"/>
  <c r="BB287" i="27"/>
  <c r="AX287" i="27"/>
  <c r="BN9" i="27"/>
  <c r="BS135" i="27"/>
  <c r="BC135" i="27"/>
  <c r="BD135" i="27"/>
  <c r="BA135" i="27"/>
  <c r="BB135" i="27"/>
  <c r="AX135" i="27"/>
  <c r="BN159" i="27"/>
  <c r="BP159" i="27"/>
  <c r="BO138" i="27"/>
  <c r="BQ138" i="27"/>
  <c r="BR138" i="27"/>
  <c r="BT138" i="27"/>
  <c r="BS300" i="27"/>
  <c r="BC300" i="27"/>
  <c r="BD300" i="27"/>
  <c r="BA300" i="27"/>
  <c r="BB300" i="27"/>
  <c r="AX300" i="27"/>
  <c r="BP76" i="27"/>
  <c r="BN76" i="27"/>
  <c r="BN58" i="27"/>
  <c r="BP58" i="27"/>
  <c r="BO226" i="27"/>
  <c r="BQ226" i="27"/>
  <c r="BR226" i="27"/>
  <c r="BT226" i="27"/>
  <c r="BN278" i="27"/>
  <c r="BP278" i="27"/>
  <c r="BS183" i="27"/>
  <c r="BS56" i="27"/>
  <c r="BC56" i="27"/>
  <c r="BD56" i="27"/>
  <c r="BA56" i="27"/>
  <c r="BB56" i="27"/>
  <c r="AX56" i="27"/>
  <c r="BC108" i="27"/>
  <c r="BD108" i="27"/>
  <c r="BA108" i="27"/>
  <c r="BB108" i="27"/>
  <c r="AX108" i="27"/>
  <c r="BS108" i="27"/>
  <c r="BO16" i="27"/>
  <c r="BQ16" i="27"/>
  <c r="BR16" i="27"/>
  <c r="BT16" i="27"/>
  <c r="BO238" i="27"/>
  <c r="BQ238" i="27"/>
  <c r="BR238" i="27"/>
  <c r="BT238" i="27"/>
  <c r="BO239" i="27"/>
  <c r="BQ239" i="27"/>
  <c r="BR239" i="27"/>
  <c r="BT239" i="27"/>
  <c r="BC38" i="27"/>
  <c r="BD38" i="27"/>
  <c r="BA38" i="27"/>
  <c r="BB38" i="27"/>
  <c r="AX38" i="27"/>
  <c r="BS38" i="27"/>
  <c r="BR208" i="27"/>
  <c r="BT208" i="27"/>
  <c r="BO208" i="27"/>
  <c r="BQ208" i="27"/>
  <c r="BS52" i="27"/>
  <c r="BR297" i="27"/>
  <c r="BT297" i="27"/>
  <c r="BO297" i="27"/>
  <c r="BQ297" i="27"/>
  <c r="BS39" i="27"/>
  <c r="BC39" i="27"/>
  <c r="BD39" i="27"/>
  <c r="BA39" i="27"/>
  <c r="BB39" i="27"/>
  <c r="AX39" i="27"/>
  <c r="BS129" i="27"/>
  <c r="BC129" i="27"/>
  <c r="BD129" i="27"/>
  <c r="BA129" i="27"/>
  <c r="BB129" i="27"/>
  <c r="AX129" i="27"/>
  <c r="BO215" i="27"/>
  <c r="BQ215" i="27"/>
  <c r="BR215" i="27"/>
  <c r="BT215" i="27"/>
  <c r="BC251" i="27"/>
  <c r="BD251" i="27"/>
  <c r="BA251" i="27"/>
  <c r="BB251" i="27"/>
  <c r="AX251" i="27"/>
  <c r="BS251" i="27"/>
  <c r="BO72" i="27"/>
  <c r="BQ72" i="27"/>
  <c r="BR72" i="27"/>
  <c r="BT72" i="27"/>
  <c r="BS89" i="27"/>
  <c r="BC89" i="27"/>
  <c r="BD89" i="27"/>
  <c r="BA89" i="27"/>
  <c r="BB89" i="27"/>
  <c r="AX89" i="27"/>
  <c r="BO85" i="27"/>
  <c r="BQ85" i="27"/>
  <c r="BR85" i="27"/>
  <c r="BT85" i="27"/>
  <c r="BR219" i="27"/>
  <c r="BT219" i="27"/>
  <c r="BO219" i="27"/>
  <c r="BQ219" i="27"/>
  <c r="BS75" i="27"/>
  <c r="BC75" i="27"/>
  <c r="BD75" i="27"/>
  <c r="BA75" i="27"/>
  <c r="BB75" i="27"/>
  <c r="AX75" i="27"/>
  <c r="BO237" i="27"/>
  <c r="BQ237" i="27"/>
  <c r="BR237" i="27"/>
  <c r="BT237" i="27"/>
  <c r="BS270" i="27"/>
  <c r="BC270" i="27"/>
  <c r="BD270" i="27"/>
  <c r="BA270" i="27"/>
  <c r="BB270" i="27"/>
  <c r="AX270" i="27"/>
  <c r="BS2" i="27"/>
  <c r="BC2" i="27"/>
  <c r="BD2" i="27"/>
  <c r="BA2" i="27"/>
  <c r="BB2" i="27"/>
  <c r="AX2" i="27"/>
  <c r="BS163" i="27"/>
  <c r="BC163" i="27"/>
  <c r="BD163" i="27"/>
  <c r="BA163" i="27"/>
  <c r="BB163" i="27"/>
  <c r="AX163" i="27"/>
  <c r="BC301" i="27"/>
  <c r="BD301" i="27"/>
  <c r="BA301" i="27"/>
  <c r="BB301" i="27"/>
  <c r="AX301" i="27"/>
  <c r="BS301" i="27"/>
  <c r="BN205" i="27"/>
  <c r="BP205" i="27"/>
  <c r="BN203" i="27"/>
  <c r="BP203" i="27"/>
  <c r="BP218" i="27"/>
  <c r="BS62" i="27"/>
  <c r="BC62" i="27"/>
  <c r="BD62" i="27"/>
  <c r="BA62" i="27"/>
  <c r="BB62" i="27"/>
  <c r="AX62" i="27"/>
  <c r="BO228" i="27"/>
  <c r="BQ228" i="27"/>
  <c r="BR228" i="27"/>
  <c r="BT228" i="27"/>
  <c r="BS13" i="27"/>
  <c r="BC13" i="27"/>
  <c r="BD13" i="27"/>
  <c r="BA13" i="27"/>
  <c r="BB13" i="27"/>
  <c r="AX13" i="27"/>
  <c r="BC269" i="27"/>
  <c r="BD269" i="27"/>
  <c r="BA269" i="27"/>
  <c r="BB269" i="27"/>
  <c r="AX269" i="27"/>
  <c r="BS269" i="27"/>
  <c r="BS7" i="27"/>
  <c r="BC7" i="27"/>
  <c r="BD7" i="27"/>
  <c r="BA7" i="27"/>
  <c r="BB7" i="27"/>
  <c r="AX7" i="27"/>
  <c r="BP275" i="27"/>
  <c r="BN61" i="27"/>
  <c r="BP61" i="27"/>
  <c r="BS14" i="27"/>
  <c r="BC14" i="27"/>
  <c r="BD14" i="27"/>
  <c r="BA14" i="27"/>
  <c r="BB14" i="27"/>
  <c r="AX14" i="27"/>
  <c r="BR97" i="27"/>
  <c r="BT97" i="27"/>
  <c r="BO97" i="27"/>
  <c r="BQ97" i="27"/>
  <c r="BR210" i="27"/>
  <c r="BT210" i="27"/>
  <c r="BP11" i="27"/>
  <c r="BN11" i="27"/>
  <c r="BR223" i="27"/>
  <c r="BT223" i="27"/>
  <c r="BO223" i="27"/>
  <c r="BQ223" i="27"/>
  <c r="BO25" i="27"/>
  <c r="BQ25" i="27"/>
  <c r="BR25" i="27"/>
  <c r="BT25" i="27"/>
  <c r="BS224" i="27"/>
  <c r="BC224" i="27"/>
  <c r="BD224" i="27"/>
  <c r="BA224" i="27"/>
  <c r="BB224" i="27"/>
  <c r="AX224" i="27"/>
  <c r="BP206" i="27"/>
  <c r="BN206" i="27"/>
  <c r="BS97" i="27"/>
  <c r="BC97" i="27"/>
  <c r="BD97" i="27"/>
  <c r="BA97" i="27"/>
  <c r="BB97" i="27"/>
  <c r="AX97" i="27"/>
  <c r="BP64" i="27"/>
  <c r="BN64" i="27"/>
  <c r="BC234" i="27"/>
  <c r="BD234" i="27"/>
  <c r="BA234" i="27"/>
  <c r="BB234" i="27"/>
  <c r="AX234" i="27"/>
  <c r="BS234" i="27"/>
  <c r="BS210" i="27"/>
  <c r="BC210" i="27"/>
  <c r="BD210" i="27"/>
  <c r="BA210" i="27"/>
  <c r="BB210" i="27"/>
  <c r="AX210" i="27"/>
  <c r="BR113" i="27"/>
  <c r="BT113" i="27"/>
  <c r="BO120" i="27"/>
  <c r="BQ120" i="27"/>
  <c r="BR120" i="27"/>
  <c r="BT120" i="27"/>
  <c r="BO141" i="27"/>
  <c r="BQ141" i="27"/>
  <c r="BR141" i="27"/>
  <c r="BT141" i="27"/>
  <c r="BS317" i="27"/>
  <c r="BC317" i="27"/>
  <c r="BD317" i="27"/>
  <c r="BA317" i="27"/>
  <c r="BB317" i="27"/>
  <c r="AX317" i="27"/>
  <c r="BS202" i="27"/>
  <c r="BC202" i="27"/>
  <c r="BD202" i="27"/>
  <c r="BA202" i="27"/>
  <c r="BB202" i="27"/>
  <c r="AX202" i="27"/>
  <c r="BP318" i="27"/>
  <c r="BN318" i="27"/>
  <c r="BS248" i="27"/>
  <c r="BR24" i="27"/>
  <c r="BT24" i="27"/>
  <c r="BO24" i="27"/>
  <c r="BQ24" i="27"/>
  <c r="BP124" i="27"/>
  <c r="BN124" i="27"/>
  <c r="BC290" i="27"/>
  <c r="BD290" i="27"/>
  <c r="BA290" i="27"/>
  <c r="BB290" i="27"/>
  <c r="AX290" i="27"/>
  <c r="BS290" i="27"/>
  <c r="BS141" i="27"/>
  <c r="BC141" i="27"/>
  <c r="BD141" i="27"/>
  <c r="BA141" i="27"/>
  <c r="BB141" i="27"/>
  <c r="AX141" i="27"/>
  <c r="BO259" i="27"/>
  <c r="BQ259" i="27"/>
  <c r="BR259" i="27"/>
  <c r="BT259" i="27"/>
  <c r="BO328" i="27"/>
  <c r="BQ328" i="27"/>
  <c r="BR328" i="27"/>
  <c r="BT328" i="27"/>
  <c r="BP250" i="27"/>
  <c r="BN250" i="27"/>
  <c r="BN139" i="27"/>
  <c r="BP139" i="27"/>
  <c r="BS272" i="27"/>
  <c r="BC114" i="27"/>
  <c r="BD114" i="27"/>
  <c r="BA114" i="27"/>
  <c r="BB114" i="27"/>
  <c r="AX114" i="27"/>
  <c r="BS114" i="27"/>
  <c r="BO296" i="27"/>
  <c r="BQ296" i="27"/>
  <c r="BR296" i="27"/>
  <c r="BT296" i="27"/>
  <c r="BR107" i="27"/>
  <c r="BT107" i="27"/>
  <c r="BO107" i="27"/>
  <c r="BQ107" i="27"/>
  <c r="BC242" i="27"/>
  <c r="BD242" i="27"/>
  <c r="BA242" i="27"/>
  <c r="BB242" i="27"/>
  <c r="AX242" i="27"/>
  <c r="BS242" i="27"/>
  <c r="BC24" i="27"/>
  <c r="BD24" i="27"/>
  <c r="BA24" i="27"/>
  <c r="BB24" i="27"/>
  <c r="AX24" i="27"/>
  <c r="BS24" i="27"/>
  <c r="BS283" i="27"/>
  <c r="BC283" i="27"/>
  <c r="BD283" i="27"/>
  <c r="BA283" i="27"/>
  <c r="BB283" i="27"/>
  <c r="AX283" i="27"/>
  <c r="BS147" i="27"/>
  <c r="BC15" i="27"/>
  <c r="BD15" i="27"/>
  <c r="BA15" i="27"/>
  <c r="BB15" i="27"/>
  <c r="AX15" i="27"/>
  <c r="BS15" i="27"/>
  <c r="BR260" i="27"/>
  <c r="BT260" i="27"/>
  <c r="BS50" i="27"/>
  <c r="BC50" i="27"/>
  <c r="BD50" i="27"/>
  <c r="BA50" i="27"/>
  <c r="BB50" i="27"/>
  <c r="AX50" i="27"/>
  <c r="BS179" i="27"/>
  <c r="BC179" i="27"/>
  <c r="BD179" i="27"/>
  <c r="BA179" i="27"/>
  <c r="BB179" i="27"/>
  <c r="AX179" i="27"/>
  <c r="BO105" i="27"/>
  <c r="BQ105" i="27"/>
  <c r="BR105" i="27"/>
  <c r="BT105" i="27"/>
  <c r="BR211" i="27"/>
  <c r="BT211" i="27"/>
  <c r="BO211" i="27"/>
  <c r="BQ211" i="27"/>
  <c r="BS327" i="27"/>
  <c r="BC327" i="27"/>
  <c r="BD327" i="27"/>
  <c r="BA327" i="27"/>
  <c r="BB327" i="27"/>
  <c r="AX327" i="27"/>
  <c r="BR287" i="27"/>
  <c r="BT287" i="27"/>
  <c r="BO287" i="27"/>
  <c r="BQ287" i="27"/>
  <c r="BP308" i="27"/>
  <c r="BN308" i="27"/>
  <c r="BC138" i="27"/>
  <c r="BD138" i="27"/>
  <c r="BA138" i="27"/>
  <c r="BB138" i="27"/>
  <c r="AX138" i="27"/>
  <c r="BS138" i="27"/>
  <c r="BN169" i="27"/>
  <c r="BP169" i="27"/>
  <c r="BO231" i="27"/>
  <c r="BQ231" i="27"/>
  <c r="BR231" i="27"/>
  <c r="BT231" i="27"/>
  <c r="BR56" i="27"/>
  <c r="BT56" i="27"/>
  <c r="BO56" i="27"/>
  <c r="BQ56" i="27"/>
  <c r="BO108" i="27"/>
  <c r="BQ108" i="27"/>
  <c r="BR108" i="27"/>
  <c r="BT108" i="27"/>
  <c r="BO311" i="27"/>
  <c r="BQ311" i="27"/>
  <c r="BR311" i="27"/>
  <c r="BT311" i="27"/>
  <c r="BC16" i="27"/>
  <c r="BD16" i="27"/>
  <c r="BA16" i="27"/>
  <c r="BB16" i="27"/>
  <c r="AX16" i="27"/>
  <c r="BS16" i="27"/>
  <c r="BS238" i="27"/>
  <c r="BC238" i="27"/>
  <c r="BD238" i="27"/>
  <c r="BA238" i="27"/>
  <c r="BB238" i="27"/>
  <c r="AX238" i="27"/>
  <c r="BC46" i="27"/>
  <c r="BD46" i="27"/>
  <c r="BA46" i="27"/>
  <c r="BB46" i="27"/>
  <c r="AX46" i="27"/>
  <c r="BR52" i="27"/>
  <c r="BT52" i="27"/>
  <c r="BO52" i="27"/>
  <c r="BQ52" i="27"/>
  <c r="BO115" i="27"/>
  <c r="BQ115" i="27"/>
  <c r="BR115" i="27"/>
  <c r="BT115" i="27"/>
  <c r="BO87" i="27"/>
  <c r="BQ87" i="27"/>
  <c r="BR87" i="27"/>
  <c r="BT87" i="27"/>
  <c r="BO151" i="27"/>
  <c r="BQ151" i="27"/>
  <c r="BR151" i="27"/>
  <c r="BT151" i="27"/>
  <c r="BS178" i="27"/>
  <c r="BC178" i="27"/>
  <c r="BD178" i="27"/>
  <c r="BA178" i="27"/>
  <c r="BB178" i="27"/>
  <c r="AX178" i="27"/>
  <c r="BR251" i="27"/>
  <c r="BT251" i="27"/>
  <c r="BO251" i="27"/>
  <c r="BQ251" i="27"/>
  <c r="BO221" i="27"/>
  <c r="BQ221" i="27"/>
  <c r="BR221" i="27"/>
  <c r="BT221" i="27"/>
  <c r="BS119" i="27"/>
  <c r="BC119" i="27"/>
  <c r="BD119" i="27"/>
  <c r="BA119" i="27"/>
  <c r="BB119" i="27"/>
  <c r="AX119" i="27"/>
  <c r="BO170" i="27"/>
  <c r="BQ170" i="27"/>
  <c r="BR170" i="27"/>
  <c r="BT170" i="27"/>
  <c r="BC59" i="27"/>
  <c r="BD59" i="27"/>
  <c r="BA59" i="27"/>
  <c r="BB59" i="27"/>
  <c r="AX59" i="27"/>
  <c r="BS59" i="27"/>
  <c r="BS85" i="27"/>
  <c r="BC85" i="27"/>
  <c r="BD85" i="27"/>
  <c r="BA85" i="27"/>
  <c r="BB85" i="27"/>
  <c r="AX85" i="27"/>
  <c r="BS126" i="27"/>
  <c r="BC126" i="27"/>
  <c r="BD126" i="27"/>
  <c r="BA126" i="27"/>
  <c r="BB126" i="27"/>
  <c r="AX126" i="27"/>
  <c r="BS219" i="27"/>
  <c r="BC219" i="27"/>
  <c r="BD219" i="27"/>
  <c r="BA219" i="27"/>
  <c r="BB219" i="27"/>
  <c r="AX219" i="27"/>
  <c r="BC233" i="27"/>
  <c r="BD233" i="27"/>
  <c r="BA233" i="27"/>
  <c r="BB233" i="27"/>
  <c r="AX233" i="27"/>
  <c r="BO67" i="27"/>
  <c r="BQ67" i="27"/>
  <c r="BC237" i="27"/>
  <c r="BD237" i="27"/>
  <c r="BA237" i="27"/>
  <c r="BB237" i="27"/>
  <c r="AX237" i="27"/>
  <c r="BS237" i="27"/>
  <c r="BR270" i="27"/>
  <c r="BT270" i="27"/>
  <c r="BO270" i="27"/>
  <c r="BQ270" i="27"/>
  <c r="BR163" i="27"/>
  <c r="BT163" i="27"/>
  <c r="BO163" i="27"/>
  <c r="BQ163" i="27"/>
  <c r="BO301" i="27"/>
  <c r="BQ301" i="27"/>
  <c r="BR301" i="27"/>
  <c r="BT301" i="27"/>
  <c r="BN266" i="12"/>
  <c r="BR266" i="12"/>
  <c r="BU266" i="12"/>
  <c r="BP266" i="12"/>
  <c r="BC266" i="12"/>
  <c r="BD266" i="12"/>
  <c r="BA266" i="12"/>
  <c r="BB266" i="12"/>
  <c r="AX266" i="12"/>
  <c r="BP210" i="12"/>
  <c r="BN210" i="12"/>
  <c r="BO210" i="12"/>
  <c r="BQ210" i="12"/>
  <c r="BP215" i="12"/>
  <c r="BS215" i="12"/>
  <c r="BT215" i="12"/>
  <c r="BN215" i="12"/>
  <c r="BR215" i="12"/>
  <c r="BU215" i="12"/>
  <c r="BN223" i="12"/>
  <c r="BO223" i="12"/>
  <c r="BQ223" i="12"/>
  <c r="BP223" i="12"/>
  <c r="AE258" i="12"/>
  <c r="AT258" i="12"/>
  <c r="AU258" i="12"/>
  <c r="AW258" i="12"/>
  <c r="BM258" i="12"/>
  <c r="BP235" i="12"/>
  <c r="BS235" i="12"/>
  <c r="BT235" i="12"/>
  <c r="BN257" i="12"/>
  <c r="BR257" i="12"/>
  <c r="BU257" i="12"/>
  <c r="BP264" i="12"/>
  <c r="BC264" i="12"/>
  <c r="BD264" i="12"/>
  <c r="BA264" i="12"/>
  <c r="BB264" i="12"/>
  <c r="AX264" i="12"/>
  <c r="BN249" i="12"/>
  <c r="BR249" i="12"/>
  <c r="BU249" i="12"/>
  <c r="BN259" i="12"/>
  <c r="BR259" i="12"/>
  <c r="BU259" i="12"/>
  <c r="BP222" i="12"/>
  <c r="AT243" i="12"/>
  <c r="AU243" i="12"/>
  <c r="AW243" i="12"/>
  <c r="BM243" i="12"/>
  <c r="AT255" i="12"/>
  <c r="AU255" i="12"/>
  <c r="AW255" i="12"/>
  <c r="BM255" i="12"/>
  <c r="BP255" i="12"/>
  <c r="BP239" i="12"/>
  <c r="BS239" i="12"/>
  <c r="BT239" i="12"/>
  <c r="BN217" i="12"/>
  <c r="BR217" i="12"/>
  <c r="BU217" i="12"/>
  <c r="AT212" i="12"/>
  <c r="AU212" i="12"/>
  <c r="AW212" i="12"/>
  <c r="BM212" i="12"/>
  <c r="AE232" i="12"/>
  <c r="AT232" i="12"/>
  <c r="AU232" i="12"/>
  <c r="AW232" i="12"/>
  <c r="BM232" i="12"/>
  <c r="BP216" i="12"/>
  <c r="BN216" i="12"/>
  <c r="BN262" i="12"/>
  <c r="BP262" i="12"/>
  <c r="BN253" i="12"/>
  <c r="BP253" i="12"/>
  <c r="BP238" i="12"/>
  <c r="BN238" i="12"/>
  <c r="BP230" i="12"/>
  <c r="BN230" i="12"/>
  <c r="BP214" i="12"/>
  <c r="BN214" i="12"/>
  <c r="BP245" i="12"/>
  <c r="BN245" i="12"/>
  <c r="BO236" i="12"/>
  <c r="BQ236" i="12"/>
  <c r="BR236" i="12"/>
  <c r="BU236" i="12"/>
  <c r="BO211" i="12"/>
  <c r="BQ211" i="12"/>
  <c r="BR211" i="12"/>
  <c r="BU211" i="12"/>
  <c r="BN231" i="12"/>
  <c r="BP231" i="12"/>
  <c r="BP244" i="12"/>
  <c r="BN244" i="12"/>
  <c r="BO234" i="12"/>
  <c r="BQ234" i="12"/>
  <c r="BR234" i="12"/>
  <c r="BU234" i="12"/>
  <c r="BO267" i="12"/>
  <c r="BQ267" i="12"/>
  <c r="BR267" i="12"/>
  <c r="BU267" i="12"/>
  <c r="BS224" i="12"/>
  <c r="BT224" i="12"/>
  <c r="BC224" i="12"/>
  <c r="BD224" i="12"/>
  <c r="BA224" i="12"/>
  <c r="BB224" i="12"/>
  <c r="AX224" i="12"/>
  <c r="BO256" i="12"/>
  <c r="BQ256" i="12"/>
  <c r="BR256" i="12"/>
  <c r="BU256" i="12"/>
  <c r="BO241" i="12"/>
  <c r="BQ241" i="12"/>
  <c r="BR241" i="12"/>
  <c r="BU241" i="12"/>
  <c r="BS267" i="12"/>
  <c r="BT267" i="12"/>
  <c r="BC267" i="12"/>
  <c r="BD267" i="12"/>
  <c r="BA267" i="12"/>
  <c r="BB267" i="12"/>
  <c r="AX267" i="12"/>
  <c r="BO263" i="12"/>
  <c r="BQ263" i="12"/>
  <c r="BR263" i="12"/>
  <c r="BU263" i="12"/>
  <c r="BC241" i="12"/>
  <c r="BD241" i="12"/>
  <c r="BA241" i="12"/>
  <c r="BB241" i="12"/>
  <c r="AX241" i="12"/>
  <c r="BC240" i="12"/>
  <c r="BD240" i="12"/>
  <c r="BA240" i="12"/>
  <c r="BB240" i="12"/>
  <c r="AX240" i="12"/>
  <c r="BS240" i="12"/>
  <c r="BT240" i="12"/>
  <c r="BR246" i="12"/>
  <c r="BU246" i="12"/>
  <c r="BO246" i="12"/>
  <c r="BQ246" i="12"/>
  <c r="BS233" i="12"/>
  <c r="BT233" i="12"/>
  <c r="BC233" i="12"/>
  <c r="BD233" i="12"/>
  <c r="BA233" i="12"/>
  <c r="BB233" i="12"/>
  <c r="AX233" i="12"/>
  <c r="BO233" i="12"/>
  <c r="BQ233" i="12"/>
  <c r="BR233" i="12"/>
  <c r="BU233" i="12"/>
  <c r="BP228" i="12"/>
  <c r="BN228" i="12"/>
  <c r="BO242" i="12"/>
  <c r="BQ242" i="12"/>
  <c r="BR242" i="12"/>
  <c r="BU242" i="12"/>
  <c r="BP220" i="12"/>
  <c r="BN220" i="12"/>
  <c r="BO269" i="12"/>
  <c r="BQ269" i="12"/>
  <c r="BR269" i="12"/>
  <c r="BU269" i="12"/>
  <c r="BO265" i="12"/>
  <c r="BQ265" i="12"/>
  <c r="BR265" i="12"/>
  <c r="BU265" i="12"/>
  <c r="BP254" i="12"/>
  <c r="BS213" i="12"/>
  <c r="BT213" i="12"/>
  <c r="BC213" i="12"/>
  <c r="BD213" i="12"/>
  <c r="BA213" i="12"/>
  <c r="BB213" i="12"/>
  <c r="AX213" i="12"/>
  <c r="BC265" i="12"/>
  <c r="BD265" i="12"/>
  <c r="BA265" i="12"/>
  <c r="BB265" i="12"/>
  <c r="AX265" i="12"/>
  <c r="BS265" i="12"/>
  <c r="BT265" i="12"/>
  <c r="BC249" i="12"/>
  <c r="BD249" i="12"/>
  <c r="BA249" i="12"/>
  <c r="BB249" i="12"/>
  <c r="AX249" i="12"/>
  <c r="BS249" i="12"/>
  <c r="BT249" i="12"/>
  <c r="BC257" i="12"/>
  <c r="BD257" i="12"/>
  <c r="BA257" i="12"/>
  <c r="BB257" i="12"/>
  <c r="AX257" i="12"/>
  <c r="BS257" i="12"/>
  <c r="BT257" i="12"/>
  <c r="BS268" i="12"/>
  <c r="BT268" i="12"/>
  <c r="BC268" i="12"/>
  <c r="BD268" i="12"/>
  <c r="BA268" i="12"/>
  <c r="BB268" i="12"/>
  <c r="AX268" i="12"/>
  <c r="BS227" i="12"/>
  <c r="BT227" i="12"/>
  <c r="BC227" i="12"/>
  <c r="BD227" i="12"/>
  <c r="BA227" i="12"/>
  <c r="BB227" i="12"/>
  <c r="AX227" i="12"/>
  <c r="BR227" i="12"/>
  <c r="BU227" i="12"/>
  <c r="BO227" i="12"/>
  <c r="BQ227" i="12"/>
  <c r="BP219" i="12"/>
  <c r="BN219" i="12"/>
  <c r="BC236" i="12"/>
  <c r="BD236" i="12"/>
  <c r="BA236" i="12"/>
  <c r="BB236" i="12"/>
  <c r="AX236" i="12"/>
  <c r="BS236" i="12"/>
  <c r="BT236" i="12"/>
  <c r="BC211" i="12"/>
  <c r="BD211" i="12"/>
  <c r="BA211" i="12"/>
  <c r="BB211" i="12"/>
  <c r="AX211" i="12"/>
  <c r="BS242" i="12"/>
  <c r="BT242" i="12"/>
  <c r="BC242" i="12"/>
  <c r="BD242" i="12"/>
  <c r="BA242" i="12"/>
  <c r="BB242" i="12"/>
  <c r="AX242" i="12"/>
  <c r="BS237" i="12"/>
  <c r="BT237" i="12"/>
  <c r="BC237" i="12"/>
  <c r="BD237" i="12"/>
  <c r="BA237" i="12"/>
  <c r="BB237" i="12"/>
  <c r="AX237" i="12"/>
  <c r="BN251" i="12"/>
  <c r="BP251" i="12"/>
  <c r="BN247" i="12"/>
  <c r="BN225" i="12"/>
  <c r="BP225" i="12"/>
  <c r="BP248" i="12"/>
  <c r="BN248" i="12"/>
  <c r="AE252" i="12"/>
  <c r="AT252" i="12"/>
  <c r="AU252" i="12"/>
  <c r="AW252" i="12"/>
  <c r="BM252" i="12"/>
  <c r="BO260" i="12"/>
  <c r="BQ260" i="12"/>
  <c r="BR260" i="12"/>
  <c r="BU260" i="12"/>
  <c r="BR239" i="12"/>
  <c r="BU239" i="12"/>
  <c r="BO239" i="12"/>
  <c r="BQ239" i="12"/>
  <c r="BR213" i="12"/>
  <c r="BU213" i="12"/>
  <c r="BO213" i="12"/>
  <c r="BQ213" i="12"/>
  <c r="BC250" i="12"/>
  <c r="BD250" i="12"/>
  <c r="BA250" i="12"/>
  <c r="BB250" i="12"/>
  <c r="AX250" i="12"/>
  <c r="BS250" i="12"/>
  <c r="BT250" i="12"/>
  <c r="BO235" i="12"/>
  <c r="BQ235" i="12"/>
  <c r="BR235" i="12"/>
  <c r="BU235" i="12"/>
  <c r="BC234" i="12"/>
  <c r="BD234" i="12"/>
  <c r="BA234" i="12"/>
  <c r="BB234" i="12"/>
  <c r="AX234" i="12"/>
  <c r="BS234" i="12"/>
  <c r="BT234" i="12"/>
  <c r="BP218" i="12"/>
  <c r="BN218" i="12"/>
  <c r="BR268" i="12"/>
  <c r="BU268" i="12"/>
  <c r="BO268" i="12"/>
  <c r="BQ268" i="12"/>
  <c r="BC263" i="12"/>
  <c r="BD263" i="12"/>
  <c r="BA263" i="12"/>
  <c r="BB263" i="12"/>
  <c r="AX263" i="12"/>
  <c r="BS263" i="12"/>
  <c r="BT263" i="12"/>
  <c r="BC259" i="12"/>
  <c r="BD259" i="12"/>
  <c r="BA259" i="12"/>
  <c r="BB259" i="12"/>
  <c r="AX259" i="12"/>
  <c r="BS259" i="12"/>
  <c r="BT259" i="12"/>
  <c r="BR240" i="12"/>
  <c r="BU240" i="12"/>
  <c r="BO240" i="12"/>
  <c r="BQ240" i="12"/>
  <c r="BC246" i="12"/>
  <c r="BD246" i="12"/>
  <c r="BA246" i="12"/>
  <c r="BB246" i="12"/>
  <c r="AX246" i="12"/>
  <c r="BS246" i="12"/>
  <c r="BT246" i="12"/>
  <c r="BO222" i="12"/>
  <c r="BQ222" i="12"/>
  <c r="BR222" i="12"/>
  <c r="BU222" i="12"/>
  <c r="BO237" i="12"/>
  <c r="BQ237" i="12"/>
  <c r="BR237" i="12"/>
  <c r="BU237" i="12"/>
  <c r="BR264" i="12"/>
  <c r="BU264" i="12"/>
  <c r="BO264" i="12"/>
  <c r="BQ264" i="12"/>
  <c r="BN229" i="12"/>
  <c r="BP229" i="12"/>
  <c r="BC269" i="12"/>
  <c r="BD269" i="12"/>
  <c r="BA269" i="12"/>
  <c r="BB269" i="12"/>
  <c r="AX269" i="12"/>
  <c r="BS269" i="12"/>
  <c r="BT269" i="12"/>
  <c r="BC260" i="12"/>
  <c r="BD260" i="12"/>
  <c r="BA260" i="12"/>
  <c r="BB260" i="12"/>
  <c r="AX260" i="12"/>
  <c r="BS260" i="12"/>
  <c r="BT260" i="12"/>
  <c r="BS226" i="12"/>
  <c r="BT226" i="12"/>
  <c r="BC226" i="12"/>
  <c r="BD226" i="12"/>
  <c r="BA226" i="12"/>
  <c r="BB226" i="12"/>
  <c r="AX226" i="12"/>
  <c r="BR224" i="12"/>
  <c r="BU224" i="12"/>
  <c r="BC256" i="12"/>
  <c r="BD256" i="12"/>
  <c r="BA256" i="12"/>
  <c r="BB256" i="12"/>
  <c r="AX256" i="12"/>
  <c r="BO250" i="12"/>
  <c r="BQ250" i="12"/>
  <c r="BR250" i="12"/>
  <c r="BU250" i="12"/>
  <c r="AX259" i="27"/>
  <c r="BC208" i="27"/>
  <c r="BD208" i="27"/>
  <c r="BA208" i="27"/>
  <c r="BB208" i="27"/>
  <c r="AX208" i="27"/>
  <c r="AY208" i="27"/>
  <c r="BS208" i="27"/>
  <c r="BR126" i="27"/>
  <c r="BT126" i="27"/>
  <c r="BA106" i="27"/>
  <c r="BB106" i="27"/>
  <c r="AX106" i="27"/>
  <c r="AY106" i="27"/>
  <c r="BS198" i="27"/>
  <c r="BR316" i="27"/>
  <c r="BT316" i="27"/>
  <c r="BF316" i="27"/>
  <c r="BG316" i="27"/>
  <c r="BO35" i="27"/>
  <c r="BQ35" i="27"/>
  <c r="BS297" i="27"/>
  <c r="BC106" i="27"/>
  <c r="BD106" i="27"/>
  <c r="BS230" i="27"/>
  <c r="BN180" i="27"/>
  <c r="BP257" i="27"/>
  <c r="BC217" i="12"/>
  <c r="BD217" i="12"/>
  <c r="BA217" i="12"/>
  <c r="BB217" i="12"/>
  <c r="AX217" i="12"/>
  <c r="BR119" i="27"/>
  <c r="BT119" i="27"/>
  <c r="BS51" i="27"/>
  <c r="AV51" i="27"/>
  <c r="BR55" i="27"/>
  <c r="BT55" i="27"/>
  <c r="BE55" i="27"/>
  <c r="BR226" i="12"/>
  <c r="BU226" i="12"/>
  <c r="BE226" i="12"/>
  <c r="BP186" i="27"/>
  <c r="BN186" i="27"/>
  <c r="BR22" i="27"/>
  <c r="BT22" i="27"/>
  <c r="BO4" i="27"/>
  <c r="BQ4" i="27"/>
  <c r="BO75" i="27"/>
  <c r="BQ75" i="27"/>
  <c r="BO89" i="27"/>
  <c r="BQ89" i="27"/>
  <c r="BS106" i="27"/>
  <c r="BC247" i="27"/>
  <c r="BD247" i="27"/>
  <c r="BO156" i="27"/>
  <c r="BQ156" i="27"/>
  <c r="BS131" i="27"/>
  <c r="AV131" i="27"/>
  <c r="BO50" i="27"/>
  <c r="BQ50" i="27"/>
  <c r="BN174" i="27"/>
  <c r="BP174" i="27"/>
  <c r="BR274" i="27"/>
  <c r="BT274" i="27"/>
  <c r="BR326" i="27"/>
  <c r="BT326" i="27"/>
  <c r="BO62" i="27"/>
  <c r="BQ62" i="27"/>
  <c r="BS170" i="27"/>
  <c r="AV170" i="27"/>
  <c r="BO135" i="27"/>
  <c r="BQ135" i="27"/>
  <c r="BS158" i="27"/>
  <c r="BS96" i="27"/>
  <c r="BC246" i="27"/>
  <c r="BD246" i="27"/>
  <c r="BA246" i="27"/>
  <c r="BB246" i="27"/>
  <c r="AX246" i="27"/>
  <c r="AZ246" i="27"/>
  <c r="BC311" i="27"/>
  <c r="BD311" i="27"/>
  <c r="BA311" i="27"/>
  <c r="BB311" i="27"/>
  <c r="AX311" i="27"/>
  <c r="AY311" i="27"/>
  <c r="BR38" i="27"/>
  <c r="BT38" i="27"/>
  <c r="BR248" i="27"/>
  <c r="BT248" i="27"/>
  <c r="BS274" i="27"/>
  <c r="BP10" i="27"/>
  <c r="BC316" i="27"/>
  <c r="BD316" i="27"/>
  <c r="BA316" i="27"/>
  <c r="BB316" i="27"/>
  <c r="AX316" i="27"/>
  <c r="BP127" i="27"/>
  <c r="BS115" i="27"/>
  <c r="AV115" i="27"/>
  <c r="BO266" i="12"/>
  <c r="BQ266" i="12"/>
  <c r="BA247" i="27"/>
  <c r="BB247" i="27"/>
  <c r="AX247" i="27"/>
  <c r="AY247" i="27"/>
  <c r="BR154" i="27"/>
  <c r="BT154" i="27"/>
  <c r="BC326" i="27"/>
  <c r="BD326" i="27"/>
  <c r="BA326" i="27"/>
  <c r="BB326" i="27"/>
  <c r="AX326" i="27"/>
  <c r="BS18" i="27"/>
  <c r="BP289" i="27"/>
  <c r="BN201" i="27"/>
  <c r="BR128" i="12"/>
  <c r="BU128" i="12"/>
  <c r="BO128" i="12"/>
  <c r="BQ128" i="12"/>
  <c r="BC128" i="12"/>
  <c r="BD128" i="12"/>
  <c r="BA128" i="12"/>
  <c r="BB128" i="12"/>
  <c r="AX128" i="12"/>
  <c r="BS128" i="12"/>
  <c r="BO257" i="12"/>
  <c r="BQ257" i="12"/>
  <c r="BP258" i="12"/>
  <c r="BN258" i="12"/>
  <c r="BC239" i="12"/>
  <c r="BD239" i="12"/>
  <c r="BA239" i="12"/>
  <c r="BB239" i="12"/>
  <c r="AX239" i="12"/>
  <c r="AZ239" i="12"/>
  <c r="BO217" i="12"/>
  <c r="BQ217" i="12"/>
  <c r="BR210" i="12"/>
  <c r="BU210" i="12"/>
  <c r="BC235" i="12"/>
  <c r="BD235" i="12"/>
  <c r="BA235" i="12"/>
  <c r="BB235" i="12"/>
  <c r="AX235" i="12"/>
  <c r="BN261" i="12"/>
  <c r="BP261" i="12"/>
  <c r="BP142" i="27"/>
  <c r="BN142" i="27"/>
  <c r="BP280" i="27"/>
  <c r="BN280" i="27"/>
  <c r="BP6" i="27"/>
  <c r="BN6" i="27"/>
  <c r="BN294" i="27"/>
  <c r="BO294" i="27"/>
  <c r="BQ294" i="27"/>
  <c r="BP294" i="27"/>
  <c r="BC294" i="27"/>
  <c r="BD294" i="27"/>
  <c r="BA294" i="27"/>
  <c r="BB294" i="27"/>
  <c r="AX294" i="27"/>
  <c r="BP310" i="27"/>
  <c r="BN310" i="27"/>
  <c r="BP30" i="27"/>
  <c r="BN30" i="27"/>
  <c r="BN26" i="27"/>
  <c r="BP26" i="27"/>
  <c r="BP320" i="27"/>
  <c r="BN320" i="27"/>
  <c r="BN188" i="27"/>
  <c r="BR188" i="27"/>
  <c r="BT188" i="27"/>
  <c r="BC104" i="27"/>
  <c r="BD104" i="27"/>
  <c r="BA104" i="27"/>
  <c r="BB104" i="27"/>
  <c r="AX104" i="27"/>
  <c r="BS104" i="27"/>
  <c r="AV104" i="27"/>
  <c r="BO104" i="27"/>
  <c r="BQ104" i="27"/>
  <c r="BR104" i="27"/>
  <c r="BT104" i="27"/>
  <c r="BP305" i="27"/>
  <c r="BC305" i="27"/>
  <c r="BD305" i="27"/>
  <c r="BA305" i="27"/>
  <c r="BB305" i="27"/>
  <c r="AX305" i="27"/>
  <c r="BP134" i="27"/>
  <c r="BN134" i="27"/>
  <c r="BR223" i="12"/>
  <c r="BU223" i="12"/>
  <c r="BS264" i="12"/>
  <c r="BT264" i="12"/>
  <c r="BS210" i="12"/>
  <c r="BT210" i="12"/>
  <c r="BP261" i="27"/>
  <c r="BN82" i="27"/>
  <c r="BP217" i="27"/>
  <c r="BC217" i="27"/>
  <c r="BD217" i="27"/>
  <c r="BA217" i="27"/>
  <c r="BB217" i="27"/>
  <c r="AX217" i="27"/>
  <c r="BP286" i="27"/>
  <c r="BS286" i="27"/>
  <c r="BP299" i="27"/>
  <c r="BN299" i="27"/>
  <c r="BO259" i="12"/>
  <c r="BQ259" i="12"/>
  <c r="BO249" i="12"/>
  <c r="BQ249" i="12"/>
  <c r="BS266" i="12"/>
  <c r="BT266" i="12"/>
  <c r="BC215" i="12"/>
  <c r="BD215" i="12"/>
  <c r="BC210" i="12"/>
  <c r="BD210" i="12"/>
  <c r="BA210" i="12"/>
  <c r="BB210" i="12"/>
  <c r="AX210" i="12"/>
  <c r="BP312" i="27"/>
  <c r="BN312" i="27"/>
  <c r="BP221" i="12"/>
  <c r="BN221" i="12"/>
  <c r="AY178" i="27"/>
  <c r="AZ178" i="27"/>
  <c r="AZ270" i="27"/>
  <c r="AY270" i="27"/>
  <c r="AZ211" i="27"/>
  <c r="AY211" i="27"/>
  <c r="AY72" i="27"/>
  <c r="AZ72" i="27"/>
  <c r="AY274" i="27"/>
  <c r="AZ274" i="27"/>
  <c r="AZ208" i="27"/>
  <c r="AY62" i="27"/>
  <c r="AZ62" i="27"/>
  <c r="AZ168" i="27"/>
  <c r="AY168" i="27"/>
  <c r="AZ209" i="27"/>
  <c r="AY209" i="27"/>
  <c r="AY267" i="27"/>
  <c r="AZ267" i="27"/>
  <c r="AY117" i="27"/>
  <c r="AZ117" i="27"/>
  <c r="AY283" i="27"/>
  <c r="AZ283" i="27"/>
  <c r="AZ7" i="27"/>
  <c r="AY7" i="27"/>
  <c r="AZ39" i="27"/>
  <c r="AY39" i="27"/>
  <c r="AY48" i="27"/>
  <c r="AZ48" i="27"/>
  <c r="AY226" i="27"/>
  <c r="AZ226" i="27"/>
  <c r="AZ12" i="27"/>
  <c r="AY12" i="27"/>
  <c r="AY46" i="27"/>
  <c r="AZ46" i="27"/>
  <c r="AY301" i="27"/>
  <c r="AZ301" i="27"/>
  <c r="AY227" i="27"/>
  <c r="AZ227" i="27"/>
  <c r="AY297" i="27"/>
  <c r="AZ297" i="27"/>
  <c r="AZ78" i="27"/>
  <c r="AY78" i="27"/>
  <c r="AY251" i="27"/>
  <c r="AZ251" i="27"/>
  <c r="AZ311" i="27"/>
  <c r="AZ22" i="27"/>
  <c r="AY22" i="27"/>
  <c r="AZ323" i="27"/>
  <c r="AY323" i="27"/>
  <c r="AZ106" i="27"/>
  <c r="AZ189" i="27"/>
  <c r="AY189" i="27"/>
  <c r="AY77" i="27"/>
  <c r="AZ77" i="27"/>
  <c r="AZ131" i="27"/>
  <c r="AY131" i="27"/>
  <c r="AZ67" i="27"/>
  <c r="AY67" i="27"/>
  <c r="AY85" i="27"/>
  <c r="AZ85" i="27"/>
  <c r="AY138" i="27"/>
  <c r="AZ138" i="27"/>
  <c r="AY290" i="27"/>
  <c r="AZ290" i="27"/>
  <c r="AY114" i="27"/>
  <c r="AZ114" i="27"/>
  <c r="AZ14" i="27"/>
  <c r="AY14" i="27"/>
  <c r="AZ13" i="27"/>
  <c r="AY13" i="27"/>
  <c r="AY89" i="27"/>
  <c r="AZ89" i="27"/>
  <c r="AY2" i="27"/>
  <c r="AZ2" i="27"/>
  <c r="AZ108" i="27"/>
  <c r="AY108" i="27"/>
  <c r="AZ15" i="27"/>
  <c r="AY15" i="27"/>
  <c r="AY115" i="27"/>
  <c r="AZ115" i="27"/>
  <c r="AY223" i="27"/>
  <c r="AZ223" i="27"/>
  <c r="AY181" i="27"/>
  <c r="AZ181" i="27"/>
  <c r="AZ133" i="27"/>
  <c r="AY133" i="27"/>
  <c r="AY71" i="27"/>
  <c r="AZ71" i="27"/>
  <c r="AZ325" i="27"/>
  <c r="AY325" i="27"/>
  <c r="AY266" i="27"/>
  <c r="AZ266" i="27"/>
  <c r="AZ53" i="27"/>
  <c r="AY53" i="27"/>
  <c r="AZ154" i="27"/>
  <c r="AY154" i="27"/>
  <c r="AY172" i="27"/>
  <c r="AZ172" i="27"/>
  <c r="AZ55" i="27"/>
  <c r="AY55" i="27"/>
  <c r="AY170" i="27"/>
  <c r="AZ170" i="27"/>
  <c r="AY287" i="27"/>
  <c r="AZ287" i="27"/>
  <c r="AZ70" i="27"/>
  <c r="AY70" i="27"/>
  <c r="AY258" i="27"/>
  <c r="AZ258" i="27"/>
  <c r="AZ198" i="27"/>
  <c r="AY198" i="27"/>
  <c r="AY233" i="27"/>
  <c r="AZ233" i="27"/>
  <c r="AY52" i="27"/>
  <c r="AZ52" i="27"/>
  <c r="AZ43" i="27"/>
  <c r="AY43" i="27"/>
  <c r="AZ125" i="27"/>
  <c r="AY125" i="27"/>
  <c r="AY239" i="27"/>
  <c r="AZ239" i="27"/>
  <c r="AZ271" i="27"/>
  <c r="AY271" i="27"/>
  <c r="AZ281" i="27"/>
  <c r="AY281" i="27"/>
  <c r="AZ248" i="27"/>
  <c r="AY248" i="27"/>
  <c r="AY60" i="27"/>
  <c r="AZ60" i="27"/>
  <c r="AY21" i="27"/>
  <c r="AZ21" i="27"/>
  <c r="AZ212" i="27"/>
  <c r="AY212" i="27"/>
  <c r="AY119" i="27"/>
  <c r="AZ119" i="27"/>
  <c r="AZ135" i="27"/>
  <c r="AY135" i="27"/>
  <c r="AZ187" i="27"/>
  <c r="AY187" i="27"/>
  <c r="AZ156" i="27"/>
  <c r="AY156" i="27"/>
  <c r="AY113" i="27"/>
  <c r="AZ113" i="27"/>
  <c r="AZ238" i="27"/>
  <c r="AY238" i="27"/>
  <c r="AY163" i="27"/>
  <c r="AZ163" i="27"/>
  <c r="AZ202" i="27"/>
  <c r="AY202" i="27"/>
  <c r="AY97" i="27"/>
  <c r="AZ97" i="27"/>
  <c r="AY269" i="27"/>
  <c r="AZ269" i="27"/>
  <c r="AY38" i="27"/>
  <c r="AZ38" i="27"/>
  <c r="AY105" i="27"/>
  <c r="AZ105" i="27"/>
  <c r="AY42" i="27"/>
  <c r="AZ42" i="27"/>
  <c r="AY167" i="27"/>
  <c r="AZ167" i="27"/>
  <c r="AZ220" i="27"/>
  <c r="AY220" i="27"/>
  <c r="BP190" i="27"/>
  <c r="BN190" i="27"/>
  <c r="AY255" i="27"/>
  <c r="AZ255" i="27"/>
  <c r="AY79" i="27"/>
  <c r="AZ79" i="27"/>
  <c r="AY324" i="27"/>
  <c r="AZ324" i="27"/>
  <c r="AY81" i="27"/>
  <c r="AZ81" i="27"/>
  <c r="AY282" i="27"/>
  <c r="AZ282" i="27"/>
  <c r="AY31" i="27"/>
  <c r="AZ31" i="27"/>
  <c r="AY221" i="27"/>
  <c r="AZ221" i="27"/>
  <c r="AY87" i="27"/>
  <c r="AZ87" i="27"/>
  <c r="AY152" i="27"/>
  <c r="AZ152" i="27"/>
  <c r="AY272" i="27"/>
  <c r="AZ272" i="27"/>
  <c r="AY56" i="27"/>
  <c r="AZ56" i="27"/>
  <c r="BN288" i="27"/>
  <c r="BP288" i="27"/>
  <c r="AZ315" i="27"/>
  <c r="AY315" i="27"/>
  <c r="AZ224" i="27"/>
  <c r="AY224" i="27"/>
  <c r="AZ137" i="27"/>
  <c r="AY137" i="27"/>
  <c r="AZ18" i="27"/>
  <c r="AY18" i="27"/>
  <c r="AZ242" i="27"/>
  <c r="AY242" i="27"/>
  <c r="AZ322" i="27"/>
  <c r="AY322" i="27"/>
  <c r="AZ182" i="27"/>
  <c r="AY182" i="27"/>
  <c r="AY101" i="27"/>
  <c r="AZ101" i="27"/>
  <c r="AZ141" i="27"/>
  <c r="AY141" i="27"/>
  <c r="AZ166" i="27"/>
  <c r="AY166" i="27"/>
  <c r="AZ118" i="27"/>
  <c r="AY118" i="27"/>
  <c r="AY126" i="27"/>
  <c r="AZ126" i="27"/>
  <c r="AY50" i="27"/>
  <c r="AZ50" i="27"/>
  <c r="AY75" i="27"/>
  <c r="AZ75" i="27"/>
  <c r="AZ4" i="27"/>
  <c r="AY4" i="27"/>
  <c r="AZ23" i="27"/>
  <c r="AY23" i="27"/>
  <c r="AZ32" i="27"/>
  <c r="AY32" i="27"/>
  <c r="AY51" i="27"/>
  <c r="AZ51" i="27"/>
  <c r="AY216" i="27"/>
  <c r="AZ216" i="27"/>
  <c r="AY262" i="27"/>
  <c r="AZ262" i="27"/>
  <c r="AY222" i="27"/>
  <c r="AZ222" i="27"/>
  <c r="AY146" i="27"/>
  <c r="AZ146" i="27"/>
  <c r="AZ29" i="27"/>
  <c r="AY29" i="27"/>
  <c r="AZ144" i="27"/>
  <c r="AY144" i="27"/>
  <c r="AY177" i="27"/>
  <c r="AZ177" i="27"/>
  <c r="AY153" i="27"/>
  <c r="AZ153" i="27"/>
  <c r="AY265" i="27"/>
  <c r="AZ265" i="27"/>
  <c r="AZ210" i="27"/>
  <c r="AY210" i="27"/>
  <c r="AY260" i="27"/>
  <c r="AZ260" i="27"/>
  <c r="AZ147" i="27"/>
  <c r="AY147" i="27"/>
  <c r="AZ317" i="27"/>
  <c r="AY317" i="27"/>
  <c r="AZ129" i="27"/>
  <c r="AY129" i="27"/>
  <c r="AY44" i="27"/>
  <c r="AZ44" i="27"/>
  <c r="AZ247" i="27"/>
  <c r="AZ90" i="27"/>
  <c r="AY90" i="27"/>
  <c r="AZ219" i="27"/>
  <c r="AY219" i="27"/>
  <c r="AZ179" i="27"/>
  <c r="AY179" i="27"/>
  <c r="BN263" i="27"/>
  <c r="BP263" i="27"/>
  <c r="AZ96" i="27"/>
  <c r="AY96" i="27"/>
  <c r="AY285" i="27"/>
  <c r="AZ285" i="27"/>
  <c r="AZ234" i="27"/>
  <c r="AY234" i="27"/>
  <c r="AY91" i="27"/>
  <c r="AZ91" i="27"/>
  <c r="AZ120" i="27"/>
  <c r="AY120" i="27"/>
  <c r="AZ128" i="27"/>
  <c r="AY128" i="27"/>
  <c r="AZ151" i="27"/>
  <c r="AY151" i="27"/>
  <c r="AZ316" i="27"/>
  <c r="AY316" i="27"/>
  <c r="AY328" i="27"/>
  <c r="AZ328" i="27"/>
  <c r="AZ74" i="27"/>
  <c r="AY74" i="27"/>
  <c r="AZ327" i="27"/>
  <c r="AY327" i="27"/>
  <c r="AY107" i="27"/>
  <c r="AZ107" i="27"/>
  <c r="AZ41" i="27"/>
  <c r="AY41" i="27"/>
  <c r="AZ176" i="27"/>
  <c r="AY176" i="27"/>
  <c r="AZ145" i="27"/>
  <c r="AY145" i="27"/>
  <c r="AY161" i="27"/>
  <c r="AZ161" i="27"/>
  <c r="AZ254" i="27"/>
  <c r="AY254" i="27"/>
  <c r="AZ215" i="27"/>
  <c r="AY215" i="27"/>
  <c r="AZ230" i="27"/>
  <c r="AY230" i="27"/>
  <c r="AY35" i="27"/>
  <c r="AZ35" i="27"/>
  <c r="AZ164" i="27"/>
  <c r="AY164" i="27"/>
  <c r="AY54" i="27"/>
  <c r="AZ54" i="27"/>
  <c r="AY100" i="27"/>
  <c r="AZ100" i="27"/>
  <c r="AY37" i="27"/>
  <c r="AZ37" i="27"/>
  <c r="AZ296" i="27"/>
  <c r="AY296" i="27"/>
  <c r="AZ252" i="27"/>
  <c r="AY252" i="27"/>
  <c r="BN185" i="27"/>
  <c r="BP185" i="27"/>
  <c r="BN194" i="27"/>
  <c r="BP194" i="27"/>
  <c r="BE170" i="27"/>
  <c r="BF170" i="27"/>
  <c r="BG170" i="27"/>
  <c r="BC205" i="27"/>
  <c r="BD205" i="27"/>
  <c r="BA205" i="27"/>
  <c r="BB205" i="27"/>
  <c r="AX205" i="27"/>
  <c r="BS205" i="27"/>
  <c r="BF226" i="27"/>
  <c r="BG226" i="27"/>
  <c r="BE226" i="27"/>
  <c r="BE146" i="27"/>
  <c r="BF146" i="27"/>
  <c r="BG146" i="27"/>
  <c r="AV181" i="27"/>
  <c r="BS235" i="27"/>
  <c r="BC235" i="27"/>
  <c r="BD235" i="27"/>
  <c r="BA235" i="27"/>
  <c r="BB235" i="27"/>
  <c r="AX235" i="27"/>
  <c r="BE242" i="27"/>
  <c r="BF242" i="27"/>
  <c r="BG242" i="27"/>
  <c r="BF153" i="27"/>
  <c r="BG153" i="27"/>
  <c r="BE153" i="27"/>
  <c r="AZ313" i="27"/>
  <c r="AY313" i="27"/>
  <c r="BE234" i="27"/>
  <c r="BF234" i="27"/>
  <c r="BG234" i="27"/>
  <c r="BE189" i="27"/>
  <c r="BF189" i="27"/>
  <c r="BG189" i="27"/>
  <c r="AY63" i="27"/>
  <c r="AZ63" i="27"/>
  <c r="BS293" i="27"/>
  <c r="BC293" i="27"/>
  <c r="BD293" i="27"/>
  <c r="BA293" i="27"/>
  <c r="BB293" i="27"/>
  <c r="AX293" i="27"/>
  <c r="BE230" i="27"/>
  <c r="BF230" i="27"/>
  <c r="BG230" i="27"/>
  <c r="AY249" i="27"/>
  <c r="AZ249" i="27"/>
  <c r="AV221" i="27"/>
  <c r="BO148" i="27"/>
  <c r="BQ148" i="27"/>
  <c r="BR148" i="27"/>
  <c r="BT148" i="27"/>
  <c r="BE177" i="27"/>
  <c r="BF177" i="27"/>
  <c r="BG177" i="27"/>
  <c r="AV90" i="27"/>
  <c r="AV100" i="27"/>
  <c r="BS175" i="27"/>
  <c r="BC175" i="27"/>
  <c r="BD175" i="27"/>
  <c r="BA175" i="27"/>
  <c r="BB175" i="27"/>
  <c r="AX175" i="27"/>
  <c r="BF317" i="27"/>
  <c r="BG317" i="27"/>
  <c r="BE317" i="27"/>
  <c r="AV18" i="27"/>
  <c r="AV117" i="27"/>
  <c r="AV252" i="27"/>
  <c r="BE209" i="27"/>
  <c r="BF209" i="27"/>
  <c r="BG209" i="27"/>
  <c r="BC88" i="27"/>
  <c r="BD88" i="27"/>
  <c r="BA88" i="27"/>
  <c r="BB88" i="27"/>
  <c r="AX88" i="27"/>
  <c r="BS88" i="27"/>
  <c r="BO309" i="27"/>
  <c r="BQ309" i="27"/>
  <c r="BR309" i="27"/>
  <c r="BT309" i="27"/>
  <c r="BO112" i="27"/>
  <c r="BQ112" i="27"/>
  <c r="BR112" i="27"/>
  <c r="BT112" i="27"/>
  <c r="AV12" i="27"/>
  <c r="BS241" i="27"/>
  <c r="BC241" i="27"/>
  <c r="BD241" i="27"/>
  <c r="BA241" i="27"/>
  <c r="BB241" i="27"/>
  <c r="AX241" i="27"/>
  <c r="BO83" i="27"/>
  <c r="BQ83" i="27"/>
  <c r="BR83" i="27"/>
  <c r="BT83" i="27"/>
  <c r="BS10" i="27"/>
  <c r="BC10" i="27"/>
  <c r="BD10" i="27"/>
  <c r="BA10" i="27"/>
  <c r="BB10" i="27"/>
  <c r="AX10" i="27"/>
  <c r="BN165" i="27"/>
  <c r="BP165" i="27"/>
  <c r="BS196" i="27"/>
  <c r="BC196" i="27"/>
  <c r="BD196" i="27"/>
  <c r="BA196" i="27"/>
  <c r="BB196" i="27"/>
  <c r="AX196" i="27"/>
  <c r="BC57" i="27"/>
  <c r="BD57" i="27"/>
  <c r="BA57" i="27"/>
  <c r="BB57" i="27"/>
  <c r="AX57" i="27"/>
  <c r="BS57" i="27"/>
  <c r="BS80" i="27"/>
  <c r="BC80" i="27"/>
  <c r="BD80" i="27"/>
  <c r="BA80" i="27"/>
  <c r="BB80" i="27"/>
  <c r="AX80" i="27"/>
  <c r="BO130" i="27"/>
  <c r="BQ130" i="27"/>
  <c r="BR130" i="27"/>
  <c r="BT130" i="27"/>
  <c r="BS200" i="27"/>
  <c r="BC200" i="27"/>
  <c r="BD200" i="27"/>
  <c r="BA200" i="27"/>
  <c r="BB200" i="27"/>
  <c r="AX200" i="27"/>
  <c r="BR201" i="27"/>
  <c r="BT201" i="27"/>
  <c r="BO201" i="27"/>
  <c r="BQ201" i="27"/>
  <c r="BO149" i="27"/>
  <c r="BQ149" i="27"/>
  <c r="BR149" i="27"/>
  <c r="BT149" i="27"/>
  <c r="BF163" i="27"/>
  <c r="BG163" i="27"/>
  <c r="BE163" i="27"/>
  <c r="AV233" i="27"/>
  <c r="AV126" i="27"/>
  <c r="BE52" i="27"/>
  <c r="BF52" i="27"/>
  <c r="BG52" i="27"/>
  <c r="BF260" i="27"/>
  <c r="BG260" i="27"/>
  <c r="BE260" i="27"/>
  <c r="BS250" i="27"/>
  <c r="BC250" i="27"/>
  <c r="BD250" i="27"/>
  <c r="BA250" i="27"/>
  <c r="BB250" i="27"/>
  <c r="AX250" i="27"/>
  <c r="BS275" i="27"/>
  <c r="BC275" i="27"/>
  <c r="BD275" i="27"/>
  <c r="BA275" i="27"/>
  <c r="BB275" i="27"/>
  <c r="AX275" i="27"/>
  <c r="BO205" i="27"/>
  <c r="BQ205" i="27"/>
  <c r="BR205" i="27"/>
  <c r="BT205" i="27"/>
  <c r="AV2" i="27"/>
  <c r="BF126" i="27"/>
  <c r="BG126" i="27"/>
  <c r="BE126" i="27"/>
  <c r="BE297" i="27"/>
  <c r="BF297" i="27"/>
  <c r="BG297" i="27"/>
  <c r="BF208" i="27"/>
  <c r="BG208" i="27"/>
  <c r="BE208" i="27"/>
  <c r="AV300" i="27"/>
  <c r="BS302" i="27"/>
  <c r="BC302" i="27"/>
  <c r="BD302" i="27"/>
  <c r="BA302" i="27"/>
  <c r="BB302" i="27"/>
  <c r="AX302" i="27"/>
  <c r="AV41" i="27"/>
  <c r="AV227" i="27"/>
  <c r="BO199" i="27"/>
  <c r="BQ199" i="27"/>
  <c r="BR199" i="27"/>
  <c r="BT199" i="27"/>
  <c r="AV167" i="27"/>
  <c r="AV44" i="27"/>
  <c r="BE183" i="27"/>
  <c r="BF183" i="27"/>
  <c r="BG183" i="27"/>
  <c r="BC273" i="27"/>
  <c r="BD273" i="27"/>
  <c r="BA273" i="27"/>
  <c r="BB273" i="27"/>
  <c r="AX273" i="27"/>
  <c r="BS273" i="27"/>
  <c r="BE51" i="27"/>
  <c r="BF51" i="27"/>
  <c r="BG51" i="27"/>
  <c r="BS277" i="27"/>
  <c r="BC277" i="27"/>
  <c r="BD277" i="27"/>
  <c r="BA277" i="27"/>
  <c r="BB277" i="27"/>
  <c r="AX277" i="27"/>
  <c r="BF265" i="27"/>
  <c r="BG265" i="27"/>
  <c r="BE265" i="27"/>
  <c r="BE42" i="27"/>
  <c r="BF42" i="27"/>
  <c r="BG42" i="27"/>
  <c r="AZ17" i="27"/>
  <c r="AY17" i="27"/>
  <c r="BF322" i="27"/>
  <c r="BG322" i="27"/>
  <c r="BE322" i="27"/>
  <c r="BE220" i="27"/>
  <c r="BF220" i="27"/>
  <c r="BG220" i="27"/>
  <c r="AV271" i="27"/>
  <c r="BF279" i="27"/>
  <c r="BG279" i="27"/>
  <c r="BE279" i="27"/>
  <c r="AV125" i="27"/>
  <c r="AV63" i="27"/>
  <c r="BF187" i="27"/>
  <c r="BG187" i="27"/>
  <c r="BE187" i="27"/>
  <c r="AV151" i="27"/>
  <c r="BC148" i="27"/>
  <c r="BD148" i="27"/>
  <c r="BA148" i="27"/>
  <c r="BB148" i="27"/>
  <c r="AX148" i="27"/>
  <c r="BS148" i="27"/>
  <c r="AV54" i="27"/>
  <c r="BF182" i="27"/>
  <c r="BG182" i="27"/>
  <c r="BE182" i="27"/>
  <c r="AZ326" i="27"/>
  <c r="AY326" i="27"/>
  <c r="BR175" i="27"/>
  <c r="BT175" i="27"/>
  <c r="BO175" i="27"/>
  <c r="BQ175" i="27"/>
  <c r="BO95" i="27"/>
  <c r="BQ95" i="27"/>
  <c r="BR95" i="27"/>
  <c r="BT95" i="27"/>
  <c r="AV55" i="27"/>
  <c r="BO47" i="27"/>
  <c r="BQ47" i="27"/>
  <c r="BR47" i="27"/>
  <c r="BT47" i="27"/>
  <c r="BF258" i="27"/>
  <c r="BG258" i="27"/>
  <c r="BE258" i="27"/>
  <c r="BO88" i="27"/>
  <c r="BQ88" i="27"/>
  <c r="BR88" i="27"/>
  <c r="BT88" i="27"/>
  <c r="BC309" i="27"/>
  <c r="BD309" i="27"/>
  <c r="BA309" i="27"/>
  <c r="BB309" i="27"/>
  <c r="AX309" i="27"/>
  <c r="BS309" i="27"/>
  <c r="BF96" i="27"/>
  <c r="BG96" i="27"/>
  <c r="BE96" i="27"/>
  <c r="BO191" i="27"/>
  <c r="BQ191" i="27"/>
  <c r="BR191" i="27"/>
  <c r="BT191" i="27"/>
  <c r="BS83" i="27"/>
  <c r="BC83" i="27"/>
  <c r="BD83" i="27"/>
  <c r="BA83" i="27"/>
  <c r="BB83" i="27"/>
  <c r="AX83" i="27"/>
  <c r="BR10" i="27"/>
  <c r="BT10" i="27"/>
  <c r="BO10" i="27"/>
  <c r="BQ10" i="27"/>
  <c r="BS111" i="27"/>
  <c r="BC111" i="27"/>
  <c r="BD111" i="27"/>
  <c r="BA111" i="27"/>
  <c r="BB111" i="27"/>
  <c r="AX111" i="27"/>
  <c r="BO57" i="27"/>
  <c r="BQ57" i="27"/>
  <c r="BR57" i="27"/>
  <c r="BT57" i="27"/>
  <c r="BO80" i="27"/>
  <c r="BQ80" i="27"/>
  <c r="BR80" i="27"/>
  <c r="BT80" i="27"/>
  <c r="BC130" i="27"/>
  <c r="BD130" i="27"/>
  <c r="BA130" i="27"/>
  <c r="BB130" i="27"/>
  <c r="AX130" i="27"/>
  <c r="BS130" i="27"/>
  <c r="BS289" i="27"/>
  <c r="BC289" i="27"/>
  <c r="BD289" i="27"/>
  <c r="BA289" i="27"/>
  <c r="BB289" i="27"/>
  <c r="AX289" i="27"/>
  <c r="BO66" i="27"/>
  <c r="BQ66" i="27"/>
  <c r="BR66" i="27"/>
  <c r="BT66" i="27"/>
  <c r="BC127" i="27"/>
  <c r="BD127" i="27"/>
  <c r="BA127" i="27"/>
  <c r="BB127" i="27"/>
  <c r="AX127" i="27"/>
  <c r="BS127" i="27"/>
  <c r="AV178" i="27"/>
  <c r="AV272" i="27"/>
  <c r="BF328" i="27"/>
  <c r="BG328" i="27"/>
  <c r="BE328" i="27"/>
  <c r="BO318" i="27"/>
  <c r="BQ318" i="27"/>
  <c r="BR318" i="27"/>
  <c r="BT318" i="27"/>
  <c r="BF85" i="27"/>
  <c r="BG85" i="27"/>
  <c r="BE85" i="27"/>
  <c r="BF72" i="27"/>
  <c r="BG72" i="27"/>
  <c r="BE72" i="27"/>
  <c r="BS58" i="27"/>
  <c r="BC58" i="27"/>
  <c r="BD58" i="27"/>
  <c r="BA58" i="27"/>
  <c r="BB58" i="27"/>
  <c r="AX58" i="27"/>
  <c r="BE138" i="27"/>
  <c r="BF138" i="27"/>
  <c r="BG138" i="27"/>
  <c r="BR9" i="27"/>
  <c r="BT9" i="27"/>
  <c r="BO9" i="27"/>
  <c r="BQ9" i="27"/>
  <c r="BE166" i="27"/>
  <c r="BF166" i="27"/>
  <c r="BG166" i="27"/>
  <c r="BE128" i="27"/>
  <c r="BF128" i="27"/>
  <c r="BG128" i="27"/>
  <c r="BE158" i="27"/>
  <c r="BF158" i="27"/>
  <c r="BG158" i="27"/>
  <c r="BE41" i="27"/>
  <c r="BF41" i="27"/>
  <c r="BG41" i="27"/>
  <c r="BO36" i="27"/>
  <c r="BQ36" i="27"/>
  <c r="BR36" i="27"/>
  <c r="BT36" i="27"/>
  <c r="BE43" i="27"/>
  <c r="BF43" i="27"/>
  <c r="BG43" i="27"/>
  <c r="AV4" i="27"/>
  <c r="AV223" i="27"/>
  <c r="AV255" i="27"/>
  <c r="AV254" i="27"/>
  <c r="BF147" i="27"/>
  <c r="BG147" i="27"/>
  <c r="BE147" i="27"/>
  <c r="AV29" i="27"/>
  <c r="BR273" i="27"/>
  <c r="BT273" i="27"/>
  <c r="BO273" i="27"/>
  <c r="BQ273" i="27"/>
  <c r="BO277" i="27"/>
  <c r="BQ277" i="27"/>
  <c r="BR277" i="27"/>
  <c r="BT277" i="27"/>
  <c r="AV81" i="27"/>
  <c r="AV328" i="27"/>
  <c r="BF79" i="27"/>
  <c r="BG79" i="27"/>
  <c r="BE79" i="27"/>
  <c r="BF167" i="27"/>
  <c r="BG167" i="27"/>
  <c r="BE167" i="27"/>
  <c r="AV322" i="27"/>
  <c r="AV17" i="27"/>
  <c r="BE152" i="27"/>
  <c r="BF152" i="27"/>
  <c r="BG152" i="27"/>
  <c r="BO240" i="27"/>
  <c r="BQ240" i="27"/>
  <c r="BR240" i="27"/>
  <c r="BT240" i="27"/>
  <c r="BC276" i="27"/>
  <c r="BD276" i="27"/>
  <c r="BA276" i="27"/>
  <c r="BB276" i="27"/>
  <c r="AX276" i="27"/>
  <c r="BS276" i="27"/>
  <c r="BE74" i="27"/>
  <c r="BF74" i="27"/>
  <c r="BG74" i="27"/>
  <c r="BE164" i="27"/>
  <c r="BF164" i="27"/>
  <c r="BG164" i="27"/>
  <c r="AV274" i="27"/>
  <c r="AV187" i="27"/>
  <c r="BE154" i="27"/>
  <c r="BF154" i="27"/>
  <c r="BG154" i="27"/>
  <c r="AV74" i="27"/>
  <c r="AV177" i="27"/>
  <c r="BC253" i="27"/>
  <c r="BD253" i="27"/>
  <c r="BA253" i="27"/>
  <c r="BB253" i="27"/>
  <c r="AX253" i="27"/>
  <c r="BS253" i="27"/>
  <c r="AV249" i="27"/>
  <c r="BF46" i="27"/>
  <c r="BG46" i="27"/>
  <c r="BE46" i="27"/>
  <c r="BN304" i="27"/>
  <c r="BP304" i="27"/>
  <c r="AV23" i="27"/>
  <c r="BS95" i="27"/>
  <c r="BC95" i="27"/>
  <c r="BD95" i="27"/>
  <c r="BA95" i="27"/>
  <c r="BB95" i="27"/>
  <c r="AX95" i="27"/>
  <c r="AV281" i="27"/>
  <c r="BS47" i="27"/>
  <c r="BC47" i="27"/>
  <c r="BD47" i="27"/>
  <c r="BA47" i="27"/>
  <c r="BB47" i="27"/>
  <c r="AX47" i="27"/>
  <c r="BF255" i="27"/>
  <c r="BG255" i="27"/>
  <c r="BE255" i="27"/>
  <c r="BF254" i="27"/>
  <c r="BG254" i="27"/>
  <c r="BE254" i="27"/>
  <c r="AV152" i="27"/>
  <c r="BC191" i="27"/>
  <c r="BD191" i="27"/>
  <c r="BA191" i="27"/>
  <c r="BB191" i="27"/>
  <c r="AX191" i="27"/>
  <c r="BS191" i="27"/>
  <c r="BC193" i="27"/>
  <c r="BD193" i="27"/>
  <c r="BA193" i="27"/>
  <c r="BB193" i="27"/>
  <c r="AX193" i="27"/>
  <c r="BS193" i="27"/>
  <c r="BO49" i="27"/>
  <c r="BQ49" i="27"/>
  <c r="BR49" i="27"/>
  <c r="BT49" i="27"/>
  <c r="BO111" i="27"/>
  <c r="BQ111" i="27"/>
  <c r="BR111" i="27"/>
  <c r="BT111" i="27"/>
  <c r="BO150" i="27"/>
  <c r="BQ150" i="27"/>
  <c r="BR150" i="27"/>
  <c r="BT150" i="27"/>
  <c r="BO109" i="27"/>
  <c r="BQ109" i="27"/>
  <c r="BR109" i="27"/>
  <c r="BT109" i="27"/>
  <c r="BR289" i="27"/>
  <c r="BT289" i="27"/>
  <c r="BO289" i="27"/>
  <c r="BQ289" i="27"/>
  <c r="BC66" i="27"/>
  <c r="BD66" i="27"/>
  <c r="BA66" i="27"/>
  <c r="BB66" i="27"/>
  <c r="AX66" i="27"/>
  <c r="BS66" i="27"/>
  <c r="BO127" i="27"/>
  <c r="BQ127" i="27"/>
  <c r="BR127" i="27"/>
  <c r="BT127" i="27"/>
  <c r="BF223" i="27"/>
  <c r="BG223" i="27"/>
  <c r="BE223" i="27"/>
  <c r="AV75" i="27"/>
  <c r="AV38" i="27"/>
  <c r="AV56" i="27"/>
  <c r="BR58" i="27"/>
  <c r="BT58" i="27"/>
  <c r="BO58" i="27"/>
  <c r="BQ58" i="27"/>
  <c r="BC9" i="27"/>
  <c r="BD9" i="27"/>
  <c r="BA9" i="27"/>
  <c r="BB9" i="27"/>
  <c r="AX9" i="27"/>
  <c r="BS9" i="27"/>
  <c r="BC36" i="27"/>
  <c r="BD36" i="27"/>
  <c r="BA36" i="27"/>
  <c r="BB36" i="27"/>
  <c r="AX36" i="27"/>
  <c r="BS36" i="27"/>
  <c r="BF202" i="27"/>
  <c r="BG202" i="27"/>
  <c r="BE202" i="27"/>
  <c r="BF3" i="27"/>
  <c r="BG3" i="27"/>
  <c r="BE3" i="27"/>
  <c r="AV161" i="27"/>
  <c r="AV48" i="27"/>
  <c r="AV209" i="27"/>
  <c r="BE131" i="27"/>
  <c r="BF131" i="27"/>
  <c r="BG131" i="27"/>
  <c r="BC292" i="27"/>
  <c r="BD292" i="27"/>
  <c r="BA292" i="27"/>
  <c r="BB292" i="27"/>
  <c r="AX292" i="27"/>
  <c r="BS292" i="27"/>
  <c r="BF2" i="27"/>
  <c r="BG2" i="27"/>
  <c r="BE2" i="27"/>
  <c r="BF75" i="27"/>
  <c r="BG75" i="27"/>
  <c r="BE75" i="27"/>
  <c r="AV79" i="27"/>
  <c r="BF114" i="27"/>
  <c r="BG114" i="27"/>
  <c r="BE114" i="27"/>
  <c r="BP306" i="27"/>
  <c r="BN306" i="27"/>
  <c r="AV267" i="27"/>
  <c r="BC184" i="27"/>
  <c r="BD184" i="27"/>
  <c r="BA184" i="27"/>
  <c r="BB184" i="27"/>
  <c r="AX184" i="27"/>
  <c r="BS184" i="27"/>
  <c r="BE176" i="27"/>
  <c r="BF176" i="27"/>
  <c r="BG176" i="27"/>
  <c r="BF324" i="27"/>
  <c r="BG324" i="27"/>
  <c r="BE324" i="27"/>
  <c r="BF145" i="27"/>
  <c r="BG145" i="27"/>
  <c r="BE145" i="27"/>
  <c r="BF271" i="27"/>
  <c r="BG271" i="27"/>
  <c r="BE271" i="27"/>
  <c r="BF117" i="27"/>
  <c r="BG117" i="27"/>
  <c r="BE117" i="27"/>
  <c r="AV313" i="27"/>
  <c r="BC240" i="27"/>
  <c r="BD240" i="27"/>
  <c r="BA240" i="27"/>
  <c r="BB240" i="27"/>
  <c r="AX240" i="27"/>
  <c r="BS240" i="27"/>
  <c r="BR276" i="27"/>
  <c r="BT276" i="27"/>
  <c r="BO276" i="27"/>
  <c r="BQ276" i="27"/>
  <c r="BF249" i="27"/>
  <c r="BG249" i="27"/>
  <c r="BE249" i="27"/>
  <c r="BE13" i="27"/>
  <c r="BF13" i="27"/>
  <c r="BG13" i="27"/>
  <c r="BE172" i="27"/>
  <c r="BF172" i="27"/>
  <c r="BG172" i="27"/>
  <c r="BR253" i="27"/>
  <c r="BT253" i="27"/>
  <c r="BO253" i="27"/>
  <c r="BQ253" i="27"/>
  <c r="AV67" i="27"/>
  <c r="BE31" i="27"/>
  <c r="BF31" i="27"/>
  <c r="BG31" i="27"/>
  <c r="AV53" i="27"/>
  <c r="BF63" i="27"/>
  <c r="BG63" i="27"/>
  <c r="BE63" i="27"/>
  <c r="AV326" i="27"/>
  <c r="AV315" i="27"/>
  <c r="BF133" i="27"/>
  <c r="BG133" i="27"/>
  <c r="BE133" i="27"/>
  <c r="BO136" i="27"/>
  <c r="BQ136" i="27"/>
  <c r="BR136" i="27"/>
  <c r="BT136" i="27"/>
  <c r="BR20" i="27"/>
  <c r="BT20" i="27"/>
  <c r="BO20" i="27"/>
  <c r="BQ20" i="27"/>
  <c r="BO193" i="27"/>
  <c r="BQ193" i="27"/>
  <c r="BR193" i="27"/>
  <c r="BT193" i="27"/>
  <c r="BC49" i="27"/>
  <c r="BD49" i="27"/>
  <c r="BA49" i="27"/>
  <c r="BB49" i="27"/>
  <c r="AX49" i="27"/>
  <c r="BS49" i="27"/>
  <c r="BN28" i="27"/>
  <c r="BP28" i="27"/>
  <c r="BC150" i="27"/>
  <c r="BD150" i="27"/>
  <c r="BA150" i="27"/>
  <c r="BB150" i="27"/>
  <c r="AX150" i="27"/>
  <c r="BS150" i="27"/>
  <c r="BS109" i="27"/>
  <c r="BC109" i="27"/>
  <c r="BD109" i="27"/>
  <c r="BA109" i="27"/>
  <c r="BB109" i="27"/>
  <c r="AX109" i="27"/>
  <c r="BC188" i="27"/>
  <c r="BD188" i="27"/>
  <c r="BA188" i="27"/>
  <c r="BB188" i="27"/>
  <c r="AX188" i="27"/>
  <c r="BS188" i="27"/>
  <c r="BR155" i="27"/>
  <c r="BT155" i="27"/>
  <c r="BO155" i="27"/>
  <c r="BQ155" i="27"/>
  <c r="BC110" i="27"/>
  <c r="BD110" i="27"/>
  <c r="BA110" i="27"/>
  <c r="BB110" i="27"/>
  <c r="AX110" i="27"/>
  <c r="BS110" i="27"/>
  <c r="AV311" i="27"/>
  <c r="AY183" i="27"/>
  <c r="AZ183" i="27"/>
  <c r="BS159" i="27"/>
  <c r="BC159" i="27"/>
  <c r="BD159" i="27"/>
  <c r="BA159" i="27"/>
  <c r="BB159" i="27"/>
  <c r="AX159" i="27"/>
  <c r="BO132" i="27"/>
  <c r="BQ132" i="27"/>
  <c r="BR132" i="27"/>
  <c r="BT132" i="27"/>
  <c r="AZ25" i="27"/>
  <c r="AY25" i="27"/>
  <c r="AV102" i="27"/>
  <c r="BF303" i="27"/>
  <c r="BG303" i="27"/>
  <c r="BE303" i="27"/>
  <c r="BO292" i="27"/>
  <c r="BQ292" i="27"/>
  <c r="BR292" i="27"/>
  <c r="BT292" i="27"/>
  <c r="AV140" i="27"/>
  <c r="BF129" i="27"/>
  <c r="BG129" i="27"/>
  <c r="BE129" i="27"/>
  <c r="AV107" i="27"/>
  <c r="BO229" i="27"/>
  <c r="BQ229" i="27"/>
  <c r="BR229" i="27"/>
  <c r="BT229" i="27"/>
  <c r="AV324" i="27"/>
  <c r="BO184" i="27"/>
  <c r="BQ184" i="27"/>
  <c r="BR184" i="27"/>
  <c r="BT184" i="27"/>
  <c r="BF60" i="27"/>
  <c r="BG60" i="27"/>
  <c r="BE60" i="27"/>
  <c r="BE168" i="27"/>
  <c r="BF168" i="27"/>
  <c r="BG168" i="27"/>
  <c r="BF224" i="27"/>
  <c r="BG224" i="27"/>
  <c r="BE224" i="27"/>
  <c r="BE125" i="27"/>
  <c r="BF125" i="27"/>
  <c r="BG125" i="27"/>
  <c r="BE156" i="27"/>
  <c r="BF156" i="27"/>
  <c r="BG156" i="27"/>
  <c r="AV182" i="27"/>
  <c r="BR157" i="27"/>
  <c r="BT157" i="27"/>
  <c r="BO157" i="27"/>
  <c r="BQ157" i="27"/>
  <c r="BE59" i="27"/>
  <c r="BF59" i="27"/>
  <c r="BG59" i="27"/>
  <c r="AV154" i="27"/>
  <c r="AV172" i="27"/>
  <c r="AV37" i="27"/>
  <c r="BF50" i="27"/>
  <c r="BG50" i="27"/>
  <c r="BE50" i="27"/>
  <c r="AV296" i="27"/>
  <c r="BE101" i="27"/>
  <c r="BF101" i="27"/>
  <c r="BG101" i="27"/>
  <c r="BC136" i="27"/>
  <c r="BD136" i="27"/>
  <c r="BA136" i="27"/>
  <c r="BB136" i="27"/>
  <c r="AX136" i="27"/>
  <c r="BS136" i="27"/>
  <c r="BF269" i="27"/>
  <c r="BG269" i="27"/>
  <c r="BE269" i="27"/>
  <c r="BR291" i="27"/>
  <c r="BT291" i="27"/>
  <c r="BO291" i="27"/>
  <c r="BQ291" i="27"/>
  <c r="AV303" i="27"/>
  <c r="BS20" i="27"/>
  <c r="BC20" i="27"/>
  <c r="BD20" i="27"/>
  <c r="BA20" i="27"/>
  <c r="BB20" i="27"/>
  <c r="AX20" i="27"/>
  <c r="BR65" i="27"/>
  <c r="BT65" i="27"/>
  <c r="BO65" i="27"/>
  <c r="BQ65" i="27"/>
  <c r="BO45" i="27"/>
  <c r="BQ45" i="27"/>
  <c r="BR45" i="27"/>
  <c r="BT45" i="27"/>
  <c r="BR180" i="27"/>
  <c r="BT180" i="27"/>
  <c r="BO180" i="27"/>
  <c r="BQ180" i="27"/>
  <c r="BR314" i="27"/>
  <c r="BT314" i="27"/>
  <c r="BO314" i="27"/>
  <c r="BQ314" i="27"/>
  <c r="BO232" i="27"/>
  <c r="BQ232" i="27"/>
  <c r="BR232" i="27"/>
  <c r="BT232" i="27"/>
  <c r="BS155" i="27"/>
  <c r="BC155" i="27"/>
  <c r="BD155" i="27"/>
  <c r="BA155" i="27"/>
  <c r="BB155" i="27"/>
  <c r="AX155" i="27"/>
  <c r="BO110" i="27"/>
  <c r="BQ110" i="27"/>
  <c r="BR110" i="27"/>
  <c r="BT110" i="27"/>
  <c r="BO261" i="27"/>
  <c r="BQ261" i="27"/>
  <c r="BR261" i="27"/>
  <c r="BT261" i="27"/>
  <c r="BC65" i="27"/>
  <c r="BD65" i="27"/>
  <c r="BA65" i="27"/>
  <c r="BB65" i="27"/>
  <c r="AX65" i="27"/>
  <c r="BS65" i="27"/>
  <c r="BC94" i="27"/>
  <c r="BD94" i="27"/>
  <c r="BA94" i="27"/>
  <c r="BB94" i="27"/>
  <c r="AX94" i="27"/>
  <c r="BS94" i="27"/>
  <c r="BS45" i="27"/>
  <c r="BC45" i="27"/>
  <c r="BD45" i="27"/>
  <c r="BA45" i="27"/>
  <c r="BB45" i="27"/>
  <c r="AX45" i="27"/>
  <c r="BS180" i="27"/>
  <c r="BC180" i="27"/>
  <c r="BD180" i="27"/>
  <c r="BA180" i="27"/>
  <c r="BB180" i="27"/>
  <c r="AX180" i="27"/>
  <c r="BC314" i="27"/>
  <c r="BD314" i="27"/>
  <c r="BA314" i="27"/>
  <c r="BB314" i="27"/>
  <c r="AX314" i="27"/>
  <c r="BS314" i="27"/>
  <c r="BC232" i="27"/>
  <c r="BD232" i="27"/>
  <c r="BA232" i="27"/>
  <c r="BB232" i="27"/>
  <c r="AX232" i="27"/>
  <c r="BS232" i="27"/>
  <c r="BC257" i="27"/>
  <c r="BD257" i="27"/>
  <c r="BA257" i="27"/>
  <c r="BB257" i="27"/>
  <c r="AX257" i="27"/>
  <c r="BS257" i="27"/>
  <c r="BC197" i="27"/>
  <c r="BD197" i="27"/>
  <c r="BA197" i="27"/>
  <c r="BB197" i="27"/>
  <c r="AX197" i="27"/>
  <c r="BS197" i="27"/>
  <c r="BF108" i="27"/>
  <c r="BG108" i="27"/>
  <c r="BE108" i="27"/>
  <c r="AV290" i="27"/>
  <c r="BF215" i="27"/>
  <c r="BG215" i="27"/>
  <c r="BE215" i="27"/>
  <c r="AZ300" i="27"/>
  <c r="AY300" i="27"/>
  <c r="BR302" i="27"/>
  <c r="BT302" i="27"/>
  <c r="BO302" i="27"/>
  <c r="BQ302" i="27"/>
  <c r="BC199" i="27"/>
  <c r="BD199" i="27"/>
  <c r="BA199" i="27"/>
  <c r="BB199" i="27"/>
  <c r="AX199" i="27"/>
  <c r="BS199" i="27"/>
  <c r="AZ3" i="27"/>
  <c r="AY3" i="27"/>
  <c r="BF282" i="27"/>
  <c r="BG282" i="27"/>
  <c r="BE282" i="27"/>
  <c r="AV128" i="27"/>
  <c r="AV133" i="27"/>
  <c r="BF56" i="27"/>
  <c r="BG56" i="27"/>
  <c r="BE56" i="27"/>
  <c r="BF287" i="27"/>
  <c r="BG287" i="27"/>
  <c r="BE287" i="27"/>
  <c r="BS318" i="27"/>
  <c r="BC318" i="27"/>
  <c r="BD318" i="27"/>
  <c r="BA318" i="27"/>
  <c r="BB318" i="27"/>
  <c r="AX318" i="27"/>
  <c r="AV97" i="27"/>
  <c r="AV13" i="27"/>
  <c r="AZ16" i="27"/>
  <c r="AY16" i="27"/>
  <c r="AZ24" i="27"/>
  <c r="AY24" i="27"/>
  <c r="BF259" i="27"/>
  <c r="BG259" i="27"/>
  <c r="BE259" i="27"/>
  <c r="BF141" i="27"/>
  <c r="BG141" i="27"/>
  <c r="BE141" i="27"/>
  <c r="BR206" i="27"/>
  <c r="BT206" i="27"/>
  <c r="BO206" i="27"/>
  <c r="BQ206" i="27"/>
  <c r="AV119" i="27"/>
  <c r="AV179" i="27"/>
  <c r="BS206" i="27"/>
  <c r="BC206" i="27"/>
  <c r="BD206" i="27"/>
  <c r="BA206" i="27"/>
  <c r="BB206" i="27"/>
  <c r="AX206" i="27"/>
  <c r="BE29" i="27"/>
  <c r="BF29" i="27"/>
  <c r="BG29" i="27"/>
  <c r="AV60" i="27"/>
  <c r="AV25" i="27"/>
  <c r="AV216" i="27"/>
  <c r="BE246" i="27"/>
  <c r="BF246" i="27"/>
  <c r="BG246" i="27"/>
  <c r="BE39" i="27"/>
  <c r="BF39" i="27"/>
  <c r="BG39" i="27"/>
  <c r="BC229" i="27"/>
  <c r="BD229" i="27"/>
  <c r="BA229" i="27"/>
  <c r="BB229" i="27"/>
  <c r="AX229" i="27"/>
  <c r="BS229" i="27"/>
  <c r="BR321" i="27"/>
  <c r="BT321" i="27"/>
  <c r="BO321" i="27"/>
  <c r="BQ321" i="27"/>
  <c r="BC321" i="27"/>
  <c r="BD321" i="27"/>
  <c r="BA321" i="27"/>
  <c r="BB321" i="27"/>
  <c r="AX321" i="27"/>
  <c r="BS321" i="27"/>
  <c r="AZ228" i="27"/>
  <c r="AY228" i="27"/>
  <c r="BF78" i="27"/>
  <c r="BG78" i="27"/>
  <c r="BE78" i="27"/>
  <c r="AV31" i="27"/>
  <c r="AV96" i="27"/>
  <c r="BE53" i="27"/>
  <c r="BF53" i="27"/>
  <c r="BG53" i="27"/>
  <c r="BF90" i="27"/>
  <c r="BG90" i="27"/>
  <c r="BE90" i="27"/>
  <c r="BF233" i="27"/>
  <c r="BG233" i="27"/>
  <c r="BE233" i="27"/>
  <c r="BO5" i="27"/>
  <c r="BQ5" i="27"/>
  <c r="BR5" i="27"/>
  <c r="BT5" i="27"/>
  <c r="BE144" i="27"/>
  <c r="BF144" i="27"/>
  <c r="BG144" i="27"/>
  <c r="AY231" i="27"/>
  <c r="AZ231" i="27"/>
  <c r="BR204" i="27"/>
  <c r="BT204" i="27"/>
  <c r="BO204" i="27"/>
  <c r="BQ204" i="27"/>
  <c r="BC319" i="27"/>
  <c r="BD319" i="27"/>
  <c r="BA319" i="27"/>
  <c r="BB319" i="27"/>
  <c r="AX319" i="27"/>
  <c r="BS319" i="27"/>
  <c r="BR268" i="27"/>
  <c r="BT268" i="27"/>
  <c r="BO268" i="27"/>
  <c r="BQ268" i="27"/>
  <c r="BF313" i="27"/>
  <c r="BG313" i="27"/>
  <c r="BE313" i="27"/>
  <c r="BR298" i="27"/>
  <c r="BT298" i="27"/>
  <c r="BO298" i="27"/>
  <c r="BQ298" i="27"/>
  <c r="BS40" i="27"/>
  <c r="BC40" i="27"/>
  <c r="BD40" i="27"/>
  <c r="BA40" i="27"/>
  <c r="BB40" i="27"/>
  <c r="AX40" i="27"/>
  <c r="AV279" i="27"/>
  <c r="BC84" i="27"/>
  <c r="BD84" i="27"/>
  <c r="BA84" i="27"/>
  <c r="BB84" i="27"/>
  <c r="AX84" i="27"/>
  <c r="BS84" i="27"/>
  <c r="BO69" i="27"/>
  <c r="BQ69" i="27"/>
  <c r="BR69" i="27"/>
  <c r="BT69" i="27"/>
  <c r="BC192" i="27"/>
  <c r="BD192" i="27"/>
  <c r="BA192" i="27"/>
  <c r="BB192" i="27"/>
  <c r="AX192" i="27"/>
  <c r="BS192" i="27"/>
  <c r="BR122" i="27"/>
  <c r="BT122" i="27"/>
  <c r="BO122" i="27"/>
  <c r="BQ122" i="27"/>
  <c r="BO94" i="27"/>
  <c r="BQ94" i="27"/>
  <c r="BR94" i="27"/>
  <c r="BT94" i="27"/>
  <c r="BO82" i="27"/>
  <c r="BQ82" i="27"/>
  <c r="BR82" i="27"/>
  <c r="BT82" i="27"/>
  <c r="BO19" i="27"/>
  <c r="BQ19" i="27"/>
  <c r="BR19" i="27"/>
  <c r="BT19" i="27"/>
  <c r="BR34" i="27"/>
  <c r="BT34" i="27"/>
  <c r="BO34" i="27"/>
  <c r="BQ34" i="27"/>
  <c r="BO305" i="27"/>
  <c r="BQ305" i="27"/>
  <c r="BR305" i="27"/>
  <c r="BT305" i="27"/>
  <c r="BO257" i="27"/>
  <c r="BQ257" i="27"/>
  <c r="BR257" i="27"/>
  <c r="BT257" i="27"/>
  <c r="BR197" i="27"/>
  <c r="BT197" i="27"/>
  <c r="BO197" i="27"/>
  <c r="BQ197" i="27"/>
  <c r="AV219" i="27"/>
  <c r="AV114" i="27"/>
  <c r="BF24" i="27"/>
  <c r="BG24" i="27"/>
  <c r="BE24" i="27"/>
  <c r="AV202" i="27"/>
  <c r="BF210" i="27"/>
  <c r="BG210" i="27"/>
  <c r="BE210" i="27"/>
  <c r="AV14" i="27"/>
  <c r="BS218" i="27"/>
  <c r="BC218" i="27"/>
  <c r="BD218" i="27"/>
  <c r="BA218" i="27"/>
  <c r="BB218" i="27"/>
  <c r="AX218" i="27"/>
  <c r="AV246" i="27"/>
  <c r="AV89" i="27"/>
  <c r="BS76" i="27"/>
  <c r="BC76" i="27"/>
  <c r="BD76" i="27"/>
  <c r="BA76" i="27"/>
  <c r="BB76" i="27"/>
  <c r="AX76" i="27"/>
  <c r="AV287" i="27"/>
  <c r="AV211" i="27"/>
  <c r="AV105" i="27"/>
  <c r="AV91" i="27"/>
  <c r="BF281" i="27"/>
  <c r="BG281" i="27"/>
  <c r="BE281" i="27"/>
  <c r="BS256" i="27"/>
  <c r="BC256" i="27"/>
  <c r="BD256" i="27"/>
  <c r="BA256" i="27"/>
  <c r="BB256" i="27"/>
  <c r="AX256" i="27"/>
  <c r="BF227" i="27"/>
  <c r="BG227" i="27"/>
  <c r="BE227" i="27"/>
  <c r="AV137" i="27"/>
  <c r="AV145" i="27"/>
  <c r="BO307" i="27"/>
  <c r="BQ307" i="27"/>
  <c r="BR307" i="27"/>
  <c r="BT307" i="27"/>
  <c r="BF12" i="27"/>
  <c r="BG12" i="27"/>
  <c r="BE12" i="27"/>
  <c r="BO284" i="27"/>
  <c r="BQ284" i="27"/>
  <c r="BR284" i="27"/>
  <c r="BT284" i="27"/>
  <c r="AV222" i="27"/>
  <c r="BR143" i="27"/>
  <c r="BT143" i="27"/>
  <c r="BO143" i="27"/>
  <c r="BQ143" i="27"/>
  <c r="BE162" i="27"/>
  <c r="BF162" i="27"/>
  <c r="BG162" i="27"/>
  <c r="BE89" i="27"/>
  <c r="BF89" i="27"/>
  <c r="BG89" i="27"/>
  <c r="BE38" i="27"/>
  <c r="BF38" i="27"/>
  <c r="BG38" i="27"/>
  <c r="AV323" i="27"/>
  <c r="BE135" i="27"/>
  <c r="BF135" i="27"/>
  <c r="BG135" i="27"/>
  <c r="AV162" i="27"/>
  <c r="AV106" i="27"/>
  <c r="BP243" i="27"/>
  <c r="BN243" i="27"/>
  <c r="AV158" i="27"/>
  <c r="AV258" i="27"/>
  <c r="BP68" i="27"/>
  <c r="BN68" i="27"/>
  <c r="BE7" i="27"/>
  <c r="BF7" i="27"/>
  <c r="BG7" i="27"/>
  <c r="AV78" i="27"/>
  <c r="BS214" i="27"/>
  <c r="BC214" i="27"/>
  <c r="BD214" i="27"/>
  <c r="BA214" i="27"/>
  <c r="BB214" i="27"/>
  <c r="AX214" i="27"/>
  <c r="AV325" i="27"/>
  <c r="AV77" i="27"/>
  <c r="AV247" i="27"/>
  <c r="BE44" i="27"/>
  <c r="BF44" i="27"/>
  <c r="BG44" i="27"/>
  <c r="AV198" i="27"/>
  <c r="BF285" i="27"/>
  <c r="BG285" i="27"/>
  <c r="BE285" i="27"/>
  <c r="BC123" i="27"/>
  <c r="BD123" i="27"/>
  <c r="BA123" i="27"/>
  <c r="BB123" i="27"/>
  <c r="AX123" i="27"/>
  <c r="BS123" i="27"/>
  <c r="BF178" i="27"/>
  <c r="BG178" i="27"/>
  <c r="BE178" i="27"/>
  <c r="BS5" i="27"/>
  <c r="BC5" i="27"/>
  <c r="BD5" i="27"/>
  <c r="BA5" i="27"/>
  <c r="BB5" i="27"/>
  <c r="AX5" i="27"/>
  <c r="AV285" i="27"/>
  <c r="BS204" i="27"/>
  <c r="BC204" i="27"/>
  <c r="BD204" i="27"/>
  <c r="BA204" i="27"/>
  <c r="BB204" i="27"/>
  <c r="AX204" i="27"/>
  <c r="BR103" i="27"/>
  <c r="BT103" i="27"/>
  <c r="BO103" i="27"/>
  <c r="BQ103" i="27"/>
  <c r="BP93" i="27"/>
  <c r="BN93" i="27"/>
  <c r="BS268" i="27"/>
  <c r="BC268" i="27"/>
  <c r="BD268" i="27"/>
  <c r="BA268" i="27"/>
  <c r="BB268" i="27"/>
  <c r="AX268" i="27"/>
  <c r="BC207" i="27"/>
  <c r="BD207" i="27"/>
  <c r="BA207" i="27"/>
  <c r="BB207" i="27"/>
  <c r="AX207" i="27"/>
  <c r="BS207" i="27"/>
  <c r="AV265" i="27"/>
  <c r="BO236" i="27"/>
  <c r="BQ236" i="27"/>
  <c r="BR236" i="27"/>
  <c r="BT236" i="27"/>
  <c r="BO40" i="27"/>
  <c r="BQ40" i="27"/>
  <c r="BR40" i="27"/>
  <c r="BT40" i="27"/>
  <c r="BF274" i="27"/>
  <c r="BG274" i="27"/>
  <c r="BE274" i="27"/>
  <c r="BO192" i="27"/>
  <c r="BQ192" i="27"/>
  <c r="BR192" i="27"/>
  <c r="BT192" i="27"/>
  <c r="BS122" i="27"/>
  <c r="BC122" i="27"/>
  <c r="BD122" i="27"/>
  <c r="BA122" i="27"/>
  <c r="BB122" i="27"/>
  <c r="AX122" i="27"/>
  <c r="BO244" i="27"/>
  <c r="BQ244" i="27"/>
  <c r="BR244" i="27"/>
  <c r="BT244" i="27"/>
  <c r="BC82" i="27"/>
  <c r="BD82" i="27"/>
  <c r="BA82" i="27"/>
  <c r="BB82" i="27"/>
  <c r="AX82" i="27"/>
  <c r="BS82" i="27"/>
  <c r="BC19" i="27"/>
  <c r="BD19" i="27"/>
  <c r="BA19" i="27"/>
  <c r="BB19" i="27"/>
  <c r="AX19" i="27"/>
  <c r="BS19" i="27"/>
  <c r="BC34" i="27"/>
  <c r="BD34" i="27"/>
  <c r="BA34" i="27"/>
  <c r="BB34" i="27"/>
  <c r="AX34" i="27"/>
  <c r="BS34" i="27"/>
  <c r="BC98" i="27"/>
  <c r="BD98" i="27"/>
  <c r="BA98" i="27"/>
  <c r="BB98" i="27"/>
  <c r="AX98" i="27"/>
  <c r="BS98" i="27"/>
  <c r="BO33" i="27"/>
  <c r="BQ33" i="27"/>
  <c r="BR33" i="27"/>
  <c r="BT33" i="27"/>
  <c r="BC286" i="27"/>
  <c r="BD286" i="27"/>
  <c r="BA286" i="27"/>
  <c r="BB286" i="27"/>
  <c r="AX286" i="27"/>
  <c r="BF105" i="27"/>
  <c r="BG105" i="27"/>
  <c r="BE105" i="27"/>
  <c r="AV248" i="27"/>
  <c r="BF4" i="27"/>
  <c r="BG4" i="27"/>
  <c r="BE4" i="27"/>
  <c r="BE18" i="27"/>
  <c r="BF18" i="27"/>
  <c r="BG18" i="27"/>
  <c r="AV168" i="27"/>
  <c r="AV72" i="27"/>
  <c r="AV230" i="27"/>
  <c r="AV15" i="27"/>
  <c r="BF107" i="27"/>
  <c r="BG107" i="27"/>
  <c r="BE107" i="27"/>
  <c r="AV210" i="27"/>
  <c r="BF97" i="27"/>
  <c r="BG97" i="27"/>
  <c r="BE97" i="27"/>
  <c r="BR11" i="27"/>
  <c r="BT11" i="27"/>
  <c r="BO11" i="27"/>
  <c r="BQ11" i="27"/>
  <c r="AV7" i="27"/>
  <c r="BE119" i="27"/>
  <c r="BF119" i="27"/>
  <c r="BG119" i="27"/>
  <c r="AV208" i="27"/>
  <c r="BS124" i="27"/>
  <c r="BC124" i="27"/>
  <c r="BD124" i="27"/>
  <c r="BA124" i="27"/>
  <c r="BB124" i="27"/>
  <c r="AX124" i="27"/>
  <c r="AV234" i="27"/>
  <c r="BF181" i="27"/>
  <c r="BG181" i="27"/>
  <c r="BE181" i="27"/>
  <c r="BC132" i="27"/>
  <c r="BD132" i="27"/>
  <c r="BA132" i="27"/>
  <c r="BB132" i="27"/>
  <c r="AX132" i="27"/>
  <c r="BS132" i="27"/>
  <c r="BC160" i="27"/>
  <c r="BD160" i="27"/>
  <c r="BA160" i="27"/>
  <c r="BB160" i="27"/>
  <c r="AX160" i="27"/>
  <c r="BS160" i="27"/>
  <c r="AZ140" i="27"/>
  <c r="AY140" i="27"/>
  <c r="AZ162" i="27"/>
  <c r="AY162" i="27"/>
  <c r="BE140" i="27"/>
  <c r="BF140" i="27"/>
  <c r="BG140" i="27"/>
  <c r="AV259" i="27"/>
  <c r="BE252" i="27"/>
  <c r="BF252" i="27"/>
  <c r="BG252" i="27"/>
  <c r="BF48" i="27"/>
  <c r="BG48" i="27"/>
  <c r="BE48" i="27"/>
  <c r="AV144" i="27"/>
  <c r="BS157" i="27"/>
  <c r="BC157" i="27"/>
  <c r="BD157" i="27"/>
  <c r="BA157" i="27"/>
  <c r="BB157" i="27"/>
  <c r="AX157" i="27"/>
  <c r="BE325" i="27"/>
  <c r="BF325" i="27"/>
  <c r="BG325" i="27"/>
  <c r="AV164" i="27"/>
  <c r="AV156" i="27"/>
  <c r="BO319" i="27"/>
  <c r="BQ319" i="27"/>
  <c r="BR319" i="27"/>
  <c r="BT319" i="27"/>
  <c r="BE272" i="27"/>
  <c r="BF272" i="27"/>
  <c r="BG272" i="27"/>
  <c r="BE37" i="27"/>
  <c r="BF37" i="27"/>
  <c r="BG37" i="27"/>
  <c r="AV101" i="27"/>
  <c r="AZ279" i="27"/>
  <c r="AY279" i="27"/>
  <c r="BC69" i="27"/>
  <c r="BD69" i="27"/>
  <c r="BA69" i="27"/>
  <c r="BB69" i="27"/>
  <c r="AX69" i="27"/>
  <c r="BS69" i="27"/>
  <c r="BF87" i="27"/>
  <c r="BG87" i="27"/>
  <c r="BE87" i="27"/>
  <c r="AV24" i="27"/>
  <c r="BF120" i="27"/>
  <c r="BG120" i="27"/>
  <c r="BE120" i="27"/>
  <c r="AV269" i="27"/>
  <c r="AV270" i="27"/>
  <c r="BF239" i="27"/>
  <c r="BG239" i="27"/>
  <c r="BE239" i="27"/>
  <c r="AV108" i="27"/>
  <c r="BO76" i="27"/>
  <c r="BQ76" i="27"/>
  <c r="BR76" i="27"/>
  <c r="BT76" i="27"/>
  <c r="BE15" i="27"/>
  <c r="BF15" i="27"/>
  <c r="BG15" i="27"/>
  <c r="BR256" i="27"/>
  <c r="BT256" i="27"/>
  <c r="BO256" i="27"/>
  <c r="BQ256" i="27"/>
  <c r="BC307" i="27"/>
  <c r="BD307" i="27"/>
  <c r="BA307" i="27"/>
  <c r="BB307" i="27"/>
  <c r="AX307" i="27"/>
  <c r="BS307" i="27"/>
  <c r="BO160" i="27"/>
  <c r="BQ160" i="27"/>
  <c r="BR160" i="27"/>
  <c r="BT160" i="27"/>
  <c r="BE91" i="27"/>
  <c r="BF91" i="27"/>
  <c r="BG91" i="27"/>
  <c r="AZ158" i="27"/>
  <c r="AY158" i="27"/>
  <c r="AZ259" i="27"/>
  <c r="AY259" i="27"/>
  <c r="BR214" i="27"/>
  <c r="BT214" i="27"/>
  <c r="BO214" i="27"/>
  <c r="BQ214" i="27"/>
  <c r="BF301" i="27"/>
  <c r="BG301" i="27"/>
  <c r="BE301" i="27"/>
  <c r="BF67" i="27"/>
  <c r="BG67" i="27"/>
  <c r="BE67" i="27"/>
  <c r="AV59" i="27"/>
  <c r="BF115" i="27"/>
  <c r="BG115" i="27"/>
  <c r="BE115" i="27"/>
  <c r="BF311" i="27"/>
  <c r="BG311" i="27"/>
  <c r="BE311" i="27"/>
  <c r="BS169" i="27"/>
  <c r="BC169" i="27"/>
  <c r="BD169" i="27"/>
  <c r="BA169" i="27"/>
  <c r="BB169" i="27"/>
  <c r="AX169" i="27"/>
  <c r="BO308" i="27"/>
  <c r="BQ308" i="27"/>
  <c r="BR308" i="27"/>
  <c r="BT308" i="27"/>
  <c r="AV242" i="27"/>
  <c r="BS139" i="27"/>
  <c r="BC139" i="27"/>
  <c r="BD139" i="27"/>
  <c r="BA139" i="27"/>
  <c r="BB139" i="27"/>
  <c r="AX139" i="27"/>
  <c r="BR64" i="27"/>
  <c r="BT64" i="27"/>
  <c r="BO64" i="27"/>
  <c r="BQ64" i="27"/>
  <c r="BC61" i="27"/>
  <c r="BD61" i="27"/>
  <c r="BA61" i="27"/>
  <c r="BB61" i="27"/>
  <c r="AX61" i="27"/>
  <c r="BS61" i="27"/>
  <c r="BC203" i="27"/>
  <c r="BD203" i="27"/>
  <c r="BA203" i="27"/>
  <c r="BB203" i="27"/>
  <c r="AX203" i="27"/>
  <c r="BS203" i="27"/>
  <c r="BE237" i="27"/>
  <c r="BF237" i="27"/>
  <c r="BG237" i="27"/>
  <c r="AV251" i="27"/>
  <c r="BE238" i="27"/>
  <c r="BF238" i="27"/>
  <c r="BG238" i="27"/>
  <c r="BC278" i="27"/>
  <c r="BD278" i="27"/>
  <c r="BA278" i="27"/>
  <c r="BB278" i="27"/>
  <c r="AX278" i="27"/>
  <c r="BS278" i="27"/>
  <c r="BC295" i="27"/>
  <c r="BD295" i="27"/>
  <c r="BA295" i="27"/>
  <c r="BB295" i="27"/>
  <c r="AX295" i="27"/>
  <c r="BS295" i="27"/>
  <c r="BO8" i="27"/>
  <c r="BQ8" i="27"/>
  <c r="BR8" i="27"/>
  <c r="BT8" i="27"/>
  <c r="BE17" i="27"/>
  <c r="BF17" i="27"/>
  <c r="BG17" i="27"/>
  <c r="BE222" i="27"/>
  <c r="BF222" i="27"/>
  <c r="BG222" i="27"/>
  <c r="AV220" i="27"/>
  <c r="BR225" i="27"/>
  <c r="BT225" i="27"/>
  <c r="BO225" i="27"/>
  <c r="BQ225" i="27"/>
  <c r="AV262" i="27"/>
  <c r="BS143" i="27"/>
  <c r="BC143" i="27"/>
  <c r="BD143" i="27"/>
  <c r="BA143" i="27"/>
  <c r="BB143" i="27"/>
  <c r="AX143" i="27"/>
  <c r="AV260" i="27"/>
  <c r="BF283" i="27"/>
  <c r="BG283" i="27"/>
  <c r="BE283" i="27"/>
  <c r="AV297" i="27"/>
  <c r="AV226" i="27"/>
  <c r="BF32" i="27"/>
  <c r="BG32" i="27"/>
  <c r="BE32" i="27"/>
  <c r="BR171" i="27"/>
  <c r="BT171" i="27"/>
  <c r="BO171" i="27"/>
  <c r="BQ171" i="27"/>
  <c r="BC86" i="27"/>
  <c r="BD86" i="27"/>
  <c r="BA86" i="27"/>
  <c r="BB86" i="27"/>
  <c r="AX86" i="27"/>
  <c r="BS86" i="27"/>
  <c r="AV71" i="27"/>
  <c r="BO27" i="27"/>
  <c r="BQ27" i="27"/>
  <c r="BR27" i="27"/>
  <c r="BT27" i="27"/>
  <c r="BF137" i="27"/>
  <c r="BG137" i="27"/>
  <c r="BE137" i="27"/>
  <c r="AV228" i="27"/>
  <c r="AV282" i="27"/>
  <c r="BC92" i="27"/>
  <c r="BD92" i="27"/>
  <c r="BA92" i="27"/>
  <c r="BB92" i="27"/>
  <c r="AX92" i="27"/>
  <c r="BS92" i="27"/>
  <c r="AV118" i="27"/>
  <c r="AV35" i="27"/>
  <c r="BE316" i="27"/>
  <c r="BO123" i="27"/>
  <c r="BQ123" i="27"/>
  <c r="BR123" i="27"/>
  <c r="BT123" i="27"/>
  <c r="BF77" i="27"/>
  <c r="BG77" i="27"/>
  <c r="BE77" i="27"/>
  <c r="BE35" i="27"/>
  <c r="BF35" i="27"/>
  <c r="BG35" i="27"/>
  <c r="AV231" i="27"/>
  <c r="BS103" i="27"/>
  <c r="BC103" i="27"/>
  <c r="BD103" i="27"/>
  <c r="BA103" i="27"/>
  <c r="BB103" i="27"/>
  <c r="AX103" i="27"/>
  <c r="BN245" i="27"/>
  <c r="BP245" i="27"/>
  <c r="BO207" i="27"/>
  <c r="BQ207" i="27"/>
  <c r="BR207" i="27"/>
  <c r="BT207" i="27"/>
  <c r="AV153" i="27"/>
  <c r="BS236" i="27"/>
  <c r="BC236" i="27"/>
  <c r="BD236" i="27"/>
  <c r="BA236" i="27"/>
  <c r="BB236" i="27"/>
  <c r="AX236" i="27"/>
  <c r="BI99" i="27"/>
  <c r="BH99" i="27"/>
  <c r="BF14" i="27"/>
  <c r="BG14" i="27"/>
  <c r="BE14" i="27"/>
  <c r="BS264" i="27"/>
  <c r="BC264" i="27"/>
  <c r="BD264" i="27"/>
  <c r="BA264" i="27"/>
  <c r="BB264" i="27"/>
  <c r="AX264" i="27"/>
  <c r="BR73" i="27"/>
  <c r="BT73" i="27"/>
  <c r="BO73" i="27"/>
  <c r="BQ73" i="27"/>
  <c r="BC244" i="27"/>
  <c r="BD244" i="27"/>
  <c r="BA244" i="27"/>
  <c r="BB244" i="27"/>
  <c r="AX244" i="27"/>
  <c r="BS244" i="27"/>
  <c r="BC116" i="27"/>
  <c r="BD116" i="27"/>
  <c r="BA116" i="27"/>
  <c r="BB116" i="27"/>
  <c r="AX116" i="27"/>
  <c r="BS116" i="27"/>
  <c r="BO195" i="27"/>
  <c r="BQ195" i="27"/>
  <c r="BR195" i="27"/>
  <c r="BT195" i="27"/>
  <c r="BC213" i="27"/>
  <c r="BD213" i="27"/>
  <c r="BA213" i="27"/>
  <c r="BB213" i="27"/>
  <c r="AX213" i="27"/>
  <c r="BS213" i="27"/>
  <c r="BO98" i="27"/>
  <c r="BQ98" i="27"/>
  <c r="BR98" i="27"/>
  <c r="BT98" i="27"/>
  <c r="BS33" i="27"/>
  <c r="BC33" i="27"/>
  <c r="BD33" i="27"/>
  <c r="BA33" i="27"/>
  <c r="BB33" i="27"/>
  <c r="AX33" i="27"/>
  <c r="BO217" i="27"/>
  <c r="BQ217" i="27"/>
  <c r="BR217" i="27"/>
  <c r="BT217" i="27"/>
  <c r="BO286" i="27"/>
  <c r="BQ286" i="27"/>
  <c r="BR286" i="27"/>
  <c r="BT286" i="27"/>
  <c r="BF326" i="27"/>
  <c r="BG326" i="27"/>
  <c r="BE326" i="27"/>
  <c r="BO250" i="27"/>
  <c r="BQ250" i="27"/>
  <c r="BR250" i="27"/>
  <c r="BT250" i="27"/>
  <c r="AV317" i="27"/>
  <c r="BE25" i="27"/>
  <c r="BF25" i="27"/>
  <c r="BG25" i="27"/>
  <c r="BO275" i="27"/>
  <c r="BQ275" i="27"/>
  <c r="BR275" i="27"/>
  <c r="BT275" i="27"/>
  <c r="AV316" i="27"/>
  <c r="BE16" i="27"/>
  <c r="BF16" i="27"/>
  <c r="BG16" i="27"/>
  <c r="BF267" i="27"/>
  <c r="BG267" i="27"/>
  <c r="BE267" i="27"/>
  <c r="AV146" i="27"/>
  <c r="BS173" i="27"/>
  <c r="BC173" i="27"/>
  <c r="BD173" i="27"/>
  <c r="BA173" i="27"/>
  <c r="BB173" i="27"/>
  <c r="AX173" i="27"/>
  <c r="BF270" i="27"/>
  <c r="BG270" i="27"/>
  <c r="BE270" i="27"/>
  <c r="AV238" i="27"/>
  <c r="AV283" i="27"/>
  <c r="BF22" i="27"/>
  <c r="BG22" i="27"/>
  <c r="BE22" i="27"/>
  <c r="AV237" i="27"/>
  <c r="BF151" i="27"/>
  <c r="BG151" i="27"/>
  <c r="BE151" i="27"/>
  <c r="BE231" i="27"/>
  <c r="BF231" i="27"/>
  <c r="BG231" i="27"/>
  <c r="BF296" i="27"/>
  <c r="BG296" i="27"/>
  <c r="BE296" i="27"/>
  <c r="BR124" i="27"/>
  <c r="BT124" i="27"/>
  <c r="BO124" i="27"/>
  <c r="BQ124" i="27"/>
  <c r="BF228" i="27"/>
  <c r="BG228" i="27"/>
  <c r="BE228" i="27"/>
  <c r="AV301" i="27"/>
  <c r="AY237" i="27"/>
  <c r="AZ237" i="27"/>
  <c r="AV85" i="27"/>
  <c r="AV16" i="27"/>
  <c r="BS11" i="27"/>
  <c r="BC11" i="27"/>
  <c r="BD11" i="27"/>
  <c r="BA11" i="27"/>
  <c r="BB11" i="27"/>
  <c r="AX11" i="27"/>
  <c r="AV129" i="27"/>
  <c r="AV183" i="27"/>
  <c r="BR159" i="27"/>
  <c r="BT159" i="27"/>
  <c r="BO159" i="27"/>
  <c r="BQ159" i="27"/>
  <c r="AV32" i="27"/>
  <c r="AV22" i="27"/>
  <c r="AZ102" i="27"/>
  <c r="AY102" i="27"/>
  <c r="AV70" i="27"/>
  <c r="BF71" i="27"/>
  <c r="BG71" i="27"/>
  <c r="BE71" i="27"/>
  <c r="BF216" i="27"/>
  <c r="BG216" i="27"/>
  <c r="BE216" i="27"/>
  <c r="BF100" i="27"/>
  <c r="BG100" i="27"/>
  <c r="BE100" i="27"/>
  <c r="AV266" i="27"/>
  <c r="AV87" i="27"/>
  <c r="BS298" i="27"/>
  <c r="BC298" i="27"/>
  <c r="BD298" i="27"/>
  <c r="BA298" i="27"/>
  <c r="BB298" i="27"/>
  <c r="AX298" i="27"/>
  <c r="BS291" i="27"/>
  <c r="BC291" i="27"/>
  <c r="BD291" i="27"/>
  <c r="BA291" i="27"/>
  <c r="BB291" i="27"/>
  <c r="AX291" i="27"/>
  <c r="AY303" i="27"/>
  <c r="AZ303" i="27"/>
  <c r="BO84" i="27"/>
  <c r="BQ84" i="27"/>
  <c r="BR84" i="27"/>
  <c r="BT84" i="27"/>
  <c r="AZ59" i="27"/>
  <c r="AY59" i="27"/>
  <c r="BE221" i="27"/>
  <c r="BF221" i="27"/>
  <c r="BG221" i="27"/>
  <c r="AV46" i="27"/>
  <c r="AV138" i="27"/>
  <c r="AV327" i="27"/>
  <c r="BR218" i="27"/>
  <c r="BT218" i="27"/>
  <c r="BO218" i="27"/>
  <c r="BQ218" i="27"/>
  <c r="BF70" i="27"/>
  <c r="BG70" i="27"/>
  <c r="BE70" i="27"/>
  <c r="AV120" i="27"/>
  <c r="BC284" i="27"/>
  <c r="BD284" i="27"/>
  <c r="BA284" i="27"/>
  <c r="BB284" i="27"/>
  <c r="BS284" i="27"/>
  <c r="AX284" i="27"/>
  <c r="BF212" i="27"/>
  <c r="BG212" i="27"/>
  <c r="BE212" i="27"/>
  <c r="BE23" i="27"/>
  <c r="BF23" i="27"/>
  <c r="BG23" i="27"/>
  <c r="BE118" i="27"/>
  <c r="BF118" i="27"/>
  <c r="BG118" i="27"/>
  <c r="BF251" i="27"/>
  <c r="BG251" i="27"/>
  <c r="BE251" i="27"/>
  <c r="BR169" i="27"/>
  <c r="BT169" i="27"/>
  <c r="BO169" i="27"/>
  <c r="BQ169" i="27"/>
  <c r="BS308" i="27"/>
  <c r="BC308" i="27"/>
  <c r="BD308" i="27"/>
  <c r="BA308" i="27"/>
  <c r="BB308" i="27"/>
  <c r="AX308" i="27"/>
  <c r="BE211" i="27"/>
  <c r="BF211" i="27"/>
  <c r="BG211" i="27"/>
  <c r="AV50" i="27"/>
  <c r="AV147" i="27"/>
  <c r="BO139" i="27"/>
  <c r="BQ139" i="27"/>
  <c r="BR139" i="27"/>
  <c r="BT139" i="27"/>
  <c r="AV141" i="27"/>
  <c r="BF113" i="27"/>
  <c r="BG113" i="27"/>
  <c r="BE113" i="27"/>
  <c r="BS64" i="27"/>
  <c r="BC64" i="27"/>
  <c r="BD64" i="27"/>
  <c r="BA64" i="27"/>
  <c r="BB64" i="27"/>
  <c r="AX64" i="27"/>
  <c r="AV224" i="27"/>
  <c r="BE62" i="27"/>
  <c r="BF62" i="27"/>
  <c r="BG62" i="27"/>
  <c r="BO61" i="27"/>
  <c r="BQ61" i="27"/>
  <c r="BR61" i="27"/>
  <c r="BT61" i="27"/>
  <c r="AV62" i="27"/>
  <c r="BO203" i="27"/>
  <c r="BQ203" i="27"/>
  <c r="BR203" i="27"/>
  <c r="BT203" i="27"/>
  <c r="AV163" i="27"/>
  <c r="BF219" i="27"/>
  <c r="BG219" i="27"/>
  <c r="BE219" i="27"/>
  <c r="AV39" i="27"/>
  <c r="AV52" i="27"/>
  <c r="BO278" i="27"/>
  <c r="BQ278" i="27"/>
  <c r="BR278" i="27"/>
  <c r="BT278" i="27"/>
  <c r="AV135" i="27"/>
  <c r="BO295" i="27"/>
  <c r="BQ295" i="27"/>
  <c r="BR295" i="27"/>
  <c r="BT295" i="27"/>
  <c r="BF179" i="27"/>
  <c r="BG179" i="27"/>
  <c r="BE179" i="27"/>
  <c r="AV42" i="27"/>
  <c r="BF323" i="27"/>
  <c r="BG323" i="27"/>
  <c r="BE323" i="27"/>
  <c r="BE81" i="27"/>
  <c r="BF81" i="27"/>
  <c r="BG81" i="27"/>
  <c r="AV43" i="27"/>
  <c r="AV176" i="27"/>
  <c r="AV3" i="27"/>
  <c r="BF161" i="27"/>
  <c r="BG161" i="27"/>
  <c r="BE161" i="27"/>
  <c r="BC8" i="27"/>
  <c r="BD8" i="27"/>
  <c r="BA8" i="27"/>
  <c r="BB8" i="27"/>
  <c r="AX8" i="27"/>
  <c r="BS8" i="27"/>
  <c r="BS225" i="27"/>
  <c r="BC225" i="27"/>
  <c r="BD225" i="27"/>
  <c r="BA225" i="27"/>
  <c r="BB225" i="27"/>
  <c r="AX225" i="27"/>
  <c r="AV21" i="27"/>
  <c r="AV215" i="27"/>
  <c r="AV239" i="27"/>
  <c r="BF106" i="27"/>
  <c r="BG106" i="27"/>
  <c r="BE106" i="27"/>
  <c r="BR173" i="27"/>
  <c r="BT173" i="27"/>
  <c r="BO173" i="27"/>
  <c r="BQ173" i="27"/>
  <c r="BE300" i="27"/>
  <c r="BF300" i="27"/>
  <c r="BG300" i="27"/>
  <c r="BR235" i="27"/>
  <c r="BT235" i="27"/>
  <c r="BO235" i="27"/>
  <c r="BQ235" i="27"/>
  <c r="AV166" i="27"/>
  <c r="BF290" i="27"/>
  <c r="BG290" i="27"/>
  <c r="BE290" i="27"/>
  <c r="BS171" i="27"/>
  <c r="BC171" i="27"/>
  <c r="BD171" i="27"/>
  <c r="BA171" i="27"/>
  <c r="BB171" i="27"/>
  <c r="AX171" i="27"/>
  <c r="BO86" i="27"/>
  <c r="BQ86" i="27"/>
  <c r="BR86" i="27"/>
  <c r="BT86" i="27"/>
  <c r="BE102" i="27"/>
  <c r="BF102" i="27"/>
  <c r="BG102" i="27"/>
  <c r="BE248" i="27"/>
  <c r="BF248" i="27"/>
  <c r="BG248" i="27"/>
  <c r="BC27" i="27"/>
  <c r="BD27" i="27"/>
  <c r="BA27" i="27"/>
  <c r="BB27" i="27"/>
  <c r="AX27" i="27"/>
  <c r="BS27" i="27"/>
  <c r="AV189" i="27"/>
  <c r="BO92" i="27"/>
  <c r="BQ92" i="27"/>
  <c r="BR92" i="27"/>
  <c r="BT92" i="27"/>
  <c r="BE21" i="27"/>
  <c r="BF21" i="27"/>
  <c r="BG21" i="27"/>
  <c r="BF266" i="27"/>
  <c r="BG266" i="27"/>
  <c r="BE266" i="27"/>
  <c r="BF54" i="27"/>
  <c r="BG54" i="27"/>
  <c r="BE54" i="27"/>
  <c r="BR293" i="27"/>
  <c r="BT293" i="27"/>
  <c r="BO293" i="27"/>
  <c r="BQ293" i="27"/>
  <c r="BF315" i="27"/>
  <c r="BG315" i="27"/>
  <c r="BE315" i="27"/>
  <c r="BE247" i="27"/>
  <c r="BF247" i="27"/>
  <c r="BG247" i="27"/>
  <c r="BF198" i="27"/>
  <c r="BG198" i="27"/>
  <c r="BE198" i="27"/>
  <c r="BE327" i="27"/>
  <c r="BF327" i="27"/>
  <c r="BG327" i="27"/>
  <c r="BF262" i="27"/>
  <c r="BG262" i="27"/>
  <c r="BE262" i="27"/>
  <c r="AV113" i="27"/>
  <c r="AV212" i="27"/>
  <c r="BC112" i="27"/>
  <c r="BD112" i="27"/>
  <c r="BA112" i="27"/>
  <c r="BB112" i="27"/>
  <c r="AX112" i="27"/>
  <c r="BS112" i="27"/>
  <c r="BO241" i="27"/>
  <c r="BQ241" i="27"/>
  <c r="BR241" i="27"/>
  <c r="BT241" i="27"/>
  <c r="BR264" i="27"/>
  <c r="BT264" i="27"/>
  <c r="BO264" i="27"/>
  <c r="BQ264" i="27"/>
  <c r="BR294" i="27"/>
  <c r="BT294" i="27"/>
  <c r="BC73" i="27"/>
  <c r="BD73" i="27"/>
  <c r="BA73" i="27"/>
  <c r="BB73" i="27"/>
  <c r="AX73" i="27"/>
  <c r="BS73" i="27"/>
  <c r="BR196" i="27"/>
  <c r="BT196" i="27"/>
  <c r="BO196" i="27"/>
  <c r="BQ196" i="27"/>
  <c r="BO116" i="27"/>
  <c r="BQ116" i="27"/>
  <c r="BR116" i="27"/>
  <c r="BT116" i="27"/>
  <c r="BC195" i="27"/>
  <c r="BD195" i="27"/>
  <c r="BA195" i="27"/>
  <c r="BB195" i="27"/>
  <c r="AX195" i="27"/>
  <c r="BS195" i="27"/>
  <c r="BO213" i="27"/>
  <c r="BQ213" i="27"/>
  <c r="BR213" i="27"/>
  <c r="BT213" i="27"/>
  <c r="BR200" i="27"/>
  <c r="BT200" i="27"/>
  <c r="BO200" i="27"/>
  <c r="BQ200" i="27"/>
  <c r="BC201" i="27"/>
  <c r="BD201" i="27"/>
  <c r="BA201" i="27"/>
  <c r="BB201" i="27"/>
  <c r="AX201" i="27"/>
  <c r="BS201" i="27"/>
  <c r="BS149" i="27"/>
  <c r="BC149" i="27"/>
  <c r="BD149" i="27"/>
  <c r="BA149" i="27"/>
  <c r="BB149" i="27"/>
  <c r="AX149" i="27"/>
  <c r="BN255" i="12"/>
  <c r="BO255" i="12"/>
  <c r="BQ255" i="12"/>
  <c r="BN232" i="12"/>
  <c r="BP232" i="12"/>
  <c r="BA215" i="12"/>
  <c r="BB215" i="12"/>
  <c r="AX215" i="12"/>
  <c r="AZ215" i="12"/>
  <c r="BS223" i="12"/>
  <c r="BO215" i="12"/>
  <c r="BQ215" i="12"/>
  <c r="BC223" i="12"/>
  <c r="BD223" i="12"/>
  <c r="BA223" i="12"/>
  <c r="BB223" i="12"/>
  <c r="AX223" i="12"/>
  <c r="BS222" i="12"/>
  <c r="BP243" i="12"/>
  <c r="BN243" i="12"/>
  <c r="BC222" i="12"/>
  <c r="BD222" i="12"/>
  <c r="BA222" i="12"/>
  <c r="BB222" i="12"/>
  <c r="AX222" i="12"/>
  <c r="BN212" i="12"/>
  <c r="BP212" i="12"/>
  <c r="AZ242" i="12"/>
  <c r="AY242" i="12"/>
  <c r="AZ267" i="12"/>
  <c r="AY267" i="12"/>
  <c r="AY269" i="12"/>
  <c r="AZ269" i="12"/>
  <c r="AZ260" i="12"/>
  <c r="AY260" i="12"/>
  <c r="AZ257" i="12"/>
  <c r="AY257" i="12"/>
  <c r="AY234" i="12"/>
  <c r="AZ234" i="12"/>
  <c r="AZ241" i="12"/>
  <c r="AY241" i="12"/>
  <c r="AY226" i="12"/>
  <c r="AZ226" i="12"/>
  <c r="AZ217" i="12"/>
  <c r="AY217" i="12"/>
  <c r="AZ266" i="12"/>
  <c r="AY266" i="12"/>
  <c r="AZ246" i="12"/>
  <c r="AY246" i="12"/>
  <c r="AZ235" i="12"/>
  <c r="AY235" i="12"/>
  <c r="AZ256" i="12"/>
  <c r="AY256" i="12"/>
  <c r="AY236" i="12"/>
  <c r="AZ236" i="12"/>
  <c r="AZ227" i="12"/>
  <c r="AY227" i="12"/>
  <c r="AZ249" i="12"/>
  <c r="AY249" i="12"/>
  <c r="AY263" i="12"/>
  <c r="AZ263" i="12"/>
  <c r="AZ268" i="12"/>
  <c r="AY268" i="12"/>
  <c r="AY240" i="12"/>
  <c r="AZ240" i="12"/>
  <c r="AZ264" i="12"/>
  <c r="AY264" i="12"/>
  <c r="AZ237" i="12"/>
  <c r="AY237" i="12"/>
  <c r="AY239" i="12"/>
  <c r="AY259" i="12"/>
  <c r="AZ259" i="12"/>
  <c r="AY265" i="12"/>
  <c r="AZ265" i="12"/>
  <c r="BO218" i="12"/>
  <c r="BQ218" i="12"/>
  <c r="BR218" i="12"/>
  <c r="BU218" i="12"/>
  <c r="BR225" i="12"/>
  <c r="BU225" i="12"/>
  <c r="BO225" i="12"/>
  <c r="BQ225" i="12"/>
  <c r="BF217" i="12"/>
  <c r="BG217" i="12"/>
  <c r="BE217" i="12"/>
  <c r="BO229" i="12"/>
  <c r="BQ229" i="12"/>
  <c r="BR229" i="12"/>
  <c r="BU229" i="12"/>
  <c r="BF226" i="12"/>
  <c r="BG226" i="12"/>
  <c r="BF250" i="12"/>
  <c r="BG250" i="12"/>
  <c r="BE250" i="12"/>
  <c r="BF259" i="12"/>
  <c r="BG259" i="12"/>
  <c r="BE259" i="12"/>
  <c r="BF260" i="12"/>
  <c r="BG260" i="12"/>
  <c r="BE260" i="12"/>
  <c r="AV236" i="12"/>
  <c r="AV263" i="12"/>
  <c r="BF237" i="12"/>
  <c r="BG237" i="12"/>
  <c r="BE237" i="12"/>
  <c r="AV250" i="12"/>
  <c r="BC248" i="12"/>
  <c r="BD248" i="12"/>
  <c r="BA248" i="12"/>
  <c r="BB248" i="12"/>
  <c r="AX248" i="12"/>
  <c r="BS248" i="12"/>
  <c r="BT248" i="12"/>
  <c r="AV215" i="12"/>
  <c r="AV237" i="12"/>
  <c r="BF227" i="12"/>
  <c r="BG227" i="12"/>
  <c r="BE227" i="12"/>
  <c r="BC220" i="12"/>
  <c r="BD220" i="12"/>
  <c r="BA220" i="12"/>
  <c r="BB220" i="12"/>
  <c r="AX220" i="12"/>
  <c r="BS220" i="12"/>
  <c r="BT220" i="12"/>
  <c r="BS238" i="12"/>
  <c r="BT238" i="12"/>
  <c r="BC238" i="12"/>
  <c r="BD238" i="12"/>
  <c r="BA238" i="12"/>
  <c r="BB238" i="12"/>
  <c r="AX238" i="12"/>
  <c r="BF239" i="12"/>
  <c r="BG239" i="12"/>
  <c r="BE239" i="12"/>
  <c r="AV210" i="12"/>
  <c r="AZ213" i="12"/>
  <c r="AY213" i="12"/>
  <c r="BF265" i="12"/>
  <c r="BG265" i="12"/>
  <c r="BE265" i="12"/>
  <c r="BE242" i="12"/>
  <c r="BF242" i="12"/>
  <c r="BG242" i="12"/>
  <c r="AZ233" i="12"/>
  <c r="AY233" i="12"/>
  <c r="AV241" i="12"/>
  <c r="AV224" i="12"/>
  <c r="BE236" i="12"/>
  <c r="BF236" i="12"/>
  <c r="BG236" i="12"/>
  <c r="BN252" i="12"/>
  <c r="BP252" i="12"/>
  <c r="AV211" i="12"/>
  <c r="AV249" i="12"/>
  <c r="AV213" i="12"/>
  <c r="AV233" i="12"/>
  <c r="AV217" i="12"/>
  <c r="AY224" i="12"/>
  <c r="AZ224" i="12"/>
  <c r="BS253" i="12"/>
  <c r="BT253" i="12"/>
  <c r="BC253" i="12"/>
  <c r="BD253" i="12"/>
  <c r="BA253" i="12"/>
  <c r="BB253" i="12"/>
  <c r="AX253" i="12"/>
  <c r="BE240" i="12"/>
  <c r="BF240" i="12"/>
  <c r="BG240" i="12"/>
  <c r="BO228" i="12"/>
  <c r="BQ228" i="12"/>
  <c r="BR228" i="12"/>
  <c r="BU228" i="12"/>
  <c r="BF233" i="12"/>
  <c r="BG233" i="12"/>
  <c r="BE233" i="12"/>
  <c r="BF263" i="12"/>
  <c r="BG263" i="12"/>
  <c r="BE263" i="12"/>
  <c r="BE210" i="12"/>
  <c r="BF210" i="12"/>
  <c r="BG210" i="12"/>
  <c r="BR245" i="12"/>
  <c r="BU245" i="12"/>
  <c r="BO245" i="12"/>
  <c r="BQ245" i="12"/>
  <c r="BO253" i="12"/>
  <c r="BQ253" i="12"/>
  <c r="BR253" i="12"/>
  <c r="BU253" i="12"/>
  <c r="AZ211" i="12"/>
  <c r="AY211" i="12"/>
  <c r="BC247" i="12"/>
  <c r="BD247" i="12"/>
  <c r="BA247" i="12"/>
  <c r="BB247" i="12"/>
  <c r="AX247" i="12"/>
  <c r="BS247" i="12"/>
  <c r="BT247" i="12"/>
  <c r="BC245" i="12"/>
  <c r="BD245" i="12"/>
  <c r="BA245" i="12"/>
  <c r="BB245" i="12"/>
  <c r="AX245" i="12"/>
  <c r="BS245" i="12"/>
  <c r="BT245" i="12"/>
  <c r="BS262" i="12"/>
  <c r="BT262" i="12"/>
  <c r="BC262" i="12"/>
  <c r="BD262" i="12"/>
  <c r="BA262" i="12"/>
  <c r="BB262" i="12"/>
  <c r="AX262" i="12"/>
  <c r="BS225" i="12"/>
  <c r="BT225" i="12"/>
  <c r="BC225" i="12"/>
  <c r="BD225" i="12"/>
  <c r="BA225" i="12"/>
  <c r="BB225" i="12"/>
  <c r="AX225" i="12"/>
  <c r="AV240" i="12"/>
  <c r="BF241" i="12"/>
  <c r="BG241" i="12"/>
  <c r="BE241" i="12"/>
  <c r="BF267" i="12"/>
  <c r="BG267" i="12"/>
  <c r="BE267" i="12"/>
  <c r="BO244" i="12"/>
  <c r="BQ244" i="12"/>
  <c r="BR244" i="12"/>
  <c r="BU244" i="12"/>
  <c r="BO214" i="12"/>
  <c r="BQ214" i="12"/>
  <c r="BR214" i="12"/>
  <c r="BU214" i="12"/>
  <c r="BR262" i="12"/>
  <c r="BU262" i="12"/>
  <c r="BO262" i="12"/>
  <c r="BQ262" i="12"/>
  <c r="BE268" i="12"/>
  <c r="BF268" i="12"/>
  <c r="BG268" i="12"/>
  <c r="BS244" i="12"/>
  <c r="BT244" i="12"/>
  <c r="BC244" i="12"/>
  <c r="BD244" i="12"/>
  <c r="BA244" i="12"/>
  <c r="BB244" i="12"/>
  <c r="AX244" i="12"/>
  <c r="BC214" i="12"/>
  <c r="BD214" i="12"/>
  <c r="BA214" i="12"/>
  <c r="BB214" i="12"/>
  <c r="AX214" i="12"/>
  <c r="BS214" i="12"/>
  <c r="BT214" i="12"/>
  <c r="BR216" i="12"/>
  <c r="BU216" i="12"/>
  <c r="BO216" i="12"/>
  <c r="BQ216" i="12"/>
  <c r="BF215" i="12"/>
  <c r="BG215" i="12"/>
  <c r="BE215" i="12"/>
  <c r="BS229" i="12"/>
  <c r="BT229" i="12"/>
  <c r="BC229" i="12"/>
  <c r="BD229" i="12"/>
  <c r="BA229" i="12"/>
  <c r="BB229" i="12"/>
  <c r="AX229" i="12"/>
  <c r="BF246" i="12"/>
  <c r="BG246" i="12"/>
  <c r="BE246" i="12"/>
  <c r="BF249" i="12"/>
  <c r="BG249" i="12"/>
  <c r="BE249" i="12"/>
  <c r="BS258" i="12"/>
  <c r="BT258" i="12"/>
  <c r="BC258" i="12"/>
  <c r="BD258" i="12"/>
  <c r="BA258" i="12"/>
  <c r="BB258" i="12"/>
  <c r="AX258" i="12"/>
  <c r="BR251" i="12"/>
  <c r="BU251" i="12"/>
  <c r="BO251" i="12"/>
  <c r="BQ251" i="12"/>
  <c r="AV265" i="12"/>
  <c r="AV226" i="12"/>
  <c r="BO258" i="12"/>
  <c r="BQ258" i="12"/>
  <c r="BR258" i="12"/>
  <c r="BU258" i="12"/>
  <c r="AV246" i="12"/>
  <c r="BO219" i="12"/>
  <c r="BQ219" i="12"/>
  <c r="BR219" i="12"/>
  <c r="BU219" i="12"/>
  <c r="AV257" i="12"/>
  <c r="BC254" i="12"/>
  <c r="BD254" i="12"/>
  <c r="BA254" i="12"/>
  <c r="BB254" i="12"/>
  <c r="AX254" i="12"/>
  <c r="BS254" i="12"/>
  <c r="BT254" i="12"/>
  <c r="BF269" i="12"/>
  <c r="BG269" i="12"/>
  <c r="BE269" i="12"/>
  <c r="BE223" i="12"/>
  <c r="BF223" i="12"/>
  <c r="BG223" i="12"/>
  <c r="AV267" i="12"/>
  <c r="BE256" i="12"/>
  <c r="BF256" i="12"/>
  <c r="BG256" i="12"/>
  <c r="BE234" i="12"/>
  <c r="BF234" i="12"/>
  <c r="BG234" i="12"/>
  <c r="BS231" i="12"/>
  <c r="BT231" i="12"/>
  <c r="BC231" i="12"/>
  <c r="BD231" i="12"/>
  <c r="BA231" i="12"/>
  <c r="BB231" i="12"/>
  <c r="AX231" i="12"/>
  <c r="BO230" i="12"/>
  <c r="BQ230" i="12"/>
  <c r="BR230" i="12"/>
  <c r="BU230" i="12"/>
  <c r="BS216" i="12"/>
  <c r="BT216" i="12"/>
  <c r="BC216" i="12"/>
  <c r="BD216" i="12"/>
  <c r="BA216" i="12"/>
  <c r="BB216" i="12"/>
  <c r="AX216" i="12"/>
  <c r="AV235" i="12"/>
  <c r="AY250" i="12"/>
  <c r="AZ250" i="12"/>
  <c r="AV259" i="12"/>
  <c r="BC218" i="12"/>
  <c r="BD218" i="12"/>
  <c r="BA218" i="12"/>
  <c r="BB218" i="12"/>
  <c r="AX218" i="12"/>
  <c r="BS218" i="12"/>
  <c r="BT218" i="12"/>
  <c r="BE266" i="12"/>
  <c r="BF266" i="12"/>
  <c r="BG266" i="12"/>
  <c r="AV268" i="12"/>
  <c r="AV264" i="12"/>
  <c r="AV256" i="12"/>
  <c r="AV260" i="12"/>
  <c r="BF235" i="12"/>
  <c r="BG235" i="12"/>
  <c r="BE235" i="12"/>
  <c r="BC219" i="12"/>
  <c r="BD219" i="12"/>
  <c r="BA219" i="12"/>
  <c r="BB219" i="12"/>
  <c r="AX219" i="12"/>
  <c r="BS219" i="12"/>
  <c r="BT219" i="12"/>
  <c r="AV227" i="12"/>
  <c r="BO254" i="12"/>
  <c r="BQ254" i="12"/>
  <c r="BR254" i="12"/>
  <c r="BU254" i="12"/>
  <c r="BO231" i="12"/>
  <c r="BQ231" i="12"/>
  <c r="BR231" i="12"/>
  <c r="BU231" i="12"/>
  <c r="BC230" i="12"/>
  <c r="BD230" i="12"/>
  <c r="BA230" i="12"/>
  <c r="BB230" i="12"/>
  <c r="AX230" i="12"/>
  <c r="BS230" i="12"/>
  <c r="BT230" i="12"/>
  <c r="BC255" i="12"/>
  <c r="BD255" i="12"/>
  <c r="BA255" i="12"/>
  <c r="BB255" i="12"/>
  <c r="AX255" i="12"/>
  <c r="BS255" i="12"/>
  <c r="BT255" i="12"/>
  <c r="BE222" i="12"/>
  <c r="BF222" i="12"/>
  <c r="BG222" i="12"/>
  <c r="BE224" i="12"/>
  <c r="BF224" i="12"/>
  <c r="BG224" i="12"/>
  <c r="BO247" i="12"/>
  <c r="BQ247" i="12"/>
  <c r="BR247" i="12"/>
  <c r="BU247" i="12"/>
  <c r="BC228" i="12"/>
  <c r="BD228" i="12"/>
  <c r="BA228" i="12"/>
  <c r="BB228" i="12"/>
  <c r="AX228" i="12"/>
  <c r="BS228" i="12"/>
  <c r="BT228" i="12"/>
  <c r="AV234" i="12"/>
  <c r="BC251" i="12"/>
  <c r="BD251" i="12"/>
  <c r="BA251" i="12"/>
  <c r="BB251" i="12"/>
  <c r="AX251" i="12"/>
  <c r="BS251" i="12"/>
  <c r="BT251" i="12"/>
  <c r="AV242" i="12"/>
  <c r="AV239" i="12"/>
  <c r="AV269" i="12"/>
  <c r="BF264" i="12"/>
  <c r="BG264" i="12"/>
  <c r="BE264" i="12"/>
  <c r="BE213" i="12"/>
  <c r="BF213" i="12"/>
  <c r="BG213" i="12"/>
  <c r="BO248" i="12"/>
  <c r="BQ248" i="12"/>
  <c r="BR248" i="12"/>
  <c r="BU248" i="12"/>
  <c r="BF257" i="12"/>
  <c r="BG257" i="12"/>
  <c r="BE257" i="12"/>
  <c r="BO220" i="12"/>
  <c r="BQ220" i="12"/>
  <c r="BR220" i="12"/>
  <c r="BU220" i="12"/>
  <c r="BF211" i="12"/>
  <c r="BG211" i="12"/>
  <c r="BE211" i="12"/>
  <c r="BR238" i="12"/>
  <c r="BU238" i="12"/>
  <c r="BO238" i="12"/>
  <c r="BQ238" i="12"/>
  <c r="BR186" i="27"/>
  <c r="BT186" i="27"/>
  <c r="BO186" i="27"/>
  <c r="BQ186" i="27"/>
  <c r="BS186" i="27"/>
  <c r="AV186" i="27"/>
  <c r="BC186" i="27"/>
  <c r="BD186" i="27"/>
  <c r="BA186" i="27"/>
  <c r="BB186" i="27"/>
  <c r="AX186" i="27"/>
  <c r="BF55" i="27"/>
  <c r="BG55" i="27"/>
  <c r="BR255" i="12"/>
  <c r="BU255" i="12"/>
  <c r="BS305" i="27"/>
  <c r="AV305" i="27"/>
  <c r="BC261" i="27"/>
  <c r="BD261" i="27"/>
  <c r="BA261" i="27"/>
  <c r="BB261" i="27"/>
  <c r="AX261" i="27"/>
  <c r="BO174" i="27"/>
  <c r="BQ174" i="27"/>
  <c r="BR174" i="27"/>
  <c r="BT174" i="27"/>
  <c r="BS294" i="27"/>
  <c r="AV294" i="27"/>
  <c r="AY246" i="27"/>
  <c r="BO188" i="27"/>
  <c r="BQ188" i="27"/>
  <c r="BS261" i="27"/>
  <c r="AV261" i="27"/>
  <c r="AV266" i="12"/>
  <c r="BC174" i="27"/>
  <c r="BD174" i="27"/>
  <c r="BA174" i="27"/>
  <c r="BB174" i="27"/>
  <c r="AX174" i="27"/>
  <c r="BS174" i="27"/>
  <c r="AV174" i="27"/>
  <c r="BJ99" i="27"/>
  <c r="BK99" i="27"/>
  <c r="BW99" i="27"/>
  <c r="BS217" i="27"/>
  <c r="AV217" i="27"/>
  <c r="AV222" i="12"/>
  <c r="BT222" i="12"/>
  <c r="AV223" i="12"/>
  <c r="BT223" i="12"/>
  <c r="AZ128" i="12"/>
  <c r="AY128" i="12"/>
  <c r="AV128" i="12"/>
  <c r="BT128" i="12"/>
  <c r="AY215" i="12"/>
  <c r="BF128" i="12"/>
  <c r="BG128" i="12"/>
  <c r="BE128" i="12"/>
  <c r="AY210" i="12"/>
  <c r="AZ210" i="12"/>
  <c r="BR320" i="27"/>
  <c r="BT320" i="27"/>
  <c r="BO320" i="27"/>
  <c r="BQ320" i="27"/>
  <c r="BS320" i="27"/>
  <c r="AV320" i="27"/>
  <c r="BC320" i="27"/>
  <c r="BD320" i="27"/>
  <c r="BA320" i="27"/>
  <c r="BB320" i="27"/>
  <c r="AX320" i="27"/>
  <c r="BO6" i="27"/>
  <c r="BQ6" i="27"/>
  <c r="BR6" i="27"/>
  <c r="BT6" i="27"/>
  <c r="BO134" i="27"/>
  <c r="BQ134" i="27"/>
  <c r="BR134" i="27"/>
  <c r="BT134" i="27"/>
  <c r="BC26" i="27"/>
  <c r="BD26" i="27"/>
  <c r="BA26" i="27"/>
  <c r="BB26" i="27"/>
  <c r="AX26" i="27"/>
  <c r="BS26" i="27"/>
  <c r="AV26" i="27"/>
  <c r="BS6" i="27"/>
  <c r="AV6" i="27"/>
  <c r="BC6" i="27"/>
  <c r="BD6" i="27"/>
  <c r="BA6" i="27"/>
  <c r="BB6" i="27"/>
  <c r="AX6" i="27"/>
  <c r="BR299" i="27"/>
  <c r="BT299" i="27"/>
  <c r="BO299" i="27"/>
  <c r="BQ299" i="27"/>
  <c r="BC134" i="27"/>
  <c r="BD134" i="27"/>
  <c r="BA134" i="27"/>
  <c r="BB134" i="27"/>
  <c r="AX134" i="27"/>
  <c r="BS134" i="27"/>
  <c r="AV134" i="27"/>
  <c r="BO26" i="27"/>
  <c r="BQ26" i="27"/>
  <c r="BR26" i="27"/>
  <c r="BT26" i="27"/>
  <c r="BO280" i="27"/>
  <c r="BQ280" i="27"/>
  <c r="BR280" i="27"/>
  <c r="BT280" i="27"/>
  <c r="BR221" i="12"/>
  <c r="BU221" i="12"/>
  <c r="BO221" i="12"/>
  <c r="BQ221" i="12"/>
  <c r="BC299" i="27"/>
  <c r="BD299" i="27"/>
  <c r="BA299" i="27"/>
  <c r="BB299" i="27"/>
  <c r="AX299" i="27"/>
  <c r="BS299" i="27"/>
  <c r="AV299" i="27"/>
  <c r="BO30" i="27"/>
  <c r="BQ30" i="27"/>
  <c r="BR30" i="27"/>
  <c r="BT30" i="27"/>
  <c r="BC280" i="27"/>
  <c r="BD280" i="27"/>
  <c r="BA280" i="27"/>
  <c r="BB280" i="27"/>
  <c r="AX280" i="27"/>
  <c r="BS280" i="27"/>
  <c r="AV280" i="27"/>
  <c r="BC221" i="12"/>
  <c r="BD221" i="12"/>
  <c r="BA221" i="12"/>
  <c r="BB221" i="12"/>
  <c r="AX221" i="12"/>
  <c r="BS221" i="12"/>
  <c r="BE104" i="27"/>
  <c r="BF104" i="27"/>
  <c r="BG104" i="27"/>
  <c r="BS30" i="27"/>
  <c r="AV30" i="27"/>
  <c r="BC30" i="27"/>
  <c r="BD30" i="27"/>
  <c r="BA30" i="27"/>
  <c r="BB30" i="27"/>
  <c r="AX30" i="27"/>
  <c r="BO142" i="27"/>
  <c r="BQ142" i="27"/>
  <c r="BR142" i="27"/>
  <c r="BT142" i="27"/>
  <c r="BR312" i="27"/>
  <c r="BT312" i="27"/>
  <c r="BO312" i="27"/>
  <c r="BQ312" i="27"/>
  <c r="BO310" i="27"/>
  <c r="BQ310" i="27"/>
  <c r="BR310" i="27"/>
  <c r="BT310" i="27"/>
  <c r="BC142" i="27"/>
  <c r="BD142" i="27"/>
  <c r="BA142" i="27"/>
  <c r="BB142" i="27"/>
  <c r="AX142" i="27"/>
  <c r="BS142" i="27"/>
  <c r="AV142" i="27"/>
  <c r="BS312" i="27"/>
  <c r="AV312" i="27"/>
  <c r="BC312" i="27"/>
  <c r="BD312" i="27"/>
  <c r="BA312" i="27"/>
  <c r="BB312" i="27"/>
  <c r="AX312" i="27"/>
  <c r="BS310" i="27"/>
  <c r="AV310" i="27"/>
  <c r="BC310" i="27"/>
  <c r="BD310" i="27"/>
  <c r="BA310" i="27"/>
  <c r="BB310" i="27"/>
  <c r="AX310" i="27"/>
  <c r="BS261" i="12"/>
  <c r="BC261" i="12"/>
  <c r="BD261" i="12"/>
  <c r="BA261" i="12"/>
  <c r="BB261" i="12"/>
  <c r="AX261" i="12"/>
  <c r="AY104" i="27"/>
  <c r="AZ104" i="27"/>
  <c r="BO261" i="12"/>
  <c r="BQ261" i="12"/>
  <c r="BR261" i="12"/>
  <c r="BU261" i="12"/>
  <c r="AY236" i="27"/>
  <c r="AZ236" i="27"/>
  <c r="AZ98" i="27"/>
  <c r="AY98" i="27"/>
  <c r="AZ214" i="27"/>
  <c r="AY214" i="27"/>
  <c r="AZ136" i="27"/>
  <c r="AY136" i="27"/>
  <c r="AY169" i="27"/>
  <c r="AZ169" i="27"/>
  <c r="AZ205" i="27"/>
  <c r="AY205" i="27"/>
  <c r="AY69" i="27"/>
  <c r="AZ69" i="27"/>
  <c r="AY109" i="27"/>
  <c r="AZ109" i="27"/>
  <c r="AY173" i="27"/>
  <c r="AZ173" i="27"/>
  <c r="AY264" i="27"/>
  <c r="AZ264" i="27"/>
  <c r="AZ143" i="27"/>
  <c r="AY143" i="27"/>
  <c r="AY206" i="27"/>
  <c r="AZ206" i="27"/>
  <c r="AY305" i="27"/>
  <c r="AZ305" i="27"/>
  <c r="AY159" i="27"/>
  <c r="AZ159" i="27"/>
  <c r="AY184" i="27"/>
  <c r="AZ184" i="27"/>
  <c r="AZ148" i="27"/>
  <c r="AY148" i="27"/>
  <c r="AY175" i="27"/>
  <c r="AZ175" i="27"/>
  <c r="AZ33" i="27"/>
  <c r="AY33" i="27"/>
  <c r="AZ116" i="27"/>
  <c r="AY116" i="27"/>
  <c r="AZ124" i="27"/>
  <c r="AY124" i="27"/>
  <c r="AZ19" i="27"/>
  <c r="AY19" i="27"/>
  <c r="AZ84" i="27"/>
  <c r="AY84" i="27"/>
  <c r="AZ318" i="27"/>
  <c r="AY318" i="27"/>
  <c r="AY150" i="27"/>
  <c r="AZ150" i="27"/>
  <c r="AZ201" i="27"/>
  <c r="AY201" i="27"/>
  <c r="AZ27" i="27"/>
  <c r="AY27" i="27"/>
  <c r="AY8" i="27"/>
  <c r="AZ8" i="27"/>
  <c r="AY291" i="27"/>
  <c r="AZ291" i="27"/>
  <c r="AZ244" i="27"/>
  <c r="AY244" i="27"/>
  <c r="AY103" i="27"/>
  <c r="AZ103" i="27"/>
  <c r="AY73" i="27"/>
  <c r="AZ73" i="27"/>
  <c r="AY298" i="27"/>
  <c r="AZ298" i="27"/>
  <c r="AY11" i="27"/>
  <c r="AZ11" i="27"/>
  <c r="AZ132" i="27"/>
  <c r="AY132" i="27"/>
  <c r="AY204" i="27"/>
  <c r="AZ204" i="27"/>
  <c r="AZ321" i="27"/>
  <c r="AY321" i="27"/>
  <c r="AY197" i="27"/>
  <c r="AZ197" i="27"/>
  <c r="AZ36" i="27"/>
  <c r="AY36" i="27"/>
  <c r="AY83" i="27"/>
  <c r="AZ83" i="27"/>
  <c r="AZ275" i="27"/>
  <c r="AY275" i="27"/>
  <c r="AZ308" i="27"/>
  <c r="AY308" i="27"/>
  <c r="AY289" i="27"/>
  <c r="AZ289" i="27"/>
  <c r="AY111" i="27"/>
  <c r="AZ111" i="27"/>
  <c r="AY302" i="27"/>
  <c r="AZ302" i="27"/>
  <c r="AZ57" i="27"/>
  <c r="AY57" i="27"/>
  <c r="AZ88" i="27"/>
  <c r="AY88" i="27"/>
  <c r="AY218" i="27"/>
  <c r="AZ218" i="27"/>
  <c r="AZ213" i="27"/>
  <c r="AY213" i="27"/>
  <c r="AZ294" i="27"/>
  <c r="AY294" i="27"/>
  <c r="AZ20" i="27"/>
  <c r="AY20" i="27"/>
  <c r="AZ9" i="27"/>
  <c r="AY9" i="27"/>
  <c r="AZ10" i="27"/>
  <c r="AY10" i="27"/>
  <c r="AY307" i="27"/>
  <c r="AZ307" i="27"/>
  <c r="AZ286" i="27"/>
  <c r="AY286" i="27"/>
  <c r="AY229" i="27"/>
  <c r="AZ229" i="27"/>
  <c r="AY235" i="27"/>
  <c r="AZ235" i="27"/>
  <c r="AY171" i="27"/>
  <c r="AZ171" i="27"/>
  <c r="AZ139" i="27"/>
  <c r="AY139" i="27"/>
  <c r="AZ160" i="27"/>
  <c r="AY160" i="27"/>
  <c r="AZ217" i="27"/>
  <c r="AY217" i="27"/>
  <c r="AY256" i="27"/>
  <c r="AZ256" i="27"/>
  <c r="AY110" i="27"/>
  <c r="AZ110" i="27"/>
  <c r="AZ309" i="27"/>
  <c r="AY309" i="27"/>
  <c r="AY241" i="27"/>
  <c r="AZ241" i="27"/>
  <c r="AZ203" i="27"/>
  <c r="AY203" i="27"/>
  <c r="AY122" i="27"/>
  <c r="AZ122" i="27"/>
  <c r="AY253" i="27"/>
  <c r="AZ253" i="27"/>
  <c r="AY95" i="27"/>
  <c r="AZ95" i="27"/>
  <c r="AZ207" i="27"/>
  <c r="AY207" i="27"/>
  <c r="AY250" i="27"/>
  <c r="AZ250" i="27"/>
  <c r="AY268" i="27"/>
  <c r="AZ268" i="27"/>
  <c r="AY82" i="27"/>
  <c r="AZ82" i="27"/>
  <c r="AZ319" i="27"/>
  <c r="AY319" i="27"/>
  <c r="AZ180" i="27"/>
  <c r="AY180" i="27"/>
  <c r="AY58" i="27"/>
  <c r="AZ58" i="27"/>
  <c r="AY277" i="27"/>
  <c r="AZ277" i="27"/>
  <c r="AZ200" i="27"/>
  <c r="AY200" i="27"/>
  <c r="AZ64" i="27"/>
  <c r="AY64" i="27"/>
  <c r="AY157" i="27"/>
  <c r="AZ157" i="27"/>
  <c r="AZ123" i="27"/>
  <c r="AY123" i="27"/>
  <c r="AZ191" i="27"/>
  <c r="AY191" i="27"/>
  <c r="AY61" i="27"/>
  <c r="AZ61" i="27"/>
  <c r="AZ34" i="27"/>
  <c r="AY34" i="27"/>
  <c r="AZ49" i="27"/>
  <c r="AY49" i="27"/>
  <c r="AY86" i="27"/>
  <c r="AZ86" i="27"/>
  <c r="AZ188" i="27"/>
  <c r="AY188" i="27"/>
  <c r="AY273" i="27"/>
  <c r="AZ273" i="27"/>
  <c r="AZ195" i="27"/>
  <c r="AY195" i="27"/>
  <c r="AY225" i="27"/>
  <c r="AZ225" i="27"/>
  <c r="AZ66" i="27"/>
  <c r="AY66" i="27"/>
  <c r="AZ149" i="27"/>
  <c r="AY149" i="27"/>
  <c r="AY40" i="27"/>
  <c r="AZ40" i="27"/>
  <c r="AZ199" i="27"/>
  <c r="AY199" i="27"/>
  <c r="AZ45" i="27"/>
  <c r="AY45" i="27"/>
  <c r="AY292" i="27"/>
  <c r="AZ292" i="27"/>
  <c r="AZ193" i="27"/>
  <c r="AY193" i="27"/>
  <c r="AZ130" i="27"/>
  <c r="AY130" i="27"/>
  <c r="AY196" i="27"/>
  <c r="AZ196" i="27"/>
  <c r="AY293" i="27"/>
  <c r="AZ293" i="27"/>
  <c r="BE294" i="27"/>
  <c r="BF294" i="27"/>
  <c r="BG294" i="27"/>
  <c r="BH219" i="27"/>
  <c r="BI219" i="27"/>
  <c r="BE27" i="27"/>
  <c r="BF27" i="27"/>
  <c r="BG27" i="27"/>
  <c r="BH120" i="27"/>
  <c r="BI120" i="27"/>
  <c r="BF305" i="27"/>
  <c r="BG305" i="27"/>
  <c r="BE305" i="27"/>
  <c r="BF159" i="27"/>
  <c r="BG159" i="27"/>
  <c r="BE159" i="27"/>
  <c r="AV236" i="27"/>
  <c r="BF116" i="27"/>
  <c r="BG116" i="27"/>
  <c r="BE116" i="27"/>
  <c r="BE278" i="27"/>
  <c r="BF278" i="27"/>
  <c r="BG278" i="27"/>
  <c r="AV308" i="27"/>
  <c r="BF275" i="27"/>
  <c r="BG275" i="27"/>
  <c r="BE275" i="27"/>
  <c r="BF123" i="27"/>
  <c r="BG123" i="27"/>
  <c r="BE123" i="27"/>
  <c r="AV307" i="27"/>
  <c r="AY192" i="27"/>
  <c r="AZ192" i="27"/>
  <c r="BH287" i="27"/>
  <c r="BI287" i="27"/>
  <c r="BI21" i="27"/>
  <c r="BH21" i="27"/>
  <c r="AV213" i="27"/>
  <c r="BI17" i="27"/>
  <c r="BH17" i="27"/>
  <c r="AV214" i="27"/>
  <c r="AV76" i="27"/>
  <c r="BF268" i="27"/>
  <c r="BG268" i="27"/>
  <c r="BE268" i="27"/>
  <c r="BI246" i="27"/>
  <c r="BH246" i="27"/>
  <c r="BE132" i="27"/>
  <c r="BF132" i="27"/>
  <c r="BG132" i="27"/>
  <c r="BI75" i="27"/>
  <c r="BH75" i="27"/>
  <c r="BE150" i="27"/>
  <c r="BF150" i="27"/>
  <c r="BG150" i="27"/>
  <c r="BE217" i="27"/>
  <c r="BF217" i="27"/>
  <c r="BG217" i="27"/>
  <c r="BE8" i="27"/>
  <c r="BF8" i="27"/>
  <c r="BG8" i="27"/>
  <c r="BI115" i="27"/>
  <c r="BH115" i="27"/>
  <c r="AV34" i="27"/>
  <c r="BH210" i="27"/>
  <c r="BI210" i="27"/>
  <c r="BF5" i="27"/>
  <c r="BG5" i="27"/>
  <c r="BE5" i="27"/>
  <c r="BF291" i="27"/>
  <c r="BG291" i="27"/>
  <c r="BE291" i="27"/>
  <c r="BE253" i="27"/>
  <c r="BF253" i="27"/>
  <c r="BG253" i="27"/>
  <c r="BF273" i="27"/>
  <c r="BG273" i="27"/>
  <c r="BE273" i="27"/>
  <c r="BI138" i="27"/>
  <c r="BH138" i="27"/>
  <c r="BE10" i="27"/>
  <c r="BF10" i="27"/>
  <c r="BG10" i="27"/>
  <c r="BF196" i="27"/>
  <c r="BG196" i="27"/>
  <c r="BE196" i="27"/>
  <c r="BE173" i="27"/>
  <c r="BF173" i="27"/>
  <c r="BG173" i="27"/>
  <c r="BI221" i="27"/>
  <c r="BH221" i="27"/>
  <c r="BI25" i="27"/>
  <c r="BH25" i="27"/>
  <c r="AV86" i="27"/>
  <c r="BH238" i="27"/>
  <c r="BI238" i="27"/>
  <c r="AV124" i="27"/>
  <c r="BI38" i="27"/>
  <c r="BH38" i="27"/>
  <c r="BF206" i="27"/>
  <c r="BG206" i="27"/>
  <c r="BE206" i="27"/>
  <c r="BF292" i="27"/>
  <c r="BG292" i="27"/>
  <c r="BE292" i="27"/>
  <c r="BI324" i="27"/>
  <c r="BH324" i="27"/>
  <c r="BF213" i="27"/>
  <c r="BG213" i="27"/>
  <c r="BE213" i="27"/>
  <c r="AV73" i="27"/>
  <c r="BI327" i="27"/>
  <c r="BH327" i="27"/>
  <c r="BF293" i="27"/>
  <c r="BG293" i="27"/>
  <c r="BE293" i="27"/>
  <c r="AV225" i="27"/>
  <c r="AV284" i="27"/>
  <c r="AV195" i="27"/>
  <c r="BI54" i="27"/>
  <c r="BH54" i="27"/>
  <c r="AV27" i="27"/>
  <c r="BF295" i="27"/>
  <c r="BG295" i="27"/>
  <c r="BE295" i="27"/>
  <c r="BE61" i="27"/>
  <c r="BF61" i="27"/>
  <c r="BG61" i="27"/>
  <c r="BI113" i="27"/>
  <c r="BH113" i="27"/>
  <c r="BF84" i="27"/>
  <c r="BG84" i="27"/>
  <c r="BE84" i="27"/>
  <c r="BH216" i="27"/>
  <c r="BI216" i="27"/>
  <c r="AV11" i="27"/>
  <c r="BH228" i="27"/>
  <c r="BI228" i="27"/>
  <c r="BH270" i="27"/>
  <c r="BI270" i="27"/>
  <c r="BF250" i="27"/>
  <c r="BG250" i="27"/>
  <c r="BE250" i="27"/>
  <c r="BC245" i="27"/>
  <c r="BD245" i="27"/>
  <c r="BA245" i="27"/>
  <c r="BB245" i="27"/>
  <c r="AX245" i="27"/>
  <c r="BS245" i="27"/>
  <c r="BI137" i="27"/>
  <c r="BH137" i="27"/>
  <c r="BJ137" i="27"/>
  <c r="BK137" i="27"/>
  <c r="BI67" i="27"/>
  <c r="BH67" i="27"/>
  <c r="AV286" i="27"/>
  <c r="AV149" i="27"/>
  <c r="AV8" i="27"/>
  <c r="BH211" i="27"/>
  <c r="BI211" i="27"/>
  <c r="BI118" i="27"/>
  <c r="BH118" i="27"/>
  <c r="AV298" i="27"/>
  <c r="BI16" i="27"/>
  <c r="BH16" i="27"/>
  <c r="AV33" i="27"/>
  <c r="BO245" i="27"/>
  <c r="BQ245" i="27"/>
  <c r="BR245" i="27"/>
  <c r="BT245" i="27"/>
  <c r="BF171" i="27"/>
  <c r="BG171" i="27"/>
  <c r="BE171" i="27"/>
  <c r="BI237" i="27"/>
  <c r="BH237" i="27"/>
  <c r="BF64" i="27"/>
  <c r="BG64" i="27"/>
  <c r="BE64" i="27"/>
  <c r="BI91" i="27"/>
  <c r="BH91" i="27"/>
  <c r="BI15" i="27"/>
  <c r="BH15" i="27"/>
  <c r="AV69" i="27"/>
  <c r="BI272" i="27"/>
  <c r="BH272" i="27"/>
  <c r="BI325" i="27"/>
  <c r="BH325" i="27"/>
  <c r="BJ325" i="27"/>
  <c r="BK325" i="27"/>
  <c r="BH252" i="27"/>
  <c r="BI252" i="27"/>
  <c r="AV160" i="27"/>
  <c r="BI119" i="27"/>
  <c r="BH119" i="27"/>
  <c r="BI18" i="27"/>
  <c r="BH18" i="27"/>
  <c r="AV122" i="27"/>
  <c r="BS93" i="27"/>
  <c r="BA93" i="27"/>
  <c r="BB93" i="27"/>
  <c r="AX93" i="27"/>
  <c r="BC93" i="27"/>
  <c r="BD93" i="27"/>
  <c r="AV5" i="27"/>
  <c r="BC68" i="27"/>
  <c r="BD68" i="27"/>
  <c r="BA68" i="27"/>
  <c r="BB68" i="27"/>
  <c r="AX68" i="27"/>
  <c r="BS68" i="27"/>
  <c r="BI162" i="27"/>
  <c r="BH162" i="27"/>
  <c r="AV256" i="27"/>
  <c r="BF298" i="27"/>
  <c r="BG298" i="27"/>
  <c r="BE298" i="27"/>
  <c r="BF204" i="27"/>
  <c r="BG204" i="27"/>
  <c r="BE204" i="27"/>
  <c r="BF302" i="27"/>
  <c r="BG302" i="27"/>
  <c r="BE302" i="27"/>
  <c r="AV197" i="27"/>
  <c r="BE45" i="27"/>
  <c r="BF45" i="27"/>
  <c r="BG45" i="27"/>
  <c r="AV20" i="27"/>
  <c r="AV49" i="27"/>
  <c r="BI133" i="27"/>
  <c r="BH133" i="27"/>
  <c r="BJ133" i="27"/>
  <c r="BK133" i="27"/>
  <c r="BH249" i="27"/>
  <c r="BI249" i="27"/>
  <c r="BI117" i="27"/>
  <c r="BH117" i="27"/>
  <c r="AV184" i="27"/>
  <c r="BI114" i="27"/>
  <c r="BH114" i="27"/>
  <c r="BI3" i="27"/>
  <c r="BH3" i="27"/>
  <c r="BI223" i="27"/>
  <c r="BH223" i="27"/>
  <c r="BE36" i="27"/>
  <c r="BF36" i="27"/>
  <c r="BG36" i="27"/>
  <c r="BI72" i="27"/>
  <c r="BH72" i="27"/>
  <c r="BE191" i="27"/>
  <c r="BF191" i="27"/>
  <c r="BG191" i="27"/>
  <c r="BH258" i="27"/>
  <c r="BJ258" i="27"/>
  <c r="BK258" i="27"/>
  <c r="BI258" i="27"/>
  <c r="BF205" i="27"/>
  <c r="BG205" i="27"/>
  <c r="BE205" i="27"/>
  <c r="BH260" i="27"/>
  <c r="BI260" i="27"/>
  <c r="BF149" i="27"/>
  <c r="BG149" i="27"/>
  <c r="BE149" i="27"/>
  <c r="AV88" i="27"/>
  <c r="BE98" i="27"/>
  <c r="BF98" i="27"/>
  <c r="BG98" i="27"/>
  <c r="AZ5" i="27"/>
  <c r="AY5" i="27"/>
  <c r="BH281" i="27"/>
  <c r="BI281" i="27"/>
  <c r="BH313" i="27"/>
  <c r="BI313" i="27"/>
  <c r="AV321" i="27"/>
  <c r="BI282" i="27"/>
  <c r="BH282" i="27"/>
  <c r="BJ282" i="27"/>
  <c r="BK282" i="27"/>
  <c r="AY232" i="27"/>
  <c r="AZ232" i="27"/>
  <c r="AV180" i="27"/>
  <c r="AZ65" i="27"/>
  <c r="AY65" i="27"/>
  <c r="AY155" i="27"/>
  <c r="AZ155" i="27"/>
  <c r="BE157" i="27"/>
  <c r="BF157" i="27"/>
  <c r="BG157" i="27"/>
  <c r="BI168" i="27"/>
  <c r="BJ168" i="27"/>
  <c r="BK168" i="27"/>
  <c r="BH168" i="27"/>
  <c r="BI31" i="27"/>
  <c r="BH31" i="27"/>
  <c r="BJ31" i="27"/>
  <c r="BK31" i="27"/>
  <c r="BF188" i="27"/>
  <c r="BG188" i="27"/>
  <c r="BE188" i="27"/>
  <c r="BH254" i="27"/>
  <c r="BI254" i="27"/>
  <c r="BI74" i="27"/>
  <c r="BH74" i="27"/>
  <c r="BI166" i="27"/>
  <c r="BJ166" i="27"/>
  <c r="BK166" i="27"/>
  <c r="BH166" i="27"/>
  <c r="AV289" i="27"/>
  <c r="AV277" i="27"/>
  <c r="AY80" i="27"/>
  <c r="AZ80" i="27"/>
  <c r="AV196" i="27"/>
  <c r="BI230" i="27"/>
  <c r="BH230" i="27"/>
  <c r="BJ230" i="27"/>
  <c r="BK230" i="27"/>
  <c r="AV205" i="27"/>
  <c r="AV82" i="27"/>
  <c r="AV169" i="27"/>
  <c r="BI53" i="27"/>
  <c r="BH53" i="27"/>
  <c r="BH39" i="27"/>
  <c r="BI39" i="27"/>
  <c r="BI29" i="27"/>
  <c r="BH29" i="27"/>
  <c r="AV318" i="27"/>
  <c r="AV232" i="27"/>
  <c r="AV155" i="27"/>
  <c r="BI60" i="27"/>
  <c r="BH60" i="27"/>
  <c r="BI129" i="27"/>
  <c r="BJ129" i="27"/>
  <c r="BK129" i="27"/>
  <c r="BH129" i="27"/>
  <c r="AV110" i="27"/>
  <c r="BI271" i="27"/>
  <c r="BH271" i="27"/>
  <c r="BH202" i="27"/>
  <c r="BI202" i="27"/>
  <c r="BF127" i="27"/>
  <c r="BG127" i="27"/>
  <c r="BE127" i="27"/>
  <c r="BE109" i="27"/>
  <c r="BF109" i="27"/>
  <c r="BG109" i="27"/>
  <c r="AV193" i="27"/>
  <c r="BI154" i="27"/>
  <c r="BH154" i="27"/>
  <c r="AY276" i="27"/>
  <c r="AZ276" i="27"/>
  <c r="BF277" i="27"/>
  <c r="BG277" i="27"/>
  <c r="BE277" i="27"/>
  <c r="BI85" i="27"/>
  <c r="BH85" i="27"/>
  <c r="AZ127" i="27"/>
  <c r="AY127" i="27"/>
  <c r="AV130" i="27"/>
  <c r="BH96" i="27"/>
  <c r="BI96" i="27"/>
  <c r="BE47" i="27"/>
  <c r="BF47" i="27"/>
  <c r="BG47" i="27"/>
  <c r="BH182" i="27"/>
  <c r="BI182" i="27"/>
  <c r="BI187" i="27"/>
  <c r="BH187" i="27"/>
  <c r="BH279" i="27"/>
  <c r="BI279" i="27"/>
  <c r="BH208" i="27"/>
  <c r="BI208" i="27"/>
  <c r="AV80" i="27"/>
  <c r="BS165" i="27"/>
  <c r="BC165" i="27"/>
  <c r="BD165" i="27"/>
  <c r="BA165" i="27"/>
  <c r="BB165" i="27"/>
  <c r="AX165" i="27"/>
  <c r="BI317" i="27"/>
  <c r="BH317" i="27"/>
  <c r="BF103" i="27"/>
  <c r="BG103" i="27"/>
  <c r="BE103" i="27"/>
  <c r="BI323" i="27"/>
  <c r="BH323" i="27"/>
  <c r="BH178" i="27"/>
  <c r="BI178" i="27"/>
  <c r="BF65" i="27"/>
  <c r="BG65" i="27"/>
  <c r="BE65" i="27"/>
  <c r="BI101" i="27"/>
  <c r="BH101" i="27"/>
  <c r="AV109" i="27"/>
  <c r="BF276" i="27"/>
  <c r="BG276" i="27"/>
  <c r="BE276" i="27"/>
  <c r="BI131" i="27"/>
  <c r="BH131" i="27"/>
  <c r="BJ131" i="27"/>
  <c r="BK131" i="27"/>
  <c r="BF58" i="27"/>
  <c r="BG58" i="27"/>
  <c r="BE58" i="27"/>
  <c r="BI255" i="27"/>
  <c r="BH255" i="27"/>
  <c r="AV276" i="27"/>
  <c r="BI41" i="27"/>
  <c r="BJ41" i="27"/>
  <c r="BK41" i="27"/>
  <c r="BH41" i="27"/>
  <c r="BF9" i="27"/>
  <c r="BG9" i="27"/>
  <c r="BE9" i="27"/>
  <c r="AV127" i="27"/>
  <c r="AV111" i="27"/>
  <c r="BI51" i="27"/>
  <c r="BH51" i="27"/>
  <c r="BI52" i="27"/>
  <c r="BH52" i="27"/>
  <c r="BE201" i="27"/>
  <c r="BF201" i="27"/>
  <c r="BG201" i="27"/>
  <c r="BR165" i="27"/>
  <c r="BT165" i="27"/>
  <c r="BO165" i="27"/>
  <c r="BQ165" i="27"/>
  <c r="AV241" i="27"/>
  <c r="BI177" i="27"/>
  <c r="BH177" i="27"/>
  <c r="BI234" i="27"/>
  <c r="BH234" i="27"/>
  <c r="AV235" i="27"/>
  <c r="AV116" i="27"/>
  <c r="BI301" i="27"/>
  <c r="BH301" i="27"/>
  <c r="AV201" i="27"/>
  <c r="BF143" i="27"/>
  <c r="BG143" i="27"/>
  <c r="BE143" i="27"/>
  <c r="BH300" i="27"/>
  <c r="BI300" i="27"/>
  <c r="BI140" i="27"/>
  <c r="BH140" i="27"/>
  <c r="BI167" i="27"/>
  <c r="BH167" i="27"/>
  <c r="AV309" i="27"/>
  <c r="AV273" i="27"/>
  <c r="BE148" i="27"/>
  <c r="BF148" i="27"/>
  <c r="BG148" i="27"/>
  <c r="BJ313" i="27"/>
  <c r="BK313" i="27"/>
  <c r="BI209" i="27"/>
  <c r="BH209" i="27"/>
  <c r="AV293" i="27"/>
  <c r="BI170" i="27"/>
  <c r="BH170" i="27"/>
  <c r="BH22" i="27"/>
  <c r="BI22" i="27"/>
  <c r="BJ22" i="27"/>
  <c r="BK22" i="27"/>
  <c r="BE160" i="27"/>
  <c r="BF160" i="27"/>
  <c r="BG160" i="27"/>
  <c r="AZ278" i="27"/>
  <c r="AY278" i="27"/>
  <c r="BI135" i="27"/>
  <c r="BH135" i="27"/>
  <c r="BI2" i="27"/>
  <c r="BH2" i="27"/>
  <c r="AV191" i="27"/>
  <c r="BE240" i="27"/>
  <c r="BF240" i="27"/>
  <c r="BG240" i="27"/>
  <c r="BI79" i="27"/>
  <c r="BH79" i="27"/>
  <c r="BI328" i="27"/>
  <c r="BH328" i="27"/>
  <c r="BE66" i="27"/>
  <c r="BF66" i="27"/>
  <c r="BG66" i="27"/>
  <c r="BF80" i="27"/>
  <c r="BG80" i="27"/>
  <c r="BE80" i="27"/>
  <c r="BE95" i="27"/>
  <c r="BF95" i="27"/>
  <c r="BG95" i="27"/>
  <c r="AV148" i="27"/>
  <c r="BI265" i="27"/>
  <c r="BJ265" i="27"/>
  <c r="BK265" i="27"/>
  <c r="BH265" i="27"/>
  <c r="BH126" i="27"/>
  <c r="BI126" i="27"/>
  <c r="AV57" i="27"/>
  <c r="BE112" i="27"/>
  <c r="BF112" i="27"/>
  <c r="BG112" i="27"/>
  <c r="BI153" i="27"/>
  <c r="BH153" i="27"/>
  <c r="BC194" i="27"/>
  <c r="BD194" i="27"/>
  <c r="BA194" i="27"/>
  <c r="BB194" i="27"/>
  <c r="AX194" i="27"/>
  <c r="BS194" i="27"/>
  <c r="BC263" i="27"/>
  <c r="BD263" i="27"/>
  <c r="BA263" i="27"/>
  <c r="BB263" i="27"/>
  <c r="AX263" i="27"/>
  <c r="BS263" i="27"/>
  <c r="BC288" i="27"/>
  <c r="BD288" i="27"/>
  <c r="BA288" i="27"/>
  <c r="BB288" i="27"/>
  <c r="AX288" i="27"/>
  <c r="BS288" i="27"/>
  <c r="BO190" i="27"/>
  <c r="BQ190" i="27"/>
  <c r="BR190" i="27"/>
  <c r="BT190" i="27"/>
  <c r="BJ43" i="27"/>
  <c r="BK43" i="27"/>
  <c r="BI71" i="27"/>
  <c r="BH71" i="27"/>
  <c r="BJ71" i="27"/>
  <c r="BK71" i="27"/>
  <c r="BH32" i="27"/>
  <c r="BI32" i="27"/>
  <c r="AV278" i="27"/>
  <c r="BF192" i="27"/>
  <c r="BG192" i="27"/>
  <c r="BE192" i="27"/>
  <c r="BF235" i="27"/>
  <c r="BG235" i="27"/>
  <c r="BE235" i="27"/>
  <c r="BI62" i="27"/>
  <c r="BH62" i="27"/>
  <c r="BE124" i="27"/>
  <c r="BF124" i="27"/>
  <c r="BG124" i="27"/>
  <c r="AV218" i="27"/>
  <c r="BI161" i="27"/>
  <c r="BH161" i="27"/>
  <c r="BI70" i="27"/>
  <c r="BH70" i="27"/>
  <c r="BJ70" i="27"/>
  <c r="BK70" i="27"/>
  <c r="BE286" i="27"/>
  <c r="BF286" i="27"/>
  <c r="BG286" i="27"/>
  <c r="AV92" i="27"/>
  <c r="BI311" i="27"/>
  <c r="BJ311" i="27"/>
  <c r="BK311" i="27"/>
  <c r="BH311" i="27"/>
  <c r="BF319" i="27"/>
  <c r="BG319" i="27"/>
  <c r="BE319" i="27"/>
  <c r="AV132" i="27"/>
  <c r="BI274" i="27"/>
  <c r="BH274" i="27"/>
  <c r="AV257" i="27"/>
  <c r="BF264" i="27"/>
  <c r="BG264" i="27"/>
  <c r="BE264" i="27"/>
  <c r="BI248" i="27"/>
  <c r="BH248" i="27"/>
  <c r="AV143" i="27"/>
  <c r="AV139" i="27"/>
  <c r="BE11" i="27"/>
  <c r="BF11" i="27"/>
  <c r="BG11" i="27"/>
  <c r="BE232" i="27"/>
  <c r="BF232" i="27"/>
  <c r="BG232" i="27"/>
  <c r="AZ240" i="27"/>
  <c r="AY240" i="27"/>
  <c r="AV253" i="27"/>
  <c r="BF241" i="27"/>
  <c r="BG241" i="27"/>
  <c r="BE241" i="27"/>
  <c r="BH262" i="27"/>
  <c r="BI262" i="27"/>
  <c r="BI290" i="27"/>
  <c r="BH290" i="27"/>
  <c r="BJ290" i="27"/>
  <c r="BK290" i="27"/>
  <c r="BI239" i="27"/>
  <c r="BH239" i="27"/>
  <c r="BI105" i="27"/>
  <c r="BH105" i="27"/>
  <c r="BI56" i="27"/>
  <c r="BH56" i="27"/>
  <c r="BJ56" i="27"/>
  <c r="BK56" i="27"/>
  <c r="AV199" i="27"/>
  <c r="BE261" i="27"/>
  <c r="BF261" i="27"/>
  <c r="BG261" i="27"/>
  <c r="AV150" i="27"/>
  <c r="AV66" i="27"/>
  <c r="BI42" i="27"/>
  <c r="BH42" i="27"/>
  <c r="BI297" i="27"/>
  <c r="BH297" i="27"/>
  <c r="AV10" i="27"/>
  <c r="BF200" i="27"/>
  <c r="BG200" i="27"/>
  <c r="BE200" i="27"/>
  <c r="BI102" i="27"/>
  <c r="BH102" i="27"/>
  <c r="BI231" i="27"/>
  <c r="BH231" i="27"/>
  <c r="AV204" i="27"/>
  <c r="BF321" i="27"/>
  <c r="BG321" i="27"/>
  <c r="BE321" i="27"/>
  <c r="BI50" i="27"/>
  <c r="BH50" i="27"/>
  <c r="AZ112" i="27"/>
  <c r="AY112" i="27"/>
  <c r="BF86" i="27"/>
  <c r="BG86" i="27"/>
  <c r="BE86" i="27"/>
  <c r="BI106" i="27"/>
  <c r="BH106" i="27"/>
  <c r="BH179" i="27"/>
  <c r="BI179" i="27"/>
  <c r="AV64" i="27"/>
  <c r="BH251" i="27"/>
  <c r="BI251" i="27"/>
  <c r="AZ284" i="27"/>
  <c r="AY284" i="27"/>
  <c r="BH100" i="27"/>
  <c r="BI100" i="27"/>
  <c r="BI151" i="27"/>
  <c r="BH151" i="27"/>
  <c r="BI267" i="27"/>
  <c r="BH267" i="27"/>
  <c r="BJ267" i="27"/>
  <c r="BK267" i="27"/>
  <c r="BE195" i="27"/>
  <c r="BF195" i="27"/>
  <c r="BG195" i="27"/>
  <c r="BI14" i="27"/>
  <c r="BH14" i="27"/>
  <c r="BE207" i="27"/>
  <c r="BF207" i="27"/>
  <c r="BG207" i="27"/>
  <c r="BH283" i="27"/>
  <c r="BI283" i="27"/>
  <c r="AZ295" i="27"/>
  <c r="AY295" i="27"/>
  <c r="BE308" i="27"/>
  <c r="BF308" i="27"/>
  <c r="BG308" i="27"/>
  <c r="BI87" i="27"/>
  <c r="BH87" i="27"/>
  <c r="BI48" i="27"/>
  <c r="BH48" i="27"/>
  <c r="BH181" i="27"/>
  <c r="BI181" i="27"/>
  <c r="BE33" i="27"/>
  <c r="BF33" i="27"/>
  <c r="BG33" i="27"/>
  <c r="AV19" i="27"/>
  <c r="BE236" i="27"/>
  <c r="BF236" i="27"/>
  <c r="BG236" i="27"/>
  <c r="BH12" i="27"/>
  <c r="BI12" i="27"/>
  <c r="BE82" i="27"/>
  <c r="BF82" i="27"/>
  <c r="BG82" i="27"/>
  <c r="BF69" i="27"/>
  <c r="BG69" i="27"/>
  <c r="BE69" i="27"/>
  <c r="BI233" i="27"/>
  <c r="BH233" i="27"/>
  <c r="BH78" i="27"/>
  <c r="BI78" i="27"/>
  <c r="BI141" i="27"/>
  <c r="BH141" i="27"/>
  <c r="BH108" i="27"/>
  <c r="BI108" i="27"/>
  <c r="AV314" i="27"/>
  <c r="AV94" i="27"/>
  <c r="BF110" i="27"/>
  <c r="BG110" i="27"/>
  <c r="BE110" i="27"/>
  <c r="BE314" i="27"/>
  <c r="BF314" i="27"/>
  <c r="BG314" i="27"/>
  <c r="BI59" i="27"/>
  <c r="BH59" i="27"/>
  <c r="BI125" i="27"/>
  <c r="BH125" i="27"/>
  <c r="BE20" i="27"/>
  <c r="BF20" i="27"/>
  <c r="BG20" i="27"/>
  <c r="BI172" i="27"/>
  <c r="BH172" i="27"/>
  <c r="BS306" i="27"/>
  <c r="BC306" i="27"/>
  <c r="BD306" i="27"/>
  <c r="BA306" i="27"/>
  <c r="BB306" i="27"/>
  <c r="AX306" i="27"/>
  <c r="BE111" i="27"/>
  <c r="BF111" i="27"/>
  <c r="BG111" i="27"/>
  <c r="BS304" i="27"/>
  <c r="BC304" i="27"/>
  <c r="BD304" i="27"/>
  <c r="BA304" i="27"/>
  <c r="BB304" i="27"/>
  <c r="AX304" i="27"/>
  <c r="BI158" i="27"/>
  <c r="BH158" i="27"/>
  <c r="BI220" i="27"/>
  <c r="BH220" i="27"/>
  <c r="AV302" i="27"/>
  <c r="AV200" i="27"/>
  <c r="AV175" i="27"/>
  <c r="BH146" i="27"/>
  <c r="BI146" i="27"/>
  <c r="BO194" i="27"/>
  <c r="BQ194" i="27"/>
  <c r="BR194" i="27"/>
  <c r="BT194" i="27"/>
  <c r="BO263" i="27"/>
  <c r="BQ263" i="27"/>
  <c r="BR263" i="27"/>
  <c r="BT263" i="27"/>
  <c r="BO288" i="27"/>
  <c r="BQ288" i="27"/>
  <c r="BR288" i="27"/>
  <c r="BT288" i="27"/>
  <c r="BC190" i="27"/>
  <c r="BD190" i="27"/>
  <c r="BA190" i="27"/>
  <c r="BB190" i="27"/>
  <c r="AX190" i="27"/>
  <c r="BS190" i="27"/>
  <c r="BJ114" i="27"/>
  <c r="BK114" i="27"/>
  <c r="BH266" i="27"/>
  <c r="BI266" i="27"/>
  <c r="BI326" i="27"/>
  <c r="BH326" i="27"/>
  <c r="AZ92" i="27"/>
  <c r="AY92" i="27"/>
  <c r="BI81" i="27"/>
  <c r="BH81" i="27"/>
  <c r="AV203" i="27"/>
  <c r="BE122" i="27"/>
  <c r="BF122" i="27"/>
  <c r="BG122" i="27"/>
  <c r="BH296" i="27"/>
  <c r="BI296" i="27"/>
  <c r="AV244" i="27"/>
  <c r="AV103" i="27"/>
  <c r="BF214" i="27"/>
  <c r="BG214" i="27"/>
  <c r="BE214" i="27"/>
  <c r="AV157" i="27"/>
  <c r="BF34" i="27"/>
  <c r="BG34" i="27"/>
  <c r="BE34" i="27"/>
  <c r="BI144" i="27"/>
  <c r="BH144" i="27"/>
  <c r="BF184" i="27"/>
  <c r="BG184" i="27"/>
  <c r="BE184" i="27"/>
  <c r="BE193" i="27"/>
  <c r="BF193" i="27"/>
  <c r="BG193" i="27"/>
  <c r="BI145" i="27"/>
  <c r="BH145" i="27"/>
  <c r="BJ145" i="27"/>
  <c r="BK145" i="27"/>
  <c r="AV36" i="27"/>
  <c r="AV95" i="27"/>
  <c r="BF318" i="27"/>
  <c r="BG318" i="27"/>
  <c r="BE318" i="27"/>
  <c r="BE92" i="27"/>
  <c r="BF92" i="27"/>
  <c r="BG92" i="27"/>
  <c r="BH212" i="27"/>
  <c r="BI212" i="27"/>
  <c r="BI97" i="27"/>
  <c r="BH97" i="27"/>
  <c r="BJ97" i="27"/>
  <c r="BK97" i="27"/>
  <c r="BE244" i="27"/>
  <c r="BF244" i="27"/>
  <c r="BG244" i="27"/>
  <c r="BF284" i="27"/>
  <c r="BG284" i="27"/>
  <c r="BE284" i="27"/>
  <c r="AY314" i="27"/>
  <c r="AZ314" i="27"/>
  <c r="AV240" i="27"/>
  <c r="AV275" i="27"/>
  <c r="BF218" i="27"/>
  <c r="BG218" i="27"/>
  <c r="BE218" i="27"/>
  <c r="AV40" i="27"/>
  <c r="AV206" i="27"/>
  <c r="BH269" i="27"/>
  <c r="BI269" i="27"/>
  <c r="BH63" i="27"/>
  <c r="BI63" i="27"/>
  <c r="BR306" i="27"/>
  <c r="BT306" i="27"/>
  <c r="BO306" i="27"/>
  <c r="BQ306" i="27"/>
  <c r="AV112" i="27"/>
  <c r="BE73" i="27"/>
  <c r="BF73" i="27"/>
  <c r="BG73" i="27"/>
  <c r="BI35" i="27"/>
  <c r="BH35" i="27"/>
  <c r="BF225" i="27"/>
  <c r="BG225" i="27"/>
  <c r="BE225" i="27"/>
  <c r="AV295" i="27"/>
  <c r="BF256" i="27"/>
  <c r="BG256" i="27"/>
  <c r="BE256" i="27"/>
  <c r="BH37" i="27"/>
  <c r="BI37" i="27"/>
  <c r="AV268" i="27"/>
  <c r="BI7" i="27"/>
  <c r="BH7" i="27"/>
  <c r="BI89" i="27"/>
  <c r="BH89" i="27"/>
  <c r="BJ89" i="27"/>
  <c r="BK89" i="27"/>
  <c r="BF197" i="27"/>
  <c r="BG197" i="27"/>
  <c r="BE197" i="27"/>
  <c r="AV229" i="27"/>
  <c r="AY94" i="27"/>
  <c r="AZ94" i="27"/>
  <c r="BH224" i="27"/>
  <c r="BI224" i="27"/>
  <c r="BE229" i="27"/>
  <c r="BF229" i="27"/>
  <c r="BG229" i="27"/>
  <c r="BI303" i="27"/>
  <c r="BH303" i="27"/>
  <c r="AV188" i="27"/>
  <c r="BC28" i="27"/>
  <c r="BD28" i="27"/>
  <c r="BA28" i="27"/>
  <c r="BB28" i="27"/>
  <c r="AX28" i="27"/>
  <c r="BS28" i="27"/>
  <c r="BE136" i="27"/>
  <c r="BF136" i="27"/>
  <c r="BG136" i="27"/>
  <c r="AV292" i="27"/>
  <c r="AV47" i="27"/>
  <c r="BO304" i="27"/>
  <c r="BQ304" i="27"/>
  <c r="BR304" i="27"/>
  <c r="BT304" i="27"/>
  <c r="BH164" i="27"/>
  <c r="BI164" i="27"/>
  <c r="BI147" i="27"/>
  <c r="BH147" i="27"/>
  <c r="BE57" i="27"/>
  <c r="BF57" i="27"/>
  <c r="BG57" i="27"/>
  <c r="AV83" i="27"/>
  <c r="BE88" i="27"/>
  <c r="BF88" i="27"/>
  <c r="BG88" i="27"/>
  <c r="BH322" i="27"/>
  <c r="BI322" i="27"/>
  <c r="BE199" i="27"/>
  <c r="BF199" i="27"/>
  <c r="BG199" i="27"/>
  <c r="BI163" i="27"/>
  <c r="BH163" i="27"/>
  <c r="BE130" i="27"/>
  <c r="BF130" i="27"/>
  <c r="BG130" i="27"/>
  <c r="BE83" i="27"/>
  <c r="BF83" i="27"/>
  <c r="BG83" i="27"/>
  <c r="BF309" i="27"/>
  <c r="BG309" i="27"/>
  <c r="BE309" i="27"/>
  <c r="BH226" i="27"/>
  <c r="BI226" i="27"/>
  <c r="BC185" i="27"/>
  <c r="BD185" i="27"/>
  <c r="BA185" i="27"/>
  <c r="BB185" i="27"/>
  <c r="AX185" i="27"/>
  <c r="BS185" i="27"/>
  <c r="BJ18" i="27"/>
  <c r="BK18" i="27"/>
  <c r="BJ238" i="27"/>
  <c r="BK238" i="27"/>
  <c r="BH198" i="27"/>
  <c r="BJ198" i="27"/>
  <c r="BK198" i="27"/>
  <c r="BI198" i="27"/>
  <c r="BI77" i="27"/>
  <c r="BH77" i="27"/>
  <c r="BE76" i="27"/>
  <c r="BF76" i="27"/>
  <c r="BG76" i="27"/>
  <c r="BI4" i="27"/>
  <c r="BH4" i="27"/>
  <c r="AV207" i="27"/>
  <c r="AZ76" i="27"/>
  <c r="AY76" i="27"/>
  <c r="AV171" i="27"/>
  <c r="BH23" i="27"/>
  <c r="BI23" i="27"/>
  <c r="BI222" i="27"/>
  <c r="BH222" i="27"/>
  <c r="BF139" i="27"/>
  <c r="BG139" i="27"/>
  <c r="BE139" i="27"/>
  <c r="BH215" i="27"/>
  <c r="BI215" i="27"/>
  <c r="AV65" i="27"/>
  <c r="BI247" i="27"/>
  <c r="BH247" i="27"/>
  <c r="BI55" i="27"/>
  <c r="BH55" i="27"/>
  <c r="AV173" i="27"/>
  <c r="BI44" i="27"/>
  <c r="BH44" i="27"/>
  <c r="AV192" i="27"/>
  <c r="AY257" i="27"/>
  <c r="AZ257" i="27"/>
  <c r="BI315" i="27"/>
  <c r="BH315" i="27"/>
  <c r="BF203" i="27"/>
  <c r="BG203" i="27"/>
  <c r="BE203" i="27"/>
  <c r="BI316" i="27"/>
  <c r="BH316" i="27"/>
  <c r="BF40" i="27"/>
  <c r="BG40" i="27"/>
  <c r="BE40" i="27"/>
  <c r="AV123" i="27"/>
  <c r="BR243" i="27"/>
  <c r="BT243" i="27"/>
  <c r="BO243" i="27"/>
  <c r="BQ243" i="27"/>
  <c r="BI227" i="27"/>
  <c r="BH227" i="27"/>
  <c r="BE19" i="27"/>
  <c r="BF19" i="27"/>
  <c r="BG19" i="27"/>
  <c r="AV319" i="27"/>
  <c r="AV45" i="27"/>
  <c r="BI156" i="27"/>
  <c r="BH156" i="27"/>
  <c r="BJ156" i="27"/>
  <c r="BK156" i="27"/>
  <c r="BF155" i="27"/>
  <c r="BG155" i="27"/>
  <c r="BE155" i="27"/>
  <c r="AZ47" i="27"/>
  <c r="AY47" i="27"/>
  <c r="BF169" i="27"/>
  <c r="BG169" i="27"/>
  <c r="BE169" i="27"/>
  <c r="AV291" i="27"/>
  <c r="AV264" i="27"/>
  <c r="AV61" i="27"/>
  <c r="BC243" i="27"/>
  <c r="BD243" i="27"/>
  <c r="BA243" i="27"/>
  <c r="BB243" i="27"/>
  <c r="AX243" i="27"/>
  <c r="BS243" i="27"/>
  <c r="BI107" i="27"/>
  <c r="BH107" i="27"/>
  <c r="AV98" i="27"/>
  <c r="BR93" i="27"/>
  <c r="BT93" i="27"/>
  <c r="BO93" i="27"/>
  <c r="BQ93" i="27"/>
  <c r="BH285" i="27"/>
  <c r="BI285" i="27"/>
  <c r="BJ285" i="27"/>
  <c r="BK285" i="27"/>
  <c r="BO68" i="27"/>
  <c r="BQ68" i="27"/>
  <c r="BR68" i="27"/>
  <c r="BT68" i="27"/>
  <c r="BF307" i="27"/>
  <c r="BG307" i="27"/>
  <c r="BE307" i="27"/>
  <c r="BI24" i="27"/>
  <c r="BH24" i="27"/>
  <c r="BF257" i="27"/>
  <c r="BG257" i="27"/>
  <c r="BE257" i="27"/>
  <c r="BE94" i="27"/>
  <c r="BF94" i="27"/>
  <c r="BG94" i="27"/>
  <c r="AV84" i="27"/>
  <c r="BI90" i="27"/>
  <c r="BH90" i="27"/>
  <c r="BH259" i="27"/>
  <c r="BI259" i="27"/>
  <c r="BF180" i="27"/>
  <c r="BG180" i="27"/>
  <c r="BE180" i="27"/>
  <c r="AV136" i="27"/>
  <c r="AV159" i="27"/>
  <c r="BO28" i="27"/>
  <c r="BQ28" i="27"/>
  <c r="BR28" i="27"/>
  <c r="BT28" i="27"/>
  <c r="BH13" i="27"/>
  <c r="BJ13" i="27"/>
  <c r="BK13" i="27"/>
  <c r="BI13" i="27"/>
  <c r="BI176" i="27"/>
  <c r="BH176" i="27"/>
  <c r="AV9" i="27"/>
  <c r="BF289" i="27"/>
  <c r="BG289" i="27"/>
  <c r="BE289" i="27"/>
  <c r="BE49" i="27"/>
  <c r="BF49" i="27"/>
  <c r="BG49" i="27"/>
  <c r="BI46" i="27"/>
  <c r="BH46" i="27"/>
  <c r="BI152" i="27"/>
  <c r="BH152" i="27"/>
  <c r="BI43" i="27"/>
  <c r="BH43" i="27"/>
  <c r="BH128" i="27"/>
  <c r="BI128" i="27"/>
  <c r="AV58" i="27"/>
  <c r="BE175" i="27"/>
  <c r="BF175" i="27"/>
  <c r="BG175" i="27"/>
  <c r="BH183" i="27"/>
  <c r="BI183" i="27"/>
  <c r="AV250" i="27"/>
  <c r="BI189" i="27"/>
  <c r="BH189" i="27"/>
  <c r="BH242" i="27"/>
  <c r="BI242" i="27"/>
  <c r="BO185" i="27"/>
  <c r="BQ185" i="27"/>
  <c r="BR185" i="27"/>
  <c r="BT185" i="27"/>
  <c r="BJ54" i="27"/>
  <c r="BK54" i="27"/>
  <c r="BJ216" i="27"/>
  <c r="BK216" i="27"/>
  <c r="BJ2" i="27"/>
  <c r="BK2" i="27"/>
  <c r="AY223" i="12"/>
  <c r="AZ223" i="12"/>
  <c r="AZ222" i="12"/>
  <c r="AY222" i="12"/>
  <c r="BO212" i="12"/>
  <c r="BQ212" i="12"/>
  <c r="BR212" i="12"/>
  <c r="BU212" i="12"/>
  <c r="BR232" i="12"/>
  <c r="BU232" i="12"/>
  <c r="BO232" i="12"/>
  <c r="BQ232" i="12"/>
  <c r="BC212" i="12"/>
  <c r="BD212" i="12"/>
  <c r="BA212" i="12"/>
  <c r="BB212" i="12"/>
  <c r="AX212" i="12"/>
  <c r="BS212" i="12"/>
  <c r="BC232" i="12"/>
  <c r="BD232" i="12"/>
  <c r="BA232" i="12"/>
  <c r="BB232" i="12"/>
  <c r="AX232" i="12"/>
  <c r="BS232" i="12"/>
  <c r="BR243" i="12"/>
  <c r="BU243" i="12"/>
  <c r="BO243" i="12"/>
  <c r="BQ243" i="12"/>
  <c r="BC243" i="12"/>
  <c r="BD243" i="12"/>
  <c r="BA243" i="12"/>
  <c r="BB243" i="12"/>
  <c r="AX243" i="12"/>
  <c r="BS243" i="12"/>
  <c r="AZ254" i="12"/>
  <c r="AY254" i="12"/>
  <c r="AZ231" i="12"/>
  <c r="AY231" i="12"/>
  <c r="AY253" i="12"/>
  <c r="AZ253" i="12"/>
  <c r="AZ218" i="12"/>
  <c r="AY218" i="12"/>
  <c r="AZ244" i="12"/>
  <c r="AY244" i="12"/>
  <c r="AZ229" i="12"/>
  <c r="AY229" i="12"/>
  <c r="AY216" i="12"/>
  <c r="AZ216" i="12"/>
  <c r="AZ255" i="12"/>
  <c r="AY255" i="12"/>
  <c r="AZ220" i="12"/>
  <c r="AY220" i="12"/>
  <c r="AZ219" i="12"/>
  <c r="AY219" i="12"/>
  <c r="AY258" i="12"/>
  <c r="AZ258" i="12"/>
  <c r="AY228" i="12"/>
  <c r="AZ228" i="12"/>
  <c r="AZ225" i="12"/>
  <c r="AY225" i="12"/>
  <c r="AZ230" i="12"/>
  <c r="AY230" i="12"/>
  <c r="AZ247" i="12"/>
  <c r="AY247" i="12"/>
  <c r="BI240" i="12"/>
  <c r="BH240" i="12"/>
  <c r="AZ238" i="12"/>
  <c r="AY238" i="12"/>
  <c r="BF225" i="12"/>
  <c r="BG225" i="12"/>
  <c r="BE225" i="12"/>
  <c r="BI264" i="12"/>
  <c r="BH264" i="12"/>
  <c r="BJ264" i="12"/>
  <c r="BK264" i="12"/>
  <c r="AZ245" i="12"/>
  <c r="AY245" i="12"/>
  <c r="AV220" i="12"/>
  <c r="BF238" i="12"/>
  <c r="BG238" i="12"/>
  <c r="BE238" i="12"/>
  <c r="BF248" i="12"/>
  <c r="BG248" i="12"/>
  <c r="BE248" i="12"/>
  <c r="AV228" i="12"/>
  <c r="BF231" i="12"/>
  <c r="BG231" i="12"/>
  <c r="BE231" i="12"/>
  <c r="BI235" i="12"/>
  <c r="BH235" i="12"/>
  <c r="AV254" i="12"/>
  <c r="BE258" i="12"/>
  <c r="BF258" i="12"/>
  <c r="BG258" i="12"/>
  <c r="BI215" i="12"/>
  <c r="BH215" i="12"/>
  <c r="AV244" i="12"/>
  <c r="BI267" i="12"/>
  <c r="BH267" i="12"/>
  <c r="BJ267" i="12"/>
  <c r="BK267" i="12"/>
  <c r="BC252" i="12"/>
  <c r="BD252" i="12"/>
  <c r="BA252" i="12"/>
  <c r="BB252" i="12"/>
  <c r="AX252" i="12"/>
  <c r="BS252" i="12"/>
  <c r="BT252" i="12"/>
  <c r="BI237" i="12"/>
  <c r="BH237" i="12"/>
  <c r="BI259" i="12"/>
  <c r="BH259" i="12"/>
  <c r="BO252" i="12"/>
  <c r="BQ252" i="12"/>
  <c r="BR252" i="12"/>
  <c r="BU252" i="12"/>
  <c r="AV262" i="12"/>
  <c r="BH246" i="12"/>
  <c r="BI246" i="12"/>
  <c r="BF253" i="12"/>
  <c r="BG253" i="12"/>
  <c r="BE253" i="12"/>
  <c r="AV214" i="12"/>
  <c r="BI257" i="12"/>
  <c r="BH257" i="12"/>
  <c r="AV245" i="12"/>
  <c r="BI224" i="12"/>
  <c r="BH224" i="12"/>
  <c r="AV219" i="12"/>
  <c r="BI266" i="12"/>
  <c r="BH266" i="12"/>
  <c r="BJ266" i="12"/>
  <c r="BK266" i="12"/>
  <c r="AV231" i="12"/>
  <c r="BF251" i="12"/>
  <c r="BG251" i="12"/>
  <c r="BE251" i="12"/>
  <c r="BF245" i="12"/>
  <c r="BG245" i="12"/>
  <c r="BE245" i="12"/>
  <c r="AV216" i="12"/>
  <c r="BI256" i="12"/>
  <c r="BH256" i="12"/>
  <c r="BI242" i="12"/>
  <c r="BH242" i="12"/>
  <c r="BJ242" i="12"/>
  <c r="BK242" i="12"/>
  <c r="AV255" i="12"/>
  <c r="BE230" i="12"/>
  <c r="BF230" i="12"/>
  <c r="BG230" i="12"/>
  <c r="BI241" i="12"/>
  <c r="BH241" i="12"/>
  <c r="BI265" i="12"/>
  <c r="BH265" i="12"/>
  <c r="BE218" i="12"/>
  <c r="BF218" i="12"/>
  <c r="BG218" i="12"/>
  <c r="BI213" i="12"/>
  <c r="BH213" i="12"/>
  <c r="BI268" i="12"/>
  <c r="BH268" i="12"/>
  <c r="BI210" i="12"/>
  <c r="BH210" i="12"/>
  <c r="BI236" i="12"/>
  <c r="BH236" i="12"/>
  <c r="BE220" i="12"/>
  <c r="BF220" i="12"/>
  <c r="BG220" i="12"/>
  <c r="BH263" i="12"/>
  <c r="BI263" i="12"/>
  <c r="BI223" i="12"/>
  <c r="BH223" i="12"/>
  <c r="AV248" i="12"/>
  <c r="BE214" i="12"/>
  <c r="BF214" i="12"/>
  <c r="BG214" i="12"/>
  <c r="BI233" i="12"/>
  <c r="BH233" i="12"/>
  <c r="BI211" i="12"/>
  <c r="BH211" i="12"/>
  <c r="BJ211" i="12"/>
  <c r="BK211" i="12"/>
  <c r="AV230" i="12"/>
  <c r="BI269" i="12"/>
  <c r="BH269" i="12"/>
  <c r="BF244" i="12"/>
  <c r="BG244" i="12"/>
  <c r="BE244" i="12"/>
  <c r="BE228" i="12"/>
  <c r="BF228" i="12"/>
  <c r="BG228" i="12"/>
  <c r="BH239" i="12"/>
  <c r="BI239" i="12"/>
  <c r="BH227" i="12"/>
  <c r="BI227" i="12"/>
  <c r="BI260" i="12"/>
  <c r="BH260" i="12"/>
  <c r="BI217" i="12"/>
  <c r="BH217" i="12"/>
  <c r="AZ262" i="12"/>
  <c r="AY262" i="12"/>
  <c r="AV251" i="12"/>
  <c r="BF254" i="12"/>
  <c r="BG254" i="12"/>
  <c r="BE254" i="12"/>
  <c r="BI249" i="12"/>
  <c r="BH249" i="12"/>
  <c r="AV238" i="12"/>
  <c r="BH250" i="12"/>
  <c r="BI250" i="12"/>
  <c r="AZ251" i="12"/>
  <c r="AY251" i="12"/>
  <c r="BE216" i="12"/>
  <c r="BF216" i="12"/>
  <c r="BG216" i="12"/>
  <c r="BF255" i="12"/>
  <c r="BG255" i="12"/>
  <c r="BE255" i="12"/>
  <c r="BE247" i="12"/>
  <c r="BF247" i="12"/>
  <c r="BG247" i="12"/>
  <c r="AZ214" i="12"/>
  <c r="AY214" i="12"/>
  <c r="AV253" i="12"/>
  <c r="AZ248" i="12"/>
  <c r="AY248" i="12"/>
  <c r="BF262" i="12"/>
  <c r="BG262" i="12"/>
  <c r="BE262" i="12"/>
  <c r="BH226" i="12"/>
  <c r="BI226" i="12"/>
  <c r="BE219" i="12"/>
  <c r="BF219" i="12"/>
  <c r="BG219" i="12"/>
  <c r="BF229" i="12"/>
  <c r="BG229" i="12"/>
  <c r="BE229" i="12"/>
  <c r="BI222" i="12"/>
  <c r="BH222" i="12"/>
  <c r="AV218" i="12"/>
  <c r="BI234" i="12"/>
  <c r="BH234" i="12"/>
  <c r="AV258" i="12"/>
  <c r="AV229" i="12"/>
  <c r="AV225" i="12"/>
  <c r="AV247" i="12"/>
  <c r="BJ260" i="12"/>
  <c r="BK260" i="12"/>
  <c r="BJ269" i="12"/>
  <c r="BK269" i="12"/>
  <c r="BJ268" i="12"/>
  <c r="BK268" i="12"/>
  <c r="BJ7" i="27"/>
  <c r="BK7" i="27"/>
  <c r="BJ35" i="27"/>
  <c r="BK35" i="27"/>
  <c r="BJ209" i="27"/>
  <c r="BK209" i="27"/>
  <c r="BU209" i="27"/>
  <c r="BV209" i="27"/>
  <c r="BJ234" i="27"/>
  <c r="BK234" i="27"/>
  <c r="BJ255" i="27"/>
  <c r="BK255" i="27"/>
  <c r="BU255" i="27"/>
  <c r="BV255" i="27"/>
  <c r="BJ272" i="27"/>
  <c r="BK272" i="27"/>
  <c r="BU272" i="27"/>
  <c r="BV272" i="27"/>
  <c r="BJ266" i="27"/>
  <c r="BK266" i="27"/>
  <c r="BJ162" i="27"/>
  <c r="BK162" i="27"/>
  <c r="BJ163" i="27"/>
  <c r="BK163" i="27"/>
  <c r="BJ239" i="12"/>
  <c r="BK239" i="12"/>
  <c r="BU99" i="27"/>
  <c r="BV99" i="27"/>
  <c r="BJ25" i="27"/>
  <c r="BK25" i="27"/>
  <c r="BU25" i="27"/>
  <c r="BV25" i="27"/>
  <c r="BJ138" i="27"/>
  <c r="BK138" i="27"/>
  <c r="BW138" i="27"/>
  <c r="BJ210" i="27"/>
  <c r="BK210" i="27"/>
  <c r="BU210" i="27"/>
  <c r="BV210" i="27"/>
  <c r="BJ260" i="27"/>
  <c r="BK260" i="27"/>
  <c r="BW260" i="27"/>
  <c r="AY186" i="27"/>
  <c r="AZ186" i="27"/>
  <c r="BJ77" i="27"/>
  <c r="BK77" i="27"/>
  <c r="BJ220" i="27"/>
  <c r="BK220" i="27"/>
  <c r="BJ233" i="27"/>
  <c r="BK233" i="27"/>
  <c r="BJ161" i="27"/>
  <c r="BK161" i="27"/>
  <c r="BJ67" i="27"/>
  <c r="BK67" i="27"/>
  <c r="BJ115" i="27"/>
  <c r="BK115" i="27"/>
  <c r="BJ117" i="27"/>
  <c r="BK117" i="27"/>
  <c r="BU117" i="27"/>
  <c r="BV117" i="27"/>
  <c r="BJ37" i="27"/>
  <c r="BK37" i="27"/>
  <c r="BU37" i="27"/>
  <c r="BV37" i="27"/>
  <c r="BJ328" i="27"/>
  <c r="BK328" i="27"/>
  <c r="BW328" i="27"/>
  <c r="BJ52" i="27"/>
  <c r="BK52" i="27"/>
  <c r="BJ246" i="27"/>
  <c r="BK246" i="27"/>
  <c r="BJ120" i="27"/>
  <c r="BK120" i="27"/>
  <c r="BF186" i="27"/>
  <c r="BG186" i="27"/>
  <c r="BE186" i="27"/>
  <c r="AY261" i="27"/>
  <c r="AZ261" i="27"/>
  <c r="BJ14" i="27"/>
  <c r="BK14" i="27"/>
  <c r="BU14" i="27"/>
  <c r="BV14" i="27"/>
  <c r="BJ234" i="12"/>
  <c r="BK234" i="12"/>
  <c r="BX234" i="12"/>
  <c r="BJ176" i="27"/>
  <c r="BK176" i="27"/>
  <c r="BJ24" i="27"/>
  <c r="BK24" i="27"/>
  <c r="BJ147" i="27"/>
  <c r="BK147" i="27"/>
  <c r="BW147" i="27"/>
  <c r="BJ181" i="27"/>
  <c r="BK181" i="27"/>
  <c r="BJ151" i="27"/>
  <c r="BK151" i="27"/>
  <c r="BU151" i="27"/>
  <c r="BV151" i="27"/>
  <c r="BJ105" i="27"/>
  <c r="BK105" i="27"/>
  <c r="BU105" i="27"/>
  <c r="BV105" i="27"/>
  <c r="BJ281" i="27"/>
  <c r="BK281" i="27"/>
  <c r="AZ174" i="27"/>
  <c r="AY174" i="27"/>
  <c r="BJ259" i="27"/>
  <c r="BK259" i="27"/>
  <c r="BU259" i="27"/>
  <c r="BV259" i="27"/>
  <c r="BJ108" i="27"/>
  <c r="BK108" i="27"/>
  <c r="BJ48" i="27"/>
  <c r="BK48" i="27"/>
  <c r="BJ100" i="27"/>
  <c r="BK100" i="27"/>
  <c r="BW100" i="27"/>
  <c r="BJ239" i="27"/>
  <c r="BK239" i="27"/>
  <c r="BU239" i="27"/>
  <c r="BV239" i="27"/>
  <c r="BJ60" i="27"/>
  <c r="BK60" i="27"/>
  <c r="BU60" i="27"/>
  <c r="BV60" i="27"/>
  <c r="BJ16" i="27"/>
  <c r="BK16" i="27"/>
  <c r="BU16" i="27"/>
  <c r="BV16" i="27"/>
  <c r="BJ221" i="27"/>
  <c r="BK221" i="27"/>
  <c r="BU221" i="27"/>
  <c r="BV221" i="27"/>
  <c r="BJ75" i="27"/>
  <c r="BK75" i="27"/>
  <c r="BU75" i="27"/>
  <c r="BV75" i="27"/>
  <c r="BJ322" i="27"/>
  <c r="BK322" i="27"/>
  <c r="BU322" i="27"/>
  <c r="BV322" i="27"/>
  <c r="BJ327" i="27"/>
  <c r="BK327" i="27"/>
  <c r="BU327" i="27"/>
  <c r="BV327" i="27"/>
  <c r="BJ21" i="27"/>
  <c r="BK21" i="27"/>
  <c r="BW21" i="27"/>
  <c r="BF174" i="27"/>
  <c r="BG174" i="27"/>
  <c r="BE174" i="27"/>
  <c r="BJ300" i="27"/>
  <c r="BK300" i="27"/>
  <c r="BJ78" i="27"/>
  <c r="BK78" i="27"/>
  <c r="BU78" i="27"/>
  <c r="BV78" i="27"/>
  <c r="BJ178" i="27"/>
  <c r="BK178" i="27"/>
  <c r="BJ215" i="27"/>
  <c r="BK215" i="27"/>
  <c r="BJ296" i="27"/>
  <c r="BK296" i="27"/>
  <c r="BU296" i="27"/>
  <c r="BV296" i="27"/>
  <c r="BJ158" i="27"/>
  <c r="BK158" i="27"/>
  <c r="BW158" i="27"/>
  <c r="BJ119" i="27"/>
  <c r="BK119" i="27"/>
  <c r="BU119" i="27"/>
  <c r="BV119" i="27"/>
  <c r="BJ15" i="27"/>
  <c r="BK15" i="27"/>
  <c r="BU15" i="27"/>
  <c r="BV15" i="27"/>
  <c r="BJ219" i="27"/>
  <c r="BK219" i="27"/>
  <c r="BJ247" i="27"/>
  <c r="BK247" i="27"/>
  <c r="BJ87" i="27"/>
  <c r="BK87" i="27"/>
  <c r="BU87" i="27"/>
  <c r="BV87" i="27"/>
  <c r="BJ135" i="27"/>
  <c r="BK135" i="27"/>
  <c r="BJ177" i="27"/>
  <c r="BK177" i="27"/>
  <c r="BU177" i="27"/>
  <c r="BV177" i="27"/>
  <c r="BJ17" i="27"/>
  <c r="BK17" i="27"/>
  <c r="BJ90" i="27"/>
  <c r="BK90" i="27"/>
  <c r="BW90" i="27"/>
  <c r="BJ144" i="27"/>
  <c r="BK144" i="27"/>
  <c r="BW144" i="27"/>
  <c r="BJ326" i="27"/>
  <c r="BK326" i="27"/>
  <c r="BW326" i="27"/>
  <c r="BJ228" i="27"/>
  <c r="BK228" i="27"/>
  <c r="BW228" i="27"/>
  <c r="BJ172" i="27"/>
  <c r="BK172" i="27"/>
  <c r="BJ50" i="27"/>
  <c r="BK50" i="27"/>
  <c r="BJ167" i="27"/>
  <c r="BK167" i="27"/>
  <c r="BJ29" i="27"/>
  <c r="BK29" i="27"/>
  <c r="BJ74" i="27"/>
  <c r="BK74" i="27"/>
  <c r="BU74" i="27"/>
  <c r="BV74" i="27"/>
  <c r="BJ237" i="27"/>
  <c r="BK237" i="27"/>
  <c r="BW237" i="27"/>
  <c r="BJ38" i="27"/>
  <c r="BK38" i="27"/>
  <c r="BW38" i="27"/>
  <c r="BJ153" i="27"/>
  <c r="BK153" i="27"/>
  <c r="BJ189" i="27"/>
  <c r="BK189" i="27"/>
  <c r="BU189" i="27"/>
  <c r="BV189" i="27"/>
  <c r="BJ44" i="27"/>
  <c r="BK44" i="27"/>
  <c r="BW44" i="27"/>
  <c r="BJ4" i="27"/>
  <c r="BK4" i="27"/>
  <c r="BW4" i="27"/>
  <c r="BJ303" i="27"/>
  <c r="BK303" i="27"/>
  <c r="BW303" i="27"/>
  <c r="BJ179" i="27"/>
  <c r="BK179" i="27"/>
  <c r="BJ297" i="27"/>
  <c r="BK297" i="27"/>
  <c r="BJ248" i="27"/>
  <c r="BK248" i="27"/>
  <c r="BJ140" i="27"/>
  <c r="BK140" i="27"/>
  <c r="BW140" i="27"/>
  <c r="BJ39" i="27"/>
  <c r="BK39" i="27"/>
  <c r="BJ118" i="27"/>
  <c r="BK118" i="27"/>
  <c r="BU118" i="27"/>
  <c r="BV118" i="27"/>
  <c r="BJ128" i="27"/>
  <c r="BK128" i="27"/>
  <c r="BW128" i="27"/>
  <c r="BJ316" i="27"/>
  <c r="BK316" i="27"/>
  <c r="BW316" i="27"/>
  <c r="BJ222" i="27"/>
  <c r="BK222" i="27"/>
  <c r="BU222" i="27"/>
  <c r="BV222" i="27"/>
  <c r="BJ125" i="27"/>
  <c r="BK125" i="27"/>
  <c r="BW125" i="27"/>
  <c r="BJ32" i="27"/>
  <c r="BK32" i="27"/>
  <c r="BJ101" i="27"/>
  <c r="BK101" i="27"/>
  <c r="BU101" i="27"/>
  <c r="BV101" i="27"/>
  <c r="BJ317" i="27"/>
  <c r="BK317" i="27"/>
  <c r="BJ187" i="27"/>
  <c r="BK187" i="27"/>
  <c r="BJ53" i="27"/>
  <c r="BK53" i="27"/>
  <c r="BW53" i="27"/>
  <c r="BJ324" i="27"/>
  <c r="BK324" i="27"/>
  <c r="BJ183" i="27"/>
  <c r="BK183" i="27"/>
  <c r="BU183" i="27"/>
  <c r="BV183" i="27"/>
  <c r="BJ46" i="27"/>
  <c r="BK46" i="27"/>
  <c r="BU46" i="27"/>
  <c r="BV46" i="27"/>
  <c r="BJ107" i="27"/>
  <c r="BK107" i="27"/>
  <c r="BJ227" i="27"/>
  <c r="BK227" i="27"/>
  <c r="BU227" i="27"/>
  <c r="BV227" i="27"/>
  <c r="BJ269" i="27"/>
  <c r="BK269" i="27"/>
  <c r="BW269" i="27"/>
  <c r="BJ59" i="27"/>
  <c r="BK59" i="27"/>
  <c r="BU59" i="27"/>
  <c r="BV59" i="27"/>
  <c r="BJ141" i="27"/>
  <c r="BK141" i="27"/>
  <c r="BJ62" i="27"/>
  <c r="BK62" i="27"/>
  <c r="BJ51" i="27"/>
  <c r="BK51" i="27"/>
  <c r="BU51" i="27"/>
  <c r="BV51" i="27"/>
  <c r="BJ182" i="27"/>
  <c r="BK182" i="27"/>
  <c r="BU182" i="27"/>
  <c r="BV182" i="27"/>
  <c r="BJ85" i="27"/>
  <c r="BK85" i="27"/>
  <c r="BW85" i="27"/>
  <c r="BJ91" i="27"/>
  <c r="BK91" i="27"/>
  <c r="BW91" i="27"/>
  <c r="BJ241" i="12"/>
  <c r="BK241" i="12"/>
  <c r="BJ215" i="12"/>
  <c r="BK215" i="12"/>
  <c r="AV212" i="12"/>
  <c r="BT212" i="12"/>
  <c r="AV221" i="12"/>
  <c r="BT221" i="12"/>
  <c r="AV261" i="12"/>
  <c r="BT261" i="12"/>
  <c r="AV243" i="12"/>
  <c r="BT243" i="12"/>
  <c r="BI128" i="12"/>
  <c r="BH128" i="12"/>
  <c r="AV232" i="12"/>
  <c r="BT232" i="12"/>
  <c r="BJ227" i="12"/>
  <c r="BK227" i="12"/>
  <c r="BJ257" i="12"/>
  <c r="BK257" i="12"/>
  <c r="BX257" i="12"/>
  <c r="BJ236" i="12"/>
  <c r="BK236" i="12"/>
  <c r="BX236" i="12"/>
  <c r="BJ265" i="12"/>
  <c r="BK265" i="12"/>
  <c r="BV265" i="12"/>
  <c r="BW265" i="12"/>
  <c r="BJ224" i="12"/>
  <c r="BK224" i="12"/>
  <c r="BX224" i="12"/>
  <c r="BJ223" i="12"/>
  <c r="BK223" i="12"/>
  <c r="BX223" i="12"/>
  <c r="AZ312" i="27"/>
  <c r="AY312" i="27"/>
  <c r="AZ142" i="27"/>
  <c r="AY142" i="27"/>
  <c r="BE312" i="27"/>
  <c r="BF312" i="27"/>
  <c r="BG312" i="27"/>
  <c r="AZ280" i="27"/>
  <c r="AY280" i="27"/>
  <c r="BE280" i="27"/>
  <c r="BF280" i="27"/>
  <c r="BG280" i="27"/>
  <c r="BJ237" i="12"/>
  <c r="BK237" i="12"/>
  <c r="BJ240" i="12"/>
  <c r="BK240" i="12"/>
  <c r="BJ81" i="27"/>
  <c r="BK81" i="27"/>
  <c r="BU81" i="27"/>
  <c r="BV81" i="27"/>
  <c r="BJ12" i="27"/>
  <c r="BK12" i="27"/>
  <c r="BU12" i="27"/>
  <c r="BV12" i="27"/>
  <c r="BJ231" i="27"/>
  <c r="BK231" i="27"/>
  <c r="BU231" i="27"/>
  <c r="BV231" i="27"/>
  <c r="BF142" i="27"/>
  <c r="BG142" i="27"/>
  <c r="BE142" i="27"/>
  <c r="AZ26" i="27"/>
  <c r="AY26" i="27"/>
  <c r="BJ226" i="27"/>
  <c r="BK226" i="27"/>
  <c r="BW226" i="27"/>
  <c r="BJ102" i="27"/>
  <c r="BK102" i="27"/>
  <c r="BF261" i="12"/>
  <c r="BG261" i="12"/>
  <c r="BE261" i="12"/>
  <c r="BE26" i="27"/>
  <c r="BF26" i="27"/>
  <c r="BG26" i="27"/>
  <c r="BE134" i="27"/>
  <c r="BF134" i="27"/>
  <c r="BG134" i="27"/>
  <c r="BJ213" i="12"/>
  <c r="BK213" i="12"/>
  <c r="BV213" i="12"/>
  <c r="BW213" i="12"/>
  <c r="BJ315" i="27"/>
  <c r="BK315" i="27"/>
  <c r="BU315" i="27"/>
  <c r="BV315" i="27"/>
  <c r="BJ55" i="27"/>
  <c r="BK55" i="27"/>
  <c r="BW55" i="27"/>
  <c r="BJ164" i="27"/>
  <c r="BK164" i="27"/>
  <c r="BW164" i="27"/>
  <c r="BJ202" i="27"/>
  <c r="BK202" i="27"/>
  <c r="BU202" i="27"/>
  <c r="BV202" i="27"/>
  <c r="BJ72" i="27"/>
  <c r="BK72" i="27"/>
  <c r="BU72" i="27"/>
  <c r="BV72" i="27"/>
  <c r="AZ30" i="27"/>
  <c r="AY30" i="27"/>
  <c r="BF30" i="27"/>
  <c r="BG30" i="27"/>
  <c r="BE30" i="27"/>
  <c r="BJ242" i="27"/>
  <c r="BK242" i="27"/>
  <c r="BU242" i="27"/>
  <c r="BV242" i="27"/>
  <c r="BJ274" i="27"/>
  <c r="BK274" i="27"/>
  <c r="BW274" i="27"/>
  <c r="BJ170" i="27"/>
  <c r="BK170" i="27"/>
  <c r="BJ271" i="27"/>
  <c r="BK271" i="27"/>
  <c r="BW271" i="27"/>
  <c r="BJ254" i="27"/>
  <c r="BK254" i="27"/>
  <c r="BW254" i="27"/>
  <c r="BF6" i="27"/>
  <c r="BG6" i="27"/>
  <c r="BE6" i="27"/>
  <c r="BJ23" i="27"/>
  <c r="BK23" i="27"/>
  <c r="BU23" i="27"/>
  <c r="BV23" i="27"/>
  <c r="BJ251" i="27"/>
  <c r="BK251" i="27"/>
  <c r="BU251" i="27"/>
  <c r="BV251" i="27"/>
  <c r="BJ262" i="27"/>
  <c r="BK262" i="27"/>
  <c r="BW262" i="27"/>
  <c r="BJ208" i="27"/>
  <c r="BK208" i="27"/>
  <c r="BU208" i="27"/>
  <c r="BV208" i="27"/>
  <c r="BJ96" i="27"/>
  <c r="BK96" i="27"/>
  <c r="BU96" i="27"/>
  <c r="BV96" i="27"/>
  <c r="BJ154" i="27"/>
  <c r="BK154" i="27"/>
  <c r="BJ211" i="27"/>
  <c r="BK211" i="27"/>
  <c r="BW211" i="27"/>
  <c r="AY299" i="27"/>
  <c r="AZ299" i="27"/>
  <c r="AZ134" i="27"/>
  <c r="AY134" i="27"/>
  <c r="BJ287" i="27"/>
  <c r="BK287" i="27"/>
  <c r="BW287" i="27"/>
  <c r="AY261" i="12"/>
  <c r="AZ261" i="12"/>
  <c r="BH104" i="27"/>
  <c r="BI104" i="27"/>
  <c r="AZ320" i="27"/>
  <c r="AY320" i="27"/>
  <c r="BJ263" i="12"/>
  <c r="BK263" i="12"/>
  <c r="BX263" i="12"/>
  <c r="BJ63" i="27"/>
  <c r="BK63" i="27"/>
  <c r="BU63" i="27"/>
  <c r="BV63" i="27"/>
  <c r="BJ126" i="27"/>
  <c r="BK126" i="27"/>
  <c r="BU126" i="27"/>
  <c r="BV126" i="27"/>
  <c r="BJ279" i="27"/>
  <c r="BK279" i="27"/>
  <c r="BU279" i="27"/>
  <c r="BV279" i="27"/>
  <c r="BJ249" i="27"/>
  <c r="BK249" i="27"/>
  <c r="BW249" i="27"/>
  <c r="BJ113" i="27"/>
  <c r="BK113" i="27"/>
  <c r="BU113" i="27"/>
  <c r="BV113" i="27"/>
  <c r="BE310" i="27"/>
  <c r="BF310" i="27"/>
  <c r="BG310" i="27"/>
  <c r="BF299" i="27"/>
  <c r="BG299" i="27"/>
  <c r="BE299" i="27"/>
  <c r="BJ212" i="27"/>
  <c r="BK212" i="27"/>
  <c r="BW212" i="27"/>
  <c r="BJ223" i="27"/>
  <c r="BK223" i="27"/>
  <c r="BJ270" i="27"/>
  <c r="BK270" i="27"/>
  <c r="BU270" i="27"/>
  <c r="BV270" i="27"/>
  <c r="AY310" i="27"/>
  <c r="AZ310" i="27"/>
  <c r="AZ221" i="12"/>
  <c r="AY221" i="12"/>
  <c r="AZ6" i="27"/>
  <c r="AY6" i="27"/>
  <c r="BJ259" i="12"/>
  <c r="BK259" i="12"/>
  <c r="BV259" i="12"/>
  <c r="BW259" i="12"/>
  <c r="BJ152" i="27"/>
  <c r="BK152" i="27"/>
  <c r="BW152" i="27"/>
  <c r="BJ224" i="27"/>
  <c r="BK224" i="27"/>
  <c r="BU224" i="27"/>
  <c r="BV224" i="27"/>
  <c r="BJ146" i="27"/>
  <c r="BK146" i="27"/>
  <c r="BJ283" i="27"/>
  <c r="BK283" i="27"/>
  <c r="BU283" i="27"/>
  <c r="BV283" i="27"/>
  <c r="BJ106" i="27"/>
  <c r="BK106" i="27"/>
  <c r="BU106" i="27"/>
  <c r="BV106" i="27"/>
  <c r="BJ42" i="27"/>
  <c r="BK42" i="27"/>
  <c r="BW42" i="27"/>
  <c r="BJ79" i="27"/>
  <c r="BK79" i="27"/>
  <c r="BW79" i="27"/>
  <c r="BJ301" i="27"/>
  <c r="BK301" i="27"/>
  <c r="BW301" i="27"/>
  <c r="BJ323" i="27"/>
  <c r="BK323" i="27"/>
  <c r="BW323" i="27"/>
  <c r="BJ3" i="27"/>
  <c r="BK3" i="27"/>
  <c r="BU3" i="27"/>
  <c r="BV3" i="27"/>
  <c r="BJ252" i="27"/>
  <c r="BK252" i="27"/>
  <c r="BW252" i="27"/>
  <c r="BF221" i="12"/>
  <c r="BG221" i="12"/>
  <c r="BE221" i="12"/>
  <c r="BF320" i="27"/>
  <c r="BG320" i="27"/>
  <c r="BE320" i="27"/>
  <c r="BU13" i="27"/>
  <c r="BV13" i="27"/>
  <c r="BW13" i="27"/>
  <c r="BW72" i="27"/>
  <c r="BU303" i="27"/>
  <c r="BV303" i="27"/>
  <c r="BU7" i="27"/>
  <c r="BV7" i="27"/>
  <c r="BW7" i="27"/>
  <c r="BW181" i="27"/>
  <c r="BU181" i="27"/>
  <c r="BV181" i="27"/>
  <c r="BU161" i="27"/>
  <c r="BV161" i="27"/>
  <c r="BW161" i="27"/>
  <c r="BW151" i="27"/>
  <c r="BU135" i="27"/>
  <c r="BV135" i="27"/>
  <c r="BW135" i="27"/>
  <c r="BU317" i="27"/>
  <c r="BV317" i="27"/>
  <c r="BW317" i="27"/>
  <c r="BW187" i="27"/>
  <c r="BU187" i="27"/>
  <c r="BV187" i="27"/>
  <c r="BW176" i="27"/>
  <c r="BU176" i="27"/>
  <c r="BV176" i="27"/>
  <c r="BU4" i="27"/>
  <c r="BV4" i="27"/>
  <c r="BU147" i="27"/>
  <c r="BV147" i="27"/>
  <c r="AZ28" i="27"/>
  <c r="AY28" i="27"/>
  <c r="BW81" i="27"/>
  <c r="AY306" i="27"/>
  <c r="AZ306" i="27"/>
  <c r="BW222" i="27"/>
  <c r="BW102" i="27"/>
  <c r="BU102" i="27"/>
  <c r="BV102" i="27"/>
  <c r="BU62" i="27"/>
  <c r="BV62" i="27"/>
  <c r="BW62" i="27"/>
  <c r="BU153" i="27"/>
  <c r="BV153" i="27"/>
  <c r="BW153" i="27"/>
  <c r="BW255" i="27"/>
  <c r="BU223" i="27"/>
  <c r="BV223" i="27"/>
  <c r="BW223" i="27"/>
  <c r="BU133" i="27"/>
  <c r="BV133" i="27"/>
  <c r="BW133" i="27"/>
  <c r="BW270" i="27"/>
  <c r="BW220" i="27"/>
  <c r="BU220" i="27"/>
  <c r="BV220" i="27"/>
  <c r="BU22" i="27"/>
  <c r="BV22" i="27"/>
  <c r="BW22" i="27"/>
  <c r="BW162" i="27"/>
  <c r="BU162" i="27"/>
  <c r="BV162" i="27"/>
  <c r="BW23" i="27"/>
  <c r="BW251" i="27"/>
  <c r="AY263" i="27"/>
  <c r="AZ263" i="27"/>
  <c r="BU179" i="27"/>
  <c r="BV179" i="27"/>
  <c r="BW179" i="27"/>
  <c r="AZ185" i="27"/>
  <c r="AY185" i="27"/>
  <c r="BW146" i="27"/>
  <c r="BU146" i="27"/>
  <c r="BV146" i="27"/>
  <c r="BW106" i="27"/>
  <c r="BU301" i="27"/>
  <c r="BV301" i="27"/>
  <c r="BW170" i="27"/>
  <c r="BU170" i="27"/>
  <c r="BV170" i="27"/>
  <c r="BW154" i="27"/>
  <c r="BU154" i="27"/>
  <c r="BV154" i="27"/>
  <c r="BW59" i="27"/>
  <c r="BU141" i="27"/>
  <c r="BV141" i="27"/>
  <c r="BW141" i="27"/>
  <c r="BU32" i="27"/>
  <c r="BV32" i="27"/>
  <c r="BW32" i="27"/>
  <c r="AZ194" i="27"/>
  <c r="AY194" i="27"/>
  <c r="BU167" i="27"/>
  <c r="BV167" i="27"/>
  <c r="BW167" i="27"/>
  <c r="AY165" i="27"/>
  <c r="AZ165" i="27"/>
  <c r="BW258" i="27"/>
  <c r="BU258" i="27"/>
  <c r="BV258" i="27"/>
  <c r="AY93" i="27"/>
  <c r="AZ93" i="27"/>
  <c r="BU325" i="27"/>
  <c r="BV325" i="27"/>
  <c r="BW325" i="27"/>
  <c r="BW25" i="27"/>
  <c r="BW17" i="27"/>
  <c r="BU17" i="27"/>
  <c r="BV17" i="27"/>
  <c r="AY243" i="27"/>
  <c r="AZ243" i="27"/>
  <c r="BU260" i="27"/>
  <c r="BV260" i="27"/>
  <c r="BU38" i="27"/>
  <c r="BV38" i="27"/>
  <c r="AY245" i="27"/>
  <c r="AZ245" i="27"/>
  <c r="BU158" i="27"/>
  <c r="BV158" i="27"/>
  <c r="BW285" i="27"/>
  <c r="BU285" i="27"/>
  <c r="BV285" i="27"/>
  <c r="AZ190" i="27"/>
  <c r="AY190" i="27"/>
  <c r="AY304" i="27"/>
  <c r="AZ304" i="27"/>
  <c r="BW248" i="27"/>
  <c r="BU248" i="27"/>
  <c r="BV248" i="27"/>
  <c r="AZ68" i="27"/>
  <c r="AY68" i="27"/>
  <c r="BU324" i="27"/>
  <c r="BV324" i="27"/>
  <c r="BW324" i="27"/>
  <c r="BW74" i="27"/>
  <c r="BW221" i="27"/>
  <c r="BH180" i="27"/>
  <c r="BI180" i="27"/>
  <c r="BU39" i="27"/>
  <c r="BV39" i="27"/>
  <c r="BW39" i="27"/>
  <c r="BU131" i="27"/>
  <c r="BV131" i="27"/>
  <c r="BW131" i="27"/>
  <c r="BI175" i="27"/>
  <c r="BH175" i="27"/>
  <c r="BI284" i="27"/>
  <c r="BH284" i="27"/>
  <c r="BW14" i="27"/>
  <c r="BW115" i="27"/>
  <c r="BU115" i="27"/>
  <c r="BV115" i="27"/>
  <c r="BH94" i="27"/>
  <c r="BI94" i="27"/>
  <c r="BI95" i="27"/>
  <c r="BH95" i="27"/>
  <c r="BJ95" i="27"/>
  <c r="BK95" i="27"/>
  <c r="BH122" i="27"/>
  <c r="BJ122" i="27"/>
  <c r="BK122" i="27"/>
  <c r="BI122" i="27"/>
  <c r="BF165" i="27"/>
  <c r="BG165" i="27"/>
  <c r="BE165" i="27"/>
  <c r="BW266" i="27"/>
  <c r="BU266" i="27"/>
  <c r="BV266" i="27"/>
  <c r="BI98" i="27"/>
  <c r="BH98" i="27"/>
  <c r="BH295" i="27"/>
  <c r="BI295" i="27"/>
  <c r="BH289" i="27"/>
  <c r="BI289" i="27"/>
  <c r="BI155" i="27"/>
  <c r="BH155" i="27"/>
  <c r="BI244" i="27"/>
  <c r="BH244" i="27"/>
  <c r="BJ244" i="27"/>
  <c r="BK244" i="27"/>
  <c r="BU140" i="27"/>
  <c r="BV140" i="27"/>
  <c r="BW70" i="27"/>
  <c r="BU70" i="27"/>
  <c r="BV70" i="27"/>
  <c r="BI188" i="27"/>
  <c r="BH188" i="27"/>
  <c r="BW234" i="27"/>
  <c r="BU234" i="27"/>
  <c r="BV234" i="27"/>
  <c r="BH27" i="27"/>
  <c r="BI27" i="27"/>
  <c r="BW166" i="27"/>
  <c r="BU166" i="27"/>
  <c r="BV166" i="27"/>
  <c r="BU230" i="27"/>
  <c r="BV230" i="27"/>
  <c r="BW230" i="27"/>
  <c r="BH201" i="27"/>
  <c r="BI201" i="27"/>
  <c r="BE68" i="27"/>
  <c r="BF68" i="27"/>
  <c r="BG68" i="27"/>
  <c r="BW209" i="27"/>
  <c r="BH309" i="27"/>
  <c r="BI309" i="27"/>
  <c r="AV28" i="27"/>
  <c r="BI229" i="27"/>
  <c r="BH229" i="27"/>
  <c r="AV304" i="27"/>
  <c r="BI20" i="27"/>
  <c r="BH20" i="27"/>
  <c r="BI86" i="27"/>
  <c r="BH86" i="27"/>
  <c r="BI232" i="27"/>
  <c r="BH232" i="27"/>
  <c r="BI143" i="27"/>
  <c r="BH143" i="27"/>
  <c r="BE245" i="27"/>
  <c r="BF245" i="27"/>
  <c r="BG245" i="27"/>
  <c r="BH206" i="27"/>
  <c r="BI206" i="27"/>
  <c r="BH305" i="27"/>
  <c r="BI305" i="27"/>
  <c r="BU198" i="27"/>
  <c r="BV198" i="27"/>
  <c r="BW198" i="27"/>
  <c r="BU300" i="27"/>
  <c r="BV300" i="27"/>
  <c r="BW300" i="27"/>
  <c r="BU137" i="27"/>
  <c r="BV137" i="27"/>
  <c r="BW137" i="27"/>
  <c r="BI45" i="27"/>
  <c r="BH45" i="27"/>
  <c r="BJ45" i="27"/>
  <c r="BK45" i="27"/>
  <c r="BI150" i="27"/>
  <c r="BH150" i="27"/>
  <c r="BU56" i="27"/>
  <c r="BV56" i="27"/>
  <c r="BW56" i="27"/>
  <c r="BH193" i="27"/>
  <c r="BI193" i="27"/>
  <c r="BW101" i="27"/>
  <c r="BI149" i="27"/>
  <c r="BH149" i="27"/>
  <c r="BI273" i="27"/>
  <c r="BH273" i="27"/>
  <c r="BI169" i="27"/>
  <c r="BH169" i="27"/>
  <c r="BJ169" i="27"/>
  <c r="BK169" i="27"/>
  <c r="BI69" i="27"/>
  <c r="BH69" i="27"/>
  <c r="BW296" i="27"/>
  <c r="BW290" i="27"/>
  <c r="BU290" i="27"/>
  <c r="BV290" i="27"/>
  <c r="BU120" i="27"/>
  <c r="BV120" i="27"/>
  <c r="BW120" i="27"/>
  <c r="BI61" i="27"/>
  <c r="BH61" i="27"/>
  <c r="BJ61" i="27"/>
  <c r="BK61" i="27"/>
  <c r="BI278" i="27"/>
  <c r="BH278" i="27"/>
  <c r="BI92" i="27"/>
  <c r="BJ92" i="27"/>
  <c r="BK92" i="27"/>
  <c r="BH92" i="27"/>
  <c r="BI192" i="27"/>
  <c r="BH192" i="27"/>
  <c r="BU311" i="27"/>
  <c r="BV311" i="27"/>
  <c r="BW311" i="27"/>
  <c r="BH214" i="27"/>
  <c r="BI214" i="27"/>
  <c r="BH88" i="27"/>
  <c r="BI88" i="27"/>
  <c r="BU21" i="27"/>
  <c r="BV21" i="27"/>
  <c r="BI184" i="27"/>
  <c r="BH184" i="27"/>
  <c r="BH308" i="27"/>
  <c r="BI308" i="27"/>
  <c r="BI157" i="27"/>
  <c r="BH157" i="27"/>
  <c r="BI241" i="27"/>
  <c r="BH241" i="27"/>
  <c r="AV243" i="27"/>
  <c r="BW89" i="27"/>
  <c r="BU89" i="27"/>
  <c r="BV89" i="27"/>
  <c r="BW233" i="27"/>
  <c r="BU233" i="27"/>
  <c r="BV233" i="27"/>
  <c r="BW107" i="27"/>
  <c r="BU107" i="27"/>
  <c r="BV107" i="27"/>
  <c r="BH205" i="27"/>
  <c r="BI205" i="27"/>
  <c r="BH204" i="27"/>
  <c r="BI204" i="27"/>
  <c r="BH196" i="27"/>
  <c r="BI196" i="27"/>
  <c r="BH291" i="27"/>
  <c r="BI291" i="27"/>
  <c r="BI123" i="27"/>
  <c r="BH123" i="27"/>
  <c r="BU100" i="27"/>
  <c r="BV100" i="27"/>
  <c r="BI319" i="27"/>
  <c r="BH319" i="27"/>
  <c r="AV288" i="27"/>
  <c r="BU247" i="27"/>
  <c r="BV247" i="27"/>
  <c r="BW247" i="27"/>
  <c r="BW177" i="27"/>
  <c r="BE304" i="27"/>
  <c r="BF304" i="27"/>
  <c r="BG304" i="27"/>
  <c r="BI318" i="27"/>
  <c r="BH318" i="27"/>
  <c r="BJ318" i="27"/>
  <c r="BK318" i="27"/>
  <c r="BF194" i="27"/>
  <c r="BG194" i="27"/>
  <c r="BE194" i="27"/>
  <c r="BH33" i="27"/>
  <c r="BJ33" i="27"/>
  <c r="BK33" i="27"/>
  <c r="BI33" i="27"/>
  <c r="BI11" i="27"/>
  <c r="BH11" i="27"/>
  <c r="BJ11" i="27"/>
  <c r="BK11" i="27"/>
  <c r="AZ288" i="27"/>
  <c r="AY288" i="27"/>
  <c r="BW71" i="27"/>
  <c r="BU71" i="27"/>
  <c r="BV71" i="27"/>
  <c r="BU216" i="27"/>
  <c r="BV216" i="27"/>
  <c r="BW216" i="27"/>
  <c r="BW215" i="27"/>
  <c r="BU215" i="27"/>
  <c r="BV215" i="27"/>
  <c r="BI225" i="27"/>
  <c r="BH225" i="27"/>
  <c r="AV93" i="27"/>
  <c r="BH49" i="27"/>
  <c r="BI49" i="27"/>
  <c r="BU281" i="27"/>
  <c r="BV281" i="27"/>
  <c r="BW281" i="27"/>
  <c r="BW114" i="27"/>
  <c r="BU114" i="27"/>
  <c r="BV114" i="27"/>
  <c r="BH200" i="27"/>
  <c r="BI200" i="27"/>
  <c r="BI80" i="27"/>
  <c r="BH80" i="27"/>
  <c r="BW219" i="27"/>
  <c r="BU219" i="27"/>
  <c r="BV219" i="27"/>
  <c r="BI302" i="27"/>
  <c r="BH302" i="27"/>
  <c r="BI64" i="27"/>
  <c r="BH64" i="27"/>
  <c r="BW265" i="27"/>
  <c r="BU265" i="27"/>
  <c r="BV265" i="27"/>
  <c r="BE28" i="27"/>
  <c r="BF28" i="27"/>
  <c r="BG28" i="27"/>
  <c r="BW60" i="27"/>
  <c r="BU145" i="27"/>
  <c r="BV145" i="27"/>
  <c r="BW145" i="27"/>
  <c r="BW168" i="27"/>
  <c r="BU168" i="27"/>
  <c r="BV168" i="27"/>
  <c r="BH191" i="27"/>
  <c r="BI191" i="27"/>
  <c r="BU52" i="27"/>
  <c r="BV52" i="27"/>
  <c r="BW52" i="27"/>
  <c r="BH314" i="27"/>
  <c r="BI314" i="27"/>
  <c r="BI321" i="27"/>
  <c r="BH321" i="27"/>
  <c r="BH124" i="27"/>
  <c r="BI124" i="27"/>
  <c r="BU18" i="27"/>
  <c r="BV18" i="27"/>
  <c r="BW18" i="27"/>
  <c r="BI57" i="27"/>
  <c r="BH57" i="27"/>
  <c r="BJ57" i="27"/>
  <c r="BK57" i="27"/>
  <c r="BI197" i="27"/>
  <c r="BH197" i="27"/>
  <c r="BH110" i="27"/>
  <c r="BI110" i="27"/>
  <c r="BI66" i="27"/>
  <c r="BH66" i="27"/>
  <c r="BU313" i="27"/>
  <c r="BV313" i="27"/>
  <c r="BW313" i="27"/>
  <c r="BI9" i="27"/>
  <c r="BH9" i="27"/>
  <c r="BJ9" i="27"/>
  <c r="BK9" i="27"/>
  <c r="AV165" i="27"/>
  <c r="BI109" i="27"/>
  <c r="BH109" i="27"/>
  <c r="BH8" i="27"/>
  <c r="BI8" i="27"/>
  <c r="BW77" i="27"/>
  <c r="BU77" i="27"/>
  <c r="BV77" i="27"/>
  <c r="BI40" i="27"/>
  <c r="BH40" i="27"/>
  <c r="BW267" i="27"/>
  <c r="BU267" i="27"/>
  <c r="BV267" i="27"/>
  <c r="BU297" i="27"/>
  <c r="BV297" i="27"/>
  <c r="BW297" i="27"/>
  <c r="BU144" i="27"/>
  <c r="BV144" i="27"/>
  <c r="BF306" i="27"/>
  <c r="BG306" i="27"/>
  <c r="BE306" i="27"/>
  <c r="BW108" i="27"/>
  <c r="BU108" i="27"/>
  <c r="BV108" i="27"/>
  <c r="BI240" i="27"/>
  <c r="BH240" i="27"/>
  <c r="BI103" i="27"/>
  <c r="BH103" i="27"/>
  <c r="BU50" i="27"/>
  <c r="BV50" i="27"/>
  <c r="BW50" i="27"/>
  <c r="BH257" i="27"/>
  <c r="BI257" i="27"/>
  <c r="BJ257" i="27"/>
  <c r="BK257" i="27"/>
  <c r="BH76" i="27"/>
  <c r="BI76" i="27"/>
  <c r="BH82" i="27"/>
  <c r="BJ82" i="27"/>
  <c r="BK82" i="27"/>
  <c r="BI82" i="27"/>
  <c r="BU24" i="27"/>
  <c r="BV24" i="27"/>
  <c r="BW24" i="27"/>
  <c r="AV245" i="27"/>
  <c r="BI213" i="27"/>
  <c r="BH213" i="27"/>
  <c r="BJ213" i="27"/>
  <c r="BK213" i="27"/>
  <c r="BH116" i="27"/>
  <c r="BI116" i="27"/>
  <c r="BE93" i="27"/>
  <c r="BF93" i="27"/>
  <c r="BG93" i="27"/>
  <c r="BW246" i="27"/>
  <c r="BU246" i="27"/>
  <c r="BV246" i="27"/>
  <c r="BI65" i="27"/>
  <c r="BH65" i="27"/>
  <c r="BJ65" i="27"/>
  <c r="BK65" i="27"/>
  <c r="BI253" i="27"/>
  <c r="BH253" i="27"/>
  <c r="BJ253" i="27"/>
  <c r="BK253" i="27"/>
  <c r="AV306" i="27"/>
  <c r="AV194" i="27"/>
  <c r="BW119" i="27"/>
  <c r="BU54" i="27"/>
  <c r="BV54" i="27"/>
  <c r="BW54" i="27"/>
  <c r="BE185" i="27"/>
  <c r="BF185" i="27"/>
  <c r="BG185" i="27"/>
  <c r="BI307" i="27"/>
  <c r="BH307" i="27"/>
  <c r="BJ307" i="27"/>
  <c r="BK307" i="27"/>
  <c r="BE243" i="27"/>
  <c r="BF243" i="27"/>
  <c r="BG243" i="27"/>
  <c r="BI73" i="27"/>
  <c r="BH73" i="27"/>
  <c r="BI34" i="27"/>
  <c r="BH34" i="27"/>
  <c r="BE263" i="27"/>
  <c r="BF263" i="27"/>
  <c r="BG263" i="27"/>
  <c r="BI236" i="27"/>
  <c r="BH236" i="27"/>
  <c r="BJ236" i="27"/>
  <c r="BK236" i="27"/>
  <c r="BI207" i="27"/>
  <c r="BH207" i="27"/>
  <c r="BI261" i="27"/>
  <c r="BH261" i="27"/>
  <c r="BI286" i="27"/>
  <c r="BH286" i="27"/>
  <c r="BU31" i="27"/>
  <c r="BV31" i="27"/>
  <c r="BW31" i="27"/>
  <c r="BH277" i="27"/>
  <c r="BI277" i="27"/>
  <c r="BI127" i="27"/>
  <c r="BH127" i="27"/>
  <c r="BH298" i="27"/>
  <c r="BI298" i="27"/>
  <c r="BI171" i="27"/>
  <c r="BH171" i="27"/>
  <c r="BH250" i="27"/>
  <c r="BI250" i="27"/>
  <c r="BI84" i="27"/>
  <c r="BH84" i="27"/>
  <c r="BH293" i="27"/>
  <c r="BI293" i="27"/>
  <c r="BI292" i="27"/>
  <c r="BH292" i="27"/>
  <c r="BI5" i="27"/>
  <c r="BH5" i="27"/>
  <c r="BH268" i="27"/>
  <c r="BI268" i="27"/>
  <c r="BH275" i="27"/>
  <c r="BI275" i="27"/>
  <c r="BJ275" i="27"/>
  <c r="BK275" i="27"/>
  <c r="BI159" i="27"/>
  <c r="BH159" i="27"/>
  <c r="BW282" i="27"/>
  <c r="BU282" i="27"/>
  <c r="BV282" i="27"/>
  <c r="BU67" i="27"/>
  <c r="BV67" i="27"/>
  <c r="BW67" i="27"/>
  <c r="BW41" i="27"/>
  <c r="BU41" i="27"/>
  <c r="BV41" i="27"/>
  <c r="BH218" i="27"/>
  <c r="BI218" i="27"/>
  <c r="BU48" i="27"/>
  <c r="BV48" i="27"/>
  <c r="BW48" i="27"/>
  <c r="BI111" i="27"/>
  <c r="BH111" i="27"/>
  <c r="BJ111" i="27"/>
  <c r="BK111" i="27"/>
  <c r="BI195" i="27"/>
  <c r="BH195" i="27"/>
  <c r="BW156" i="27"/>
  <c r="BU156" i="27"/>
  <c r="BV156" i="27"/>
  <c r="BW29" i="27"/>
  <c r="BU29" i="27"/>
  <c r="BV29" i="27"/>
  <c r="BU2" i="27"/>
  <c r="BV2" i="27"/>
  <c r="BW2" i="27"/>
  <c r="BI83" i="27"/>
  <c r="BH83" i="27"/>
  <c r="BJ83" i="27"/>
  <c r="BK83" i="27"/>
  <c r="BE288" i="27"/>
  <c r="BF288" i="27"/>
  <c r="BG288" i="27"/>
  <c r="BI112" i="27"/>
  <c r="BH112" i="27"/>
  <c r="BW172" i="27"/>
  <c r="BU172" i="27"/>
  <c r="BV172" i="27"/>
  <c r="BH19" i="27"/>
  <c r="BI19" i="27"/>
  <c r="AV185" i="27"/>
  <c r="BU35" i="27"/>
  <c r="BV35" i="27"/>
  <c r="BW35" i="27"/>
  <c r="BU238" i="27"/>
  <c r="BV238" i="27"/>
  <c r="BW238" i="27"/>
  <c r="BI130" i="27"/>
  <c r="BH130" i="27"/>
  <c r="BU163" i="27"/>
  <c r="BV163" i="27"/>
  <c r="BW163" i="27"/>
  <c r="BH160" i="27"/>
  <c r="BI160" i="27"/>
  <c r="BW97" i="27"/>
  <c r="BU97" i="27"/>
  <c r="BV97" i="27"/>
  <c r="BI58" i="27"/>
  <c r="BH58" i="27"/>
  <c r="AV68" i="27"/>
  <c r="BI173" i="27"/>
  <c r="BH173" i="27"/>
  <c r="BI132" i="27"/>
  <c r="BH132" i="27"/>
  <c r="BI203" i="27"/>
  <c r="BH203" i="27"/>
  <c r="BW43" i="27"/>
  <c r="BU43" i="27"/>
  <c r="BV43" i="27"/>
  <c r="BU178" i="27"/>
  <c r="BV178" i="27"/>
  <c r="BW178" i="27"/>
  <c r="BI139" i="27"/>
  <c r="BH139" i="27"/>
  <c r="BU129" i="27"/>
  <c r="BV129" i="27"/>
  <c r="BW129" i="27"/>
  <c r="BI199" i="27"/>
  <c r="BH199" i="27"/>
  <c r="BH136" i="27"/>
  <c r="BI136" i="27"/>
  <c r="BH256" i="27"/>
  <c r="BI256" i="27"/>
  <c r="AV190" i="27"/>
  <c r="BH264" i="27"/>
  <c r="BI264" i="27"/>
  <c r="BI235" i="27"/>
  <c r="BH235" i="27"/>
  <c r="BF190" i="27"/>
  <c r="BG190" i="27"/>
  <c r="BE190" i="27"/>
  <c r="AV263" i="27"/>
  <c r="BW117" i="27"/>
  <c r="BI148" i="27"/>
  <c r="BH148" i="27"/>
  <c r="BH276" i="27"/>
  <c r="BI276" i="27"/>
  <c r="BI47" i="27"/>
  <c r="BH47" i="27"/>
  <c r="BI36" i="27"/>
  <c r="BH36" i="27"/>
  <c r="BI10" i="27"/>
  <c r="BH10" i="27"/>
  <c r="BI217" i="27"/>
  <c r="BH217" i="27"/>
  <c r="BI294" i="27"/>
  <c r="BH294" i="27"/>
  <c r="AY212" i="12"/>
  <c r="AZ212" i="12"/>
  <c r="BF232" i="12"/>
  <c r="BG232" i="12"/>
  <c r="BE232" i="12"/>
  <c r="BJ222" i="12"/>
  <c r="BK222" i="12"/>
  <c r="BX222" i="12"/>
  <c r="BJ249" i="12"/>
  <c r="BK249" i="12"/>
  <c r="BV249" i="12"/>
  <c r="BW249" i="12"/>
  <c r="BE243" i="12"/>
  <c r="BF243" i="12"/>
  <c r="BG243" i="12"/>
  <c r="BJ246" i="12"/>
  <c r="BK246" i="12"/>
  <c r="BX246" i="12"/>
  <c r="AZ232" i="12"/>
  <c r="AY232" i="12"/>
  <c r="BJ256" i="12"/>
  <c r="BK256" i="12"/>
  <c r="BV256" i="12"/>
  <c r="BW256" i="12"/>
  <c r="BJ210" i="12"/>
  <c r="BK210" i="12"/>
  <c r="BV210" i="12"/>
  <c r="BW210" i="12"/>
  <c r="AZ243" i="12"/>
  <c r="AY243" i="12"/>
  <c r="BE212" i="12"/>
  <c r="BF212" i="12"/>
  <c r="BG212" i="12"/>
  <c r="BJ250" i="12"/>
  <c r="BK250" i="12"/>
  <c r="BX250" i="12"/>
  <c r="BJ226" i="12"/>
  <c r="BK226" i="12"/>
  <c r="BX226" i="12"/>
  <c r="BJ217" i="12"/>
  <c r="BK217" i="12"/>
  <c r="BX217" i="12"/>
  <c r="BJ233" i="12"/>
  <c r="BK233" i="12"/>
  <c r="BX233" i="12"/>
  <c r="BJ235" i="12"/>
  <c r="BK235" i="12"/>
  <c r="BV235" i="12"/>
  <c r="BW235" i="12"/>
  <c r="BV241" i="12"/>
  <c r="BW241" i="12"/>
  <c r="BX241" i="12"/>
  <c r="BV268" i="12"/>
  <c r="BW268" i="12"/>
  <c r="BX268" i="12"/>
  <c r="BV264" i="12"/>
  <c r="BW264" i="12"/>
  <c r="BX264" i="12"/>
  <c r="BV263" i="12"/>
  <c r="BW263" i="12"/>
  <c r="BV260" i="12"/>
  <c r="BW260" i="12"/>
  <c r="BX260" i="12"/>
  <c r="BV266" i="12"/>
  <c r="BW266" i="12"/>
  <c r="BX266" i="12"/>
  <c r="BV267" i="12"/>
  <c r="BW267" i="12"/>
  <c r="BX267" i="12"/>
  <c r="BI244" i="12"/>
  <c r="BH244" i="12"/>
  <c r="BV215" i="12"/>
  <c r="BW215" i="12"/>
  <c r="BX215" i="12"/>
  <c r="BI214" i="12"/>
  <c r="BH214" i="12"/>
  <c r="BV239" i="12"/>
  <c r="BW239" i="12"/>
  <c r="BX239" i="12"/>
  <c r="BE252" i="12"/>
  <c r="BF252" i="12"/>
  <c r="BG252" i="12"/>
  <c r="BI228" i="12"/>
  <c r="BH228" i="12"/>
  <c r="BH238" i="12"/>
  <c r="BI238" i="12"/>
  <c r="BV237" i="12"/>
  <c r="BW237" i="12"/>
  <c r="BX237" i="12"/>
  <c r="BX269" i="12"/>
  <c r="BV269" i="12"/>
  <c r="BW269" i="12"/>
  <c r="BI230" i="12"/>
  <c r="BH230" i="12"/>
  <c r="AY252" i="12"/>
  <c r="AZ252" i="12"/>
  <c r="BV242" i="12"/>
  <c r="BW242" i="12"/>
  <c r="BX242" i="12"/>
  <c r="BH229" i="12"/>
  <c r="BI229" i="12"/>
  <c r="BV211" i="12"/>
  <c r="BW211" i="12"/>
  <c r="BX211" i="12"/>
  <c r="BH220" i="12"/>
  <c r="BI220" i="12"/>
  <c r="BH245" i="12"/>
  <c r="BI245" i="12"/>
  <c r="AV252" i="12"/>
  <c r="BH216" i="12"/>
  <c r="BI216" i="12"/>
  <c r="BH218" i="12"/>
  <c r="BI218" i="12"/>
  <c r="BI251" i="12"/>
  <c r="BH251" i="12"/>
  <c r="BI248" i="12"/>
  <c r="BH248" i="12"/>
  <c r="BI262" i="12"/>
  <c r="BH262" i="12"/>
  <c r="BH247" i="12"/>
  <c r="BI247" i="12"/>
  <c r="BV227" i="12"/>
  <c r="BW227" i="12"/>
  <c r="BX227" i="12"/>
  <c r="BI255" i="12"/>
  <c r="BH255" i="12"/>
  <c r="BI231" i="12"/>
  <c r="BH231" i="12"/>
  <c r="BH225" i="12"/>
  <c r="BI225" i="12"/>
  <c r="BJ225" i="12"/>
  <c r="BK225" i="12"/>
  <c r="BX240" i="12"/>
  <c r="BV240" i="12"/>
  <c r="BW240" i="12"/>
  <c r="BI219" i="12"/>
  <c r="BH219" i="12"/>
  <c r="BH254" i="12"/>
  <c r="BI254" i="12"/>
  <c r="BH253" i="12"/>
  <c r="BI253" i="12"/>
  <c r="BI258" i="12"/>
  <c r="BH258" i="12"/>
  <c r="BV236" i="12"/>
  <c r="BW236" i="12"/>
  <c r="BW259" i="27"/>
  <c r="BJ250" i="27"/>
  <c r="BK250" i="27"/>
  <c r="BU128" i="27"/>
  <c r="BV128" i="27"/>
  <c r="BJ10" i="27"/>
  <c r="BK10" i="27"/>
  <c r="BU10" i="27"/>
  <c r="BV10" i="27"/>
  <c r="BU326" i="27"/>
  <c r="BV326" i="27"/>
  <c r="BJ20" i="27"/>
  <c r="BK20" i="27"/>
  <c r="BJ27" i="27"/>
  <c r="BK27" i="27"/>
  <c r="BU27" i="27"/>
  <c r="BV27" i="27"/>
  <c r="BJ98" i="27"/>
  <c r="BK98" i="27"/>
  <c r="BJ94" i="27"/>
  <c r="BK94" i="27"/>
  <c r="BU85" i="27"/>
  <c r="BV85" i="27"/>
  <c r="BU237" i="27"/>
  <c r="BV237" i="27"/>
  <c r="BW126" i="27"/>
  <c r="BW118" i="27"/>
  <c r="BW231" i="27"/>
  <c r="BU44" i="27"/>
  <c r="BV44" i="27"/>
  <c r="BW51" i="27"/>
  <c r="BJ214" i="12"/>
  <c r="BK214" i="12"/>
  <c r="BV214" i="12"/>
  <c r="BW214" i="12"/>
  <c r="BU328" i="27"/>
  <c r="BV328" i="27"/>
  <c r="BW189" i="27"/>
  <c r="BJ205" i="27"/>
  <c r="BK205" i="27"/>
  <c r="BW37" i="27"/>
  <c r="BJ123" i="27"/>
  <c r="BK123" i="27"/>
  <c r="BJ150" i="27"/>
  <c r="BK150" i="27"/>
  <c r="BJ201" i="27"/>
  <c r="BK201" i="27"/>
  <c r="BW201" i="27"/>
  <c r="BJ188" i="27"/>
  <c r="BK188" i="27"/>
  <c r="BJ155" i="27"/>
  <c r="BK155" i="27"/>
  <c r="BW327" i="27"/>
  <c r="BW75" i="27"/>
  <c r="BW182" i="27"/>
  <c r="BW46" i="27"/>
  <c r="BW208" i="27"/>
  <c r="BI186" i="27"/>
  <c r="BH186" i="27"/>
  <c r="BJ186" i="27"/>
  <c r="BK186" i="27"/>
  <c r="BW183" i="27"/>
  <c r="BU138" i="27"/>
  <c r="BV138" i="27"/>
  <c r="BW322" i="27"/>
  <c r="BW210" i="27"/>
  <c r="BU90" i="27"/>
  <c r="BV90" i="27"/>
  <c r="BU53" i="27"/>
  <c r="BV53" i="27"/>
  <c r="BV223" i="12"/>
  <c r="BW223" i="12"/>
  <c r="BW272" i="27"/>
  <c r="BV234" i="12"/>
  <c r="BW234" i="12"/>
  <c r="BV224" i="12"/>
  <c r="BW224" i="12"/>
  <c r="BJ130" i="27"/>
  <c r="BK130" i="27"/>
  <c r="BU130" i="27"/>
  <c r="BV130" i="27"/>
  <c r="BJ64" i="27"/>
  <c r="BK64" i="27"/>
  <c r="BU252" i="27"/>
  <c r="BV252" i="27"/>
  <c r="BJ128" i="12"/>
  <c r="BK128" i="12"/>
  <c r="BV128" i="12"/>
  <c r="BW128" i="12"/>
  <c r="BJ214" i="27"/>
  <c r="BK214" i="27"/>
  <c r="BW3" i="27"/>
  <c r="BW105" i="27"/>
  <c r="BW78" i="27"/>
  <c r="BJ255" i="12"/>
  <c r="BK255" i="12"/>
  <c r="BJ238" i="12"/>
  <c r="BK238" i="12"/>
  <c r="BJ291" i="27"/>
  <c r="BK291" i="27"/>
  <c r="BU291" i="27"/>
  <c r="BV291" i="27"/>
  <c r="BJ184" i="27"/>
  <c r="BK184" i="27"/>
  <c r="BW184" i="27"/>
  <c r="BJ192" i="27"/>
  <c r="BK192" i="27"/>
  <c r="BU192" i="27"/>
  <c r="BV192" i="27"/>
  <c r="BU323" i="27"/>
  <c r="BV323" i="27"/>
  <c r="BU211" i="27"/>
  <c r="BV211" i="27"/>
  <c r="BJ104" i="27"/>
  <c r="BK104" i="27"/>
  <c r="BH174" i="27"/>
  <c r="BI174" i="27"/>
  <c r="BJ199" i="27"/>
  <c r="BK199" i="27"/>
  <c r="BU199" i="27"/>
  <c r="BV199" i="27"/>
  <c r="BJ292" i="27"/>
  <c r="BK292" i="27"/>
  <c r="BJ298" i="27"/>
  <c r="BK298" i="27"/>
  <c r="BW298" i="27"/>
  <c r="BJ261" i="27"/>
  <c r="BK261" i="27"/>
  <c r="BU261" i="27"/>
  <c r="BV261" i="27"/>
  <c r="BJ73" i="27"/>
  <c r="BK73" i="27"/>
  <c r="BW73" i="27"/>
  <c r="BJ232" i="27"/>
  <c r="BK232" i="27"/>
  <c r="BW232" i="27"/>
  <c r="BW16" i="27"/>
  <c r="BW202" i="27"/>
  <c r="BU152" i="27"/>
  <c r="BV152" i="27"/>
  <c r="BU269" i="27"/>
  <c r="BV269" i="27"/>
  <c r="BU125" i="27"/>
  <c r="BV125" i="27"/>
  <c r="BW227" i="27"/>
  <c r="BJ191" i="27"/>
  <c r="BK191" i="27"/>
  <c r="BU191" i="27"/>
  <c r="BV191" i="27"/>
  <c r="BW239" i="27"/>
  <c r="BJ319" i="27"/>
  <c r="BK319" i="27"/>
  <c r="BU319" i="27"/>
  <c r="BV319" i="27"/>
  <c r="BJ149" i="27"/>
  <c r="BK149" i="27"/>
  <c r="BU149" i="27"/>
  <c r="BV149" i="27"/>
  <c r="BW87" i="27"/>
  <c r="BW15" i="27"/>
  <c r="BU164" i="27"/>
  <c r="BV164" i="27"/>
  <c r="BW12" i="27"/>
  <c r="BJ293" i="27"/>
  <c r="BK293" i="27"/>
  <c r="BJ116" i="27"/>
  <c r="BK116" i="27"/>
  <c r="BW116" i="27"/>
  <c r="BJ66" i="27"/>
  <c r="BK66" i="27"/>
  <c r="BW66" i="27"/>
  <c r="BJ88" i="27"/>
  <c r="BK88" i="27"/>
  <c r="BW88" i="27"/>
  <c r="BJ309" i="27"/>
  <c r="BK309" i="27"/>
  <c r="BW309" i="27"/>
  <c r="BW96" i="27"/>
  <c r="BU212" i="27"/>
  <c r="BV212" i="27"/>
  <c r="BJ173" i="27"/>
  <c r="BK173" i="27"/>
  <c r="BJ124" i="27"/>
  <c r="BK124" i="27"/>
  <c r="BJ284" i="27"/>
  <c r="BK284" i="27"/>
  <c r="BJ180" i="27"/>
  <c r="BK180" i="27"/>
  <c r="BU228" i="27"/>
  <c r="BV228" i="27"/>
  <c r="BW113" i="27"/>
  <c r="BU262" i="27"/>
  <c r="BV262" i="27"/>
  <c r="BW242" i="27"/>
  <c r="BJ76" i="27"/>
  <c r="BK76" i="27"/>
  <c r="BW76" i="27"/>
  <c r="BJ8" i="27"/>
  <c r="BK8" i="27"/>
  <c r="BU79" i="27"/>
  <c r="BV79" i="27"/>
  <c r="BU91" i="27"/>
  <c r="BV91" i="27"/>
  <c r="BJ256" i="27"/>
  <c r="BK256" i="27"/>
  <c r="BU256" i="27"/>
  <c r="BV256" i="27"/>
  <c r="BJ245" i="12"/>
  <c r="BK245" i="12"/>
  <c r="BJ228" i="12"/>
  <c r="BK228" i="12"/>
  <c r="BX228" i="12"/>
  <c r="BX256" i="12"/>
  <c r="BJ136" i="27"/>
  <c r="BK136" i="27"/>
  <c r="BU136" i="27"/>
  <c r="BV136" i="27"/>
  <c r="BJ58" i="27"/>
  <c r="BK58" i="27"/>
  <c r="BU58" i="27"/>
  <c r="BV58" i="27"/>
  <c r="BJ112" i="27"/>
  <c r="BK112" i="27"/>
  <c r="BJ268" i="27"/>
  <c r="BK268" i="27"/>
  <c r="BJ109" i="27"/>
  <c r="BK109" i="27"/>
  <c r="BJ110" i="27"/>
  <c r="BK110" i="27"/>
  <c r="BJ225" i="27"/>
  <c r="BK225" i="27"/>
  <c r="BU225" i="27"/>
  <c r="BV225" i="27"/>
  <c r="BU316" i="27"/>
  <c r="BV316" i="27"/>
  <c r="BJ273" i="27"/>
  <c r="BK273" i="27"/>
  <c r="BW273" i="27"/>
  <c r="BW279" i="27"/>
  <c r="BU271" i="27"/>
  <c r="BV271" i="27"/>
  <c r="BJ47" i="27"/>
  <c r="BK47" i="27"/>
  <c r="BW47" i="27"/>
  <c r="BJ5" i="27"/>
  <c r="BK5" i="27"/>
  <c r="BW5" i="27"/>
  <c r="BJ171" i="27"/>
  <c r="BK171" i="27"/>
  <c r="BJ286" i="27"/>
  <c r="BK286" i="27"/>
  <c r="BJ34" i="27"/>
  <c r="BK34" i="27"/>
  <c r="BJ197" i="27"/>
  <c r="BK197" i="27"/>
  <c r="BJ302" i="27"/>
  <c r="BK302" i="27"/>
  <c r="BW302" i="27"/>
  <c r="BJ143" i="27"/>
  <c r="BK143" i="27"/>
  <c r="BW143" i="27"/>
  <c r="BU42" i="27"/>
  <c r="BV42" i="27"/>
  <c r="BJ103" i="27"/>
  <c r="BK103" i="27"/>
  <c r="BW103" i="27"/>
  <c r="BJ241" i="27"/>
  <c r="BK241" i="27"/>
  <c r="BU241" i="27"/>
  <c r="BV241" i="27"/>
  <c r="BJ229" i="27"/>
  <c r="BK229" i="27"/>
  <c r="BU229" i="27"/>
  <c r="BV229" i="27"/>
  <c r="BJ294" i="27"/>
  <c r="BK294" i="27"/>
  <c r="BW294" i="27"/>
  <c r="BJ132" i="27"/>
  <c r="BK132" i="27"/>
  <c r="BJ240" i="27"/>
  <c r="BK240" i="27"/>
  <c r="BW240" i="27"/>
  <c r="BJ157" i="27"/>
  <c r="BK157" i="27"/>
  <c r="BJ278" i="27"/>
  <c r="BK278" i="27"/>
  <c r="BW278" i="27"/>
  <c r="BJ69" i="27"/>
  <c r="BK69" i="27"/>
  <c r="BU69" i="27"/>
  <c r="BV69" i="27"/>
  <c r="BW283" i="27"/>
  <c r="BU249" i="27"/>
  <c r="BV249" i="27"/>
  <c r="BU254" i="27"/>
  <c r="BV254" i="27"/>
  <c r="BJ217" i="27"/>
  <c r="BK217" i="27"/>
  <c r="BW217" i="27"/>
  <c r="BJ148" i="27"/>
  <c r="BK148" i="27"/>
  <c r="BJ139" i="27"/>
  <c r="BK139" i="27"/>
  <c r="BJ159" i="27"/>
  <c r="BK159" i="27"/>
  <c r="BW159" i="27"/>
  <c r="BJ86" i="27"/>
  <c r="BK86" i="27"/>
  <c r="BW86" i="27"/>
  <c r="BJ251" i="12"/>
  <c r="BK251" i="12"/>
  <c r="BV251" i="12"/>
  <c r="BW251" i="12"/>
  <c r="BX213" i="12"/>
  <c r="BX259" i="12"/>
  <c r="BJ218" i="12"/>
  <c r="BK218" i="12"/>
  <c r="BV218" i="12"/>
  <c r="BW218" i="12"/>
  <c r="BX265" i="12"/>
  <c r="BV257" i="12"/>
  <c r="BW257" i="12"/>
  <c r="BJ219" i="12"/>
  <c r="BK219" i="12"/>
  <c r="BV219" i="12"/>
  <c r="BW219" i="12"/>
  <c r="BJ230" i="12"/>
  <c r="BK230" i="12"/>
  <c r="BV230" i="12"/>
  <c r="BW230" i="12"/>
  <c r="BJ262" i="12"/>
  <c r="BK262" i="12"/>
  <c r="BV262" i="12"/>
  <c r="BW262" i="12"/>
  <c r="BJ244" i="12"/>
  <c r="BK244" i="12"/>
  <c r="BV244" i="12"/>
  <c r="BW244" i="12"/>
  <c r="BX210" i="12"/>
  <c r="BV222" i="12"/>
  <c r="BW222" i="12"/>
  <c r="BX235" i="12"/>
  <c r="BW104" i="27"/>
  <c r="BU104" i="27"/>
  <c r="BV104" i="27"/>
  <c r="BJ84" i="27"/>
  <c r="BK84" i="27"/>
  <c r="BJ305" i="27"/>
  <c r="BK305" i="27"/>
  <c r="BU305" i="27"/>
  <c r="BV305" i="27"/>
  <c r="BH320" i="27"/>
  <c r="BI320" i="27"/>
  <c r="BI280" i="27"/>
  <c r="BH280" i="27"/>
  <c r="BJ277" i="27"/>
  <c r="BK277" i="27"/>
  <c r="BW277" i="27"/>
  <c r="BJ200" i="27"/>
  <c r="BK200" i="27"/>
  <c r="BW200" i="27"/>
  <c r="BJ196" i="27"/>
  <c r="BK196" i="27"/>
  <c r="BW196" i="27"/>
  <c r="BJ175" i="27"/>
  <c r="BK175" i="27"/>
  <c r="BI30" i="27"/>
  <c r="BH30" i="27"/>
  <c r="BX249" i="12"/>
  <c r="BJ253" i="12"/>
  <c r="BK253" i="12"/>
  <c r="BX253" i="12"/>
  <c r="BJ220" i="12"/>
  <c r="BK220" i="12"/>
  <c r="BV220" i="12"/>
  <c r="BW220" i="12"/>
  <c r="BJ231" i="12"/>
  <c r="BK231" i="12"/>
  <c r="BV231" i="12"/>
  <c r="BW231" i="12"/>
  <c r="BJ235" i="27"/>
  <c r="BK235" i="27"/>
  <c r="BW235" i="27"/>
  <c r="BJ203" i="27"/>
  <c r="BK203" i="27"/>
  <c r="BW203" i="27"/>
  <c r="BJ40" i="27"/>
  <c r="BK40" i="27"/>
  <c r="BU40" i="27"/>
  <c r="BV40" i="27"/>
  <c r="BJ321" i="27"/>
  <c r="BK321" i="27"/>
  <c r="BU321" i="27"/>
  <c r="BV321" i="27"/>
  <c r="BJ308" i="27"/>
  <c r="BK308" i="27"/>
  <c r="BJ193" i="27"/>
  <c r="BK193" i="27"/>
  <c r="BU193" i="27"/>
  <c r="BV193" i="27"/>
  <c r="BJ206" i="27"/>
  <c r="BK206" i="27"/>
  <c r="BU206" i="27"/>
  <c r="BV206" i="27"/>
  <c r="BH221" i="12"/>
  <c r="BI221" i="12"/>
  <c r="BI142" i="27"/>
  <c r="BH142" i="27"/>
  <c r="BV233" i="12"/>
  <c r="BW233" i="12"/>
  <c r="BJ276" i="27"/>
  <c r="BK276" i="27"/>
  <c r="BU276" i="27"/>
  <c r="BV276" i="27"/>
  <c r="BJ204" i="27"/>
  <c r="BK204" i="27"/>
  <c r="BJ289" i="27"/>
  <c r="BK289" i="27"/>
  <c r="BW289" i="27"/>
  <c r="BI134" i="27"/>
  <c r="BH134" i="27"/>
  <c r="BJ134" i="27"/>
  <c r="BK134" i="27"/>
  <c r="BJ264" i="27"/>
  <c r="BK264" i="27"/>
  <c r="BW264" i="27"/>
  <c r="BU226" i="27"/>
  <c r="BV226" i="27"/>
  <c r="BU274" i="27"/>
  <c r="BV274" i="27"/>
  <c r="BI6" i="27"/>
  <c r="BH6" i="27"/>
  <c r="BH312" i="27"/>
  <c r="BI312" i="27"/>
  <c r="BH299" i="27"/>
  <c r="BI299" i="27"/>
  <c r="BJ299" i="27"/>
  <c r="BK299" i="27"/>
  <c r="BH26" i="27"/>
  <c r="BI26" i="27"/>
  <c r="BJ218" i="27"/>
  <c r="BK218" i="27"/>
  <c r="BU218" i="27"/>
  <c r="BV218" i="27"/>
  <c r="BJ314" i="27"/>
  <c r="BK314" i="27"/>
  <c r="BU314" i="27"/>
  <c r="BV314" i="27"/>
  <c r="BJ160" i="27"/>
  <c r="BK160" i="27"/>
  <c r="BW160" i="27"/>
  <c r="BJ295" i="27"/>
  <c r="BK295" i="27"/>
  <c r="BW295" i="27"/>
  <c r="BW63" i="27"/>
  <c r="BW224" i="27"/>
  <c r="BU287" i="27"/>
  <c r="BV287" i="27"/>
  <c r="BW315" i="27"/>
  <c r="BU55" i="27"/>
  <c r="BV55" i="27"/>
  <c r="BI261" i="12"/>
  <c r="BH261" i="12"/>
  <c r="BJ49" i="27"/>
  <c r="BK49" i="27"/>
  <c r="BU49" i="27"/>
  <c r="BV49" i="27"/>
  <c r="BJ229" i="12"/>
  <c r="BK229" i="12"/>
  <c r="BX229" i="12"/>
  <c r="BJ258" i="12"/>
  <c r="BK258" i="12"/>
  <c r="BX258" i="12"/>
  <c r="BJ36" i="27"/>
  <c r="BK36" i="27"/>
  <c r="BU36" i="27"/>
  <c r="BV36" i="27"/>
  <c r="BJ19" i="27"/>
  <c r="BK19" i="27"/>
  <c r="BJ195" i="27"/>
  <c r="BK195" i="27"/>
  <c r="BU195" i="27"/>
  <c r="BV195" i="27"/>
  <c r="BJ127" i="27"/>
  <c r="BK127" i="27"/>
  <c r="BJ207" i="27"/>
  <c r="BK207" i="27"/>
  <c r="BW207" i="27"/>
  <c r="BJ80" i="27"/>
  <c r="BK80" i="27"/>
  <c r="BU80" i="27"/>
  <c r="BV80" i="27"/>
  <c r="BI310" i="27"/>
  <c r="BH310" i="27"/>
  <c r="BW199" i="27"/>
  <c r="BU240" i="27"/>
  <c r="BV240" i="27"/>
  <c r="BU110" i="27"/>
  <c r="BV110" i="27"/>
  <c r="BW110" i="27"/>
  <c r="BU217" i="27"/>
  <c r="BV217" i="27"/>
  <c r="BU73" i="27"/>
  <c r="BV73" i="27"/>
  <c r="BW61" i="27"/>
  <c r="BU61" i="27"/>
  <c r="BV61" i="27"/>
  <c r="BW275" i="27"/>
  <c r="BU275" i="27"/>
  <c r="BV275" i="27"/>
  <c r="BW84" i="27"/>
  <c r="BU84" i="27"/>
  <c r="BV84" i="27"/>
  <c r="BU196" i="27"/>
  <c r="BV196" i="27"/>
  <c r="BU82" i="27"/>
  <c r="BV82" i="27"/>
  <c r="BW82" i="27"/>
  <c r="BW109" i="27"/>
  <c r="BU109" i="27"/>
  <c r="BV109" i="27"/>
  <c r="BW98" i="27"/>
  <c r="BU98" i="27"/>
  <c r="BV98" i="27"/>
  <c r="BU175" i="27"/>
  <c r="BV175" i="27"/>
  <c r="BW175" i="27"/>
  <c r="BW40" i="27"/>
  <c r="BU184" i="27"/>
  <c r="BV184" i="27"/>
  <c r="BU139" i="27"/>
  <c r="BV139" i="27"/>
  <c r="BW139" i="27"/>
  <c r="BW57" i="27"/>
  <c r="BU57" i="27"/>
  <c r="BV57" i="27"/>
  <c r="BW19" i="27"/>
  <c r="BU19" i="27"/>
  <c r="BV19" i="27"/>
  <c r="BW195" i="27"/>
  <c r="BW127" i="27"/>
  <c r="BU127" i="27"/>
  <c r="BV127" i="27"/>
  <c r="BW308" i="27"/>
  <c r="BU308" i="27"/>
  <c r="BV308" i="27"/>
  <c r="BW204" i="27"/>
  <c r="BU204" i="27"/>
  <c r="BV204" i="27"/>
  <c r="BU289" i="27"/>
  <c r="BV289" i="27"/>
  <c r="BW148" i="27"/>
  <c r="BU148" i="27"/>
  <c r="BV148" i="27"/>
  <c r="BU116" i="27"/>
  <c r="BV116" i="27"/>
  <c r="BW257" i="27"/>
  <c r="BU257" i="27"/>
  <c r="BV257" i="27"/>
  <c r="BW292" i="27"/>
  <c r="BU292" i="27"/>
  <c r="BV292" i="27"/>
  <c r="BW213" i="27"/>
  <c r="BU213" i="27"/>
  <c r="BV213" i="27"/>
  <c r="BU169" i="27"/>
  <c r="BV169" i="27"/>
  <c r="BW169" i="27"/>
  <c r="BW36" i="27"/>
  <c r="BW130" i="27"/>
  <c r="BU293" i="27"/>
  <c r="BV293" i="27"/>
  <c r="BW293" i="27"/>
  <c r="BU103" i="27"/>
  <c r="BV103" i="27"/>
  <c r="BU318" i="27"/>
  <c r="BV318" i="27"/>
  <c r="BW318" i="27"/>
  <c r="BU157" i="27"/>
  <c r="BV157" i="27"/>
  <c r="BW157" i="27"/>
  <c r="BW229" i="27"/>
  <c r="BU94" i="27"/>
  <c r="BV94" i="27"/>
  <c r="BW94" i="27"/>
  <c r="BI306" i="27"/>
  <c r="BH306" i="27"/>
  <c r="BJ306" i="27"/>
  <c r="BK306" i="27"/>
  <c r="BI194" i="27"/>
  <c r="BH194" i="27"/>
  <c r="BW197" i="27"/>
  <c r="BU197" i="27"/>
  <c r="BV197" i="27"/>
  <c r="BW9" i="27"/>
  <c r="BU9" i="27"/>
  <c r="BV9" i="27"/>
  <c r="BW65" i="27"/>
  <c r="BU65" i="27"/>
  <c r="BV65" i="27"/>
  <c r="BU124" i="27"/>
  <c r="BV124" i="27"/>
  <c r="BW124" i="27"/>
  <c r="BI68" i="27"/>
  <c r="BH68" i="27"/>
  <c r="BW188" i="27"/>
  <c r="BU188" i="27"/>
  <c r="BV188" i="27"/>
  <c r="BU244" i="27"/>
  <c r="BV244" i="27"/>
  <c r="BW244" i="27"/>
  <c r="BU112" i="27"/>
  <c r="BV112" i="27"/>
  <c r="BW112" i="27"/>
  <c r="BW132" i="27"/>
  <c r="BU132" i="27"/>
  <c r="BV132" i="27"/>
  <c r="BW92" i="27"/>
  <c r="BU92" i="27"/>
  <c r="BV92" i="27"/>
  <c r="BW8" i="27"/>
  <c r="BU8" i="27"/>
  <c r="BV8" i="27"/>
  <c r="BI165" i="27"/>
  <c r="BH165" i="27"/>
  <c r="BJ165" i="27"/>
  <c r="BK165" i="27"/>
  <c r="BW205" i="27"/>
  <c r="BU205" i="27"/>
  <c r="BV205" i="27"/>
  <c r="BU173" i="27"/>
  <c r="BV173" i="27"/>
  <c r="BW173" i="27"/>
  <c r="BW83" i="27"/>
  <c r="BU83" i="27"/>
  <c r="BV83" i="27"/>
  <c r="BW253" i="27"/>
  <c r="BU253" i="27"/>
  <c r="BV253" i="27"/>
  <c r="BU64" i="27"/>
  <c r="BV64" i="27"/>
  <c r="BW64" i="27"/>
  <c r="BU171" i="27"/>
  <c r="BV171" i="27"/>
  <c r="BW171" i="27"/>
  <c r="BU150" i="27"/>
  <c r="BV150" i="27"/>
  <c r="BW150" i="27"/>
  <c r="BW111" i="27"/>
  <c r="BU111" i="27"/>
  <c r="BV111" i="27"/>
  <c r="BI243" i="27"/>
  <c r="BH243" i="27"/>
  <c r="BJ243" i="27"/>
  <c r="BK243" i="27"/>
  <c r="BU250" i="27"/>
  <c r="BV250" i="27"/>
  <c r="BW250" i="27"/>
  <c r="BW95" i="27"/>
  <c r="BU95" i="27"/>
  <c r="BV95" i="27"/>
  <c r="BU278" i="27"/>
  <c r="BV278" i="27"/>
  <c r="BI245" i="27"/>
  <c r="BH245" i="27"/>
  <c r="BW284" i="27"/>
  <c r="BU284" i="27"/>
  <c r="BV284" i="27"/>
  <c r="BI288" i="27"/>
  <c r="BH288" i="27"/>
  <c r="BJ288" i="27"/>
  <c r="BK288" i="27"/>
  <c r="BI93" i="27"/>
  <c r="BH93" i="27"/>
  <c r="BJ93" i="27"/>
  <c r="BK93" i="27"/>
  <c r="BU45" i="27"/>
  <c r="BV45" i="27"/>
  <c r="BW45" i="27"/>
  <c r="BU302" i="27"/>
  <c r="BV302" i="27"/>
  <c r="BW214" i="27"/>
  <c r="BU214" i="27"/>
  <c r="BV214" i="27"/>
  <c r="BW236" i="27"/>
  <c r="BU236" i="27"/>
  <c r="BV236" i="27"/>
  <c r="BU34" i="27"/>
  <c r="BV34" i="27"/>
  <c r="BW34" i="27"/>
  <c r="BW122" i="27"/>
  <c r="BU122" i="27"/>
  <c r="BV122" i="27"/>
  <c r="BU268" i="27"/>
  <c r="BV268" i="27"/>
  <c r="BW268" i="27"/>
  <c r="BU307" i="27"/>
  <c r="BV307" i="27"/>
  <c r="BW307" i="27"/>
  <c r="BI190" i="27"/>
  <c r="BH190" i="27"/>
  <c r="BJ190" i="27"/>
  <c r="BK190" i="27"/>
  <c r="BU155" i="27"/>
  <c r="BV155" i="27"/>
  <c r="BW155" i="27"/>
  <c r="BU20" i="27"/>
  <c r="BV20" i="27"/>
  <c r="BW20" i="27"/>
  <c r="BI263" i="27"/>
  <c r="BH263" i="27"/>
  <c r="BW123" i="27"/>
  <c r="BU123" i="27"/>
  <c r="BV123" i="27"/>
  <c r="BI28" i="27"/>
  <c r="BH28" i="27"/>
  <c r="BJ28" i="27"/>
  <c r="BK28" i="27"/>
  <c r="BU88" i="27"/>
  <c r="BV88" i="27"/>
  <c r="BW33" i="27"/>
  <c r="BU33" i="27"/>
  <c r="BV33" i="27"/>
  <c r="BU159" i="27"/>
  <c r="BV159" i="27"/>
  <c r="BW10" i="27"/>
  <c r="BW256" i="27"/>
  <c r="BU11" i="27"/>
  <c r="BV11" i="27"/>
  <c r="BW11" i="27"/>
  <c r="BU5" i="27"/>
  <c r="BV5" i="27"/>
  <c r="BI304" i="27"/>
  <c r="BH304" i="27"/>
  <c r="BW286" i="27"/>
  <c r="BU286" i="27"/>
  <c r="BV286" i="27"/>
  <c r="BI185" i="27"/>
  <c r="BH185" i="27"/>
  <c r="BJ185" i="27"/>
  <c r="BK185" i="27"/>
  <c r="BW180" i="27"/>
  <c r="BU180" i="27"/>
  <c r="BV180" i="27"/>
  <c r="BJ248" i="12"/>
  <c r="BK248" i="12"/>
  <c r="BV248" i="12"/>
  <c r="BW248" i="12"/>
  <c r="BI232" i="12"/>
  <c r="BH232" i="12"/>
  <c r="BH212" i="12"/>
  <c r="BI212" i="12"/>
  <c r="BV246" i="12"/>
  <c r="BW246" i="12"/>
  <c r="BV250" i="12"/>
  <c r="BW250" i="12"/>
  <c r="BV217" i="12"/>
  <c r="BW217" i="12"/>
  <c r="BJ247" i="12"/>
  <c r="BK247" i="12"/>
  <c r="BX247" i="12"/>
  <c r="BJ254" i="12"/>
  <c r="BK254" i="12"/>
  <c r="BX254" i="12"/>
  <c r="BV226" i="12"/>
  <c r="BW226" i="12"/>
  <c r="BH243" i="12"/>
  <c r="BI243" i="12"/>
  <c r="BJ216" i="12"/>
  <c r="BK216" i="12"/>
  <c r="BX216" i="12"/>
  <c r="BV245" i="12"/>
  <c r="BW245" i="12"/>
  <c r="BX245" i="12"/>
  <c r="BX255" i="12"/>
  <c r="BV255" i="12"/>
  <c r="BW255" i="12"/>
  <c r="BV225" i="12"/>
  <c r="BW225" i="12"/>
  <c r="BX225" i="12"/>
  <c r="BV238" i="12"/>
  <c r="BW238" i="12"/>
  <c r="BX238" i="12"/>
  <c r="BX251" i="12"/>
  <c r="BI252" i="12"/>
  <c r="BH252" i="12"/>
  <c r="BU186" i="27"/>
  <c r="BV186" i="27"/>
  <c r="BW186" i="27"/>
  <c r="BW27" i="27"/>
  <c r="BU66" i="27"/>
  <c r="BV66" i="27"/>
  <c r="BJ245" i="27"/>
  <c r="BK245" i="27"/>
  <c r="BU273" i="27"/>
  <c r="BV273" i="27"/>
  <c r="BU143" i="27"/>
  <c r="BV143" i="27"/>
  <c r="BW149" i="27"/>
  <c r="BU232" i="27"/>
  <c r="BV232" i="27"/>
  <c r="BU298" i="27"/>
  <c r="BV298" i="27"/>
  <c r="BW241" i="27"/>
  <c r="BX128" i="12"/>
  <c r="BU201" i="27"/>
  <c r="BV201" i="27"/>
  <c r="BX214" i="12"/>
  <c r="BU47" i="27"/>
  <c r="BV47" i="27"/>
  <c r="BW305" i="27"/>
  <c r="BV253" i="12"/>
  <c r="BW253" i="12"/>
  <c r="BW191" i="27"/>
  <c r="BJ280" i="27"/>
  <c r="BK280" i="27"/>
  <c r="BU280" i="27"/>
  <c r="BV280" i="27"/>
  <c r="BW49" i="27"/>
  <c r="BW261" i="27"/>
  <c r="BU309" i="27"/>
  <c r="BV309" i="27"/>
  <c r="BU203" i="27"/>
  <c r="BV203" i="27"/>
  <c r="BW192" i="27"/>
  <c r="BW225" i="27"/>
  <c r="BW136" i="27"/>
  <c r="BU235" i="27"/>
  <c r="BV235" i="27"/>
  <c r="BJ174" i="27"/>
  <c r="BK174" i="27"/>
  <c r="BW206" i="27"/>
  <c r="BW319" i="27"/>
  <c r="BW291" i="27"/>
  <c r="BU86" i="27"/>
  <c r="BV86" i="27"/>
  <c r="BX262" i="12"/>
  <c r="BJ263" i="27"/>
  <c r="BK263" i="27"/>
  <c r="BU263" i="27"/>
  <c r="BV263" i="27"/>
  <c r="BU76" i="27"/>
  <c r="BV76" i="27"/>
  <c r="BJ312" i="27"/>
  <c r="BK312" i="27"/>
  <c r="BV258" i="12"/>
  <c r="BW258" i="12"/>
  <c r="BJ310" i="27"/>
  <c r="BK310" i="27"/>
  <c r="BU310" i="27"/>
  <c r="BV310" i="27"/>
  <c r="BJ6" i="27"/>
  <c r="BK6" i="27"/>
  <c r="BU6" i="27"/>
  <c r="BV6" i="27"/>
  <c r="BW276" i="27"/>
  <c r="BW314" i="27"/>
  <c r="BU160" i="27"/>
  <c r="BV160" i="27"/>
  <c r="BW58" i="27"/>
  <c r="BW69" i="27"/>
  <c r="BU295" i="27"/>
  <c r="BV295" i="27"/>
  <c r="BU294" i="27"/>
  <c r="BV294" i="27"/>
  <c r="BU200" i="27"/>
  <c r="BV200" i="27"/>
  <c r="BW321" i="27"/>
  <c r="BJ26" i="27"/>
  <c r="BK26" i="27"/>
  <c r="BU26" i="27"/>
  <c r="BV26" i="27"/>
  <c r="BW218" i="27"/>
  <c r="BV228" i="12"/>
  <c r="BW228" i="12"/>
  <c r="BJ232" i="12"/>
  <c r="BK232" i="12"/>
  <c r="BX232" i="12"/>
  <c r="BV216" i="12"/>
  <c r="BW216" i="12"/>
  <c r="BX218" i="12"/>
  <c r="BX230" i="12"/>
  <c r="BX219" i="12"/>
  <c r="BJ252" i="12"/>
  <c r="BK252" i="12"/>
  <c r="BV252" i="12"/>
  <c r="BW252" i="12"/>
  <c r="BJ221" i="12"/>
  <c r="BK221" i="12"/>
  <c r="BV221" i="12"/>
  <c r="BW221" i="12"/>
  <c r="BV229" i="12"/>
  <c r="BW229" i="12"/>
  <c r="BX248" i="12"/>
  <c r="BX244" i="12"/>
  <c r="BX231" i="12"/>
  <c r="BJ243" i="12"/>
  <c r="BK243" i="12"/>
  <c r="BX243" i="12"/>
  <c r="BX220" i="12"/>
  <c r="BU312" i="27"/>
  <c r="BV312" i="27"/>
  <c r="BW312" i="27"/>
  <c r="BV247" i="12"/>
  <c r="BW247" i="12"/>
  <c r="BJ68" i="27"/>
  <c r="BK68" i="27"/>
  <c r="BW68" i="27"/>
  <c r="BU264" i="27"/>
  <c r="BV264" i="27"/>
  <c r="BJ261" i="12"/>
  <c r="BK261" i="12"/>
  <c r="BJ142" i="27"/>
  <c r="BK142" i="27"/>
  <c r="BJ194" i="27"/>
  <c r="BK194" i="27"/>
  <c r="BW194" i="27"/>
  <c r="BW280" i="27"/>
  <c r="BU299" i="27"/>
  <c r="BV299" i="27"/>
  <c r="BW299" i="27"/>
  <c r="BU134" i="27"/>
  <c r="BV134" i="27"/>
  <c r="BW134" i="27"/>
  <c r="BJ320" i="27"/>
  <c r="BK320" i="27"/>
  <c r="BJ30" i="27"/>
  <c r="BK30" i="27"/>
  <c r="BW80" i="27"/>
  <c r="BJ304" i="27"/>
  <c r="BK304" i="27"/>
  <c r="BU304" i="27"/>
  <c r="BV304" i="27"/>
  <c r="BU207" i="27"/>
  <c r="BV207" i="27"/>
  <c r="BW193" i="27"/>
  <c r="BU277" i="27"/>
  <c r="BV277" i="27"/>
  <c r="BW185" i="27"/>
  <c r="BU185" i="27"/>
  <c r="BV185" i="27"/>
  <c r="BU245" i="27"/>
  <c r="BV245" i="27"/>
  <c r="BW245" i="27"/>
  <c r="BU306" i="27"/>
  <c r="BV306" i="27"/>
  <c r="BW306" i="27"/>
  <c r="BU28" i="27"/>
  <c r="BV28" i="27"/>
  <c r="BW28" i="27"/>
  <c r="BU190" i="27"/>
  <c r="BV190" i="27"/>
  <c r="BW190" i="27"/>
  <c r="BU243" i="27"/>
  <c r="BV243" i="27"/>
  <c r="BW243" i="27"/>
  <c r="BW93" i="27"/>
  <c r="BU93" i="27"/>
  <c r="BV93" i="27"/>
  <c r="BU165" i="27"/>
  <c r="BV165" i="27"/>
  <c r="BW165" i="27"/>
  <c r="BW288" i="27"/>
  <c r="BU288" i="27"/>
  <c r="BV288" i="27"/>
  <c r="BV254" i="12"/>
  <c r="BW254" i="12"/>
  <c r="BJ212" i="12"/>
  <c r="BK212" i="12"/>
  <c r="BW263" i="27"/>
  <c r="BW310" i="27"/>
  <c r="BU194" i="27"/>
  <c r="BV194" i="27"/>
  <c r="BU174" i="27"/>
  <c r="BV174" i="27"/>
  <c r="BW174" i="27"/>
  <c r="BX221" i="12"/>
  <c r="BX252" i="12"/>
  <c r="BW304" i="27"/>
  <c r="BV232" i="12"/>
  <c r="BW232" i="12"/>
  <c r="BW26" i="27"/>
  <c r="BW6" i="27"/>
  <c r="BV243" i="12"/>
  <c r="BW243" i="12"/>
  <c r="BX261" i="12"/>
  <c r="BV261" i="12"/>
  <c r="BW261" i="12"/>
  <c r="BW30" i="27"/>
  <c r="BU30" i="27"/>
  <c r="BV30" i="27"/>
  <c r="BU68" i="27"/>
  <c r="BV68" i="27"/>
  <c r="BW320" i="27"/>
  <c r="BU320" i="27"/>
  <c r="BV320" i="27"/>
  <c r="BW142" i="27"/>
  <c r="BU142" i="27"/>
  <c r="BV142" i="27"/>
  <c r="BX212" i="12"/>
  <c r="BV212" i="12"/>
  <c r="BW212" i="12"/>
  <c r="A5" i="8"/>
  <c r="A17" i="8"/>
  <c r="F31" i="8"/>
  <c r="D44" i="8"/>
  <c r="C44" i="8"/>
  <c r="J60" i="8"/>
  <c r="K60" i="8"/>
  <c r="J59" i="8"/>
  <c r="K59" i="8"/>
  <c r="J58" i="8"/>
  <c r="J55" i="8"/>
  <c r="K53" i="8"/>
  <c r="J57" i="8"/>
  <c r="J56" i="8"/>
  <c r="K54" i="8"/>
  <c r="J54" i="8"/>
  <c r="J53" i="8"/>
  <c r="K26" i="8"/>
  <c r="A18" i="8"/>
  <c r="A31" i="8"/>
  <c r="A33" i="8"/>
  <c r="A32" i="8"/>
  <c r="A30" i="8"/>
  <c r="C28" i="8"/>
  <c r="A34" i="8"/>
  <c r="A35" i="8"/>
  <c r="K11" i="8"/>
  <c r="BY95" i="12"/>
  <c r="CE95" i="12"/>
  <c r="CF95" i="12"/>
  <c r="CG95" i="12"/>
  <c r="AA95" i="12"/>
  <c r="AL95" i="12"/>
  <c r="Y95" i="12"/>
  <c r="Z95" i="12"/>
  <c r="X95" i="12"/>
  <c r="E74" i="8"/>
  <c r="F77" i="8"/>
  <c r="F78" i="8"/>
  <c r="D74" i="8"/>
  <c r="C74" i="8"/>
  <c r="T12" i="8"/>
  <c r="E12" i="8"/>
  <c r="G22" i="8"/>
  <c r="K14" i="8"/>
  <c r="D15" i="8"/>
  <c r="K32" i="8"/>
  <c r="J19" i="8"/>
  <c r="J20" i="8"/>
  <c r="J43" i="8"/>
  <c r="J21" i="8"/>
  <c r="J44" i="8"/>
  <c r="J22" i="8"/>
  <c r="J45" i="8"/>
  <c r="N18" i="8"/>
  <c r="A46" i="8"/>
  <c r="E46" i="8"/>
  <c r="A47" i="8"/>
  <c r="E47" i="8"/>
  <c r="E52" i="8"/>
  <c r="D53" i="8"/>
  <c r="A48" i="8"/>
  <c r="A52" i="8"/>
  <c r="B53" i="8"/>
  <c r="E48" i="8"/>
  <c r="A49" i="8"/>
  <c r="E49" i="8"/>
  <c r="A50" i="8"/>
  <c r="E50" i="8"/>
  <c r="C53" i="8"/>
  <c r="F3" i="8"/>
  <c r="G4" i="8"/>
  <c r="BY129" i="12"/>
  <c r="CE129" i="12"/>
  <c r="CF129" i="12"/>
  <c r="CG129" i="12"/>
  <c r="Y129" i="12"/>
  <c r="Z129" i="12"/>
  <c r="AA129" i="12"/>
  <c r="X129" i="12"/>
  <c r="G15" i="8"/>
  <c r="G16" i="8"/>
  <c r="BY130" i="12"/>
  <c r="CE130" i="12"/>
  <c r="CF130" i="12"/>
  <c r="CG130" i="12"/>
  <c r="Y130" i="12"/>
  <c r="Z130" i="12"/>
  <c r="AA130" i="12"/>
  <c r="AL130" i="12"/>
  <c r="X130" i="12"/>
  <c r="BY126" i="12"/>
  <c r="CE126" i="12"/>
  <c r="CF126" i="12"/>
  <c r="CG126" i="12"/>
  <c r="Y126" i="12"/>
  <c r="Z126" i="12"/>
  <c r="AA126" i="12"/>
  <c r="X126" i="12"/>
  <c r="A11" i="8"/>
  <c r="T11" i="8"/>
  <c r="T14" i="8"/>
  <c r="S29" i="8"/>
  <c r="D30" i="8"/>
  <c r="T30" i="8"/>
  <c r="S19" i="8"/>
  <c r="S20" i="8"/>
  <c r="S21" i="8"/>
  <c r="S22" i="8"/>
  <c r="T26" i="8"/>
  <c r="W19" i="8"/>
  <c r="G37" i="8"/>
  <c r="X42" i="8"/>
  <c r="W44" i="8"/>
  <c r="W42" i="8"/>
  <c r="W39" i="8"/>
  <c r="W40" i="8"/>
  <c r="G70" i="8"/>
  <c r="F69" i="8"/>
  <c r="G69" i="8"/>
  <c r="D61" i="8"/>
  <c r="D3" i="8"/>
  <c r="BY102" i="12"/>
  <c r="CE102" i="12"/>
  <c r="CF102" i="12"/>
  <c r="CG102" i="12"/>
  <c r="AA102" i="12"/>
  <c r="Y102" i="12"/>
  <c r="Z102" i="12"/>
  <c r="X102" i="12"/>
  <c r="C33" i="8"/>
  <c r="E33" i="8"/>
  <c r="G33" i="8"/>
  <c r="D49" i="14"/>
  <c r="BY86" i="12"/>
  <c r="CE86" i="12"/>
  <c r="CF86" i="12"/>
  <c r="CG86" i="12"/>
  <c r="AA86" i="12"/>
  <c r="AL86" i="12"/>
  <c r="Y86" i="12"/>
  <c r="Z86" i="12"/>
  <c r="X86" i="12"/>
  <c r="D11" i="14"/>
  <c r="Y174" i="12"/>
  <c r="Z174" i="12"/>
  <c r="Y175" i="12"/>
  <c r="Z175" i="12"/>
  <c r="Y176" i="12"/>
  <c r="Z176" i="12"/>
  <c r="BY175" i="12"/>
  <c r="CE175" i="12"/>
  <c r="CF175" i="12"/>
  <c r="CG175" i="12"/>
  <c r="AA175" i="12"/>
  <c r="X175" i="12"/>
  <c r="BY100" i="12"/>
  <c r="CE100" i="12"/>
  <c r="CF100" i="12"/>
  <c r="CG100" i="12"/>
  <c r="Y100" i="12"/>
  <c r="Z100" i="12"/>
  <c r="AA100" i="12"/>
  <c r="AI100" i="12"/>
  <c r="X100" i="12"/>
  <c r="BY103" i="12"/>
  <c r="CE103" i="12"/>
  <c r="CF103" i="12"/>
  <c r="CG103" i="12"/>
  <c r="Y103" i="12"/>
  <c r="Z103" i="12"/>
  <c r="AA103" i="12"/>
  <c r="AI103" i="12"/>
  <c r="X103" i="12"/>
  <c r="D182" i="14"/>
  <c r="D181" i="14"/>
  <c r="D180" i="14"/>
  <c r="D179" i="14"/>
  <c r="D178" i="14"/>
  <c r="D177" i="14"/>
  <c r="D176" i="14"/>
  <c r="D175" i="14"/>
  <c r="D174" i="14"/>
  <c r="D173" i="14"/>
  <c r="D172" i="14"/>
  <c r="D171" i="14"/>
  <c r="D170" i="14"/>
  <c r="D169" i="14"/>
  <c r="D168" i="14"/>
  <c r="D167" i="14"/>
  <c r="D166" i="14"/>
  <c r="D165" i="14"/>
  <c r="D164" i="14"/>
  <c r="D163" i="14"/>
  <c r="D162" i="14"/>
  <c r="G161" i="14"/>
  <c r="H161" i="14"/>
  <c r="D161" i="14"/>
  <c r="D160" i="14"/>
  <c r="D159" i="14"/>
  <c r="D158" i="14"/>
  <c r="D157" i="14"/>
  <c r="D156" i="14"/>
  <c r="D155" i="14"/>
  <c r="D154" i="14"/>
  <c r="D153" i="14"/>
  <c r="D152" i="14"/>
  <c r="D151" i="14"/>
  <c r="D150" i="14"/>
  <c r="D149" i="14"/>
  <c r="D148" i="14"/>
  <c r="D147" i="14"/>
  <c r="D146" i="14"/>
  <c r="D145" i="14"/>
  <c r="D144" i="14"/>
  <c r="D143" i="14"/>
  <c r="D142" i="14"/>
  <c r="D141" i="14"/>
  <c r="D140" i="14"/>
  <c r="D139" i="14"/>
  <c r="D138" i="14"/>
  <c r="D137" i="14"/>
  <c r="D136" i="14"/>
  <c r="D135" i="14"/>
  <c r="D134" i="14"/>
  <c r="D133" i="14"/>
  <c r="D132" i="14"/>
  <c r="D131" i="14"/>
  <c r="D130" i="14"/>
  <c r="D129" i="14"/>
  <c r="D128" i="14"/>
  <c r="D127" i="14"/>
  <c r="D126" i="14"/>
  <c r="D125" i="14"/>
  <c r="D124" i="14"/>
  <c r="D123" i="14"/>
  <c r="D122" i="14"/>
  <c r="D121" i="14"/>
  <c r="D120" i="14"/>
  <c r="E119" i="14"/>
  <c r="F119" i="14"/>
  <c r="D119" i="14"/>
  <c r="D118" i="14"/>
  <c r="D117" i="14"/>
  <c r="D116" i="14"/>
  <c r="D115" i="14"/>
  <c r="D114" i="14"/>
  <c r="D113" i="14"/>
  <c r="D112" i="14"/>
  <c r="D111" i="14"/>
  <c r="D110" i="14"/>
  <c r="D109" i="14"/>
  <c r="D108" i="14"/>
  <c r="D107" i="14"/>
  <c r="D106" i="14"/>
  <c r="D105" i="14"/>
  <c r="D104" i="14"/>
  <c r="D103" i="14"/>
  <c r="D102" i="14"/>
  <c r="D101" i="14"/>
  <c r="D100" i="14"/>
  <c r="D99" i="14"/>
  <c r="D98" i="14"/>
  <c r="D97" i="14"/>
  <c r="D96" i="14"/>
  <c r="D95" i="14"/>
  <c r="D94" i="14"/>
  <c r="D93" i="14"/>
  <c r="D92" i="14"/>
  <c r="D91" i="14"/>
  <c r="D90" i="14"/>
  <c r="D89" i="14"/>
  <c r="D88" i="14"/>
  <c r="D87" i="14"/>
  <c r="D86" i="14"/>
  <c r="D85" i="14"/>
  <c r="D84" i="14"/>
  <c r="D83" i="14"/>
  <c r="D82" i="14"/>
  <c r="D81" i="14"/>
  <c r="D80" i="14"/>
  <c r="D79" i="14"/>
  <c r="D78" i="14"/>
  <c r="D77" i="14"/>
  <c r="D76" i="14"/>
  <c r="D75" i="14"/>
  <c r="D74" i="14"/>
  <c r="D73" i="14"/>
  <c r="D72" i="14"/>
  <c r="D71" i="14"/>
  <c r="D70" i="14"/>
  <c r="D69" i="14"/>
  <c r="D68" i="14"/>
  <c r="D67" i="14"/>
  <c r="D66" i="14"/>
  <c r="D65" i="14"/>
  <c r="D64" i="14"/>
  <c r="D63" i="14"/>
  <c r="D62" i="14"/>
  <c r="D61" i="14"/>
  <c r="D60" i="14"/>
  <c r="D59" i="14"/>
  <c r="D58" i="14"/>
  <c r="D57" i="14"/>
  <c r="D56" i="14"/>
  <c r="D55" i="14"/>
  <c r="D54" i="14"/>
  <c r="E53" i="14"/>
  <c r="F53" i="14"/>
  <c r="D53" i="14"/>
  <c r="D52" i="14"/>
  <c r="D51" i="14"/>
  <c r="D50" i="14"/>
  <c r="D48" i="14"/>
  <c r="D47" i="14"/>
  <c r="D46" i="14"/>
  <c r="E45" i="14"/>
  <c r="F45" i="14"/>
  <c r="D45" i="14"/>
  <c r="E44" i="14"/>
  <c r="F44" i="14"/>
  <c r="D44" i="14"/>
  <c r="E43" i="14"/>
  <c r="F43" i="14"/>
  <c r="D43" i="14"/>
  <c r="E42" i="14"/>
  <c r="F42" i="14"/>
  <c r="D42" i="14"/>
  <c r="D41" i="14"/>
  <c r="D40" i="14"/>
  <c r="K39" i="14"/>
  <c r="D39" i="14"/>
  <c r="K38" i="14"/>
  <c r="D38" i="14"/>
  <c r="D37" i="14"/>
  <c r="D36" i="14"/>
  <c r="D35" i="14"/>
  <c r="D34" i="14"/>
  <c r="D33" i="14"/>
  <c r="D32" i="14"/>
  <c r="D31" i="14"/>
  <c r="D30" i="14"/>
  <c r="D29" i="14"/>
  <c r="D28" i="14"/>
  <c r="D27" i="14"/>
  <c r="D26" i="14"/>
  <c r="D25" i="14"/>
  <c r="D24" i="14"/>
  <c r="D23" i="14"/>
  <c r="E22" i="14"/>
  <c r="F22" i="14"/>
  <c r="D22" i="14"/>
  <c r="E21" i="14"/>
  <c r="F21" i="14"/>
  <c r="D21" i="14"/>
  <c r="E20" i="14"/>
  <c r="F20" i="14"/>
  <c r="D20" i="14"/>
  <c r="E19" i="14"/>
  <c r="F19" i="14"/>
  <c r="D19" i="14"/>
  <c r="E18" i="14"/>
  <c r="F18" i="14"/>
  <c r="D18" i="14"/>
  <c r="E17" i="14"/>
  <c r="F17" i="14"/>
  <c r="D17" i="14"/>
  <c r="E16" i="14"/>
  <c r="F16" i="14"/>
  <c r="D16" i="14"/>
  <c r="E15" i="14"/>
  <c r="F15" i="14"/>
  <c r="D15" i="14"/>
  <c r="E14" i="14"/>
  <c r="F14" i="14"/>
  <c r="D14" i="14"/>
  <c r="E13" i="14"/>
  <c r="F13" i="14"/>
  <c r="D13" i="14"/>
  <c r="E12" i="14"/>
  <c r="F12" i="14"/>
  <c r="D12" i="14"/>
  <c r="E11" i="14"/>
  <c r="F11" i="14"/>
  <c r="B8" i="14"/>
  <c r="B6" i="14"/>
  <c r="V80" i="5"/>
  <c r="W80" i="5"/>
  <c r="X80" i="5"/>
  <c r="X88" i="5"/>
  <c r="X87" i="5"/>
  <c r="V83" i="5"/>
  <c r="W83" i="5"/>
  <c r="X83" i="5"/>
  <c r="X86" i="5"/>
  <c r="S85" i="5"/>
  <c r="S84" i="5"/>
  <c r="V81" i="5"/>
  <c r="W81" i="5"/>
  <c r="X81" i="5"/>
  <c r="BY329" i="12"/>
  <c r="CE329" i="12"/>
  <c r="CF329" i="12"/>
  <c r="CG329" i="12"/>
  <c r="Y329" i="12"/>
  <c r="Z329" i="12"/>
  <c r="AA329" i="12"/>
  <c r="AI329" i="12"/>
  <c r="X329" i="12"/>
  <c r="BY328" i="12"/>
  <c r="CE328" i="12"/>
  <c r="CF328" i="12"/>
  <c r="CG328" i="12"/>
  <c r="Y328" i="12"/>
  <c r="Z328" i="12"/>
  <c r="AA328" i="12"/>
  <c r="AL328" i="12"/>
  <c r="X328" i="12"/>
  <c r="BY327" i="12"/>
  <c r="CE327" i="12"/>
  <c r="CF327" i="12"/>
  <c r="CG327" i="12"/>
  <c r="Y327" i="12"/>
  <c r="Z327" i="12"/>
  <c r="AA327" i="12"/>
  <c r="AI327" i="12"/>
  <c r="X327" i="12"/>
  <c r="BY326" i="12"/>
  <c r="CE326" i="12"/>
  <c r="CF326" i="12"/>
  <c r="CG326" i="12"/>
  <c r="Y326" i="12"/>
  <c r="Z326" i="12"/>
  <c r="AA326" i="12"/>
  <c r="AI326" i="12"/>
  <c r="X326" i="12"/>
  <c r="BY325" i="12"/>
  <c r="CE325" i="12"/>
  <c r="CF325" i="12"/>
  <c r="CG325" i="12"/>
  <c r="Y325" i="12"/>
  <c r="Z325" i="12"/>
  <c r="AA325" i="12"/>
  <c r="AI325" i="12"/>
  <c r="X325" i="12"/>
  <c r="BY324" i="12"/>
  <c r="CE324" i="12"/>
  <c r="CF324" i="12"/>
  <c r="CG324" i="12"/>
  <c r="Y324" i="12"/>
  <c r="Z324" i="12"/>
  <c r="AA324" i="12"/>
  <c r="AI324" i="12"/>
  <c r="X324" i="12"/>
  <c r="BY323" i="12"/>
  <c r="CE323" i="12"/>
  <c r="CF323" i="12"/>
  <c r="CG323" i="12"/>
  <c r="Y323" i="12"/>
  <c r="Z323" i="12"/>
  <c r="AA323" i="12"/>
  <c r="AI323" i="12"/>
  <c r="X323" i="12"/>
  <c r="BY322" i="12"/>
  <c r="CE322" i="12"/>
  <c r="CF322" i="12"/>
  <c r="CG322" i="12"/>
  <c r="Y322" i="12"/>
  <c r="Z322" i="12"/>
  <c r="AA322" i="12"/>
  <c r="AL322" i="12"/>
  <c r="X322" i="12"/>
  <c r="BY321" i="12"/>
  <c r="CE321" i="12"/>
  <c r="CF321" i="12"/>
  <c r="CG321" i="12"/>
  <c r="Y321" i="12"/>
  <c r="Z321" i="12"/>
  <c r="AA321" i="12"/>
  <c r="X321" i="12"/>
  <c r="BY320" i="12"/>
  <c r="CE320" i="12"/>
  <c r="CF320" i="12"/>
  <c r="CG320" i="12"/>
  <c r="Y320" i="12"/>
  <c r="Z320" i="12"/>
  <c r="AA320" i="12"/>
  <c r="X320" i="12"/>
  <c r="BY319" i="12"/>
  <c r="CE319" i="12"/>
  <c r="CF319" i="12"/>
  <c r="CG319" i="12"/>
  <c r="Y319" i="12"/>
  <c r="Z319" i="12"/>
  <c r="AA319" i="12"/>
  <c r="X319" i="12"/>
  <c r="BY318" i="12"/>
  <c r="CE318" i="12"/>
  <c r="CF318" i="12"/>
  <c r="CG318" i="12"/>
  <c r="Y318" i="12"/>
  <c r="Z318" i="12"/>
  <c r="AA318" i="12"/>
  <c r="AL318" i="12"/>
  <c r="X318" i="12"/>
  <c r="BY317" i="12"/>
  <c r="CE317" i="12"/>
  <c r="CF317" i="12"/>
  <c r="CG317" i="12"/>
  <c r="Y317" i="12"/>
  <c r="Z317" i="12"/>
  <c r="AA317" i="12"/>
  <c r="AL317" i="12"/>
  <c r="X317" i="12"/>
  <c r="BY316" i="12"/>
  <c r="CE316" i="12"/>
  <c r="CF316" i="12"/>
  <c r="CG316" i="12"/>
  <c r="Y316" i="12"/>
  <c r="Z316" i="12"/>
  <c r="AA316" i="12"/>
  <c r="X316" i="12"/>
  <c r="BY315" i="12"/>
  <c r="CE315" i="12"/>
  <c r="CF315" i="12"/>
  <c r="CG315" i="12"/>
  <c r="Y315" i="12"/>
  <c r="Z315" i="12"/>
  <c r="AA315" i="12"/>
  <c r="AI315" i="12"/>
  <c r="X315" i="12"/>
  <c r="BY314" i="12"/>
  <c r="CE314" i="12"/>
  <c r="CF314" i="12"/>
  <c r="CG314" i="12"/>
  <c r="Y314" i="12"/>
  <c r="Z314" i="12"/>
  <c r="AA314" i="12"/>
  <c r="AL314" i="12"/>
  <c r="X314" i="12"/>
  <c r="BY313" i="12"/>
  <c r="CE313" i="12"/>
  <c r="CF313" i="12"/>
  <c r="CG313" i="12"/>
  <c r="Y313" i="12"/>
  <c r="Z313" i="12"/>
  <c r="AA313" i="12"/>
  <c r="AL313" i="12"/>
  <c r="X313" i="12"/>
  <c r="BY312" i="12"/>
  <c r="CE312" i="12"/>
  <c r="CF312" i="12"/>
  <c r="CG312" i="12"/>
  <c r="Y312" i="12"/>
  <c r="Z312" i="12"/>
  <c r="AA312" i="12"/>
  <c r="X312" i="12"/>
  <c r="BY311" i="12"/>
  <c r="CE311" i="12"/>
  <c r="CF311" i="12"/>
  <c r="CG311" i="12"/>
  <c r="Y311" i="12"/>
  <c r="Z311" i="12"/>
  <c r="AA311" i="12"/>
  <c r="X311" i="12"/>
  <c r="BY310" i="12"/>
  <c r="CE310" i="12"/>
  <c r="CF310" i="12"/>
  <c r="CG310" i="12"/>
  <c r="Y310" i="12"/>
  <c r="Z310" i="12"/>
  <c r="AA310" i="12"/>
  <c r="X310" i="12"/>
  <c r="BY309" i="12"/>
  <c r="CE309" i="12"/>
  <c r="CF309" i="12"/>
  <c r="CG309" i="12"/>
  <c r="Y309" i="12"/>
  <c r="Z309" i="12"/>
  <c r="AA309" i="12"/>
  <c r="X309" i="12"/>
  <c r="BY308" i="12"/>
  <c r="CE308" i="12"/>
  <c r="CF308" i="12"/>
  <c r="CG308" i="12"/>
  <c r="X308" i="12"/>
  <c r="Z308" i="12"/>
  <c r="AA308" i="12"/>
  <c r="Y308" i="12"/>
  <c r="BY307" i="12"/>
  <c r="CE307" i="12"/>
  <c r="CF307" i="12"/>
  <c r="CG307" i="12"/>
  <c r="X307" i="12"/>
  <c r="Z307" i="12"/>
  <c r="AA307" i="12"/>
  <c r="Y307" i="12"/>
  <c r="BY306" i="12"/>
  <c r="CE306" i="12"/>
  <c r="CF306" i="12"/>
  <c r="CG306" i="12"/>
  <c r="X306" i="12"/>
  <c r="Z306" i="12"/>
  <c r="AA306" i="12"/>
  <c r="AL306" i="12"/>
  <c r="Y306" i="12"/>
  <c r="BY305" i="12"/>
  <c r="CE305" i="12"/>
  <c r="CF305" i="12"/>
  <c r="CG305" i="12"/>
  <c r="X305" i="12"/>
  <c r="Z305" i="12"/>
  <c r="AA305" i="12"/>
  <c r="Y305" i="12"/>
  <c r="BY304" i="12"/>
  <c r="CE304" i="12"/>
  <c r="CF304" i="12"/>
  <c r="CG304" i="12"/>
  <c r="X304" i="12"/>
  <c r="Z304" i="12"/>
  <c r="AA304" i="12"/>
  <c r="AI304" i="12"/>
  <c r="Y304" i="12"/>
  <c r="BY303" i="12"/>
  <c r="CE303" i="12"/>
  <c r="CF303" i="12"/>
  <c r="CG303" i="12"/>
  <c r="X303" i="12"/>
  <c r="Z303" i="12"/>
  <c r="AA303" i="12"/>
  <c r="Y303" i="12"/>
  <c r="BY302" i="12"/>
  <c r="CE302" i="12"/>
  <c r="CF302" i="12"/>
  <c r="CG302" i="12"/>
  <c r="X302" i="12"/>
  <c r="Z302" i="12"/>
  <c r="AA302" i="12"/>
  <c r="Y302" i="12"/>
  <c r="BY301" i="12"/>
  <c r="CE301" i="12"/>
  <c r="CF301" i="12"/>
  <c r="CG301" i="12"/>
  <c r="X301" i="12"/>
  <c r="Z301" i="12"/>
  <c r="AA301" i="12"/>
  <c r="Y301" i="12"/>
  <c r="BY300" i="12"/>
  <c r="CE300" i="12"/>
  <c r="CF300" i="12"/>
  <c r="CG300" i="12"/>
  <c r="X300" i="12"/>
  <c r="Z300" i="12"/>
  <c r="AA300" i="12"/>
  <c r="Y300" i="12"/>
  <c r="BY299" i="12"/>
  <c r="CE299" i="12"/>
  <c r="CF299" i="12"/>
  <c r="CG299" i="12"/>
  <c r="X299" i="12"/>
  <c r="Z299" i="12"/>
  <c r="AA299" i="12"/>
  <c r="Y299" i="12"/>
  <c r="BY298" i="12"/>
  <c r="CE298" i="12"/>
  <c r="CF298" i="12"/>
  <c r="CG298" i="12"/>
  <c r="X298" i="12"/>
  <c r="Z298" i="12"/>
  <c r="AA298" i="12"/>
  <c r="AI298" i="12"/>
  <c r="Y298" i="12"/>
  <c r="BY297" i="12"/>
  <c r="CE297" i="12"/>
  <c r="CF297" i="12"/>
  <c r="CG297" i="12"/>
  <c r="X297" i="12"/>
  <c r="Z297" i="12"/>
  <c r="AA297" i="12"/>
  <c r="AI297" i="12"/>
  <c r="Y297" i="12"/>
  <c r="BY296" i="12"/>
  <c r="CE296" i="12"/>
  <c r="CF296" i="12"/>
  <c r="CG296" i="12"/>
  <c r="X296" i="12"/>
  <c r="Z296" i="12"/>
  <c r="AA296" i="12"/>
  <c r="Y296" i="12"/>
  <c r="BY295" i="12"/>
  <c r="CE295" i="12"/>
  <c r="CF295" i="12"/>
  <c r="CG295" i="12"/>
  <c r="X295" i="12"/>
  <c r="Z295" i="12"/>
  <c r="AA295" i="12"/>
  <c r="AL295" i="12"/>
  <c r="Y295" i="12"/>
  <c r="BY294" i="12"/>
  <c r="CE294" i="12"/>
  <c r="CF294" i="12"/>
  <c r="CG294" i="12"/>
  <c r="X294" i="12"/>
  <c r="Z294" i="12"/>
  <c r="AA294" i="12"/>
  <c r="AL294" i="12"/>
  <c r="Y294" i="12"/>
  <c r="BY293" i="12"/>
  <c r="CE293" i="12"/>
  <c r="CF293" i="12"/>
  <c r="CG293" i="12"/>
  <c r="X293" i="12"/>
  <c r="Z293" i="12"/>
  <c r="AA293" i="12"/>
  <c r="Y293" i="12"/>
  <c r="BY292" i="12"/>
  <c r="CE292" i="12"/>
  <c r="CF292" i="12"/>
  <c r="CG292" i="12"/>
  <c r="X292" i="12"/>
  <c r="Z292" i="12"/>
  <c r="AA292" i="12"/>
  <c r="AI292" i="12"/>
  <c r="Y292" i="12"/>
  <c r="BY291" i="12"/>
  <c r="CE291" i="12"/>
  <c r="CF291" i="12"/>
  <c r="CG291" i="12"/>
  <c r="X291" i="12"/>
  <c r="Z291" i="12"/>
  <c r="AA291" i="12"/>
  <c r="Y291" i="12"/>
  <c r="BY290" i="12"/>
  <c r="CE290" i="12"/>
  <c r="CF290" i="12"/>
  <c r="CG290" i="12"/>
  <c r="X290" i="12"/>
  <c r="Z290" i="12"/>
  <c r="AA290" i="12"/>
  <c r="AI290" i="12"/>
  <c r="Y290" i="12"/>
  <c r="BY289" i="12"/>
  <c r="CE289" i="12"/>
  <c r="CF289" i="12"/>
  <c r="CG289" i="12"/>
  <c r="X289" i="12"/>
  <c r="Z289" i="12"/>
  <c r="AA289" i="12"/>
  <c r="AI289" i="12"/>
  <c r="Y289" i="12"/>
  <c r="BY288" i="12"/>
  <c r="CE288" i="12"/>
  <c r="CF288" i="12"/>
  <c r="CG288" i="12"/>
  <c r="X288" i="12"/>
  <c r="Z288" i="12"/>
  <c r="AA288" i="12"/>
  <c r="Y288" i="12"/>
  <c r="BY287" i="12"/>
  <c r="CE287" i="12"/>
  <c r="CF287" i="12"/>
  <c r="CG287" i="12"/>
  <c r="X287" i="12"/>
  <c r="Z287" i="12"/>
  <c r="AA287" i="12"/>
  <c r="Y287" i="12"/>
  <c r="BY286" i="12"/>
  <c r="CE286" i="12"/>
  <c r="CF286" i="12"/>
  <c r="CG286" i="12"/>
  <c r="X286" i="12"/>
  <c r="Z286" i="12"/>
  <c r="AA286" i="12"/>
  <c r="AI286" i="12"/>
  <c r="Y286" i="12"/>
  <c r="BY285" i="12"/>
  <c r="CE285" i="12"/>
  <c r="CF285" i="12"/>
  <c r="CG285" i="12"/>
  <c r="X285" i="12"/>
  <c r="Z285" i="12"/>
  <c r="AA285" i="12"/>
  <c r="Y285" i="12"/>
  <c r="BY284" i="12"/>
  <c r="CE284" i="12"/>
  <c r="CF284" i="12"/>
  <c r="CG284" i="12"/>
  <c r="X284" i="12"/>
  <c r="Z284" i="12"/>
  <c r="AA284" i="12"/>
  <c r="Y284" i="12"/>
  <c r="BY283" i="12"/>
  <c r="CE283" i="12"/>
  <c r="CF283" i="12"/>
  <c r="CG283" i="12"/>
  <c r="X283" i="12"/>
  <c r="Z283" i="12"/>
  <c r="AA283" i="12"/>
  <c r="Y283" i="12"/>
  <c r="BY282" i="12"/>
  <c r="CE282" i="12"/>
  <c r="CF282" i="12"/>
  <c r="CG282" i="12"/>
  <c r="X282" i="12"/>
  <c r="Z282" i="12"/>
  <c r="AA282" i="12"/>
  <c r="AL282" i="12"/>
  <c r="Y282" i="12"/>
  <c r="BY281" i="12"/>
  <c r="CE281" i="12"/>
  <c r="CF281" i="12"/>
  <c r="CG281" i="12"/>
  <c r="X281" i="12"/>
  <c r="Z281" i="12"/>
  <c r="AA281" i="12"/>
  <c r="Y281" i="12"/>
  <c r="BY280" i="12"/>
  <c r="CE280" i="12"/>
  <c r="CF280" i="12"/>
  <c r="CG280" i="12"/>
  <c r="X280" i="12"/>
  <c r="Z280" i="12"/>
  <c r="AA280" i="12"/>
  <c r="Y280" i="12"/>
  <c r="BY279" i="12"/>
  <c r="CE279" i="12"/>
  <c r="CF279" i="12"/>
  <c r="CG279" i="12"/>
  <c r="X279" i="12"/>
  <c r="Z279" i="12"/>
  <c r="AA279" i="12"/>
  <c r="AI279" i="12"/>
  <c r="Y279" i="12"/>
  <c r="BY278" i="12"/>
  <c r="CE278" i="12"/>
  <c r="CF278" i="12"/>
  <c r="CG278" i="12"/>
  <c r="X278" i="12"/>
  <c r="Z278" i="12"/>
  <c r="AA278" i="12"/>
  <c r="Y278" i="12"/>
  <c r="BY277" i="12"/>
  <c r="CE277" i="12"/>
  <c r="CF277" i="12"/>
  <c r="CG277" i="12"/>
  <c r="X277" i="12"/>
  <c r="Z277" i="12"/>
  <c r="AA277" i="12"/>
  <c r="Y277" i="12"/>
  <c r="BY276" i="12"/>
  <c r="CE276" i="12"/>
  <c r="CF276" i="12"/>
  <c r="CG276" i="12"/>
  <c r="X276" i="12"/>
  <c r="Z276" i="12"/>
  <c r="AA276" i="12"/>
  <c r="AL276" i="12"/>
  <c r="Y276" i="12"/>
  <c r="BY275" i="12"/>
  <c r="CE275" i="12"/>
  <c r="CF275" i="12"/>
  <c r="CG275" i="12"/>
  <c r="X275" i="12"/>
  <c r="Z275" i="12"/>
  <c r="AA275" i="12"/>
  <c r="AL275" i="12"/>
  <c r="Y275" i="12"/>
  <c r="BY274" i="12"/>
  <c r="CE274" i="12"/>
  <c r="CF274" i="12"/>
  <c r="CG274" i="12"/>
  <c r="X274" i="12"/>
  <c r="Z274" i="12"/>
  <c r="AA274" i="12"/>
  <c r="AL274" i="12"/>
  <c r="Y274" i="12"/>
  <c r="BY273" i="12"/>
  <c r="CE273" i="12"/>
  <c r="CF273" i="12"/>
  <c r="CG273" i="12"/>
  <c r="X273" i="12"/>
  <c r="Z273" i="12"/>
  <c r="AA273" i="12"/>
  <c r="AL273" i="12"/>
  <c r="Y273" i="12"/>
  <c r="BY272" i="12"/>
  <c r="CE272" i="12"/>
  <c r="CF272" i="12"/>
  <c r="CG272" i="12"/>
  <c r="X272" i="12"/>
  <c r="Z272" i="12"/>
  <c r="AA272" i="12"/>
  <c r="AI272" i="12"/>
  <c r="Y272" i="12"/>
  <c r="BY271" i="12"/>
  <c r="CE271" i="12"/>
  <c r="CF271" i="12"/>
  <c r="CG271" i="12"/>
  <c r="X271" i="12"/>
  <c r="Z271" i="12"/>
  <c r="AA271" i="12"/>
  <c r="Y271" i="12"/>
  <c r="BY270" i="12"/>
  <c r="CE270" i="12"/>
  <c r="CF270" i="12"/>
  <c r="CG270" i="12"/>
  <c r="X270" i="12"/>
  <c r="Z270" i="12"/>
  <c r="AA270" i="12"/>
  <c r="AI270" i="12"/>
  <c r="Y270" i="12"/>
  <c r="BY209" i="12"/>
  <c r="CE209" i="12"/>
  <c r="CF209" i="12"/>
  <c r="CG209" i="12"/>
  <c r="X209" i="12"/>
  <c r="Z209" i="12"/>
  <c r="AA209" i="12"/>
  <c r="Y209" i="12"/>
  <c r="BY208" i="12"/>
  <c r="CE208" i="12"/>
  <c r="CF208" i="12"/>
  <c r="CG208" i="12"/>
  <c r="X208" i="12"/>
  <c r="Z208" i="12"/>
  <c r="AA208" i="12"/>
  <c r="Y208" i="12"/>
  <c r="BY207" i="12"/>
  <c r="CE207" i="12"/>
  <c r="CF207" i="12"/>
  <c r="CG207" i="12"/>
  <c r="X207" i="12"/>
  <c r="Z207" i="12"/>
  <c r="AA207" i="12"/>
  <c r="AL207" i="12"/>
  <c r="Y207" i="12"/>
  <c r="BY206" i="12"/>
  <c r="CE206" i="12"/>
  <c r="CF206" i="12"/>
  <c r="CG206" i="12"/>
  <c r="X206" i="12"/>
  <c r="Z206" i="12"/>
  <c r="AA206" i="12"/>
  <c r="AI206" i="12"/>
  <c r="Y206" i="12"/>
  <c r="BY205" i="12"/>
  <c r="CE205" i="12"/>
  <c r="CF205" i="12"/>
  <c r="CG205" i="12"/>
  <c r="X205" i="12"/>
  <c r="Z205" i="12"/>
  <c r="AA205" i="12"/>
  <c r="Y205" i="12"/>
  <c r="BY204" i="12"/>
  <c r="CE204" i="12"/>
  <c r="CF204" i="12"/>
  <c r="CG204" i="12"/>
  <c r="X204" i="12"/>
  <c r="Z204" i="12"/>
  <c r="AA204" i="12"/>
  <c r="AI204" i="12"/>
  <c r="Y204" i="12"/>
  <c r="BY203" i="12"/>
  <c r="CE203" i="12"/>
  <c r="CF203" i="12"/>
  <c r="CG203" i="12"/>
  <c r="X203" i="12"/>
  <c r="Z203" i="12"/>
  <c r="AA203" i="12"/>
  <c r="Y203" i="12"/>
  <c r="BY202" i="12"/>
  <c r="CE202" i="12"/>
  <c r="CF202" i="12"/>
  <c r="CG202" i="12"/>
  <c r="X202" i="12"/>
  <c r="Z202" i="12"/>
  <c r="AA202" i="12"/>
  <c r="AL202" i="12"/>
  <c r="Y202" i="12"/>
  <c r="BY201" i="12"/>
  <c r="CE201" i="12"/>
  <c r="CF201" i="12"/>
  <c r="CG201" i="12"/>
  <c r="X201" i="12"/>
  <c r="Z201" i="12"/>
  <c r="AA201" i="12"/>
  <c r="Y201" i="12"/>
  <c r="BY200" i="12"/>
  <c r="CE200" i="12"/>
  <c r="CF200" i="12"/>
  <c r="CG200" i="12"/>
  <c r="X200" i="12"/>
  <c r="Z200" i="12"/>
  <c r="AA200" i="12"/>
  <c r="Y200" i="12"/>
  <c r="BY199" i="12"/>
  <c r="CE199" i="12"/>
  <c r="CF199" i="12"/>
  <c r="CG199" i="12"/>
  <c r="Y199" i="12"/>
  <c r="Z199" i="12"/>
  <c r="AA199" i="12"/>
  <c r="AI199" i="12"/>
  <c r="X199" i="12"/>
  <c r="BY198" i="12"/>
  <c r="CE198" i="12"/>
  <c r="CF198" i="12"/>
  <c r="CG198" i="12"/>
  <c r="X198" i="12"/>
  <c r="Z198" i="12"/>
  <c r="AA198" i="12"/>
  <c r="Y198" i="12"/>
  <c r="BY197" i="12"/>
  <c r="CE197" i="12"/>
  <c r="CF197" i="12"/>
  <c r="CG197" i="12"/>
  <c r="Y197" i="12"/>
  <c r="Z197" i="12"/>
  <c r="AA197" i="12"/>
  <c r="AL197" i="12"/>
  <c r="X197" i="12"/>
  <c r="BY196" i="12"/>
  <c r="CE196" i="12"/>
  <c r="CF196" i="12"/>
  <c r="CG196" i="12"/>
  <c r="X196" i="12"/>
  <c r="Z196" i="12"/>
  <c r="AA196" i="12"/>
  <c r="AL196" i="12"/>
  <c r="Y196" i="12"/>
  <c r="BY195" i="12"/>
  <c r="CE195" i="12"/>
  <c r="CF195" i="12"/>
  <c r="CG195" i="12"/>
  <c r="X195" i="12"/>
  <c r="Z195" i="12"/>
  <c r="AA195" i="12"/>
  <c r="Y195" i="12"/>
  <c r="BY194" i="12"/>
  <c r="CE194" i="12"/>
  <c r="CF194" i="12"/>
  <c r="CG194" i="12"/>
  <c r="X194" i="12"/>
  <c r="Z194" i="12"/>
  <c r="AA194" i="12"/>
  <c r="AI194" i="12"/>
  <c r="Y194" i="12"/>
  <c r="BY193" i="12"/>
  <c r="CE193" i="12"/>
  <c r="CF193" i="12"/>
  <c r="CG193" i="12"/>
  <c r="X193" i="12"/>
  <c r="Z193" i="12"/>
  <c r="AA193" i="12"/>
  <c r="Y193" i="12"/>
  <c r="BY192" i="12"/>
  <c r="CE192" i="12"/>
  <c r="CF192" i="12"/>
  <c r="CG192" i="12"/>
  <c r="X192" i="12"/>
  <c r="Z192" i="12"/>
  <c r="AA192" i="12"/>
  <c r="Y192" i="12"/>
  <c r="BY191" i="12"/>
  <c r="CE191" i="12"/>
  <c r="CF191" i="12"/>
  <c r="CG191" i="12"/>
  <c r="X191" i="12"/>
  <c r="Z191" i="12"/>
  <c r="AA191" i="12"/>
  <c r="AI191" i="12"/>
  <c r="Y191" i="12"/>
  <c r="BY190" i="12"/>
  <c r="CE190" i="12"/>
  <c r="CF190" i="12"/>
  <c r="CG190" i="12"/>
  <c r="Y190" i="12"/>
  <c r="Z190" i="12"/>
  <c r="AA190" i="12"/>
  <c r="AL190" i="12"/>
  <c r="X190" i="12"/>
  <c r="BY189" i="12"/>
  <c r="CE189" i="12"/>
  <c r="CF189" i="12"/>
  <c r="CG189" i="12"/>
  <c r="Y189" i="12"/>
  <c r="Z189" i="12"/>
  <c r="AA189" i="12"/>
  <c r="AI189" i="12"/>
  <c r="X189" i="12"/>
  <c r="BY188" i="12"/>
  <c r="CE188" i="12"/>
  <c r="CF188" i="12"/>
  <c r="CG188" i="12"/>
  <c r="T188" i="12"/>
  <c r="Y188" i="12"/>
  <c r="Z188" i="12"/>
  <c r="AA188" i="12"/>
  <c r="AI188" i="12"/>
  <c r="BY187" i="12"/>
  <c r="CE187" i="12"/>
  <c r="CF187" i="12"/>
  <c r="CG187" i="12"/>
  <c r="T187" i="12"/>
  <c r="Y187" i="12"/>
  <c r="Z187" i="12"/>
  <c r="AA187" i="12"/>
  <c r="AL187" i="12"/>
  <c r="BY186" i="12"/>
  <c r="CE186" i="12"/>
  <c r="CF186" i="12"/>
  <c r="CG186" i="12"/>
  <c r="T186" i="12"/>
  <c r="Y186" i="12"/>
  <c r="Z186" i="12"/>
  <c r="AA186" i="12"/>
  <c r="BY185" i="12"/>
  <c r="CE185" i="12"/>
  <c r="CF185" i="12"/>
  <c r="CG185" i="12"/>
  <c r="T185" i="12"/>
  <c r="Y185" i="12"/>
  <c r="Z185" i="12"/>
  <c r="AA185" i="12"/>
  <c r="BY184" i="12"/>
  <c r="CE184" i="12"/>
  <c r="CF184" i="12"/>
  <c r="CG184" i="12"/>
  <c r="T184" i="12"/>
  <c r="X184" i="12"/>
  <c r="AA184" i="12"/>
  <c r="BY183" i="12"/>
  <c r="CE183" i="12"/>
  <c r="CF183" i="12"/>
  <c r="CG183" i="12"/>
  <c r="Y183" i="12"/>
  <c r="Z183" i="12"/>
  <c r="AA183" i="12"/>
  <c r="X183" i="12"/>
  <c r="BY182" i="12"/>
  <c r="CE182" i="12"/>
  <c r="CF182" i="12"/>
  <c r="CG182" i="12"/>
  <c r="Y182" i="12"/>
  <c r="Z182" i="12"/>
  <c r="AA182" i="12"/>
  <c r="X182" i="12"/>
  <c r="BY181" i="12"/>
  <c r="CE181" i="12"/>
  <c r="CF181" i="12"/>
  <c r="CG181" i="12"/>
  <c r="Y181" i="12"/>
  <c r="Z181" i="12"/>
  <c r="AA181" i="12"/>
  <c r="X181" i="12"/>
  <c r="BY180" i="12"/>
  <c r="CE180" i="12"/>
  <c r="CF180" i="12"/>
  <c r="CG180" i="12"/>
  <c r="Y180" i="12"/>
  <c r="Z180" i="12"/>
  <c r="AA180" i="12"/>
  <c r="AL180" i="12"/>
  <c r="X180" i="12"/>
  <c r="BY179" i="12"/>
  <c r="CE179" i="12"/>
  <c r="CF179" i="12"/>
  <c r="CG179" i="12"/>
  <c r="Y179" i="12"/>
  <c r="Z179" i="12"/>
  <c r="AA179" i="12"/>
  <c r="AL179" i="12"/>
  <c r="X179" i="12"/>
  <c r="BY178" i="12"/>
  <c r="CE178" i="12"/>
  <c r="CF178" i="12"/>
  <c r="CG178" i="12"/>
  <c r="Y178" i="12"/>
  <c r="Z178" i="12"/>
  <c r="AA178" i="12"/>
  <c r="AI178" i="12"/>
  <c r="X178" i="12"/>
  <c r="BY177" i="12"/>
  <c r="CE177" i="12"/>
  <c r="CF177" i="12"/>
  <c r="CG177" i="12"/>
  <c r="Y177" i="12"/>
  <c r="Z177" i="12"/>
  <c r="AA177" i="12"/>
  <c r="X177" i="12"/>
  <c r="BY176" i="12"/>
  <c r="CE176" i="12"/>
  <c r="CF176" i="12"/>
  <c r="CG176" i="12"/>
  <c r="AA176" i="12"/>
  <c r="AL176" i="12"/>
  <c r="X176" i="12"/>
  <c r="BY174" i="12"/>
  <c r="CE174" i="12"/>
  <c r="CF174" i="12"/>
  <c r="CG174" i="12"/>
  <c r="AA174" i="12"/>
  <c r="AI174" i="12"/>
  <c r="X174" i="12"/>
  <c r="BY173" i="12"/>
  <c r="CE173" i="12"/>
  <c r="CF173" i="12"/>
  <c r="CG173" i="12"/>
  <c r="Y173" i="12"/>
  <c r="Z173" i="12"/>
  <c r="AA173" i="12"/>
  <c r="AI173" i="12"/>
  <c r="X173" i="12"/>
  <c r="BY172" i="12"/>
  <c r="CE172" i="12"/>
  <c r="CF172" i="12"/>
  <c r="CG172" i="12"/>
  <c r="Y172" i="12"/>
  <c r="Z172" i="12"/>
  <c r="AA172" i="12"/>
  <c r="X172" i="12"/>
  <c r="BY171" i="12"/>
  <c r="CE171" i="12"/>
  <c r="CF171" i="12"/>
  <c r="CG171" i="12"/>
  <c r="Y171" i="12"/>
  <c r="Z171" i="12"/>
  <c r="AA171" i="12"/>
  <c r="AI171" i="12"/>
  <c r="X171" i="12"/>
  <c r="BY170" i="12"/>
  <c r="CE170" i="12"/>
  <c r="CF170" i="12"/>
  <c r="CG170" i="12"/>
  <c r="Y170" i="12"/>
  <c r="Z170" i="12"/>
  <c r="AA170" i="12"/>
  <c r="X170" i="12"/>
  <c r="BY169" i="12"/>
  <c r="CE169" i="12"/>
  <c r="CF169" i="12"/>
  <c r="CG169" i="12"/>
  <c r="Y169" i="12"/>
  <c r="Z169" i="12"/>
  <c r="AA169" i="12"/>
  <c r="AI169" i="12"/>
  <c r="X169" i="12"/>
  <c r="BY168" i="12"/>
  <c r="CE168" i="12"/>
  <c r="CF168" i="12"/>
  <c r="CG168" i="12"/>
  <c r="Y168" i="12"/>
  <c r="Z168" i="12"/>
  <c r="AA168" i="12"/>
  <c r="AI168" i="12"/>
  <c r="X168" i="12"/>
  <c r="BY167" i="12"/>
  <c r="CE167" i="12"/>
  <c r="CF167" i="12"/>
  <c r="CG167" i="12"/>
  <c r="Y167" i="12"/>
  <c r="Z167" i="12"/>
  <c r="AA167" i="12"/>
  <c r="X167" i="12"/>
  <c r="BY166" i="12"/>
  <c r="CE166" i="12"/>
  <c r="CF166" i="12"/>
  <c r="CG166" i="12"/>
  <c r="Y166" i="12"/>
  <c r="Z166" i="12"/>
  <c r="AA166" i="12"/>
  <c r="X166" i="12"/>
  <c r="BY165" i="12"/>
  <c r="CE165" i="12"/>
  <c r="CF165" i="12"/>
  <c r="CG165" i="12"/>
  <c r="Y165" i="12"/>
  <c r="Z165" i="12"/>
  <c r="AA165" i="12"/>
  <c r="AL165" i="12"/>
  <c r="X165" i="12"/>
  <c r="BY164" i="12"/>
  <c r="CE164" i="12"/>
  <c r="CF164" i="12"/>
  <c r="CG164" i="12"/>
  <c r="Y164" i="12"/>
  <c r="Z164" i="12"/>
  <c r="AA164" i="12"/>
  <c r="AI164" i="12"/>
  <c r="X164" i="12"/>
  <c r="BY163" i="12"/>
  <c r="CE163" i="12"/>
  <c r="CF163" i="12"/>
  <c r="CG163" i="12"/>
  <c r="Y163" i="12"/>
  <c r="Z163" i="12"/>
  <c r="AA163" i="12"/>
  <c r="X163" i="12"/>
  <c r="BY162" i="12"/>
  <c r="CE162" i="12"/>
  <c r="CF162" i="12"/>
  <c r="CG162" i="12"/>
  <c r="Y162" i="12"/>
  <c r="Z162" i="12"/>
  <c r="AA162" i="12"/>
  <c r="X162" i="12"/>
  <c r="BY161" i="12"/>
  <c r="CE161" i="12"/>
  <c r="CF161" i="12"/>
  <c r="CG161" i="12"/>
  <c r="X161" i="12"/>
  <c r="Z161" i="12"/>
  <c r="AA161" i="12"/>
  <c r="Y161" i="12"/>
  <c r="BY160" i="12"/>
  <c r="CE160" i="12"/>
  <c r="CF160" i="12"/>
  <c r="CG160" i="12"/>
  <c r="Y160" i="12"/>
  <c r="Z160" i="12"/>
  <c r="AA160" i="12"/>
  <c r="X160" i="12"/>
  <c r="BY159" i="12"/>
  <c r="CE159" i="12"/>
  <c r="CF159" i="12"/>
  <c r="CG159" i="12"/>
  <c r="Y159" i="12"/>
  <c r="Z159" i="12"/>
  <c r="AA159" i="12"/>
  <c r="X159" i="12"/>
  <c r="BY158" i="12"/>
  <c r="CE158" i="12"/>
  <c r="CF158" i="12"/>
  <c r="CG158" i="12"/>
  <c r="Y158" i="12"/>
  <c r="Z158" i="12"/>
  <c r="AA158" i="12"/>
  <c r="X158" i="12"/>
  <c r="BY157" i="12"/>
  <c r="CE157" i="12"/>
  <c r="CF157" i="12"/>
  <c r="CG157" i="12"/>
  <c r="Y157" i="12"/>
  <c r="Z157" i="12"/>
  <c r="AA157" i="12"/>
  <c r="X157" i="12"/>
  <c r="BY156" i="12"/>
  <c r="CE156" i="12"/>
  <c r="CF156" i="12"/>
  <c r="CG156" i="12"/>
  <c r="Y156" i="12"/>
  <c r="Z156" i="12"/>
  <c r="AA156" i="12"/>
  <c r="X156" i="12"/>
  <c r="BY155" i="12"/>
  <c r="CE155" i="12"/>
  <c r="CF155" i="12"/>
  <c r="CG155" i="12"/>
  <c r="Y155" i="12"/>
  <c r="Z155" i="12"/>
  <c r="AA155" i="12"/>
  <c r="X155" i="12"/>
  <c r="BY154" i="12"/>
  <c r="CE154" i="12"/>
  <c r="CF154" i="12"/>
  <c r="CG154" i="12"/>
  <c r="Y154" i="12"/>
  <c r="Z154" i="12"/>
  <c r="AA154" i="12"/>
  <c r="AL154" i="12"/>
  <c r="X154" i="12"/>
  <c r="BY153" i="12"/>
  <c r="CE153" i="12"/>
  <c r="CF153" i="12"/>
  <c r="CG153" i="12"/>
  <c r="Y153" i="12"/>
  <c r="N153" i="12"/>
  <c r="AA153" i="12"/>
  <c r="AL153" i="12"/>
  <c r="X153" i="12"/>
  <c r="BY152" i="12"/>
  <c r="CE152" i="12"/>
  <c r="CF152" i="12"/>
  <c r="CG152" i="12"/>
  <c r="Y152" i="12"/>
  <c r="Z152" i="12"/>
  <c r="AA152" i="12"/>
  <c r="AI152" i="12"/>
  <c r="X152" i="12"/>
  <c r="BY151" i="12"/>
  <c r="CE151" i="12"/>
  <c r="CF151" i="12"/>
  <c r="CG151" i="12"/>
  <c r="Y151" i="12"/>
  <c r="Z151" i="12"/>
  <c r="AA151" i="12"/>
  <c r="X151" i="12"/>
  <c r="BY150" i="12"/>
  <c r="CE150" i="12"/>
  <c r="CF150" i="12"/>
  <c r="CG150" i="12"/>
  <c r="Y150" i="12"/>
  <c r="Z150" i="12"/>
  <c r="AA150" i="12"/>
  <c r="AL150" i="12"/>
  <c r="X150" i="12"/>
  <c r="BY149" i="12"/>
  <c r="CE149" i="12"/>
  <c r="CF149" i="12"/>
  <c r="CG149" i="12"/>
  <c r="Y149" i="12"/>
  <c r="Z149" i="12"/>
  <c r="AA149" i="12"/>
  <c r="AL149" i="12"/>
  <c r="X149" i="12"/>
  <c r="BY148" i="12"/>
  <c r="CE148" i="12"/>
  <c r="CF148" i="12"/>
  <c r="CG148" i="12"/>
  <c r="Y148" i="12"/>
  <c r="Z148" i="12"/>
  <c r="AA148" i="12"/>
  <c r="X148" i="12"/>
  <c r="BY147" i="12"/>
  <c r="CE147" i="12"/>
  <c r="CF147" i="12"/>
  <c r="CG147" i="12"/>
  <c r="Y147" i="12"/>
  <c r="Z147" i="12"/>
  <c r="AA147" i="12"/>
  <c r="AL147" i="12"/>
  <c r="X147" i="12"/>
  <c r="BY146" i="12"/>
  <c r="CE146" i="12"/>
  <c r="CF146" i="12"/>
  <c r="CG146" i="12"/>
  <c r="Y146" i="12"/>
  <c r="Z146" i="12"/>
  <c r="AA146" i="12"/>
  <c r="AI146" i="12"/>
  <c r="X146" i="12"/>
  <c r="BY145" i="12"/>
  <c r="CE145" i="12"/>
  <c r="CF145" i="12"/>
  <c r="CG145" i="12"/>
  <c r="Y145" i="12"/>
  <c r="Z145" i="12"/>
  <c r="AA145" i="12"/>
  <c r="AI145" i="12"/>
  <c r="X145" i="12"/>
  <c r="BY144" i="12"/>
  <c r="CE144" i="12"/>
  <c r="CF144" i="12"/>
  <c r="CG144" i="12"/>
  <c r="Y144" i="12"/>
  <c r="Z144" i="12"/>
  <c r="AA144" i="12"/>
  <c r="AL144" i="12"/>
  <c r="X144" i="12"/>
  <c r="BY143" i="12"/>
  <c r="CE143" i="12"/>
  <c r="CF143" i="12"/>
  <c r="CG143" i="12"/>
  <c r="Y143" i="12"/>
  <c r="Z143" i="12"/>
  <c r="AA143" i="12"/>
  <c r="AL143" i="12"/>
  <c r="X143" i="12"/>
  <c r="BY142" i="12"/>
  <c r="CE142" i="12"/>
  <c r="CF142" i="12"/>
  <c r="CG142" i="12"/>
  <c r="Y142" i="12"/>
  <c r="Z142" i="12"/>
  <c r="AA142" i="12"/>
  <c r="AL142" i="12"/>
  <c r="X142" i="12"/>
  <c r="BY141" i="12"/>
  <c r="CE141" i="12"/>
  <c r="CF141" i="12"/>
  <c r="CG141" i="12"/>
  <c r="Y141" i="12"/>
  <c r="Z141" i="12"/>
  <c r="AA141" i="12"/>
  <c r="AL141" i="12"/>
  <c r="X141" i="12"/>
  <c r="BY140" i="12"/>
  <c r="CE140" i="12"/>
  <c r="CF140" i="12"/>
  <c r="CG140" i="12"/>
  <c r="Y140" i="12"/>
  <c r="Z140" i="12"/>
  <c r="AA140" i="12"/>
  <c r="AI140" i="12"/>
  <c r="X140" i="12"/>
  <c r="BY139" i="12"/>
  <c r="CE139" i="12"/>
  <c r="CF139" i="12"/>
  <c r="CG139" i="12"/>
  <c r="Y139" i="12"/>
  <c r="Z139" i="12"/>
  <c r="AA139" i="12"/>
  <c r="AI139" i="12"/>
  <c r="X139" i="12"/>
  <c r="BY138" i="12"/>
  <c r="CE138" i="12"/>
  <c r="CF138" i="12"/>
  <c r="CG138" i="12"/>
  <c r="Y138" i="12"/>
  <c r="Z138" i="12"/>
  <c r="AA138" i="12"/>
  <c r="X138" i="12"/>
  <c r="BY137" i="12"/>
  <c r="CE137" i="12"/>
  <c r="CF137" i="12"/>
  <c r="CG137" i="12"/>
  <c r="Y137" i="12"/>
  <c r="Z137" i="12"/>
  <c r="AA137" i="12"/>
  <c r="X137" i="12"/>
  <c r="BY136" i="12"/>
  <c r="CE136" i="12"/>
  <c r="CF136" i="12"/>
  <c r="CG136" i="12"/>
  <c r="Y136" i="12"/>
  <c r="Z136" i="12"/>
  <c r="AA136" i="12"/>
  <c r="AI136" i="12"/>
  <c r="X136" i="12"/>
  <c r="BY135" i="12"/>
  <c r="CE135" i="12"/>
  <c r="CF135" i="12"/>
  <c r="CG135" i="12"/>
  <c r="Y135" i="12"/>
  <c r="Z135" i="12"/>
  <c r="AA135" i="12"/>
  <c r="X135" i="12"/>
  <c r="BY134" i="12"/>
  <c r="CE134" i="12"/>
  <c r="CF134" i="12"/>
  <c r="CG134" i="12"/>
  <c r="Y134" i="12"/>
  <c r="Z134" i="12"/>
  <c r="AA134" i="12"/>
  <c r="AL134" i="12"/>
  <c r="X134" i="12"/>
  <c r="BY133" i="12"/>
  <c r="CE133" i="12"/>
  <c r="CF133" i="12"/>
  <c r="CG133" i="12"/>
  <c r="Y133" i="12"/>
  <c r="Z133" i="12"/>
  <c r="AA133" i="12"/>
  <c r="X133" i="12"/>
  <c r="BY132" i="12"/>
  <c r="CE132" i="12"/>
  <c r="CF132" i="12"/>
  <c r="CG132" i="12"/>
  <c r="Y132" i="12"/>
  <c r="Z132" i="12"/>
  <c r="AA132" i="12"/>
  <c r="AL132" i="12"/>
  <c r="X132" i="12"/>
  <c r="BY131" i="12"/>
  <c r="CE131" i="12"/>
  <c r="CF131" i="12"/>
  <c r="CG131" i="12"/>
  <c r="Y131" i="12"/>
  <c r="Z131" i="12"/>
  <c r="AA131" i="12"/>
  <c r="AL131" i="12"/>
  <c r="X131" i="12"/>
  <c r="BY127" i="12"/>
  <c r="CE127" i="12"/>
  <c r="CF127" i="12"/>
  <c r="CG127" i="12"/>
  <c r="Y127" i="12"/>
  <c r="Z127" i="12"/>
  <c r="AA127" i="12"/>
  <c r="AL127" i="12"/>
  <c r="X127" i="12"/>
  <c r="BY125" i="12"/>
  <c r="CE125" i="12"/>
  <c r="CF125" i="12"/>
  <c r="CG125" i="12"/>
  <c r="Y125" i="12"/>
  <c r="Z125" i="12"/>
  <c r="AA125" i="12"/>
  <c r="AI125" i="12"/>
  <c r="X125" i="12"/>
  <c r="BY124" i="12"/>
  <c r="CE124" i="12"/>
  <c r="CF124" i="12"/>
  <c r="CG124" i="12"/>
  <c r="Y124" i="12"/>
  <c r="Z124" i="12"/>
  <c r="AA124" i="12"/>
  <c r="AI124" i="12"/>
  <c r="X124" i="12"/>
  <c r="BY123" i="12"/>
  <c r="CE123" i="12"/>
  <c r="CF123" i="12"/>
  <c r="CG123" i="12"/>
  <c r="Y123" i="12"/>
  <c r="Z123" i="12"/>
  <c r="AA123" i="12"/>
  <c r="X123" i="12"/>
  <c r="BY122" i="12"/>
  <c r="CE122" i="12"/>
  <c r="CF122" i="12"/>
  <c r="CG122" i="12"/>
  <c r="Y122" i="12"/>
  <c r="Z122" i="12"/>
  <c r="AA122" i="12"/>
  <c r="AI122" i="12"/>
  <c r="X122" i="12"/>
  <c r="AV121" i="12"/>
  <c r="BY120" i="12"/>
  <c r="CE120" i="12"/>
  <c r="CF120" i="12"/>
  <c r="CG120" i="12"/>
  <c r="Y120" i="12"/>
  <c r="Z120" i="12"/>
  <c r="AA120" i="12"/>
  <c r="AL120" i="12"/>
  <c r="X120" i="12"/>
  <c r="BY119" i="12"/>
  <c r="CE119" i="12"/>
  <c r="CF119" i="12"/>
  <c r="CG119" i="12"/>
  <c r="Y119" i="12"/>
  <c r="Z119" i="12"/>
  <c r="AA119" i="12"/>
  <c r="X119" i="12"/>
  <c r="BY118" i="12"/>
  <c r="CE118" i="12"/>
  <c r="CF118" i="12"/>
  <c r="CG118" i="12"/>
  <c r="Y118" i="12"/>
  <c r="Z118" i="12"/>
  <c r="AA118" i="12"/>
  <c r="AL118" i="12"/>
  <c r="X118" i="12"/>
  <c r="BY117" i="12"/>
  <c r="CE117" i="12"/>
  <c r="CF117" i="12"/>
  <c r="CG117" i="12"/>
  <c r="Y117" i="12"/>
  <c r="Z117" i="12"/>
  <c r="AA117" i="12"/>
  <c r="X117" i="12"/>
  <c r="BY116" i="12"/>
  <c r="CE116" i="12"/>
  <c r="CF116" i="12"/>
  <c r="CG116" i="12"/>
  <c r="Y116" i="12"/>
  <c r="Z116" i="12"/>
  <c r="AA116" i="12"/>
  <c r="AI116" i="12"/>
  <c r="X116" i="12"/>
  <c r="BY115" i="12"/>
  <c r="CE115" i="12"/>
  <c r="CF115" i="12"/>
  <c r="CG115" i="12"/>
  <c r="Y115" i="12"/>
  <c r="Z115" i="12"/>
  <c r="AA115" i="12"/>
  <c r="X115" i="12"/>
  <c r="BY114" i="12"/>
  <c r="CE114" i="12"/>
  <c r="CF114" i="12"/>
  <c r="CG114" i="12"/>
  <c r="Y114" i="12"/>
  <c r="Z114" i="12"/>
  <c r="AA114" i="12"/>
  <c r="X114" i="12"/>
  <c r="BY113" i="12"/>
  <c r="CE113" i="12"/>
  <c r="CF113" i="12"/>
  <c r="CG113" i="12"/>
  <c r="Y113" i="12"/>
  <c r="Z113" i="12"/>
  <c r="AA113" i="12"/>
  <c r="AI113" i="12"/>
  <c r="X113" i="12"/>
  <c r="BY112" i="12"/>
  <c r="CE112" i="12"/>
  <c r="CF112" i="12"/>
  <c r="CG112" i="12"/>
  <c r="Y112" i="12"/>
  <c r="Z112" i="12"/>
  <c r="AA112" i="12"/>
  <c r="AL112" i="12"/>
  <c r="X112" i="12"/>
  <c r="BY111" i="12"/>
  <c r="CE111" i="12"/>
  <c r="CF111" i="12"/>
  <c r="CG111" i="12"/>
  <c r="Y111" i="12"/>
  <c r="Z111" i="12"/>
  <c r="AA111" i="12"/>
  <c r="AI111" i="12"/>
  <c r="X111" i="12"/>
  <c r="BY110" i="12"/>
  <c r="CE110" i="12"/>
  <c r="CF110" i="12"/>
  <c r="CG110" i="12"/>
  <c r="Y110" i="12"/>
  <c r="Z110" i="12"/>
  <c r="AA110" i="12"/>
  <c r="AL110" i="12"/>
  <c r="X110" i="12"/>
  <c r="BY109" i="12"/>
  <c r="CE109" i="12"/>
  <c r="CF109" i="12"/>
  <c r="CG109" i="12"/>
  <c r="Y109" i="12"/>
  <c r="Z109" i="12"/>
  <c r="AA109" i="12"/>
  <c r="AI109" i="12"/>
  <c r="X109" i="12"/>
  <c r="BY108" i="12"/>
  <c r="CE108" i="12"/>
  <c r="CF108" i="12"/>
  <c r="CG108" i="12"/>
  <c r="Y108" i="12"/>
  <c r="Z108" i="12"/>
  <c r="AA108" i="12"/>
  <c r="AL108" i="12"/>
  <c r="X108" i="12"/>
  <c r="BY107" i="12"/>
  <c r="CE107" i="12"/>
  <c r="CF107" i="12"/>
  <c r="CG107" i="12"/>
  <c r="Y107" i="12"/>
  <c r="Z107" i="12"/>
  <c r="AA107" i="12"/>
  <c r="AI107" i="12"/>
  <c r="X107" i="12"/>
  <c r="BY106" i="12"/>
  <c r="CE106" i="12"/>
  <c r="CF106" i="12"/>
  <c r="CG106" i="12"/>
  <c r="Y106" i="12"/>
  <c r="Z106" i="12"/>
  <c r="AA106" i="12"/>
  <c r="AI106" i="12"/>
  <c r="X106" i="12"/>
  <c r="BY105" i="12"/>
  <c r="CE105" i="12"/>
  <c r="CF105" i="12"/>
  <c r="CG105" i="12"/>
  <c r="Y105" i="12"/>
  <c r="Z105" i="12"/>
  <c r="AA105" i="12"/>
  <c r="X105" i="12"/>
  <c r="BY104" i="12"/>
  <c r="CE104" i="12"/>
  <c r="CF104" i="12"/>
  <c r="CG104" i="12"/>
  <c r="Y104" i="12"/>
  <c r="Z104" i="12"/>
  <c r="AA104" i="12"/>
  <c r="X104" i="12"/>
  <c r="BY101" i="12"/>
  <c r="CE101" i="12"/>
  <c r="CF101" i="12"/>
  <c r="CG101" i="12"/>
  <c r="Y101" i="12"/>
  <c r="Z101" i="12"/>
  <c r="AA101" i="12"/>
  <c r="AL101" i="12"/>
  <c r="X101" i="12"/>
  <c r="BY99" i="12"/>
  <c r="CE99" i="12"/>
  <c r="CF99" i="12"/>
  <c r="CG99" i="12"/>
  <c r="Y99" i="12"/>
  <c r="Z99" i="12"/>
  <c r="AA99" i="12"/>
  <c r="AL99" i="12"/>
  <c r="X99" i="12"/>
  <c r="BY98" i="12"/>
  <c r="CE98" i="12"/>
  <c r="CF98" i="12"/>
  <c r="CG98" i="12"/>
  <c r="Y98" i="12"/>
  <c r="Z98" i="12"/>
  <c r="AA98" i="12"/>
  <c r="AI98" i="12"/>
  <c r="X98" i="12"/>
  <c r="BY97" i="12"/>
  <c r="CE97" i="12"/>
  <c r="CF97" i="12"/>
  <c r="CG97" i="12"/>
  <c r="Y97" i="12"/>
  <c r="Z97" i="12"/>
  <c r="AA97" i="12"/>
  <c r="AL97" i="12"/>
  <c r="X97" i="12"/>
  <c r="BY96" i="12"/>
  <c r="CE96" i="12"/>
  <c r="CF96" i="12"/>
  <c r="CG96" i="12"/>
  <c r="Y96" i="12"/>
  <c r="Z96" i="12"/>
  <c r="AA96" i="12"/>
  <c r="AI96" i="12"/>
  <c r="X96" i="12"/>
  <c r="BY94" i="12"/>
  <c r="CE94" i="12"/>
  <c r="CF94" i="12"/>
  <c r="CG94" i="12"/>
  <c r="Y94" i="12"/>
  <c r="Z94" i="12"/>
  <c r="AA94" i="12"/>
  <c r="AI94" i="12"/>
  <c r="X94" i="12"/>
  <c r="BY93" i="12"/>
  <c r="CE93" i="12"/>
  <c r="CF93" i="12"/>
  <c r="CG93" i="12"/>
  <c r="Y93" i="12"/>
  <c r="Z93" i="12"/>
  <c r="AA93" i="12"/>
  <c r="X93" i="12"/>
  <c r="BY92" i="12"/>
  <c r="CE92" i="12"/>
  <c r="CF92" i="12"/>
  <c r="CG92" i="12"/>
  <c r="Y92" i="12"/>
  <c r="Z92" i="12"/>
  <c r="AA92" i="12"/>
  <c r="AI92" i="12"/>
  <c r="X92" i="12"/>
  <c r="BY91" i="12"/>
  <c r="CE91" i="12"/>
  <c r="CF91" i="12"/>
  <c r="CG91" i="12"/>
  <c r="Y91" i="12"/>
  <c r="Z91" i="12"/>
  <c r="AA91" i="12"/>
  <c r="X91" i="12"/>
  <c r="BY90" i="12"/>
  <c r="CE90" i="12"/>
  <c r="CF90" i="12"/>
  <c r="CG90" i="12"/>
  <c r="Y90" i="12"/>
  <c r="Z90" i="12"/>
  <c r="AA90" i="12"/>
  <c r="AI90" i="12"/>
  <c r="X90" i="12"/>
  <c r="BY89" i="12"/>
  <c r="CE89" i="12"/>
  <c r="CF89" i="12"/>
  <c r="CG89" i="12"/>
  <c r="Y89" i="12"/>
  <c r="Z89" i="12"/>
  <c r="AA89" i="12"/>
  <c r="AL89" i="12"/>
  <c r="X89" i="12"/>
  <c r="BY88" i="12"/>
  <c r="CE88" i="12"/>
  <c r="CF88" i="12"/>
  <c r="CG88" i="12"/>
  <c r="Y88" i="12"/>
  <c r="Z88" i="12"/>
  <c r="AA88" i="12"/>
  <c r="AI88" i="12"/>
  <c r="X88" i="12"/>
  <c r="BY87" i="12"/>
  <c r="CE87" i="12"/>
  <c r="CF87" i="12"/>
  <c r="CG87" i="12"/>
  <c r="Y87" i="12"/>
  <c r="Z87" i="12"/>
  <c r="AA87" i="12"/>
  <c r="AI87" i="12"/>
  <c r="X87" i="12"/>
  <c r="BY85" i="12"/>
  <c r="CE85" i="12"/>
  <c r="CF85" i="12"/>
  <c r="CG85" i="12"/>
  <c r="Y85" i="12"/>
  <c r="Z85" i="12"/>
  <c r="AA85" i="12"/>
  <c r="AI85" i="12"/>
  <c r="X85" i="12"/>
  <c r="BY84" i="12"/>
  <c r="CE84" i="12"/>
  <c r="CF84" i="12"/>
  <c r="CG84" i="12"/>
  <c r="Y84" i="12"/>
  <c r="Z84" i="12"/>
  <c r="AA84" i="12"/>
  <c r="AL84" i="12"/>
  <c r="X84" i="12"/>
  <c r="BY83" i="12"/>
  <c r="CE83" i="12"/>
  <c r="CF83" i="12"/>
  <c r="CG83" i="12"/>
  <c r="Y83" i="12"/>
  <c r="Z83" i="12"/>
  <c r="AA83" i="12"/>
  <c r="AI83" i="12"/>
  <c r="X83" i="12"/>
  <c r="BY82" i="12"/>
  <c r="CE82" i="12"/>
  <c r="CF82" i="12"/>
  <c r="CG82" i="12"/>
  <c r="Y82" i="12"/>
  <c r="Z82" i="12"/>
  <c r="AA82" i="12"/>
  <c r="X82" i="12"/>
  <c r="BY81" i="12"/>
  <c r="CE81" i="12"/>
  <c r="CF81" i="12"/>
  <c r="CG81" i="12"/>
  <c r="Y81" i="12"/>
  <c r="Z81" i="12"/>
  <c r="AA81" i="12"/>
  <c r="AI81" i="12"/>
  <c r="X81" i="12"/>
  <c r="BY80" i="12"/>
  <c r="CE80" i="12"/>
  <c r="CF80" i="12"/>
  <c r="CG80" i="12"/>
  <c r="Y80" i="12"/>
  <c r="Z80" i="12"/>
  <c r="AA80" i="12"/>
  <c r="X80" i="12"/>
  <c r="BY79" i="12"/>
  <c r="CE79" i="12"/>
  <c r="CF79" i="12"/>
  <c r="CG79" i="12"/>
  <c r="Y79" i="12"/>
  <c r="Z79" i="12"/>
  <c r="AA79" i="12"/>
  <c r="AL79" i="12"/>
  <c r="X79" i="12"/>
  <c r="BY78" i="12"/>
  <c r="CE78" i="12"/>
  <c r="CF78" i="12"/>
  <c r="CG78" i="12"/>
  <c r="Y78" i="12"/>
  <c r="Z78" i="12"/>
  <c r="AA78" i="12"/>
  <c r="AI78" i="12"/>
  <c r="X78" i="12"/>
  <c r="BY77" i="12"/>
  <c r="CE77" i="12"/>
  <c r="CF77" i="12"/>
  <c r="CG77" i="12"/>
  <c r="Y77" i="12"/>
  <c r="Z77" i="12"/>
  <c r="AA77" i="12"/>
  <c r="AL77" i="12"/>
  <c r="X77" i="12"/>
  <c r="BY76" i="12"/>
  <c r="CE76" i="12"/>
  <c r="CF76" i="12"/>
  <c r="CG76" i="12"/>
  <c r="Y76" i="12"/>
  <c r="Z76" i="12"/>
  <c r="AA76" i="12"/>
  <c r="AI76" i="12"/>
  <c r="X76" i="12"/>
  <c r="BY75" i="12"/>
  <c r="CE75" i="12"/>
  <c r="CF75" i="12"/>
  <c r="CG75" i="12"/>
  <c r="Y75" i="12"/>
  <c r="Z75" i="12"/>
  <c r="AA75" i="12"/>
  <c r="AL75" i="12"/>
  <c r="X75" i="12"/>
  <c r="BY74" i="12"/>
  <c r="CE74" i="12"/>
  <c r="CF74" i="12"/>
  <c r="CG74" i="12"/>
  <c r="Y74" i="12"/>
  <c r="Z74" i="12"/>
  <c r="AA74" i="12"/>
  <c r="AL74" i="12"/>
  <c r="X74" i="12"/>
  <c r="BY73" i="12"/>
  <c r="CE73" i="12"/>
  <c r="CF73" i="12"/>
  <c r="CG73" i="12"/>
  <c r="Y73" i="12"/>
  <c r="Z73" i="12"/>
  <c r="AA73" i="12"/>
  <c r="AL73" i="12"/>
  <c r="X73" i="12"/>
  <c r="BY72" i="12"/>
  <c r="CE72" i="12"/>
  <c r="CF72" i="12"/>
  <c r="CG72" i="12"/>
  <c r="Y72" i="12"/>
  <c r="Z72" i="12"/>
  <c r="AA72" i="12"/>
  <c r="AI72" i="12"/>
  <c r="X72" i="12"/>
  <c r="BY71" i="12"/>
  <c r="CE71" i="12"/>
  <c r="CF71" i="12"/>
  <c r="CG71" i="12"/>
  <c r="Y71" i="12"/>
  <c r="Z71" i="12"/>
  <c r="AA71" i="12"/>
  <c r="AI71" i="12"/>
  <c r="X71" i="12"/>
  <c r="BY70" i="12"/>
  <c r="CE70" i="12"/>
  <c r="CF70" i="12"/>
  <c r="CG70" i="12"/>
  <c r="Y70" i="12"/>
  <c r="Z70" i="12"/>
  <c r="AA70" i="12"/>
  <c r="AL70" i="12"/>
  <c r="X70" i="12"/>
  <c r="BY69" i="12"/>
  <c r="CE69" i="12"/>
  <c r="CF69" i="12"/>
  <c r="CG69" i="12"/>
  <c r="Y69" i="12"/>
  <c r="Z69" i="12"/>
  <c r="AA69" i="12"/>
  <c r="AL69" i="12"/>
  <c r="X69" i="12"/>
  <c r="BY68" i="12"/>
  <c r="CE68" i="12"/>
  <c r="CF68" i="12"/>
  <c r="CG68" i="12"/>
  <c r="Y68" i="12"/>
  <c r="Z68" i="12"/>
  <c r="AA68" i="12"/>
  <c r="AL68" i="12"/>
  <c r="X68" i="12"/>
  <c r="BY67" i="12"/>
  <c r="CE67" i="12"/>
  <c r="CF67" i="12"/>
  <c r="CG67" i="12"/>
  <c r="Y67" i="12"/>
  <c r="Z67" i="12"/>
  <c r="AA67" i="12"/>
  <c r="AI67" i="12"/>
  <c r="X67" i="12"/>
  <c r="BY66" i="12"/>
  <c r="CE66" i="12"/>
  <c r="CF66" i="12"/>
  <c r="CG66" i="12"/>
  <c r="Y66" i="12"/>
  <c r="Z66" i="12"/>
  <c r="AA66" i="12"/>
  <c r="AI66" i="12"/>
  <c r="X66" i="12"/>
  <c r="BY65" i="12"/>
  <c r="CE65" i="12"/>
  <c r="CF65" i="12"/>
  <c r="CG65" i="12"/>
  <c r="Y65" i="12"/>
  <c r="Z65" i="12"/>
  <c r="AA65" i="12"/>
  <c r="AL65" i="12"/>
  <c r="X65" i="12"/>
  <c r="BY64" i="12"/>
  <c r="CE64" i="12"/>
  <c r="CF64" i="12"/>
  <c r="CG64" i="12"/>
  <c r="Y64" i="12"/>
  <c r="Z64" i="12"/>
  <c r="AA64" i="12"/>
  <c r="AI64" i="12"/>
  <c r="X64" i="12"/>
  <c r="BY63" i="12"/>
  <c r="CE63" i="12"/>
  <c r="CF63" i="12"/>
  <c r="CG63" i="12"/>
  <c r="Y63" i="12"/>
  <c r="Z63" i="12"/>
  <c r="AA63" i="12"/>
  <c r="AL63" i="12"/>
  <c r="X63" i="12"/>
  <c r="BY62" i="12"/>
  <c r="CE62" i="12"/>
  <c r="CF62" i="12"/>
  <c r="CG62" i="12"/>
  <c r="Y62" i="12"/>
  <c r="Z62" i="12"/>
  <c r="AA62" i="12"/>
  <c r="AL62" i="12"/>
  <c r="X62" i="12"/>
  <c r="BY61" i="12"/>
  <c r="CE61" i="12"/>
  <c r="CF61" i="12"/>
  <c r="CG61" i="12"/>
  <c r="Y61" i="12"/>
  <c r="Z61" i="12"/>
  <c r="AA61" i="12"/>
  <c r="X61" i="12"/>
  <c r="BY60" i="12"/>
  <c r="CE60" i="12"/>
  <c r="CF60" i="12"/>
  <c r="CG60" i="12"/>
  <c r="Y60" i="12"/>
  <c r="Z60" i="12"/>
  <c r="AA60" i="12"/>
  <c r="AI60" i="12"/>
  <c r="X60" i="12"/>
  <c r="BY59" i="12"/>
  <c r="CE59" i="12"/>
  <c r="CF59" i="12"/>
  <c r="CG59" i="12"/>
  <c r="Y59" i="12"/>
  <c r="Z59" i="12"/>
  <c r="AA59" i="12"/>
  <c r="AL59" i="12"/>
  <c r="X59" i="12"/>
  <c r="BY58" i="12"/>
  <c r="CE58" i="12"/>
  <c r="CF58" i="12"/>
  <c r="CG58" i="12"/>
  <c r="Y58" i="12"/>
  <c r="Z58" i="12"/>
  <c r="AA58" i="12"/>
  <c r="AL58" i="12"/>
  <c r="X58" i="12"/>
  <c r="BY57" i="12"/>
  <c r="CE57" i="12"/>
  <c r="CF57" i="12"/>
  <c r="CG57" i="12"/>
  <c r="Y57" i="12"/>
  <c r="Z57" i="12"/>
  <c r="AA57" i="12"/>
  <c r="AL57" i="12"/>
  <c r="X57" i="12"/>
  <c r="BY56" i="12"/>
  <c r="CE56" i="12"/>
  <c r="CF56" i="12"/>
  <c r="CG56" i="12"/>
  <c r="Y56" i="12"/>
  <c r="Z56" i="12"/>
  <c r="AA56" i="12"/>
  <c r="AL56" i="12"/>
  <c r="X56" i="12"/>
  <c r="BY55" i="12"/>
  <c r="CE55" i="12"/>
  <c r="CF55" i="12"/>
  <c r="CG55" i="12"/>
  <c r="Y55" i="12"/>
  <c r="Z55" i="12"/>
  <c r="AA55" i="12"/>
  <c r="AL55" i="12"/>
  <c r="X55" i="12"/>
  <c r="BY54" i="12"/>
  <c r="CE54" i="12"/>
  <c r="CF54" i="12"/>
  <c r="CG54" i="12"/>
  <c r="Y54" i="12"/>
  <c r="Z54" i="12"/>
  <c r="AA54" i="12"/>
  <c r="AL54" i="12"/>
  <c r="X54" i="12"/>
  <c r="BY53" i="12"/>
  <c r="CE53" i="12"/>
  <c r="CF53" i="12"/>
  <c r="CG53" i="12"/>
  <c r="Y53" i="12"/>
  <c r="Z53" i="12"/>
  <c r="AA53" i="12"/>
  <c r="AI53" i="12"/>
  <c r="X53" i="12"/>
  <c r="BY52" i="12"/>
  <c r="CE52" i="12"/>
  <c r="CF52" i="12"/>
  <c r="CG52" i="12"/>
  <c r="Y52" i="12"/>
  <c r="Z52" i="12"/>
  <c r="AA52" i="12"/>
  <c r="AL52" i="12"/>
  <c r="X52" i="12"/>
  <c r="BY51" i="12"/>
  <c r="CE51" i="12"/>
  <c r="CF51" i="12"/>
  <c r="CG51" i="12"/>
  <c r="Y51" i="12"/>
  <c r="Z51" i="12"/>
  <c r="AA51" i="12"/>
  <c r="AL51" i="12"/>
  <c r="X51" i="12"/>
  <c r="BY50" i="12"/>
  <c r="CE50" i="12"/>
  <c r="CF50" i="12"/>
  <c r="CG50" i="12"/>
  <c r="Y50" i="12"/>
  <c r="Z50" i="12"/>
  <c r="AA50" i="12"/>
  <c r="AI50" i="12"/>
  <c r="X50" i="12"/>
  <c r="BY49" i="12"/>
  <c r="CE49" i="12"/>
  <c r="CF49" i="12"/>
  <c r="CG49" i="12"/>
  <c r="Y49" i="12"/>
  <c r="Z49" i="12"/>
  <c r="AA49" i="12"/>
  <c r="AI49" i="12"/>
  <c r="X49" i="12"/>
  <c r="BY48" i="12"/>
  <c r="CE48" i="12"/>
  <c r="CF48" i="12"/>
  <c r="CG48" i="12"/>
  <c r="Y48" i="12"/>
  <c r="Z48" i="12"/>
  <c r="AA48" i="12"/>
  <c r="AL48" i="12"/>
  <c r="X48" i="12"/>
  <c r="BY47" i="12"/>
  <c r="CE47" i="12"/>
  <c r="CF47" i="12"/>
  <c r="CG47" i="12"/>
  <c r="Y47" i="12"/>
  <c r="Z47" i="12"/>
  <c r="AA47" i="12"/>
  <c r="AI47" i="12"/>
  <c r="X47" i="12"/>
  <c r="BY46" i="12"/>
  <c r="CE46" i="12"/>
  <c r="CF46" i="12"/>
  <c r="CG46" i="12"/>
  <c r="Y46" i="12"/>
  <c r="Z46" i="12"/>
  <c r="AA46" i="12"/>
  <c r="AI46" i="12"/>
  <c r="X46" i="12"/>
  <c r="BY45" i="12"/>
  <c r="CE45" i="12"/>
  <c r="CF45" i="12"/>
  <c r="CG45" i="12"/>
  <c r="Y45" i="12"/>
  <c r="Z45" i="12"/>
  <c r="AA45" i="12"/>
  <c r="AI45" i="12"/>
  <c r="X45" i="12"/>
  <c r="BY44" i="12"/>
  <c r="CE44" i="12"/>
  <c r="CF44" i="12"/>
  <c r="CG44" i="12"/>
  <c r="Y44" i="12"/>
  <c r="Z44" i="12"/>
  <c r="AA44" i="12"/>
  <c r="AI44" i="12"/>
  <c r="X44" i="12"/>
  <c r="BY43" i="12"/>
  <c r="CE43" i="12"/>
  <c r="CF43" i="12"/>
  <c r="CG43" i="12"/>
  <c r="Y43" i="12"/>
  <c r="Z43" i="12"/>
  <c r="AA43" i="12"/>
  <c r="AL43" i="12"/>
  <c r="X43" i="12"/>
  <c r="BY42" i="12"/>
  <c r="CE42" i="12"/>
  <c r="CF42" i="12"/>
  <c r="CG42" i="12"/>
  <c r="Y42" i="12"/>
  <c r="Z42" i="12"/>
  <c r="AA42" i="12"/>
  <c r="AI42" i="12"/>
  <c r="X42" i="12"/>
  <c r="BY41" i="12"/>
  <c r="CE41" i="12"/>
  <c r="CF41" i="12"/>
  <c r="CG41" i="12"/>
  <c r="Y41" i="12"/>
  <c r="Z41" i="12"/>
  <c r="AA41" i="12"/>
  <c r="AL41" i="12"/>
  <c r="X41" i="12"/>
  <c r="BY40" i="12"/>
  <c r="CE40" i="12"/>
  <c r="CF40" i="12"/>
  <c r="CG40" i="12"/>
  <c r="Y40" i="12"/>
  <c r="Z40" i="12"/>
  <c r="AA40" i="12"/>
  <c r="AL40" i="12"/>
  <c r="X40" i="12"/>
  <c r="BY39" i="12"/>
  <c r="CE39" i="12"/>
  <c r="CF39" i="12"/>
  <c r="CG39" i="12"/>
  <c r="Y39" i="12"/>
  <c r="Z39" i="12"/>
  <c r="AA39" i="12"/>
  <c r="AI39" i="12"/>
  <c r="X39" i="12"/>
  <c r="BY38" i="12"/>
  <c r="CE38" i="12"/>
  <c r="CF38" i="12"/>
  <c r="CG38" i="12"/>
  <c r="Y38" i="12"/>
  <c r="Z38" i="12"/>
  <c r="AA38" i="12"/>
  <c r="AL38" i="12"/>
  <c r="X38" i="12"/>
  <c r="BY37" i="12"/>
  <c r="CE37" i="12"/>
  <c r="CF37" i="12"/>
  <c r="CG37" i="12"/>
  <c r="Y37" i="12"/>
  <c r="Z37" i="12"/>
  <c r="AA37" i="12"/>
  <c r="AL37" i="12"/>
  <c r="X37" i="12"/>
  <c r="BY36" i="12"/>
  <c r="CE36" i="12"/>
  <c r="CF36" i="12"/>
  <c r="CG36" i="12"/>
  <c r="Y36" i="12"/>
  <c r="Z36" i="12"/>
  <c r="AA36" i="12"/>
  <c r="AI36" i="12"/>
  <c r="X36" i="12"/>
  <c r="BY35" i="12"/>
  <c r="CE35" i="12"/>
  <c r="CF35" i="12"/>
  <c r="CG35" i="12"/>
  <c r="Y35" i="12"/>
  <c r="Z35" i="12"/>
  <c r="AA35" i="12"/>
  <c r="X35" i="12"/>
  <c r="BY34" i="12"/>
  <c r="CE34" i="12"/>
  <c r="CF34" i="12"/>
  <c r="CG34" i="12"/>
  <c r="Y34" i="12"/>
  <c r="Z34" i="12"/>
  <c r="AA34" i="12"/>
  <c r="AI34" i="12"/>
  <c r="X34" i="12"/>
  <c r="BY33" i="12"/>
  <c r="CE33" i="12"/>
  <c r="CF33" i="12"/>
  <c r="CG33" i="12"/>
  <c r="Y33" i="12"/>
  <c r="Z33" i="12"/>
  <c r="AA33" i="12"/>
  <c r="AI33" i="12"/>
  <c r="X33" i="12"/>
  <c r="BY32" i="12"/>
  <c r="CE32" i="12"/>
  <c r="CF32" i="12"/>
  <c r="CG32" i="12"/>
  <c r="Y32" i="12"/>
  <c r="Z32" i="12"/>
  <c r="AA32" i="12"/>
  <c r="AI32" i="12"/>
  <c r="X32" i="12"/>
  <c r="BY31" i="12"/>
  <c r="CE31" i="12"/>
  <c r="CF31" i="12"/>
  <c r="CG31" i="12"/>
  <c r="Y31" i="12"/>
  <c r="Z31" i="12"/>
  <c r="AA31" i="12"/>
  <c r="AI31" i="12"/>
  <c r="X31" i="12"/>
  <c r="BY30" i="12"/>
  <c r="CE30" i="12"/>
  <c r="CF30" i="12"/>
  <c r="CG30" i="12"/>
  <c r="Y30" i="12"/>
  <c r="Z30" i="12"/>
  <c r="AA30" i="12"/>
  <c r="X30" i="12"/>
  <c r="BY29" i="12"/>
  <c r="CE29" i="12"/>
  <c r="CF29" i="12"/>
  <c r="CG29" i="12"/>
  <c r="Y29" i="12"/>
  <c r="Z29" i="12"/>
  <c r="AA29" i="12"/>
  <c r="AI29" i="12"/>
  <c r="X29" i="12"/>
  <c r="BY28" i="12"/>
  <c r="CE28" i="12"/>
  <c r="CF28" i="12"/>
  <c r="CG28" i="12"/>
  <c r="Y28" i="12"/>
  <c r="Z28" i="12"/>
  <c r="AA28" i="12"/>
  <c r="AL28" i="12"/>
  <c r="X28" i="12"/>
  <c r="BY27" i="12"/>
  <c r="CE27" i="12"/>
  <c r="CF27" i="12"/>
  <c r="CG27" i="12"/>
  <c r="Y27" i="12"/>
  <c r="Z27" i="12"/>
  <c r="AA27" i="12"/>
  <c r="AL27" i="12"/>
  <c r="X27" i="12"/>
  <c r="BY26" i="12"/>
  <c r="CE26" i="12"/>
  <c r="CF26" i="12"/>
  <c r="CG26" i="12"/>
  <c r="Y26" i="12"/>
  <c r="Z26" i="12"/>
  <c r="AA26" i="12"/>
  <c r="AI26" i="12"/>
  <c r="X26" i="12"/>
  <c r="BY25" i="12"/>
  <c r="CE25" i="12"/>
  <c r="CF25" i="12"/>
  <c r="CG25" i="12"/>
  <c r="Y25" i="12"/>
  <c r="Z25" i="12"/>
  <c r="AA25" i="12"/>
  <c r="AI25" i="12"/>
  <c r="X25" i="12"/>
  <c r="BY24" i="12"/>
  <c r="CE24" i="12"/>
  <c r="CF24" i="12"/>
  <c r="CG24" i="12"/>
  <c r="Y24" i="12"/>
  <c r="Z24" i="12"/>
  <c r="AA24" i="12"/>
  <c r="AI24" i="12"/>
  <c r="X24" i="12"/>
  <c r="BY23" i="12"/>
  <c r="CE23" i="12"/>
  <c r="CF23" i="12"/>
  <c r="CG23" i="12"/>
  <c r="Y23" i="12"/>
  <c r="Z23" i="12"/>
  <c r="AA23" i="12"/>
  <c r="AI23" i="12"/>
  <c r="X23" i="12"/>
  <c r="BY22" i="12"/>
  <c r="CE22" i="12"/>
  <c r="CF22" i="12"/>
  <c r="CG22" i="12"/>
  <c r="Y22" i="12"/>
  <c r="Z22" i="12"/>
  <c r="AA22" i="12"/>
  <c r="X22" i="12"/>
  <c r="BY21" i="12"/>
  <c r="CE21" i="12"/>
  <c r="CF21" i="12"/>
  <c r="CG21" i="12"/>
  <c r="Y21" i="12"/>
  <c r="Z21" i="12"/>
  <c r="AA21" i="12"/>
  <c r="AL21" i="12"/>
  <c r="X21" i="12"/>
  <c r="BY20" i="12"/>
  <c r="CE20" i="12"/>
  <c r="CF20" i="12"/>
  <c r="CG20" i="12"/>
  <c r="Y20" i="12"/>
  <c r="Z20" i="12"/>
  <c r="AA20" i="12"/>
  <c r="AI20" i="12"/>
  <c r="X20" i="12"/>
  <c r="BY19" i="12"/>
  <c r="CE19" i="12"/>
  <c r="CF19" i="12"/>
  <c r="CG19" i="12"/>
  <c r="Y19" i="12"/>
  <c r="Z19" i="12"/>
  <c r="AA19" i="12"/>
  <c r="AL19" i="12"/>
  <c r="X19" i="12"/>
  <c r="BY18" i="12"/>
  <c r="CE18" i="12"/>
  <c r="CF18" i="12"/>
  <c r="CG18" i="12"/>
  <c r="Y18" i="12"/>
  <c r="Z18" i="12"/>
  <c r="AA18" i="12"/>
  <c r="AL18" i="12"/>
  <c r="X18" i="12"/>
  <c r="BY17" i="12"/>
  <c r="CE17" i="12"/>
  <c r="CF17" i="12"/>
  <c r="CG17" i="12"/>
  <c r="Y17" i="12"/>
  <c r="Z17" i="12"/>
  <c r="AA17" i="12"/>
  <c r="AL17" i="12"/>
  <c r="X17" i="12"/>
  <c r="BY16" i="12"/>
  <c r="CE16" i="12"/>
  <c r="CF16" i="12"/>
  <c r="CG16" i="12"/>
  <c r="Y16" i="12"/>
  <c r="Z16" i="12"/>
  <c r="AA16" i="12"/>
  <c r="AL16" i="12"/>
  <c r="X16" i="12"/>
  <c r="BY15" i="12"/>
  <c r="CE15" i="12"/>
  <c r="CF15" i="12"/>
  <c r="CG15" i="12"/>
  <c r="Y15" i="12"/>
  <c r="Z15" i="12"/>
  <c r="AA15" i="12"/>
  <c r="AI15" i="12"/>
  <c r="X15" i="12"/>
  <c r="BY14" i="12"/>
  <c r="CE14" i="12"/>
  <c r="CF14" i="12"/>
  <c r="CG14" i="12"/>
  <c r="Y14" i="12"/>
  <c r="Z14" i="12"/>
  <c r="AA14" i="12"/>
  <c r="AI14" i="12"/>
  <c r="X14" i="12"/>
  <c r="BY13" i="12"/>
  <c r="CE13" i="12"/>
  <c r="CF13" i="12"/>
  <c r="CG13" i="12"/>
  <c r="Y13" i="12"/>
  <c r="Z13" i="12"/>
  <c r="AA13" i="12"/>
  <c r="AL13" i="12"/>
  <c r="X13" i="12"/>
  <c r="BY12" i="12"/>
  <c r="CE12" i="12"/>
  <c r="CF12" i="12"/>
  <c r="CG12" i="12"/>
  <c r="Y12" i="12"/>
  <c r="Z12" i="12"/>
  <c r="AA12" i="12"/>
  <c r="AL12" i="12"/>
  <c r="X12" i="12"/>
  <c r="BY11" i="12"/>
  <c r="CE11" i="12"/>
  <c r="CF11" i="12"/>
  <c r="CG11" i="12"/>
  <c r="Y11" i="12"/>
  <c r="Z11" i="12"/>
  <c r="AA11" i="12"/>
  <c r="AL11" i="12"/>
  <c r="X11" i="12"/>
  <c r="BY10" i="12"/>
  <c r="CE10" i="12"/>
  <c r="CF10" i="12"/>
  <c r="CG10" i="12"/>
  <c r="Y10" i="12"/>
  <c r="Z10" i="12"/>
  <c r="AA10" i="12"/>
  <c r="AL10" i="12"/>
  <c r="X10" i="12"/>
  <c r="BY9" i="12"/>
  <c r="CE9" i="12"/>
  <c r="CF9" i="12"/>
  <c r="CG9" i="12"/>
  <c r="Y9" i="12"/>
  <c r="Z9" i="12"/>
  <c r="AA9" i="12"/>
  <c r="X9" i="12"/>
  <c r="BY8" i="12"/>
  <c r="CE8" i="12"/>
  <c r="CF8" i="12"/>
  <c r="CG8" i="12"/>
  <c r="Y8" i="12"/>
  <c r="Z8" i="12"/>
  <c r="AA8" i="12"/>
  <c r="AL8" i="12"/>
  <c r="X8" i="12"/>
  <c r="BY7" i="12"/>
  <c r="CE7" i="12"/>
  <c r="CF7" i="12"/>
  <c r="CG7" i="12"/>
  <c r="Y7" i="12"/>
  <c r="Z7" i="12"/>
  <c r="AA7" i="12"/>
  <c r="AL7" i="12"/>
  <c r="X7" i="12"/>
  <c r="BY6" i="12"/>
  <c r="CE6" i="12"/>
  <c r="CF6" i="12"/>
  <c r="CG6" i="12"/>
  <c r="Y6" i="12"/>
  <c r="Z6" i="12"/>
  <c r="AA6" i="12"/>
  <c r="AL6" i="12"/>
  <c r="X6" i="12"/>
  <c r="BY5" i="12"/>
  <c r="CE5" i="12"/>
  <c r="CF5" i="12"/>
  <c r="CG5" i="12"/>
  <c r="Y5" i="12"/>
  <c r="Z5" i="12"/>
  <c r="AA5" i="12"/>
  <c r="AI5" i="12"/>
  <c r="X5" i="12"/>
  <c r="BY4" i="12"/>
  <c r="CE4" i="12"/>
  <c r="CF4" i="12"/>
  <c r="CG4" i="12"/>
  <c r="Y4" i="12"/>
  <c r="Z4" i="12"/>
  <c r="AA4" i="12"/>
  <c r="AL4" i="12"/>
  <c r="X4" i="12"/>
  <c r="BY3" i="12"/>
  <c r="CE3" i="12"/>
  <c r="CF3" i="12"/>
  <c r="CG3" i="12"/>
  <c r="Y3" i="12"/>
  <c r="Z3" i="12"/>
  <c r="AA3" i="12"/>
  <c r="AL3" i="12"/>
  <c r="X3" i="12"/>
  <c r="BY2" i="12"/>
  <c r="CE2" i="12"/>
  <c r="CF2" i="12"/>
  <c r="CG2" i="12"/>
  <c r="Y2" i="12"/>
  <c r="Z2" i="12"/>
  <c r="AA2" i="12"/>
  <c r="AL2" i="12"/>
  <c r="X2" i="12"/>
  <c r="E201" i="8"/>
  <c r="E202" i="8"/>
  <c r="D189" i="8"/>
  <c r="G187" i="8"/>
  <c r="F187" i="8"/>
  <c r="AD54" i="8"/>
  <c r="AD36" i="8"/>
  <c r="AD34" i="8"/>
  <c r="AD33" i="8"/>
  <c r="G32" i="8"/>
  <c r="E32" i="8"/>
  <c r="E31" i="8"/>
  <c r="F29" i="8"/>
  <c r="T10" i="8"/>
  <c r="AH28" i="8"/>
  <c r="AD28" i="8"/>
  <c r="AG26" i="8"/>
  <c r="AG27" i="8"/>
  <c r="AD26" i="8"/>
  <c r="AD25" i="8"/>
  <c r="AP24" i="8"/>
  <c r="AN21" i="8"/>
  <c r="AN22" i="8"/>
  <c r="AL20" i="8"/>
  <c r="AL21" i="8"/>
  <c r="AD20" i="8"/>
  <c r="AD18" i="8"/>
  <c r="AD17" i="8"/>
  <c r="F14" i="8"/>
  <c r="K10" i="8"/>
  <c r="AO13" i="8"/>
  <c r="AP13" i="8"/>
  <c r="AO12" i="8"/>
  <c r="AP12" i="8"/>
  <c r="AH9" i="8"/>
  <c r="AG9" i="8"/>
  <c r="E22" i="8"/>
  <c r="F16" i="8"/>
  <c r="A16" i="8"/>
  <c r="K12" i="8"/>
  <c r="AI70" i="12"/>
  <c r="AI127" i="12"/>
  <c r="X188" i="12"/>
  <c r="AB177" i="12"/>
  <c r="AC177" i="12"/>
  <c r="AG177" i="12"/>
  <c r="AL44" i="12"/>
  <c r="AL326" i="12"/>
  <c r="AL83" i="12"/>
  <c r="AL29" i="12"/>
  <c r="AB170" i="12"/>
  <c r="AC170" i="12"/>
  <c r="AG170" i="12"/>
  <c r="AB284" i="12"/>
  <c r="AC284" i="12"/>
  <c r="AG284" i="12"/>
  <c r="AB30" i="12"/>
  <c r="AC30" i="12"/>
  <c r="AD30" i="12"/>
  <c r="AE30" i="12"/>
  <c r="AB35" i="12"/>
  <c r="AC35" i="12"/>
  <c r="AG35" i="12"/>
  <c r="AR35" i="12"/>
  <c r="G17" i="8"/>
  <c r="AL64" i="12"/>
  <c r="AB77" i="12"/>
  <c r="AC77" i="12"/>
  <c r="AG77" i="12"/>
  <c r="AR77" i="12"/>
  <c r="AB39" i="12"/>
  <c r="AC39" i="12"/>
  <c r="AG39" i="12"/>
  <c r="AR39" i="12"/>
  <c r="AB47" i="12"/>
  <c r="AC47" i="12"/>
  <c r="AG47" i="12"/>
  <c r="AR47" i="12"/>
  <c r="AL67" i="12"/>
  <c r="AL49" i="12"/>
  <c r="AB99" i="12"/>
  <c r="AC99" i="12"/>
  <c r="AT99" i="12"/>
  <c r="AU99" i="12"/>
  <c r="AW99" i="12"/>
  <c r="BM99" i="12"/>
  <c r="BP99" i="12"/>
  <c r="BS99" i="12"/>
  <c r="AL88" i="12"/>
  <c r="AL199" i="12"/>
  <c r="AB205" i="12"/>
  <c r="AC205" i="12"/>
  <c r="AF205" i="12"/>
  <c r="AB88" i="12"/>
  <c r="AC88" i="12"/>
  <c r="AD88" i="12"/>
  <c r="AE88" i="12"/>
  <c r="X185" i="12"/>
  <c r="AB192" i="12"/>
  <c r="AC192" i="12"/>
  <c r="AD192" i="12"/>
  <c r="AE192" i="12"/>
  <c r="AB80" i="12"/>
  <c r="AC80" i="12"/>
  <c r="AG80" i="12"/>
  <c r="AR80" i="12"/>
  <c r="AB270" i="12"/>
  <c r="AC270" i="12"/>
  <c r="AF270" i="12"/>
  <c r="Y184" i="12"/>
  <c r="Z184" i="12"/>
  <c r="AB184" i="12"/>
  <c r="AC184" i="12"/>
  <c r="AB186" i="12"/>
  <c r="AC186" i="12"/>
  <c r="AD186" i="12"/>
  <c r="AB200" i="12"/>
  <c r="AC200" i="12"/>
  <c r="AG200" i="12"/>
  <c r="AI52" i="12"/>
  <c r="AI11" i="12"/>
  <c r="AI57" i="12"/>
  <c r="AI80" i="12"/>
  <c r="AL204" i="12"/>
  <c r="AB61" i="12"/>
  <c r="AC61" i="12"/>
  <c r="AG61" i="12"/>
  <c r="AR61" i="12"/>
  <c r="AB75" i="12"/>
  <c r="AC75" i="12"/>
  <c r="AD75" i="12"/>
  <c r="AE75" i="12"/>
  <c r="AB305" i="12"/>
  <c r="AC305" i="12"/>
  <c r="AF305" i="12"/>
  <c r="AB65" i="12"/>
  <c r="AC65" i="12"/>
  <c r="AF65" i="12"/>
  <c r="AQ65" i="12"/>
  <c r="AL92" i="12"/>
  <c r="AI55" i="12"/>
  <c r="AB209" i="12"/>
  <c r="AC209" i="12"/>
  <c r="AD209" i="12"/>
  <c r="AE209" i="12"/>
  <c r="AB70" i="12"/>
  <c r="AC70" i="12"/>
  <c r="AF70" i="12"/>
  <c r="AQ70" i="12"/>
  <c r="X186" i="12"/>
  <c r="AL39" i="12"/>
  <c r="AL94" i="12"/>
  <c r="AB9" i="12"/>
  <c r="AC9" i="12"/>
  <c r="AF9" i="12"/>
  <c r="AQ9" i="12"/>
  <c r="AB159" i="12"/>
  <c r="AC159" i="12"/>
  <c r="AD159" i="12"/>
  <c r="AB167" i="12"/>
  <c r="AC167" i="12"/>
  <c r="AG167" i="12"/>
  <c r="AB181" i="12"/>
  <c r="AC181" i="12"/>
  <c r="AG181" i="12"/>
  <c r="AB195" i="12"/>
  <c r="AC195" i="12"/>
  <c r="AF195" i="12"/>
  <c r="AB175" i="12"/>
  <c r="AC175" i="12"/>
  <c r="AG175" i="12"/>
  <c r="AI65" i="12"/>
  <c r="AB92" i="12"/>
  <c r="AC92" i="12"/>
  <c r="AF92" i="12"/>
  <c r="AQ92" i="12"/>
  <c r="E17" i="8"/>
  <c r="AB59" i="12"/>
  <c r="AC59" i="12"/>
  <c r="AG59" i="12"/>
  <c r="AR59" i="12"/>
  <c r="AB69" i="12"/>
  <c r="AC69" i="12"/>
  <c r="AG69" i="12"/>
  <c r="AR69" i="12"/>
  <c r="AB155" i="12"/>
  <c r="AC155" i="12"/>
  <c r="AG155" i="12"/>
  <c r="X187" i="12"/>
  <c r="AB316" i="12"/>
  <c r="AC316" i="12"/>
  <c r="AD316" i="12"/>
  <c r="AB208" i="12"/>
  <c r="AC208" i="12"/>
  <c r="AD208" i="12"/>
  <c r="AE208" i="12"/>
  <c r="AB308" i="12"/>
  <c r="AC308" i="12"/>
  <c r="AG308" i="12"/>
  <c r="AB300" i="12"/>
  <c r="AC300" i="12"/>
  <c r="AF300" i="12"/>
  <c r="AI274" i="12"/>
  <c r="AB127" i="12"/>
  <c r="AC127" i="12"/>
  <c r="AF127" i="12"/>
  <c r="AL90" i="12"/>
  <c r="AB67" i="12"/>
  <c r="AC67" i="12"/>
  <c r="AF67" i="12"/>
  <c r="AQ67" i="12"/>
  <c r="AB131" i="12"/>
  <c r="AC131" i="12"/>
  <c r="AG131" i="12"/>
  <c r="AB90" i="12"/>
  <c r="AC90" i="12"/>
  <c r="AD90" i="12"/>
  <c r="AI37" i="12"/>
  <c r="AI77" i="12"/>
  <c r="AI62" i="12"/>
  <c r="AL42" i="12"/>
  <c r="AB85" i="12"/>
  <c r="AC85" i="12"/>
  <c r="AD85" i="12"/>
  <c r="AE85" i="12"/>
  <c r="AB98" i="12"/>
  <c r="AC98" i="12"/>
  <c r="AD98" i="12"/>
  <c r="AE98" i="12"/>
  <c r="AB37" i="12"/>
  <c r="AC37" i="12"/>
  <c r="AD37" i="12"/>
  <c r="AE37" i="12"/>
  <c r="AL329" i="12"/>
  <c r="AL32" i="12"/>
  <c r="AI18" i="12"/>
  <c r="A36" i="8"/>
  <c r="AB42" i="12"/>
  <c r="AC42" i="12"/>
  <c r="AF42" i="12"/>
  <c r="AQ42" i="12"/>
  <c r="AB62" i="12"/>
  <c r="AC62" i="12"/>
  <c r="AD62" i="12"/>
  <c r="AI40" i="12"/>
  <c r="AI12" i="12"/>
  <c r="AL35" i="12"/>
  <c r="AB55" i="12"/>
  <c r="AC55" i="12"/>
  <c r="AF55" i="12"/>
  <c r="AQ55" i="12"/>
  <c r="AI35" i="12"/>
  <c r="AL14" i="12"/>
  <c r="G78" i="8"/>
  <c r="AN23" i="8"/>
  <c r="F74" i="8"/>
  <c r="AI30" i="12"/>
  <c r="AL9" i="12"/>
  <c r="AL45" i="12"/>
  <c r="AL30" i="12"/>
  <c r="AL171" i="12"/>
  <c r="AI9" i="8"/>
  <c r="AK9" i="8"/>
  <c r="AB83" i="12"/>
  <c r="AC83" i="12"/>
  <c r="AF83" i="12"/>
  <c r="AQ83" i="12"/>
  <c r="AI9" i="12"/>
  <c r="AI59" i="12"/>
  <c r="AB29" i="12"/>
  <c r="AC29" i="12"/>
  <c r="AG29" i="12"/>
  <c r="AR29" i="12"/>
  <c r="K28" i="8"/>
  <c r="K34" i="8"/>
  <c r="AL60" i="12"/>
  <c r="AI48" i="12"/>
  <c r="AI68" i="12"/>
  <c r="AB40" i="12"/>
  <c r="AC40" i="12"/>
  <c r="AG40" i="12"/>
  <c r="AR40" i="12"/>
  <c r="AI7" i="12"/>
  <c r="AI69" i="12"/>
  <c r="AI54" i="12"/>
  <c r="AL36" i="12"/>
  <c r="AI99" i="12"/>
  <c r="AB18" i="12"/>
  <c r="AC18" i="12"/>
  <c r="AG18" i="12"/>
  <c r="AR18" i="12"/>
  <c r="AI6" i="12"/>
  <c r="AI89" i="12"/>
  <c r="AL46" i="12"/>
  <c r="AL31" i="12"/>
  <c r="AB12" i="12"/>
  <c r="AC12" i="12"/>
  <c r="AD12" i="12"/>
  <c r="AL87" i="12"/>
  <c r="AB87" i="12"/>
  <c r="AC87" i="12"/>
  <c r="AG87" i="12"/>
  <c r="AR87" i="12"/>
  <c r="AB32" i="12"/>
  <c r="AC32" i="12"/>
  <c r="AF32" i="12"/>
  <c r="AQ32" i="12"/>
  <c r="AB52" i="12"/>
  <c r="AC52" i="12"/>
  <c r="AF52" i="12"/>
  <c r="AQ52" i="12"/>
  <c r="C34" i="8"/>
  <c r="S16" i="8"/>
  <c r="T16" i="8"/>
  <c r="T27" i="8"/>
  <c r="AL98" i="12"/>
  <c r="AB58" i="12"/>
  <c r="AC58" i="12"/>
  <c r="AF58" i="12"/>
  <c r="AQ58" i="12"/>
  <c r="AB152" i="12"/>
  <c r="AC152" i="12"/>
  <c r="AD152" i="12"/>
  <c r="AE152" i="12"/>
  <c r="AI4" i="12"/>
  <c r="AB94" i="12"/>
  <c r="AC94" i="12"/>
  <c r="AF94" i="12"/>
  <c r="AQ94" i="12"/>
  <c r="AL72" i="12"/>
  <c r="AI63" i="12"/>
  <c r="AI58" i="12"/>
  <c r="AB44" i="12"/>
  <c r="AC44" i="12"/>
  <c r="AD44" i="12"/>
  <c r="AE44" i="12"/>
  <c r="AB273" i="12"/>
  <c r="AC273" i="12"/>
  <c r="AF273" i="12"/>
  <c r="AL81" i="12"/>
  <c r="AB26" i="12"/>
  <c r="AC26" i="12"/>
  <c r="AD26" i="12"/>
  <c r="AE26" i="12"/>
  <c r="AB56" i="12"/>
  <c r="AC56" i="12"/>
  <c r="AD56" i="12"/>
  <c r="AE56" i="12"/>
  <c r="AB66" i="12"/>
  <c r="AC66" i="12"/>
  <c r="AD66" i="12"/>
  <c r="AE66" i="12"/>
  <c r="AB82" i="12"/>
  <c r="AC82" i="12"/>
  <c r="AG82" i="12"/>
  <c r="AR82" i="12"/>
  <c r="AB8" i="12"/>
  <c r="AC8" i="12"/>
  <c r="AD8" i="12"/>
  <c r="AE8" i="12"/>
  <c r="AB6" i="12"/>
  <c r="AC6" i="12"/>
  <c r="AF6" i="12"/>
  <c r="AQ6" i="12"/>
  <c r="AB76" i="12"/>
  <c r="AC76" i="12"/>
  <c r="AF76" i="12"/>
  <c r="AQ76" i="12"/>
  <c r="AB63" i="12"/>
  <c r="AC63" i="12"/>
  <c r="AG63" i="12"/>
  <c r="AR63" i="12"/>
  <c r="AI38" i="12"/>
  <c r="AB7" i="12"/>
  <c r="AC7" i="12"/>
  <c r="AF7" i="12"/>
  <c r="AQ7" i="12"/>
  <c r="AB81" i="12"/>
  <c r="AC81" i="12"/>
  <c r="AG81" i="12"/>
  <c r="AR81" i="12"/>
  <c r="AI41" i="12"/>
  <c r="AL324" i="12"/>
  <c r="AI3" i="12"/>
  <c r="AL85" i="12"/>
  <c r="AL71" i="12"/>
  <c r="AI51" i="12"/>
  <c r="AL33" i="12"/>
  <c r="AL26" i="12"/>
  <c r="AL66" i="12"/>
  <c r="AB3" i="12"/>
  <c r="AC3" i="12"/>
  <c r="AG3" i="12"/>
  <c r="AR3" i="12"/>
  <c r="AB64" i="12"/>
  <c r="AC64" i="12"/>
  <c r="AF64" i="12"/>
  <c r="AQ64" i="12"/>
  <c r="AL76" i="12"/>
  <c r="AB38" i="12"/>
  <c r="AC38" i="12"/>
  <c r="AG38" i="12"/>
  <c r="AR38" i="12"/>
  <c r="AB48" i="12"/>
  <c r="AC48" i="12"/>
  <c r="AD48" i="12"/>
  <c r="AE48" i="12"/>
  <c r="AB150" i="12"/>
  <c r="AC150" i="12"/>
  <c r="AD150" i="12"/>
  <c r="AE150" i="12"/>
  <c r="AL80" i="12"/>
  <c r="AI84" i="12"/>
  <c r="AL152" i="12"/>
  <c r="AB72" i="12"/>
  <c r="AC72" i="12"/>
  <c r="AG72" i="12"/>
  <c r="AR72" i="12"/>
  <c r="AL96" i="12"/>
  <c r="AB41" i="12"/>
  <c r="AC41" i="12"/>
  <c r="AG41" i="12"/>
  <c r="AR41" i="12"/>
  <c r="AB84" i="12"/>
  <c r="AC84" i="12"/>
  <c r="AG84" i="12"/>
  <c r="AR84" i="12"/>
  <c r="AB71" i="12"/>
  <c r="AC71" i="12"/>
  <c r="AF71" i="12"/>
  <c r="AQ71" i="12"/>
  <c r="AL61" i="12"/>
  <c r="AB51" i="12"/>
  <c r="AC51" i="12"/>
  <c r="AD51" i="12"/>
  <c r="AB43" i="12"/>
  <c r="AC43" i="12"/>
  <c r="AG43" i="12"/>
  <c r="AR43" i="12"/>
  <c r="AB33" i="12"/>
  <c r="AC33" i="12"/>
  <c r="AD33" i="12"/>
  <c r="AB178" i="12"/>
  <c r="AC178" i="12"/>
  <c r="AF178" i="12"/>
  <c r="AI28" i="12"/>
  <c r="AL178" i="12"/>
  <c r="AB28" i="12"/>
  <c r="AC28" i="12"/>
  <c r="AF28" i="12"/>
  <c r="AQ28" i="12"/>
  <c r="AI43" i="12"/>
  <c r="AB53" i="12"/>
  <c r="AC53" i="12"/>
  <c r="AD53" i="12"/>
  <c r="AE53" i="12"/>
  <c r="AL24" i="12"/>
  <c r="AI61" i="12"/>
  <c r="AI56" i="12"/>
  <c r="AB89" i="12"/>
  <c r="AC89" i="12"/>
  <c r="AF89" i="12"/>
  <c r="AQ89" i="12"/>
  <c r="AB136" i="12"/>
  <c r="AC136" i="12"/>
  <c r="AD136" i="12"/>
  <c r="AB24" i="12"/>
  <c r="AC24" i="12"/>
  <c r="AD24" i="12"/>
  <c r="AL78" i="12"/>
  <c r="AB49" i="12"/>
  <c r="AC49" i="12"/>
  <c r="AG49" i="12"/>
  <c r="AR49" i="12"/>
  <c r="AB199" i="12"/>
  <c r="AC199" i="12"/>
  <c r="AF199" i="12"/>
  <c r="A37" i="8"/>
  <c r="A38" i="8"/>
  <c r="T28" i="8"/>
  <c r="C18" i="8"/>
  <c r="E18" i="8"/>
  <c r="G18" i="8"/>
  <c r="AB97" i="12"/>
  <c r="AC97" i="12"/>
  <c r="AF97" i="12"/>
  <c r="AQ97" i="12"/>
  <c r="AB79" i="12"/>
  <c r="AC79" i="12"/>
  <c r="AF79" i="12"/>
  <c r="AQ79" i="12"/>
  <c r="AB282" i="12"/>
  <c r="AC282" i="12"/>
  <c r="AF282" i="12"/>
  <c r="AI10" i="12"/>
  <c r="AI97" i="12"/>
  <c r="AI75" i="12"/>
  <c r="AI79" i="12"/>
  <c r="AB20" i="12"/>
  <c r="AC20" i="12"/>
  <c r="AG20" i="12"/>
  <c r="AR20" i="12"/>
  <c r="AI74" i="12"/>
  <c r="AB78" i="12"/>
  <c r="AC78" i="12"/>
  <c r="AG78" i="12"/>
  <c r="AR78" i="12"/>
  <c r="AI276" i="12"/>
  <c r="AI134" i="12"/>
  <c r="AB14" i="12"/>
  <c r="AC14" i="12"/>
  <c r="AD14" i="12"/>
  <c r="AB5" i="12"/>
  <c r="AC5" i="12"/>
  <c r="AD5" i="12"/>
  <c r="AE5" i="12"/>
  <c r="AB95" i="12"/>
  <c r="AC95" i="12"/>
  <c r="AD95" i="12"/>
  <c r="AL5" i="12"/>
  <c r="AB132" i="12"/>
  <c r="AC132" i="12"/>
  <c r="AD132" i="12"/>
  <c r="AE132" i="12"/>
  <c r="AL20" i="12"/>
  <c r="AI317" i="12"/>
  <c r="AB146" i="12"/>
  <c r="AC146" i="12"/>
  <c r="AD146" i="12"/>
  <c r="AE146" i="12"/>
  <c r="AB96" i="12"/>
  <c r="AC96" i="12"/>
  <c r="AF96" i="12"/>
  <c r="AQ96" i="12"/>
  <c r="AI95" i="12"/>
  <c r="AB73" i="12"/>
  <c r="AC73" i="12"/>
  <c r="AG73" i="12"/>
  <c r="AR73" i="12"/>
  <c r="AI2" i="12"/>
  <c r="AI73" i="12"/>
  <c r="AB11" i="12"/>
  <c r="AC11" i="12"/>
  <c r="AG11" i="12"/>
  <c r="AR11" i="12"/>
  <c r="AB2" i="12"/>
  <c r="AC2" i="12"/>
  <c r="AG2" i="12"/>
  <c r="AR2" i="12"/>
  <c r="AB10" i="12"/>
  <c r="AC10" i="12"/>
  <c r="AG10" i="12"/>
  <c r="AR10" i="12"/>
  <c r="AI8" i="12"/>
  <c r="AB4" i="12"/>
  <c r="AC4" i="12"/>
  <c r="AD4" i="12"/>
  <c r="AE4" i="12"/>
  <c r="AB160" i="12"/>
  <c r="AC160" i="12"/>
  <c r="AG160" i="12"/>
  <c r="AB293" i="12"/>
  <c r="AC293" i="12"/>
  <c r="AF293" i="12"/>
  <c r="AB36" i="12"/>
  <c r="AC36" i="12"/>
  <c r="AD36" i="12"/>
  <c r="AB45" i="12"/>
  <c r="AC45" i="12"/>
  <c r="AD45" i="12"/>
  <c r="AE45" i="12"/>
  <c r="AB46" i="12"/>
  <c r="AC46" i="12"/>
  <c r="AF46" i="12"/>
  <c r="AQ46" i="12"/>
  <c r="AB50" i="12"/>
  <c r="AC50" i="12"/>
  <c r="AG50" i="12"/>
  <c r="AR50" i="12"/>
  <c r="AB54" i="12"/>
  <c r="AC54" i="12"/>
  <c r="AD54" i="12"/>
  <c r="AE54" i="12"/>
  <c r="AB57" i="12"/>
  <c r="AC57" i="12"/>
  <c r="AG57" i="12"/>
  <c r="AR57" i="12"/>
  <c r="AB60" i="12"/>
  <c r="AC60" i="12"/>
  <c r="AF60" i="12"/>
  <c r="AQ60" i="12"/>
  <c r="AB68" i="12"/>
  <c r="AC68" i="12"/>
  <c r="AD68" i="12"/>
  <c r="AE68" i="12"/>
  <c r="Z153" i="12"/>
  <c r="AB153" i="12"/>
  <c r="AC153" i="12"/>
  <c r="AG153" i="12"/>
  <c r="AB74" i="12"/>
  <c r="AC74" i="12"/>
  <c r="AD74" i="12"/>
  <c r="AE74" i="12"/>
  <c r="AB161" i="12"/>
  <c r="AC161" i="12"/>
  <c r="AG161" i="12"/>
  <c r="AB201" i="12"/>
  <c r="AC201" i="12"/>
  <c r="AF201" i="12"/>
  <c r="AB278" i="12"/>
  <c r="AC278" i="12"/>
  <c r="AG278" i="12"/>
  <c r="AB319" i="12"/>
  <c r="AC319" i="12"/>
  <c r="AF319" i="12"/>
  <c r="AB166" i="12"/>
  <c r="AC166" i="12"/>
  <c r="AF166" i="12"/>
  <c r="AB193" i="12"/>
  <c r="AC193" i="12"/>
  <c r="AG193" i="12"/>
  <c r="AB172" i="12"/>
  <c r="AC172" i="12"/>
  <c r="AD172" i="12"/>
  <c r="AE172" i="12"/>
  <c r="AB283" i="12"/>
  <c r="AC283" i="12"/>
  <c r="AG283" i="12"/>
  <c r="AB93" i="12"/>
  <c r="AC93" i="12"/>
  <c r="AD93" i="12"/>
  <c r="AE93" i="12"/>
  <c r="AB203" i="12"/>
  <c r="AC203" i="12"/>
  <c r="AF203" i="12"/>
  <c r="AB277" i="12"/>
  <c r="AC277" i="12"/>
  <c r="AF277" i="12"/>
  <c r="AB309" i="12"/>
  <c r="AC309" i="12"/>
  <c r="AD309" i="12"/>
  <c r="AE309" i="12"/>
  <c r="AB104" i="12"/>
  <c r="AC104" i="12"/>
  <c r="AF104" i="12"/>
  <c r="AQ104" i="12"/>
  <c r="AB113" i="12"/>
  <c r="AC113" i="12"/>
  <c r="AG113" i="12"/>
  <c r="AR113" i="12"/>
  <c r="AB114" i="12"/>
  <c r="AC114" i="12"/>
  <c r="AD114" i="12"/>
  <c r="AB119" i="12"/>
  <c r="AC119" i="12"/>
  <c r="AG119" i="12"/>
  <c r="AR119" i="12"/>
  <c r="AB156" i="12"/>
  <c r="AC156" i="12"/>
  <c r="AG156" i="12"/>
  <c r="AB123" i="12"/>
  <c r="AC123" i="12"/>
  <c r="AF123" i="12"/>
  <c r="AB133" i="12"/>
  <c r="AC133" i="12"/>
  <c r="AF133" i="12"/>
  <c r="AB135" i="12"/>
  <c r="AC135" i="12"/>
  <c r="AG135" i="12"/>
  <c r="AB143" i="12"/>
  <c r="AC143" i="12"/>
  <c r="AG143" i="12"/>
  <c r="AB145" i="12"/>
  <c r="AC145" i="12"/>
  <c r="AD145" i="12"/>
  <c r="AE145" i="12"/>
  <c r="AB149" i="12"/>
  <c r="AC149" i="12"/>
  <c r="AD149" i="12"/>
  <c r="AB151" i="12"/>
  <c r="AC151" i="12"/>
  <c r="AG151" i="12"/>
  <c r="AB271" i="12"/>
  <c r="AC271" i="12"/>
  <c r="AF271" i="12"/>
  <c r="AB281" i="12"/>
  <c r="AC281" i="12"/>
  <c r="AF281" i="12"/>
  <c r="AB285" i="12"/>
  <c r="AC285" i="12"/>
  <c r="AF285" i="12"/>
  <c r="AB162" i="12"/>
  <c r="AC162" i="12"/>
  <c r="AD162" i="12"/>
  <c r="AE162" i="12"/>
  <c r="AB198" i="12"/>
  <c r="AC198" i="12"/>
  <c r="AG198" i="12"/>
  <c r="AB207" i="12"/>
  <c r="AC207" i="12"/>
  <c r="AG207" i="12"/>
  <c r="AB306" i="12"/>
  <c r="AC306" i="12"/>
  <c r="AG306" i="12"/>
  <c r="AB280" i="12"/>
  <c r="AC280" i="12"/>
  <c r="AF280" i="12"/>
  <c r="AB296" i="12"/>
  <c r="AC296" i="12"/>
  <c r="AG296" i="12"/>
  <c r="AB320" i="12"/>
  <c r="AC320" i="12"/>
  <c r="AG320" i="12"/>
  <c r="AB328" i="12"/>
  <c r="AC328" i="12"/>
  <c r="AD328" i="12"/>
  <c r="AE328" i="12"/>
  <c r="AB126" i="12"/>
  <c r="AC126" i="12"/>
  <c r="AG126" i="12"/>
  <c r="AB120" i="12"/>
  <c r="AC120" i="12"/>
  <c r="AD120" i="12"/>
  <c r="AE120" i="12"/>
  <c r="AL114" i="12"/>
  <c r="AI190" i="12"/>
  <c r="AI101" i="12"/>
  <c r="AB27" i="12"/>
  <c r="AC27" i="12"/>
  <c r="AD27" i="12"/>
  <c r="AE27" i="12"/>
  <c r="AL189" i="12"/>
  <c r="AI143" i="12"/>
  <c r="AI275" i="12"/>
  <c r="AI176" i="12"/>
  <c r="AL133" i="12"/>
  <c r="AL327" i="12"/>
  <c r="AL279" i="12"/>
  <c r="AB176" i="12"/>
  <c r="AC176" i="12"/>
  <c r="AF176" i="12"/>
  <c r="AI149" i="12"/>
  <c r="AI131" i="12"/>
  <c r="AI282" i="12"/>
  <c r="AL278" i="12"/>
  <c r="AB274" i="12"/>
  <c r="AC274" i="12"/>
  <c r="AF274" i="12"/>
  <c r="AI150" i="12"/>
  <c r="AB134" i="12"/>
  <c r="AC134" i="12"/>
  <c r="AG134" i="12"/>
  <c r="AB324" i="12"/>
  <c r="AC324" i="12"/>
  <c r="AF324" i="12"/>
  <c r="AL270" i="12"/>
  <c r="AI207" i="12"/>
  <c r="AB204" i="12"/>
  <c r="AC204" i="12"/>
  <c r="AF204" i="12"/>
  <c r="AI306" i="12"/>
  <c r="AB191" i="12"/>
  <c r="AC191" i="12"/>
  <c r="AF191" i="12"/>
  <c r="AI208" i="12"/>
  <c r="AB317" i="12"/>
  <c r="AC317" i="12"/>
  <c r="AG317" i="12"/>
  <c r="AI114" i="12"/>
  <c r="AB190" i="12"/>
  <c r="AC190" i="12"/>
  <c r="AD190" i="12"/>
  <c r="AE190" i="12"/>
  <c r="AI300" i="12"/>
  <c r="AL281" i="12"/>
  <c r="AI147" i="12"/>
  <c r="AB101" i="12"/>
  <c r="AC101" i="12"/>
  <c r="AF101" i="12"/>
  <c r="AQ101" i="12"/>
  <c r="AB276" i="12"/>
  <c r="AC276" i="12"/>
  <c r="AF276" i="12"/>
  <c r="AL113" i="12"/>
  <c r="AI273" i="12"/>
  <c r="AI328" i="12"/>
  <c r="AI280" i="12"/>
  <c r="AL136" i="12"/>
  <c r="AI132" i="12"/>
  <c r="AB323" i="12"/>
  <c r="AC323" i="12"/>
  <c r="AD323" i="12"/>
  <c r="AI209" i="12"/>
  <c r="AL206" i="12"/>
  <c r="AL203" i="12"/>
  <c r="AL308" i="12"/>
  <c r="AI201" i="12"/>
  <c r="AI316" i="12"/>
  <c r="AB125" i="12"/>
  <c r="AC125" i="12"/>
  <c r="AG125" i="12"/>
  <c r="AL194" i="12"/>
  <c r="AL200" i="12"/>
  <c r="AL195" i="12"/>
  <c r="AB318" i="12"/>
  <c r="AC318" i="12"/>
  <c r="AB147" i="12"/>
  <c r="AC147" i="12"/>
  <c r="AD147" i="12"/>
  <c r="AE147" i="12"/>
  <c r="AB189" i="12"/>
  <c r="AC189" i="12"/>
  <c r="AG189" i="12"/>
  <c r="AI133" i="12"/>
  <c r="AL280" i="12"/>
  <c r="AB275" i="12"/>
  <c r="AC275" i="12"/>
  <c r="AD275" i="12"/>
  <c r="AL151" i="12"/>
  <c r="AB326" i="12"/>
  <c r="AC326" i="12"/>
  <c r="AF326" i="12"/>
  <c r="AL323" i="12"/>
  <c r="AL209" i="12"/>
  <c r="AB206" i="12"/>
  <c r="AC206" i="12"/>
  <c r="AG206" i="12"/>
  <c r="AI203" i="12"/>
  <c r="AB116" i="12"/>
  <c r="AC116" i="12"/>
  <c r="AF116" i="12"/>
  <c r="AQ116" i="12"/>
  <c r="AL319" i="12"/>
  <c r="AI309" i="12"/>
  <c r="AL201" i="12"/>
  <c r="AL139" i="12"/>
  <c r="AB315" i="12"/>
  <c r="AC315" i="12"/>
  <c r="AG315" i="12"/>
  <c r="AL125" i="12"/>
  <c r="AB194" i="12"/>
  <c r="AC194" i="12"/>
  <c r="AF194" i="12"/>
  <c r="AI200" i="12"/>
  <c r="AI195" i="12"/>
  <c r="AI318" i="12"/>
  <c r="AB325" i="12"/>
  <c r="AC325" i="12"/>
  <c r="AF325" i="12"/>
  <c r="AL316" i="12"/>
  <c r="AI120" i="12"/>
  <c r="AB279" i="12"/>
  <c r="AC279" i="12"/>
  <c r="AF279" i="12"/>
  <c r="AI271" i="12"/>
  <c r="AL205" i="12"/>
  <c r="AL122" i="12"/>
  <c r="AL116" i="12"/>
  <c r="AI319" i="12"/>
  <c r="AB139" i="12"/>
  <c r="AC139" i="12"/>
  <c r="AF139" i="12"/>
  <c r="AL315" i="12"/>
  <c r="AI198" i="12"/>
  <c r="AB329" i="12"/>
  <c r="AC329" i="12"/>
  <c r="AD329" i="12"/>
  <c r="AE329" i="12"/>
  <c r="AI281" i="12"/>
  <c r="AI151" i="12"/>
  <c r="AI135" i="12"/>
  <c r="AI202" i="12"/>
  <c r="AI153" i="12"/>
  <c r="AL135" i="12"/>
  <c r="AL325" i="12"/>
  <c r="AL271" i="12"/>
  <c r="AL208" i="12"/>
  <c r="AI205" i="12"/>
  <c r="AB202" i="12"/>
  <c r="AC202" i="12"/>
  <c r="AD202" i="12"/>
  <c r="AI110" i="12"/>
  <c r="AL191" i="12"/>
  <c r="AB187" i="12"/>
  <c r="AC187" i="12"/>
  <c r="AD187" i="12"/>
  <c r="AL272" i="12"/>
  <c r="AI118" i="12"/>
  <c r="AI119" i="12"/>
  <c r="AI284" i="12"/>
  <c r="AL283" i="12"/>
  <c r="AB327" i="12"/>
  <c r="AC327" i="12"/>
  <c r="AG327" i="12"/>
  <c r="AI278" i="12"/>
  <c r="AI308" i="12"/>
  <c r="AB122" i="12"/>
  <c r="AC122" i="12"/>
  <c r="AG122" i="12"/>
  <c r="AI187" i="12"/>
  <c r="AL103" i="12"/>
  <c r="AB272" i="12"/>
  <c r="AC272" i="12"/>
  <c r="AD272" i="12"/>
  <c r="AE272" i="12"/>
  <c r="AB118" i="12"/>
  <c r="AC118" i="12"/>
  <c r="AG118" i="12"/>
  <c r="AR118" i="12"/>
  <c r="AI294" i="12"/>
  <c r="AL119" i="12"/>
  <c r="AL198" i="12"/>
  <c r="X22" i="8"/>
  <c r="X18" i="8"/>
  <c r="X20" i="8"/>
  <c r="X21" i="8"/>
  <c r="T13" i="8"/>
  <c r="X23" i="8"/>
  <c r="T39" i="8"/>
  <c r="T34" i="8"/>
  <c r="T32" i="8"/>
  <c r="T31" i="8"/>
  <c r="X24" i="8"/>
  <c r="C19" i="8"/>
  <c r="J16" i="8"/>
  <c r="AB103" i="12"/>
  <c r="AC103" i="12"/>
  <c r="AG103" i="12"/>
  <c r="AR103" i="12"/>
  <c r="AB100" i="12"/>
  <c r="AC100" i="12"/>
  <c r="AT100" i="12"/>
  <c r="AU100" i="12"/>
  <c r="AW100" i="12"/>
  <c r="BM100" i="12"/>
  <c r="BP100" i="12"/>
  <c r="AI175" i="12"/>
  <c r="AB86" i="12"/>
  <c r="AC86" i="12"/>
  <c r="AI86" i="12"/>
  <c r="AL184" i="12"/>
  <c r="AL175" i="12"/>
  <c r="AI184" i="12"/>
  <c r="AL100" i="12"/>
  <c r="D23" i="8"/>
  <c r="K31" i="8"/>
  <c r="K30" i="8"/>
  <c r="O20" i="8"/>
  <c r="AL166" i="12"/>
  <c r="AB164" i="12"/>
  <c r="AC164" i="12"/>
  <c r="AG164" i="12"/>
  <c r="AB154" i="12"/>
  <c r="AC154" i="12"/>
  <c r="AF154" i="12"/>
  <c r="AB169" i="12"/>
  <c r="AC169" i="12"/>
  <c r="AG169" i="12"/>
  <c r="AL168" i="12"/>
  <c r="AI170" i="12"/>
  <c r="AB168" i="12"/>
  <c r="AC168" i="12"/>
  <c r="AG168" i="12"/>
  <c r="AL170" i="12"/>
  <c r="AL172" i="12"/>
  <c r="AB171" i="12"/>
  <c r="AC171" i="12"/>
  <c r="AG171" i="12"/>
  <c r="AF167" i="12"/>
  <c r="X37" i="8"/>
  <c r="Y37" i="8"/>
  <c r="X46" i="8"/>
  <c r="Y47" i="8"/>
  <c r="X47" i="8"/>
  <c r="D38" i="8"/>
  <c r="G38" i="8"/>
  <c r="Y42" i="8"/>
  <c r="X19" i="8"/>
  <c r="Y19" i="8"/>
  <c r="AI155" i="12"/>
  <c r="AL167" i="12"/>
  <c r="AI167" i="12"/>
  <c r="AB165" i="12"/>
  <c r="AC165" i="12"/>
  <c r="AD165" i="12"/>
  <c r="AL300" i="12"/>
  <c r="AI166" i="12"/>
  <c r="AL164" i="12"/>
  <c r="AI285" i="12"/>
  <c r="AL107" i="12"/>
  <c r="AB294" i="12"/>
  <c r="AC294" i="12"/>
  <c r="AI283" i="12"/>
  <c r="AB173" i="12"/>
  <c r="AC173" i="12"/>
  <c r="AF173" i="12"/>
  <c r="AL285" i="12"/>
  <c r="AB107" i="12"/>
  <c r="AC107" i="12"/>
  <c r="AB174" i="12"/>
  <c r="AC174" i="12"/>
  <c r="AF174" i="12"/>
  <c r="AI293" i="12"/>
  <c r="AL277" i="12"/>
  <c r="AB106" i="12"/>
  <c r="AC106" i="12"/>
  <c r="AD106" i="12"/>
  <c r="AE106" i="12"/>
  <c r="AL174" i="12"/>
  <c r="AL293" i="12"/>
  <c r="AI277" i="12"/>
  <c r="AB110" i="12"/>
  <c r="AC110" i="12"/>
  <c r="AI104" i="12"/>
  <c r="AL106" i="12"/>
  <c r="AB108" i="12"/>
  <c r="AC108" i="12"/>
  <c r="AL173" i="12"/>
  <c r="AL284" i="12"/>
  <c r="AI93" i="12"/>
  <c r="AB290" i="12"/>
  <c r="AC290" i="12"/>
  <c r="AD290" i="12"/>
  <c r="AI299" i="12"/>
  <c r="AL299" i="12"/>
  <c r="AB299" i="12"/>
  <c r="AC299" i="12"/>
  <c r="AI102" i="12"/>
  <c r="AL102" i="12"/>
  <c r="AI137" i="12"/>
  <c r="AL137" i="12"/>
  <c r="AB137" i="12"/>
  <c r="AC137" i="12"/>
  <c r="AB102" i="12"/>
  <c r="AC102" i="12"/>
  <c r="AG102" i="12"/>
  <c r="AR102" i="12"/>
  <c r="AL91" i="12"/>
  <c r="AI91" i="12"/>
  <c r="AB91" i="12"/>
  <c r="AC91" i="12"/>
  <c r="AD91" i="12"/>
  <c r="AE91" i="12"/>
  <c r="AI112" i="12"/>
  <c r="AL146" i="12"/>
  <c r="AL140" i="12"/>
  <c r="AL111" i="12"/>
  <c r="AI180" i="12"/>
  <c r="AB314" i="12"/>
  <c r="AC314" i="12"/>
  <c r="AL93" i="12"/>
  <c r="AB112" i="12"/>
  <c r="AC112" i="12"/>
  <c r="AI165" i="12"/>
  <c r="AB180" i="12"/>
  <c r="AC180" i="12"/>
  <c r="AI141" i="12"/>
  <c r="AI130" i="12"/>
  <c r="AI314" i="12"/>
  <c r="AL145" i="12"/>
  <c r="AL181" i="12"/>
  <c r="AL159" i="12"/>
  <c r="AB111" i="12"/>
  <c r="AC111" i="12"/>
  <c r="AD111" i="12"/>
  <c r="AE111" i="12"/>
  <c r="AB141" i="12"/>
  <c r="AC141" i="12"/>
  <c r="AI181" i="12"/>
  <c r="AB140" i="12"/>
  <c r="AC140" i="12"/>
  <c r="AF140" i="12"/>
  <c r="AG53" i="12"/>
  <c r="AR53" i="12"/>
  <c r="AI13" i="12"/>
  <c r="AB13" i="12"/>
  <c r="AC13" i="12"/>
  <c r="AB15" i="12"/>
  <c r="AC15" i="12"/>
  <c r="AL15" i="12"/>
  <c r="AB16" i="12"/>
  <c r="AC16" i="12"/>
  <c r="AI16" i="12"/>
  <c r="AI17" i="12"/>
  <c r="AB17" i="12"/>
  <c r="AC17" i="12"/>
  <c r="AB19" i="12"/>
  <c r="AC19" i="12"/>
  <c r="AI19" i="12"/>
  <c r="AB21" i="12"/>
  <c r="AC21" i="12"/>
  <c r="AI21" i="12"/>
  <c r="AB22" i="12"/>
  <c r="AC22" i="12"/>
  <c r="AL22" i="12"/>
  <c r="AI22" i="12"/>
  <c r="AL23" i="12"/>
  <c r="AB23" i="12"/>
  <c r="AC23" i="12"/>
  <c r="AB25" i="12"/>
  <c r="AC25" i="12"/>
  <c r="AL25" i="12"/>
  <c r="AI129" i="12"/>
  <c r="AL129" i="12"/>
  <c r="AB144" i="12"/>
  <c r="AC144" i="12"/>
  <c r="AI144" i="12"/>
  <c r="AI117" i="12"/>
  <c r="AB117" i="12"/>
  <c r="AC117" i="12"/>
  <c r="AL117" i="12"/>
  <c r="AL183" i="12"/>
  <c r="AB183" i="12"/>
  <c r="AC183" i="12"/>
  <c r="AI183" i="12"/>
  <c r="AB185" i="12"/>
  <c r="AC185" i="12"/>
  <c r="AL185" i="12"/>
  <c r="AI186" i="12"/>
  <c r="AL186" i="12"/>
  <c r="AI310" i="12"/>
  <c r="AL310" i="12"/>
  <c r="AB310" i="12"/>
  <c r="AC310" i="12"/>
  <c r="AI311" i="12"/>
  <c r="AB311" i="12"/>
  <c r="AC311" i="12"/>
  <c r="AL311" i="12"/>
  <c r="AL312" i="12"/>
  <c r="AB312" i="12"/>
  <c r="AC312" i="12"/>
  <c r="AI312" i="12"/>
  <c r="AL50" i="12"/>
  <c r="AL47" i="12"/>
  <c r="AB34" i="12"/>
  <c r="AC34" i="12"/>
  <c r="AB31" i="12"/>
  <c r="AC31" i="12"/>
  <c r="AL309" i="12"/>
  <c r="AB313" i="12"/>
  <c r="AC313" i="12"/>
  <c r="AD313" i="12"/>
  <c r="AL290" i="12"/>
  <c r="AI185" i="12"/>
  <c r="AI196" i="12"/>
  <c r="AB196" i="12"/>
  <c r="AC196" i="12"/>
  <c r="AI197" i="12"/>
  <c r="AB197" i="12"/>
  <c r="AC197" i="12"/>
  <c r="AL34" i="12"/>
  <c r="AI27" i="12"/>
  <c r="AI313" i="12"/>
  <c r="AL288" i="12"/>
  <c r="AB288" i="12"/>
  <c r="AC288" i="12"/>
  <c r="AG288" i="12"/>
  <c r="AI288" i="12"/>
  <c r="AB289" i="12"/>
  <c r="AC289" i="12"/>
  <c r="AL289" i="12"/>
  <c r="AB321" i="12"/>
  <c r="AC321" i="12"/>
  <c r="AL321" i="12"/>
  <c r="AI321" i="12"/>
  <c r="AI172" i="12"/>
  <c r="AI154" i="12"/>
  <c r="AI179" i="12"/>
  <c r="AI148" i="12"/>
  <c r="AB148" i="12"/>
  <c r="AC148" i="12"/>
  <c r="AL148" i="12"/>
  <c r="AL193" i="12"/>
  <c r="AI193" i="12"/>
  <c r="AB292" i="12"/>
  <c r="AC292" i="12"/>
  <c r="AL292" i="12"/>
  <c r="AL104" i="12"/>
  <c r="AI82" i="12"/>
  <c r="AL82" i="12"/>
  <c r="AL188" i="12"/>
  <c r="AB188" i="12"/>
  <c r="AC188" i="12"/>
  <c r="AI295" i="12"/>
  <c r="AB295" i="12"/>
  <c r="AC295" i="12"/>
  <c r="AL296" i="12"/>
  <c r="AI296" i="12"/>
  <c r="AL298" i="12"/>
  <c r="AB298" i="12"/>
  <c r="AC298" i="12"/>
  <c r="AD298" i="12"/>
  <c r="AE298" i="12"/>
  <c r="AL320" i="12"/>
  <c r="AI320" i="12"/>
  <c r="AI108" i="12"/>
  <c r="AL155" i="12"/>
  <c r="AI159" i="12"/>
  <c r="AL169" i="12"/>
  <c r="AL177" i="12"/>
  <c r="AI177" i="12"/>
  <c r="AL304" i="12"/>
  <c r="AB304" i="12"/>
  <c r="AC304" i="12"/>
  <c r="AI305" i="12"/>
  <c r="AL305" i="12"/>
  <c r="AB322" i="12"/>
  <c r="AC322" i="12"/>
  <c r="AI322" i="12"/>
  <c r="AB179" i="12"/>
  <c r="AC179" i="12"/>
  <c r="AG179" i="12"/>
  <c r="AB109" i="12"/>
  <c r="AC109" i="12"/>
  <c r="AG109" i="12"/>
  <c r="AR109" i="12"/>
  <c r="AL109" i="12"/>
  <c r="AB286" i="12"/>
  <c r="AC286" i="12"/>
  <c r="AL286" i="12"/>
  <c r="AB130" i="12"/>
  <c r="AC130" i="12"/>
  <c r="AG130" i="12"/>
  <c r="O19" i="8"/>
  <c r="N33" i="8"/>
  <c r="O32" i="8"/>
  <c r="O33" i="8"/>
  <c r="AB182" i="12"/>
  <c r="AC182" i="12"/>
  <c r="AL182" i="12"/>
  <c r="AI182" i="12"/>
  <c r="AB138" i="12"/>
  <c r="AC138" i="12"/>
  <c r="AI138" i="12"/>
  <c r="AL138" i="12"/>
  <c r="AL301" i="12"/>
  <c r="AB301" i="12"/>
  <c r="AC301" i="12"/>
  <c r="AI301" i="12"/>
  <c r="AB302" i="12"/>
  <c r="AC302" i="12"/>
  <c r="AI302" i="12"/>
  <c r="AL302" i="12"/>
  <c r="AL303" i="12"/>
  <c r="AB303" i="12"/>
  <c r="AC303" i="12"/>
  <c r="AI303" i="12"/>
  <c r="AL287" i="12"/>
  <c r="AB287" i="12"/>
  <c r="AC287" i="12"/>
  <c r="AI287" i="12"/>
  <c r="AB307" i="12"/>
  <c r="AC307" i="12"/>
  <c r="AI307" i="12"/>
  <c r="AL307" i="12"/>
  <c r="AB291" i="12"/>
  <c r="AC291" i="12"/>
  <c r="AI291" i="12"/>
  <c r="AL291" i="12"/>
  <c r="AL156" i="12"/>
  <c r="AI156" i="12"/>
  <c r="AI157" i="12"/>
  <c r="AL157" i="12"/>
  <c r="AB157" i="12"/>
  <c r="AC157" i="12"/>
  <c r="AI158" i="12"/>
  <c r="AL158" i="12"/>
  <c r="AB158" i="12"/>
  <c r="AC158" i="12"/>
  <c r="AL160" i="12"/>
  <c r="AI160" i="12"/>
  <c r="AI161" i="12"/>
  <c r="AL161" i="12"/>
  <c r="AL162" i="12"/>
  <c r="AI162" i="12"/>
  <c r="AI163" i="12"/>
  <c r="AB163" i="12"/>
  <c r="AC163" i="12"/>
  <c r="AL163" i="12"/>
  <c r="AL115" i="12"/>
  <c r="AI115" i="12"/>
  <c r="AB115" i="12"/>
  <c r="AC115" i="12"/>
  <c r="AI142" i="12"/>
  <c r="AB142" i="12"/>
  <c r="AC142" i="12"/>
  <c r="AL53" i="12"/>
  <c r="AI192" i="12"/>
  <c r="AL192" i="12"/>
  <c r="AL297" i="12"/>
  <c r="AB297" i="12"/>
  <c r="AC297" i="12"/>
  <c r="AI123" i="12"/>
  <c r="AL123" i="12"/>
  <c r="AI105" i="12"/>
  <c r="AB105" i="12"/>
  <c r="AC105" i="12"/>
  <c r="AL105" i="12"/>
  <c r="AL124" i="12"/>
  <c r="AB124" i="12"/>
  <c r="AC124" i="12"/>
  <c r="AI126" i="12"/>
  <c r="AL126" i="12"/>
  <c r="AB129" i="12"/>
  <c r="AC129" i="12"/>
  <c r="O18" i="8"/>
  <c r="P18" i="8"/>
  <c r="O39" i="8"/>
  <c r="N39" i="8"/>
  <c r="K13" i="8"/>
  <c r="O31" i="8"/>
  <c r="P31" i="8"/>
  <c r="AD76" i="12"/>
  <c r="AE76" i="12"/>
  <c r="AG76" i="12"/>
  <c r="AR76" i="12"/>
  <c r="AF44" i="12"/>
  <c r="AQ44" i="12"/>
  <c r="AG209" i="12"/>
  <c r="AG5" i="12"/>
  <c r="AR5" i="12"/>
  <c r="AG44" i="12"/>
  <c r="AR44" i="12"/>
  <c r="AD177" i="12"/>
  <c r="AE177" i="12"/>
  <c r="AF177" i="12"/>
  <c r="AG70" i="12"/>
  <c r="AR70" i="12"/>
  <c r="AV99" i="12"/>
  <c r="BT99" i="12"/>
  <c r="AD73" i="12"/>
  <c r="AE73" i="12"/>
  <c r="AG205" i="12"/>
  <c r="O17" i="8"/>
  <c r="O21" i="8"/>
  <c r="A19" i="8"/>
  <c r="A20" i="8"/>
  <c r="A22" i="8"/>
  <c r="A23" i="8"/>
  <c r="A24" i="8"/>
  <c r="AF73" i="12"/>
  <c r="AQ73" i="12"/>
  <c r="AF77" i="12"/>
  <c r="AQ77" i="12"/>
  <c r="AD47" i="12"/>
  <c r="AE47" i="12"/>
  <c r="AF47" i="12"/>
  <c r="AQ47" i="12"/>
  <c r="AG273" i="12"/>
  <c r="AD191" i="12"/>
  <c r="AE191" i="12"/>
  <c r="AF160" i="12"/>
  <c r="AD40" i="12"/>
  <c r="AE40" i="12"/>
  <c r="AF40" i="12"/>
  <c r="AQ40" i="12"/>
  <c r="AF186" i="12"/>
  <c r="AG186" i="12"/>
  <c r="AG62" i="12"/>
  <c r="AR62" i="12"/>
  <c r="AD278" i="12"/>
  <c r="AE278" i="12"/>
  <c r="AD305" i="12"/>
  <c r="AE305" i="12"/>
  <c r="AG305" i="12"/>
  <c r="AF26" i="12"/>
  <c r="AQ26" i="12"/>
  <c r="AG37" i="12"/>
  <c r="AR37" i="12"/>
  <c r="AG270" i="12"/>
  <c r="AD270" i="12"/>
  <c r="AE270" i="12"/>
  <c r="AD39" i="12"/>
  <c r="AE39" i="12"/>
  <c r="AG26" i="12"/>
  <c r="AR26" i="12"/>
  <c r="AF39" i="12"/>
  <c r="AQ39" i="12"/>
  <c r="AD170" i="12"/>
  <c r="AE170" i="12"/>
  <c r="AF80" i="12"/>
  <c r="AQ80" i="12"/>
  <c r="AG4" i="12"/>
  <c r="AR4" i="12"/>
  <c r="AF4" i="12"/>
  <c r="AD82" i="12"/>
  <c r="AE82" i="12"/>
  <c r="AD126" i="12"/>
  <c r="AE126" i="12"/>
  <c r="AD61" i="12"/>
  <c r="AE61" i="12"/>
  <c r="AF82" i="12"/>
  <c r="AQ82" i="12"/>
  <c r="AF33" i="12"/>
  <c r="AQ33" i="12"/>
  <c r="AF170" i="12"/>
  <c r="AF316" i="12"/>
  <c r="BN99" i="12"/>
  <c r="BR99" i="12"/>
  <c r="BU99" i="12"/>
  <c r="AD284" i="12"/>
  <c r="AE284" i="12"/>
  <c r="AD87" i="12"/>
  <c r="AE87" i="12"/>
  <c r="AD160" i="12"/>
  <c r="AE160" i="12"/>
  <c r="AD65" i="12"/>
  <c r="AE65" i="12"/>
  <c r="AG281" i="12"/>
  <c r="AD99" i="12"/>
  <c r="AE99" i="12"/>
  <c r="AF198" i="12"/>
  <c r="AF8" i="12"/>
  <c r="AQ8" i="12"/>
  <c r="AF200" i="12"/>
  <c r="AD155" i="12"/>
  <c r="AE155" i="12"/>
  <c r="AG65" i="12"/>
  <c r="AR65" i="12"/>
  <c r="AD200" i="12"/>
  <c r="AE200" i="12"/>
  <c r="AG24" i="12"/>
  <c r="AR24" i="12"/>
  <c r="AD317" i="12"/>
  <c r="AE317" i="12"/>
  <c r="BC99" i="12"/>
  <c r="BD99" i="12"/>
  <c r="BA99" i="12"/>
  <c r="BB99" i="12"/>
  <c r="AX99" i="12"/>
  <c r="AZ99" i="12"/>
  <c r="AG98" i="12"/>
  <c r="AR98" i="12"/>
  <c r="AG150" i="12"/>
  <c r="AG99" i="12"/>
  <c r="AR99" i="12"/>
  <c r="AF38" i="12"/>
  <c r="AQ38" i="12"/>
  <c r="AF99" i="12"/>
  <c r="AQ99" i="12"/>
  <c r="AG67" i="12"/>
  <c r="AR67" i="12"/>
  <c r="AG146" i="12"/>
  <c r="AF190" i="12"/>
  <c r="AF146" i="12"/>
  <c r="AG55" i="12"/>
  <c r="AR55" i="12"/>
  <c r="AF24" i="12"/>
  <c r="AQ24" i="12"/>
  <c r="AF48" i="12"/>
  <c r="AQ48" i="12"/>
  <c r="AF284" i="12"/>
  <c r="AD319" i="12"/>
  <c r="AE319" i="12"/>
  <c r="AF209" i="12"/>
  <c r="AD277" i="12"/>
  <c r="AE277" i="12"/>
  <c r="AG6" i="12"/>
  <c r="AR6" i="12"/>
  <c r="AF5" i="12"/>
  <c r="AQ5" i="12"/>
  <c r="AD71" i="12"/>
  <c r="AE71" i="12"/>
  <c r="AG48" i="12"/>
  <c r="AR48" i="12"/>
  <c r="AG275" i="12"/>
  <c r="AF150" i="12"/>
  <c r="AG208" i="12"/>
  <c r="AF275" i="12"/>
  <c r="AD131" i="12"/>
  <c r="AE131" i="12"/>
  <c r="AF175" i="12"/>
  <c r="AD70" i="12"/>
  <c r="AE70" i="12"/>
  <c r="AG277" i="12"/>
  <c r="AD205" i="12"/>
  <c r="AE205" i="12"/>
  <c r="AD135" i="12"/>
  <c r="AE135" i="12"/>
  <c r="AG71" i="12"/>
  <c r="AR71" i="12"/>
  <c r="AF181" i="12"/>
  <c r="AD18" i="12"/>
  <c r="AE18" i="12"/>
  <c r="AD204" i="12"/>
  <c r="AE204" i="12"/>
  <c r="AD43" i="12"/>
  <c r="AE43" i="12"/>
  <c r="AG88" i="12"/>
  <c r="AR88" i="12"/>
  <c r="AF90" i="12"/>
  <c r="AQ90" i="12"/>
  <c r="AG92" i="12"/>
  <c r="AR92" i="12"/>
  <c r="AF308" i="12"/>
  <c r="AD77" i="12"/>
  <c r="AE77" i="12"/>
  <c r="AD67" i="12"/>
  <c r="AE67" i="12"/>
  <c r="AD300" i="12"/>
  <c r="AE300" i="12"/>
  <c r="AF51" i="12"/>
  <c r="AQ51" i="12"/>
  <c r="AD35" i="12"/>
  <c r="AE35" i="12"/>
  <c r="AF14" i="12"/>
  <c r="AQ14" i="12"/>
  <c r="AG30" i="12"/>
  <c r="AR30" i="12"/>
  <c r="AF88" i="12"/>
  <c r="AD308" i="12"/>
  <c r="AE308" i="12"/>
  <c r="AG14" i="12"/>
  <c r="AR14" i="12"/>
  <c r="AE14" i="12"/>
  <c r="AF35" i="12"/>
  <c r="AQ35" i="12"/>
  <c r="AF135" i="12"/>
  <c r="AD63" i="12"/>
  <c r="AE63" i="12"/>
  <c r="AD175" i="12"/>
  <c r="AE175" i="12"/>
  <c r="AD181" i="12"/>
  <c r="AE181" i="12"/>
  <c r="AG300" i="12"/>
  <c r="AE51" i="12"/>
  <c r="AG51" i="12"/>
  <c r="AR51" i="12"/>
  <c r="AF18" i="12"/>
  <c r="AQ18" i="12"/>
  <c r="AF30" i="12"/>
  <c r="AQ30" i="12"/>
  <c r="AD32" i="12"/>
  <c r="AE32" i="12"/>
  <c r="AG32" i="12"/>
  <c r="AR32" i="12"/>
  <c r="AE90" i="12"/>
  <c r="AG90" i="12"/>
  <c r="AR90" i="12"/>
  <c r="AD273" i="12"/>
  <c r="AE273" i="12"/>
  <c r="AF208" i="12"/>
  <c r="AG192" i="12"/>
  <c r="AG33" i="12"/>
  <c r="AR33" i="12"/>
  <c r="AG93" i="12"/>
  <c r="AR93" i="12"/>
  <c r="AG293" i="12"/>
  <c r="AG116" i="12"/>
  <c r="AR116" i="12"/>
  <c r="AD96" i="12"/>
  <c r="AE96" i="12"/>
  <c r="AD167" i="12"/>
  <c r="AE167" i="12"/>
  <c r="AD184" i="12"/>
  <c r="AE184" i="12"/>
  <c r="AF3" i="12"/>
  <c r="AQ3" i="12"/>
  <c r="AD151" i="12"/>
  <c r="AE151" i="12"/>
  <c r="AF159" i="12"/>
  <c r="AG159" i="12"/>
  <c r="AF69" i="12"/>
  <c r="AQ69" i="12"/>
  <c r="AG58" i="12"/>
  <c r="AR58" i="12"/>
  <c r="AT97" i="12"/>
  <c r="AU97" i="12"/>
  <c r="AW97" i="12"/>
  <c r="BM97" i="12"/>
  <c r="BN97" i="12"/>
  <c r="BO97" i="12"/>
  <c r="BQ97" i="12"/>
  <c r="AG7" i="12"/>
  <c r="AR7" i="12"/>
  <c r="AD92" i="12"/>
  <c r="AE92" i="12"/>
  <c r="AF61" i="12"/>
  <c r="AQ61" i="12"/>
  <c r="AG190" i="12"/>
  <c r="AD59" i="12"/>
  <c r="AE59" i="12"/>
  <c r="AD42" i="12"/>
  <c r="AE42" i="12"/>
  <c r="AG271" i="12"/>
  <c r="AF56" i="12"/>
  <c r="AQ56" i="12"/>
  <c r="AD3" i="12"/>
  <c r="AE3" i="12"/>
  <c r="AG83" i="12"/>
  <c r="AR83" i="12"/>
  <c r="AD46" i="12"/>
  <c r="AE46" i="12"/>
  <c r="AG75" i="12"/>
  <c r="AR75" i="12"/>
  <c r="AD201" i="12"/>
  <c r="AE201" i="12"/>
  <c r="AF187" i="12"/>
  <c r="AD296" i="12"/>
  <c r="AE296" i="12"/>
  <c r="AF75" i="12"/>
  <c r="AQ75" i="12"/>
  <c r="AG199" i="12"/>
  <c r="AD7" i="12"/>
  <c r="AE7" i="12"/>
  <c r="AD83" i="12"/>
  <c r="AE83" i="12"/>
  <c r="AE33" i="12"/>
  <c r="AG152" i="12"/>
  <c r="AF155" i="12"/>
  <c r="AF49" i="12"/>
  <c r="AQ49" i="12"/>
  <c r="AD80" i="12"/>
  <c r="AE80" i="12"/>
  <c r="AG12" i="12"/>
  <c r="AR12" i="12"/>
  <c r="AF81" i="12"/>
  <c r="AQ81" i="12"/>
  <c r="AF309" i="12"/>
  <c r="AF43" i="12"/>
  <c r="AQ43" i="12"/>
  <c r="AD199" i="12"/>
  <c r="AE199" i="12"/>
  <c r="AF152" i="12"/>
  <c r="AF59" i="12"/>
  <c r="AQ59" i="12"/>
  <c r="AD72" i="12"/>
  <c r="AE72" i="12"/>
  <c r="AG9" i="12"/>
  <c r="AR9" i="12"/>
  <c r="AF192" i="12"/>
  <c r="AD178" i="12"/>
  <c r="AE178" i="12"/>
  <c r="AD64" i="12"/>
  <c r="AE64" i="12"/>
  <c r="AG309" i="12"/>
  <c r="AD69" i="12"/>
  <c r="AE69" i="12"/>
  <c r="AG42" i="12"/>
  <c r="AR42" i="12"/>
  <c r="AE187" i="12"/>
  <c r="AG66" i="12"/>
  <c r="AR66" i="12"/>
  <c r="AD58" i="12"/>
  <c r="AE58" i="12"/>
  <c r="AG97" i="12"/>
  <c r="AR97" i="12"/>
  <c r="AF53" i="12"/>
  <c r="AE36" i="12"/>
  <c r="AF27" i="12"/>
  <c r="AQ27" i="12"/>
  <c r="AF63" i="12"/>
  <c r="AQ63" i="12"/>
  <c r="AD49" i="12"/>
  <c r="AE49" i="12"/>
  <c r="AF315" i="12"/>
  <c r="AG136" i="12"/>
  <c r="AD97" i="12"/>
  <c r="AE97" i="12"/>
  <c r="AG316" i="12"/>
  <c r="AD55" i="12"/>
  <c r="AE55" i="12"/>
  <c r="AG127" i="12"/>
  <c r="AF66" i="12"/>
  <c r="AQ66" i="12"/>
  <c r="AF126" i="12"/>
  <c r="AF119" i="12"/>
  <c r="AQ119" i="12"/>
  <c r="AF57" i="12"/>
  <c r="AQ57" i="12"/>
  <c r="AE62" i="12"/>
  <c r="AF29" i="12"/>
  <c r="AQ29" i="12"/>
  <c r="AD279" i="12"/>
  <c r="AE279" i="12"/>
  <c r="AF87" i="12"/>
  <c r="AQ87" i="12"/>
  <c r="AG89" i="12"/>
  <c r="AR89" i="12"/>
  <c r="AG282" i="12"/>
  <c r="AD9" i="12"/>
  <c r="AE9" i="12"/>
  <c r="AT167" i="12"/>
  <c r="AU167" i="12"/>
  <c r="AW167" i="12"/>
  <c r="BM167" i="12"/>
  <c r="BN167" i="12"/>
  <c r="BR167" i="12"/>
  <c r="BU167" i="12"/>
  <c r="BE167" i="12"/>
  <c r="BI167" i="12"/>
  <c r="AD285" i="12"/>
  <c r="AE285" i="12"/>
  <c r="AD28" i="12"/>
  <c r="AE28" i="12"/>
  <c r="AG191" i="12"/>
  <c r="AG60" i="12"/>
  <c r="AR60" i="12"/>
  <c r="AF120" i="12"/>
  <c r="AQ120" i="12"/>
  <c r="AF37" i="12"/>
  <c r="AQ37" i="12"/>
  <c r="AG94" i="12"/>
  <c r="AR94" i="12"/>
  <c r="AG96" i="12"/>
  <c r="AR96" i="12"/>
  <c r="AG195" i="12"/>
  <c r="AG56" i="12"/>
  <c r="AR56" i="12"/>
  <c r="AF85" i="12"/>
  <c r="AQ85" i="12"/>
  <c r="AD78" i="12"/>
  <c r="AE78" i="12"/>
  <c r="AD29" i="12"/>
  <c r="AE29" i="12"/>
  <c r="AD127" i="12"/>
  <c r="AE127" i="12"/>
  <c r="AD271" i="12"/>
  <c r="AE271" i="12"/>
  <c r="AG85" i="12"/>
  <c r="AR85" i="12"/>
  <c r="AG132" i="12"/>
  <c r="AF78" i="12"/>
  <c r="AQ78" i="12"/>
  <c r="AE159" i="12"/>
  <c r="AF12" i="12"/>
  <c r="AQ12" i="12"/>
  <c r="AD2" i="12"/>
  <c r="AE2" i="12"/>
  <c r="AG328" i="12"/>
  <c r="AG28" i="12"/>
  <c r="AR28" i="12"/>
  <c r="AG166" i="12"/>
  <c r="AF328" i="12"/>
  <c r="AD60" i="12"/>
  <c r="AE60" i="12"/>
  <c r="AD113" i="12"/>
  <c r="AE113" i="12"/>
  <c r="AG8" i="12"/>
  <c r="AR8" i="12"/>
  <c r="AF132" i="12"/>
  <c r="AG319" i="12"/>
  <c r="AG104" i="12"/>
  <c r="AR104" i="12"/>
  <c r="AD166" i="12"/>
  <c r="AE166" i="12"/>
  <c r="AD57" i="12"/>
  <c r="AE57" i="12"/>
  <c r="AD324" i="12"/>
  <c r="AE324" i="12"/>
  <c r="AF98" i="12"/>
  <c r="AQ98" i="12"/>
  <c r="AD104" i="12"/>
  <c r="AE104" i="12"/>
  <c r="AD281" i="12"/>
  <c r="AE281" i="12"/>
  <c r="AG79" i="12"/>
  <c r="AR79" i="12"/>
  <c r="AT328" i="12"/>
  <c r="AU328" i="12"/>
  <c r="AW328" i="12"/>
  <c r="BM328" i="12"/>
  <c r="BP328" i="12"/>
  <c r="BC328" i="12"/>
  <c r="BD328" i="12"/>
  <c r="BA328" i="12"/>
  <c r="BB328" i="12"/>
  <c r="AX328" i="12"/>
  <c r="AF2" i="12"/>
  <c r="AQ2" i="12"/>
  <c r="AF320" i="12"/>
  <c r="AD320" i="12"/>
  <c r="AE320" i="12"/>
  <c r="AD195" i="12"/>
  <c r="AE195" i="12"/>
  <c r="AF118" i="12"/>
  <c r="AQ118" i="12"/>
  <c r="AF62" i="12"/>
  <c r="AQ62" i="12"/>
  <c r="AE136" i="12"/>
  <c r="AF20" i="12"/>
  <c r="AQ20" i="12"/>
  <c r="AD79" i="12"/>
  <c r="AE79" i="12"/>
  <c r="AG149" i="12"/>
  <c r="AD6" i="12"/>
  <c r="AE6" i="12"/>
  <c r="AD282" i="12"/>
  <c r="AE282" i="12"/>
  <c r="AF131" i="12"/>
  <c r="AF296" i="12"/>
  <c r="AF136" i="12"/>
  <c r="AD293" i="12"/>
  <c r="AE293" i="12"/>
  <c r="AG178" i="12"/>
  <c r="AD41" i="12"/>
  <c r="AE41" i="12"/>
  <c r="AG68" i="12"/>
  <c r="AR68" i="12"/>
  <c r="AD123" i="12"/>
  <c r="AE123" i="12"/>
  <c r="AF169" i="12"/>
  <c r="K16" i="8"/>
  <c r="AT104" i="12"/>
  <c r="AU104" i="12"/>
  <c r="AW104" i="12"/>
  <c r="BM104" i="12"/>
  <c r="BN104" i="12"/>
  <c r="BO104" i="12"/>
  <c r="BQ104" i="12"/>
  <c r="AF36" i="12"/>
  <c r="AQ36" i="12"/>
  <c r="AG64" i="12"/>
  <c r="AR64" i="12"/>
  <c r="AG123" i="12"/>
  <c r="AD94" i="12"/>
  <c r="AE94" i="12"/>
  <c r="AD20" i="12"/>
  <c r="AE20" i="12"/>
  <c r="AD118" i="12"/>
  <c r="AE118" i="12"/>
  <c r="AG139" i="12"/>
  <c r="AD84" i="12"/>
  <c r="AE84" i="12"/>
  <c r="AD176" i="12"/>
  <c r="AE176" i="12"/>
  <c r="AF147" i="12"/>
  <c r="AG133" i="12"/>
  <c r="AD52" i="12"/>
  <c r="AE52" i="12"/>
  <c r="AG52" i="12"/>
  <c r="AR52" i="12"/>
  <c r="E34" i="8"/>
  <c r="C35" i="8"/>
  <c r="E35" i="8"/>
  <c r="AD133" i="12"/>
  <c r="AE133" i="12"/>
  <c r="AD89" i="12"/>
  <c r="AE89" i="12"/>
  <c r="AD38" i="12"/>
  <c r="AE38" i="12"/>
  <c r="AF84" i="12"/>
  <c r="AQ84" i="12"/>
  <c r="AG285" i="12"/>
  <c r="AG95" i="12"/>
  <c r="AR95" i="12"/>
  <c r="AF323" i="12"/>
  <c r="AD81" i="12"/>
  <c r="AE81" i="12"/>
  <c r="AF72" i="12"/>
  <c r="AQ72" i="12"/>
  <c r="AG279" i="12"/>
  <c r="AG324" i="12"/>
  <c r="AG36" i="12"/>
  <c r="AR36" i="12"/>
  <c r="AF207" i="12"/>
  <c r="AG272" i="12"/>
  <c r="AG280" i="12"/>
  <c r="AF41" i="12"/>
  <c r="AQ41" i="12"/>
  <c r="AD193" i="12"/>
  <c r="AE193" i="12"/>
  <c r="AD326" i="12"/>
  <c r="AE326" i="12"/>
  <c r="AF193" i="12"/>
  <c r="AF95" i="12"/>
  <c r="AQ95" i="12"/>
  <c r="AF68" i="12"/>
  <c r="AQ68" i="12"/>
  <c r="AG201" i="12"/>
  <c r="AD119" i="12"/>
  <c r="AE119" i="12"/>
  <c r="AE275" i="12"/>
  <c r="AF10" i="12"/>
  <c r="AQ10" i="12"/>
  <c r="AF113" i="12"/>
  <c r="AQ113" i="12"/>
  <c r="AF162" i="12"/>
  <c r="AF172" i="12"/>
  <c r="AF50" i="12"/>
  <c r="AQ50" i="12"/>
  <c r="AD161" i="12"/>
  <c r="AE161" i="12"/>
  <c r="AD325" i="12"/>
  <c r="AE325" i="12"/>
  <c r="AG145" i="12"/>
  <c r="AD283" i="12"/>
  <c r="AE283" i="12"/>
  <c r="AF145" i="12"/>
  <c r="AD156" i="12"/>
  <c r="AE156" i="12"/>
  <c r="AF161" i="12"/>
  <c r="AG325" i="12"/>
  <c r="AD122" i="12"/>
  <c r="AE122" i="12"/>
  <c r="AE149" i="12"/>
  <c r="AF93" i="12"/>
  <c r="AQ93" i="12"/>
  <c r="AD207" i="12"/>
  <c r="AE207" i="12"/>
  <c r="AD10" i="12"/>
  <c r="AE10" i="12"/>
  <c r="AG46" i="12"/>
  <c r="AR46" i="12"/>
  <c r="AG147" i="12"/>
  <c r="AG172" i="12"/>
  <c r="AF149" i="12"/>
  <c r="AF156" i="12"/>
  <c r="AF283" i="12"/>
  <c r="AD50" i="12"/>
  <c r="AE50" i="12"/>
  <c r="AG162" i="12"/>
  <c r="AE95" i="12"/>
  <c r="AD198" i="12"/>
  <c r="AE198" i="12"/>
  <c r="AD11" i="12"/>
  <c r="AE11" i="12"/>
  <c r="AF54" i="12"/>
  <c r="AQ54" i="12"/>
  <c r="AD306" i="12"/>
  <c r="AE306" i="12"/>
  <c r="AD203" i="12"/>
  <c r="AE203" i="12"/>
  <c r="AG45" i="12"/>
  <c r="AR45" i="12"/>
  <c r="AG27" i="12"/>
  <c r="AR27" i="12"/>
  <c r="AF278" i="12"/>
  <c r="AF306" i="12"/>
  <c r="AG54" i="12"/>
  <c r="AR54" i="12"/>
  <c r="AF114" i="12"/>
  <c r="AQ114" i="12"/>
  <c r="AF45" i="12"/>
  <c r="AQ45" i="12"/>
  <c r="AD274" i="12"/>
  <c r="AE274" i="12"/>
  <c r="AG74" i="12"/>
  <c r="AR74" i="12"/>
  <c r="AG120" i="12"/>
  <c r="AR120" i="12"/>
  <c r="AD143" i="12"/>
  <c r="AE143" i="12"/>
  <c r="AG114" i="12"/>
  <c r="AR114" i="12"/>
  <c r="AG203" i="12"/>
  <c r="AD280" i="12"/>
  <c r="AE280" i="12"/>
  <c r="AF74" i="12"/>
  <c r="AQ74" i="12"/>
  <c r="AG184" i="12"/>
  <c r="AE114" i="12"/>
  <c r="AF151" i="12"/>
  <c r="AF11" i="12"/>
  <c r="AQ11" i="12"/>
  <c r="AF184" i="12"/>
  <c r="AF143" i="12"/>
  <c r="AF317" i="12"/>
  <c r="AG204" i="12"/>
  <c r="AD153" i="12"/>
  <c r="AE153" i="12"/>
  <c r="AF272" i="12"/>
  <c r="AF125" i="12"/>
  <c r="AD171" i="12"/>
  <c r="AE171" i="12"/>
  <c r="AF153" i="12"/>
  <c r="AG194" i="12"/>
  <c r="AF202" i="12"/>
  <c r="AE202" i="12"/>
  <c r="AD194" i="12"/>
  <c r="AE194" i="12"/>
  <c r="AG274" i="12"/>
  <c r="AT101" i="12"/>
  <c r="AU101" i="12"/>
  <c r="AW101" i="12"/>
  <c r="BM101" i="12"/>
  <c r="BP101" i="12"/>
  <c r="BC101" i="12"/>
  <c r="BD101" i="12"/>
  <c r="BA101" i="12"/>
  <c r="BB101" i="12"/>
  <c r="AX101" i="12"/>
  <c r="AF189" i="12"/>
  <c r="AD315" i="12"/>
  <c r="AE315" i="12"/>
  <c r="AD189" i="12"/>
  <c r="AE189" i="12"/>
  <c r="AD125" i="12"/>
  <c r="AE125" i="12"/>
  <c r="AE323" i="12"/>
  <c r="AG101" i="12"/>
  <c r="AR101" i="12"/>
  <c r="AG329" i="12"/>
  <c r="AD103" i="12"/>
  <c r="AE103" i="12"/>
  <c r="AF329" i="12"/>
  <c r="AG323" i="12"/>
  <c r="AD116" i="12"/>
  <c r="AE116" i="12"/>
  <c r="AG276" i="12"/>
  <c r="AF100" i="12"/>
  <c r="AQ100" i="12"/>
  <c r="AG326" i="12"/>
  <c r="AG187" i="12"/>
  <c r="AG202" i="12"/>
  <c r="AD100" i="12"/>
  <c r="AE100" i="12"/>
  <c r="AG176" i="12"/>
  <c r="AD318" i="12"/>
  <c r="AE318" i="12"/>
  <c r="AG318" i="12"/>
  <c r="AF318" i="12"/>
  <c r="AF122" i="12"/>
  <c r="AD101" i="12"/>
  <c r="AE101" i="12"/>
  <c r="AD327" i="12"/>
  <c r="AE327" i="12"/>
  <c r="AF206" i="12"/>
  <c r="AF327" i="12"/>
  <c r="AD134" i="12"/>
  <c r="AE134" i="12"/>
  <c r="AF134" i="12"/>
  <c r="AT329" i="12"/>
  <c r="AU329" i="12"/>
  <c r="AW329" i="12"/>
  <c r="BM329" i="12"/>
  <c r="BP329" i="12"/>
  <c r="BS329" i="12"/>
  <c r="AG154" i="12"/>
  <c r="AD276" i="12"/>
  <c r="AE276" i="12"/>
  <c r="AD206" i="12"/>
  <c r="AE206" i="12"/>
  <c r="AD139" i="12"/>
  <c r="AE139" i="12"/>
  <c r="T15" i="8"/>
  <c r="T18" i="8"/>
  <c r="X17" i="8"/>
  <c r="BN100" i="12"/>
  <c r="BO100" i="12"/>
  <c r="BQ100" i="12"/>
  <c r="AF103" i="12"/>
  <c r="AQ103" i="12"/>
  <c r="AF171" i="12"/>
  <c r="AD169" i="12"/>
  <c r="AE169" i="12"/>
  <c r="C20" i="8"/>
  <c r="J3" i="8"/>
  <c r="K3" i="8"/>
  <c r="K4" i="8"/>
  <c r="E19" i="8"/>
  <c r="Y48" i="8"/>
  <c r="X48" i="8"/>
  <c r="AD154" i="12"/>
  <c r="AE154" i="12"/>
  <c r="AF168" i="12"/>
  <c r="Y49" i="8"/>
  <c r="X49" i="8"/>
  <c r="AG91" i="12"/>
  <c r="AR91" i="12"/>
  <c r="AD168" i="12"/>
  <c r="AE168" i="12"/>
  <c r="AG86" i="12"/>
  <c r="AR86" i="12"/>
  <c r="AF86" i="12"/>
  <c r="AQ86" i="12"/>
  <c r="AD86" i="12"/>
  <c r="AT168" i="12"/>
  <c r="AU168" i="12"/>
  <c r="AW168" i="12"/>
  <c r="BM168" i="12"/>
  <c r="BN168" i="12"/>
  <c r="BR168" i="12"/>
  <c r="BU168" i="12"/>
  <c r="AG100" i="12"/>
  <c r="AR100" i="12"/>
  <c r="AD164" i="12"/>
  <c r="AE164" i="12"/>
  <c r="E41" i="8"/>
  <c r="G23" i="8"/>
  <c r="F23" i="8"/>
  <c r="G24" i="8"/>
  <c r="C27" i="8"/>
  <c r="AF164" i="12"/>
  <c r="AE165" i="12"/>
  <c r="AD173" i="12"/>
  <c r="AE173" i="12"/>
  <c r="AG174" i="12"/>
  <c r="AF106" i="12"/>
  <c r="AQ106" i="12"/>
  <c r="AG173" i="12"/>
  <c r="AG106" i="12"/>
  <c r="AR106" i="12"/>
  <c r="AF91" i="12"/>
  <c r="AQ91" i="12"/>
  <c r="G39" i="8"/>
  <c r="AF165" i="12"/>
  <c r="AG165" i="12"/>
  <c r="AG290" i="12"/>
  <c r="AG111" i="12"/>
  <c r="AR111" i="12"/>
  <c r="T29" i="8"/>
  <c r="AF290" i="12"/>
  <c r="AD109" i="12"/>
  <c r="AE109" i="12"/>
  <c r="AE290" i="12"/>
  <c r="AF109" i="12"/>
  <c r="AQ109" i="12"/>
  <c r="AD288" i="12"/>
  <c r="AE288" i="12"/>
  <c r="AF288" i="12"/>
  <c r="AD174" i="12"/>
  <c r="AE174" i="12"/>
  <c r="AT102" i="12"/>
  <c r="AU102" i="12"/>
  <c r="AW102" i="12"/>
  <c r="BM102" i="12"/>
  <c r="BP102" i="12"/>
  <c r="BS102" i="12"/>
  <c r="BT102" i="12"/>
  <c r="G19" i="8"/>
  <c r="AF111" i="12"/>
  <c r="AQ111" i="12"/>
  <c r="AG110" i="12"/>
  <c r="AR110" i="12"/>
  <c r="AD110" i="12"/>
  <c r="AE110" i="12"/>
  <c r="AF110" i="12"/>
  <c r="AQ110" i="12"/>
  <c r="AF107" i="12"/>
  <c r="AQ107" i="12"/>
  <c r="AD107" i="12"/>
  <c r="AG107" i="12"/>
  <c r="AR107" i="12"/>
  <c r="AG294" i="12"/>
  <c r="AD294" i="12"/>
  <c r="AE294" i="12"/>
  <c r="AF294" i="12"/>
  <c r="AF130" i="12"/>
  <c r="AF108" i="12"/>
  <c r="AQ108" i="12"/>
  <c r="AG108" i="12"/>
  <c r="AR108" i="12"/>
  <c r="AD108" i="12"/>
  <c r="AE108" i="12"/>
  <c r="AD299" i="12"/>
  <c r="AE299" i="12"/>
  <c r="AG299" i="12"/>
  <c r="AF299" i="12"/>
  <c r="AD140" i="12"/>
  <c r="AE140" i="12"/>
  <c r="AG140" i="12"/>
  <c r="AF112" i="12"/>
  <c r="AQ112" i="12"/>
  <c r="AG112" i="12"/>
  <c r="AR112" i="12"/>
  <c r="AF314" i="12"/>
  <c r="AG314" i="12"/>
  <c r="AD314" i="12"/>
  <c r="AE314" i="12"/>
  <c r="AE12" i="12"/>
  <c r="AF102" i="12"/>
  <c r="AQ102" i="12"/>
  <c r="AD130" i="12"/>
  <c r="AE130" i="12"/>
  <c r="AD137" i="12"/>
  <c r="AE137" i="12"/>
  <c r="AG137" i="12"/>
  <c r="AF137" i="12"/>
  <c r="AD102" i="12"/>
  <c r="AE102" i="12"/>
  <c r="AD112" i="12"/>
  <c r="AE112" i="12"/>
  <c r="AG141" i="12"/>
  <c r="AD141" i="12"/>
  <c r="AE141" i="12"/>
  <c r="AF141" i="12"/>
  <c r="AG180" i="12"/>
  <c r="AD180" i="12"/>
  <c r="AE180" i="12"/>
  <c r="AF180" i="12"/>
  <c r="AF310" i="12"/>
  <c r="AD310" i="12"/>
  <c r="AG310" i="12"/>
  <c r="AF185" i="12"/>
  <c r="AD185" i="12"/>
  <c r="AE185" i="12"/>
  <c r="AG185" i="12"/>
  <c r="AG117" i="12"/>
  <c r="AR117" i="12"/>
  <c r="AF117" i="12"/>
  <c r="AQ117" i="12"/>
  <c r="AD117" i="12"/>
  <c r="AE117" i="12"/>
  <c r="AD144" i="12"/>
  <c r="AE144" i="12"/>
  <c r="AG144" i="12"/>
  <c r="AF144" i="12"/>
  <c r="AG298" i="12"/>
  <c r="AF298" i="12"/>
  <c r="AF321" i="12"/>
  <c r="AG321" i="12"/>
  <c r="AD321" i="12"/>
  <c r="AE321" i="12"/>
  <c r="AT44" i="12"/>
  <c r="AU44" i="12"/>
  <c r="AW44" i="12"/>
  <c r="BM44" i="12"/>
  <c r="AF21" i="12"/>
  <c r="AQ21" i="12"/>
  <c r="AG21" i="12"/>
  <c r="AR21" i="12"/>
  <c r="AD21" i="12"/>
  <c r="AE21" i="12"/>
  <c r="AD15" i="12"/>
  <c r="AE15" i="12"/>
  <c r="AF15" i="12"/>
  <c r="AQ15" i="12"/>
  <c r="AG15" i="12"/>
  <c r="AR15" i="12"/>
  <c r="AG292" i="12"/>
  <c r="AD292" i="12"/>
  <c r="AE292" i="12"/>
  <c r="AF292" i="12"/>
  <c r="AF313" i="12"/>
  <c r="AG313" i="12"/>
  <c r="AF25" i="12"/>
  <c r="AQ25" i="12"/>
  <c r="AG25" i="12"/>
  <c r="AR25" i="12"/>
  <c r="AD25" i="12"/>
  <c r="AD13" i="12"/>
  <c r="AE13" i="12"/>
  <c r="AF13" i="12"/>
  <c r="AQ13" i="12"/>
  <c r="AG13" i="12"/>
  <c r="AR13" i="12"/>
  <c r="AG286" i="12"/>
  <c r="AF286" i="12"/>
  <c r="AD286" i="12"/>
  <c r="AE286" i="12"/>
  <c r="AF289" i="12"/>
  <c r="AG289" i="12"/>
  <c r="AD289" i="12"/>
  <c r="AE289" i="12"/>
  <c r="AG312" i="12"/>
  <c r="AF312" i="12"/>
  <c r="AD312" i="12"/>
  <c r="AE312" i="12"/>
  <c r="AF23" i="12"/>
  <c r="AQ23" i="12"/>
  <c r="AG23" i="12"/>
  <c r="AR23" i="12"/>
  <c r="AD23" i="12"/>
  <c r="AE23" i="12"/>
  <c r="AG19" i="12"/>
  <c r="AR19" i="12"/>
  <c r="AF19" i="12"/>
  <c r="AQ19" i="12"/>
  <c r="AD19" i="12"/>
  <c r="AE19" i="12"/>
  <c r="AG17" i="12"/>
  <c r="AR17" i="12"/>
  <c r="AF17" i="12"/>
  <c r="AQ17" i="12"/>
  <c r="AD17" i="12"/>
  <c r="AE17" i="12"/>
  <c r="AF148" i="12"/>
  <c r="AD148" i="12"/>
  <c r="AE148" i="12"/>
  <c r="AG148" i="12"/>
  <c r="AF179" i="12"/>
  <c r="AD295" i="12"/>
  <c r="AE295" i="12"/>
  <c r="AF295" i="12"/>
  <c r="AG295" i="12"/>
  <c r="AF31" i="12"/>
  <c r="AQ31" i="12"/>
  <c r="AD31" i="12"/>
  <c r="AE31" i="12"/>
  <c r="AG31" i="12"/>
  <c r="AR31" i="12"/>
  <c r="AF183" i="12"/>
  <c r="AD183" i="12"/>
  <c r="AE183" i="12"/>
  <c r="AG183" i="12"/>
  <c r="AD322" i="12"/>
  <c r="AE322" i="12"/>
  <c r="AF322" i="12"/>
  <c r="AG322" i="12"/>
  <c r="AD197" i="12"/>
  <c r="AE197" i="12"/>
  <c r="AG197" i="12"/>
  <c r="AF197" i="12"/>
  <c r="AD179" i="12"/>
  <c r="AE179" i="12"/>
  <c r="AF196" i="12"/>
  <c r="AG196" i="12"/>
  <c r="AD196" i="12"/>
  <c r="AE196" i="12"/>
  <c r="AG34" i="12"/>
  <c r="AR34" i="12"/>
  <c r="AF34" i="12"/>
  <c r="AQ34" i="12"/>
  <c r="AD34" i="12"/>
  <c r="AE34" i="12"/>
  <c r="AD311" i="12"/>
  <c r="AE311" i="12"/>
  <c r="AF311" i="12"/>
  <c r="AG311" i="12"/>
  <c r="AT47" i="12"/>
  <c r="AU47" i="12"/>
  <c r="AW47" i="12"/>
  <c r="BM47" i="12"/>
  <c r="AE313" i="12"/>
  <c r="AG304" i="12"/>
  <c r="AF304" i="12"/>
  <c r="AD304" i="12"/>
  <c r="AE304" i="12"/>
  <c r="AG188" i="12"/>
  <c r="AD188" i="12"/>
  <c r="AE188" i="12"/>
  <c r="AF188" i="12"/>
  <c r="AG22" i="12"/>
  <c r="AR22" i="12"/>
  <c r="AF22" i="12"/>
  <c r="AQ22" i="12"/>
  <c r="AD22" i="12"/>
  <c r="AG16" i="12"/>
  <c r="AR16" i="12"/>
  <c r="AD16" i="12"/>
  <c r="AE16" i="12"/>
  <c r="AF16" i="12"/>
  <c r="AQ16" i="12"/>
  <c r="AD157" i="12"/>
  <c r="AE157" i="12"/>
  <c r="AG157" i="12"/>
  <c r="AF157" i="12"/>
  <c r="AF105" i="12"/>
  <c r="AQ105" i="12"/>
  <c r="AT105" i="12"/>
  <c r="AU105" i="12"/>
  <c r="AW105" i="12"/>
  <c r="BM105" i="12"/>
  <c r="AD105" i="12"/>
  <c r="AE105" i="12"/>
  <c r="AG105" i="12"/>
  <c r="AR105" i="12"/>
  <c r="AD142" i="12"/>
  <c r="AE142" i="12"/>
  <c r="AG142" i="12"/>
  <c r="AF142" i="12"/>
  <c r="AT76" i="12"/>
  <c r="AU76" i="12"/>
  <c r="AW76" i="12"/>
  <c r="BM76" i="12"/>
  <c r="AF307" i="12"/>
  <c r="AG307" i="12"/>
  <c r="AD307" i="12"/>
  <c r="AF138" i="12"/>
  <c r="AG138" i="12"/>
  <c r="AD138" i="12"/>
  <c r="AE138" i="12"/>
  <c r="AG297" i="12"/>
  <c r="AD297" i="12"/>
  <c r="AF297" i="12"/>
  <c r="AD115" i="12"/>
  <c r="AF115" i="12"/>
  <c r="AQ115" i="12"/>
  <c r="AG115" i="12"/>
  <c r="AR115" i="12"/>
  <c r="AF302" i="12"/>
  <c r="AG302" i="12"/>
  <c r="AD302" i="12"/>
  <c r="AE302" i="12"/>
  <c r="AF291" i="12"/>
  <c r="AG291" i="12"/>
  <c r="AD291" i="12"/>
  <c r="AE291" i="12"/>
  <c r="AD287" i="12"/>
  <c r="AF287" i="12"/>
  <c r="AG287" i="12"/>
  <c r="AE186" i="12"/>
  <c r="AE24" i="12"/>
  <c r="AF129" i="12"/>
  <c r="AG129" i="12"/>
  <c r="AD129" i="12"/>
  <c r="AE129" i="12"/>
  <c r="AG163" i="12"/>
  <c r="AD163" i="12"/>
  <c r="AE163" i="12"/>
  <c r="AF163" i="12"/>
  <c r="AF158" i="12"/>
  <c r="AG158" i="12"/>
  <c r="AD158" i="12"/>
  <c r="AE158" i="12"/>
  <c r="AG301" i="12"/>
  <c r="AF301" i="12"/>
  <c r="AD301" i="12"/>
  <c r="AE301" i="12"/>
  <c r="AE316" i="12"/>
  <c r="AD303" i="12"/>
  <c r="AF303" i="12"/>
  <c r="AG303" i="12"/>
  <c r="AG182" i="12"/>
  <c r="AF182" i="12"/>
  <c r="AD182" i="12"/>
  <c r="AE182" i="12"/>
  <c r="AF124" i="12"/>
  <c r="AD124" i="12"/>
  <c r="AE124" i="12"/>
  <c r="AG124" i="12"/>
  <c r="BS100" i="12"/>
  <c r="BT100" i="12"/>
  <c r="BC100" i="12"/>
  <c r="BD100" i="12"/>
  <c r="BA100" i="12"/>
  <c r="BB100" i="12"/>
  <c r="AX100" i="12"/>
  <c r="P39" i="8"/>
  <c r="K15" i="8"/>
  <c r="O22" i="8"/>
  <c r="O16" i="8"/>
  <c r="O30" i="8"/>
  <c r="O27" i="8"/>
  <c r="P33" i="8"/>
  <c r="O40" i="8"/>
  <c r="P40" i="8"/>
  <c r="K27" i="8"/>
  <c r="P16" i="8"/>
  <c r="P15" i="8"/>
  <c r="K18" i="8"/>
  <c r="AT177" i="12"/>
  <c r="AU177" i="12"/>
  <c r="AW177" i="12"/>
  <c r="BM177" i="12"/>
  <c r="AT209" i="12"/>
  <c r="AU209" i="12"/>
  <c r="AW209" i="12"/>
  <c r="BM209" i="12"/>
  <c r="AT73" i="12"/>
  <c r="AU73" i="12"/>
  <c r="AW73" i="12"/>
  <c r="BM73" i="12"/>
  <c r="AT150" i="12"/>
  <c r="AU150" i="12"/>
  <c r="AW150" i="12"/>
  <c r="BM150" i="12"/>
  <c r="BN150" i="12"/>
  <c r="BR150" i="12"/>
  <c r="BU150" i="12"/>
  <c r="AT40" i="12"/>
  <c r="AU40" i="12"/>
  <c r="AW40" i="12"/>
  <c r="BM40" i="12"/>
  <c r="AT186" i="12"/>
  <c r="AU186" i="12"/>
  <c r="AW186" i="12"/>
  <c r="BM186" i="12"/>
  <c r="BP186" i="12"/>
  <c r="AV329" i="12"/>
  <c r="BT329" i="12"/>
  <c r="A21" i="8"/>
  <c r="AT126" i="12"/>
  <c r="AU126" i="12"/>
  <c r="AW126" i="12"/>
  <c r="BM126" i="12"/>
  <c r="BP126" i="12"/>
  <c r="AT191" i="12"/>
  <c r="AU191" i="12"/>
  <c r="AW191" i="12"/>
  <c r="BM191" i="12"/>
  <c r="AQ88" i="12"/>
  <c r="AT88" i="12"/>
  <c r="AU88" i="12"/>
  <c r="AW88" i="12"/>
  <c r="BM88" i="12"/>
  <c r="AQ4" i="12"/>
  <c r="AT4" i="12"/>
  <c r="AU4" i="12"/>
  <c r="AW4" i="12"/>
  <c r="BM4" i="12"/>
  <c r="AT5" i="12"/>
  <c r="AU5" i="12"/>
  <c r="AW5" i="12"/>
  <c r="BM5" i="12"/>
  <c r="AQ53" i="12"/>
  <c r="AT53" i="12"/>
  <c r="AU53" i="12"/>
  <c r="AW53" i="12"/>
  <c r="BM53" i="12"/>
  <c r="BR97" i="12"/>
  <c r="BU97" i="12"/>
  <c r="BF97" i="12"/>
  <c r="BG97" i="12"/>
  <c r="AT27" i="12"/>
  <c r="AU27" i="12"/>
  <c r="AW27" i="12"/>
  <c r="BM27" i="12"/>
  <c r="BP27" i="12"/>
  <c r="BC27" i="12"/>
  <c r="BD27" i="12"/>
  <c r="BA27" i="12"/>
  <c r="BB27" i="12"/>
  <c r="AX27" i="12"/>
  <c r="AT277" i="12"/>
  <c r="AU277" i="12"/>
  <c r="AW277" i="12"/>
  <c r="BM277" i="12"/>
  <c r="BN277" i="12"/>
  <c r="BO277" i="12"/>
  <c r="BQ277" i="12"/>
  <c r="AT305" i="12"/>
  <c r="AU305" i="12"/>
  <c r="AW305" i="12"/>
  <c r="BM305" i="12"/>
  <c r="BN305" i="12"/>
  <c r="AT192" i="12"/>
  <c r="AU192" i="12"/>
  <c r="AW192" i="12"/>
  <c r="BM192" i="12"/>
  <c r="BN192" i="12"/>
  <c r="BR192" i="12"/>
  <c r="BU192" i="12"/>
  <c r="AT320" i="12"/>
  <c r="AU320" i="12"/>
  <c r="AW320" i="12"/>
  <c r="BM320" i="12"/>
  <c r="BP320" i="12"/>
  <c r="AT160" i="12"/>
  <c r="AU160" i="12"/>
  <c r="AW160" i="12"/>
  <c r="BM160" i="12"/>
  <c r="BP160" i="12"/>
  <c r="BC160" i="12"/>
  <c r="BD160" i="12"/>
  <c r="BA160" i="12"/>
  <c r="BB160" i="12"/>
  <c r="AX160" i="12"/>
  <c r="AT146" i="12"/>
  <c r="AU146" i="12"/>
  <c r="AW146" i="12"/>
  <c r="BM146" i="12"/>
  <c r="BP146" i="12"/>
  <c r="BS146" i="12"/>
  <c r="BT146" i="12"/>
  <c r="AT190" i="12"/>
  <c r="AU190" i="12"/>
  <c r="AW190" i="12"/>
  <c r="BM190" i="12"/>
  <c r="BN190" i="12"/>
  <c r="BO190" i="12"/>
  <c r="BQ190" i="12"/>
  <c r="AT33" i="12"/>
  <c r="AU33" i="12"/>
  <c r="AW33" i="12"/>
  <c r="BM33" i="12"/>
  <c r="BP33" i="12"/>
  <c r="BS33" i="12"/>
  <c r="AT208" i="12"/>
  <c r="AU208" i="12"/>
  <c r="AW208" i="12"/>
  <c r="BM208" i="12"/>
  <c r="BN208" i="12"/>
  <c r="BO208" i="12"/>
  <c r="BQ208" i="12"/>
  <c r="AT284" i="12"/>
  <c r="AU284" i="12"/>
  <c r="AW284" i="12"/>
  <c r="BM284" i="12"/>
  <c r="BN284" i="12"/>
  <c r="BO284" i="12"/>
  <c r="BQ284" i="12"/>
  <c r="AT8" i="12"/>
  <c r="AU8" i="12"/>
  <c r="AW8" i="12"/>
  <c r="BM8" i="12"/>
  <c r="BP8" i="12"/>
  <c r="BC8" i="12"/>
  <c r="BD8" i="12"/>
  <c r="BA8" i="12"/>
  <c r="BB8" i="12"/>
  <c r="AX8" i="12"/>
  <c r="AT300" i="12"/>
  <c r="AU300" i="12"/>
  <c r="AW300" i="12"/>
  <c r="BM300" i="12"/>
  <c r="BN300" i="12"/>
  <c r="AT26" i="12"/>
  <c r="AU26" i="12"/>
  <c r="AW26" i="12"/>
  <c r="BM26" i="12"/>
  <c r="AT37" i="12"/>
  <c r="AU37" i="12"/>
  <c r="AW37" i="12"/>
  <c r="BM37" i="12"/>
  <c r="BP37" i="12"/>
  <c r="BS37" i="12"/>
  <c r="AT70" i="12"/>
  <c r="AU70" i="12"/>
  <c r="AW70" i="12"/>
  <c r="BM70" i="12"/>
  <c r="BP70" i="12"/>
  <c r="BS70" i="12"/>
  <c r="AT82" i="12"/>
  <c r="AU82" i="12"/>
  <c r="AW82" i="12"/>
  <c r="BM82" i="12"/>
  <c r="BN82" i="12"/>
  <c r="BR82" i="12"/>
  <c r="BU82" i="12"/>
  <c r="AT39" i="12"/>
  <c r="AU39" i="12"/>
  <c r="AW39" i="12"/>
  <c r="BM39" i="12"/>
  <c r="BN39" i="12"/>
  <c r="AT200" i="12"/>
  <c r="AU200" i="12"/>
  <c r="AW200" i="12"/>
  <c r="BM200" i="12"/>
  <c r="BP200" i="12"/>
  <c r="BS200" i="12"/>
  <c r="AT170" i="12"/>
  <c r="AU170" i="12"/>
  <c r="AW170" i="12"/>
  <c r="BM170" i="12"/>
  <c r="BN170" i="12"/>
  <c r="AT278" i="12"/>
  <c r="AU278" i="12"/>
  <c r="AW278" i="12"/>
  <c r="BM278" i="12"/>
  <c r="BP278" i="12"/>
  <c r="BC278" i="12"/>
  <c r="BD278" i="12"/>
  <c r="BA278" i="12"/>
  <c r="BB278" i="12"/>
  <c r="AX278" i="12"/>
  <c r="AT30" i="12"/>
  <c r="AU30" i="12"/>
  <c r="AW30" i="12"/>
  <c r="BM30" i="12"/>
  <c r="BN30" i="12"/>
  <c r="BO30" i="12"/>
  <c r="BQ30" i="12"/>
  <c r="AT281" i="12"/>
  <c r="AU281" i="12"/>
  <c r="AW281" i="12"/>
  <c r="BM281" i="12"/>
  <c r="BP281" i="12"/>
  <c r="AT270" i="12"/>
  <c r="AU270" i="12"/>
  <c r="AW270" i="12"/>
  <c r="BM270" i="12"/>
  <c r="BP270" i="12"/>
  <c r="AT317" i="12"/>
  <c r="AU317" i="12"/>
  <c r="AW317" i="12"/>
  <c r="BM317" i="12"/>
  <c r="BP317" i="12"/>
  <c r="BC317" i="12"/>
  <c r="BD317" i="12"/>
  <c r="BA317" i="12"/>
  <c r="BB317" i="12"/>
  <c r="AX317" i="12"/>
  <c r="AZ317" i="12"/>
  <c r="AT90" i="12"/>
  <c r="AU90" i="12"/>
  <c r="AW90" i="12"/>
  <c r="BM90" i="12"/>
  <c r="BP90" i="12"/>
  <c r="BS90" i="12"/>
  <c r="AT273" i="12"/>
  <c r="AU273" i="12"/>
  <c r="AW273" i="12"/>
  <c r="BM273" i="12"/>
  <c r="BP273" i="12"/>
  <c r="BS273" i="12"/>
  <c r="BO99" i="12"/>
  <c r="BQ99" i="12"/>
  <c r="AT319" i="12"/>
  <c r="AU319" i="12"/>
  <c r="AW319" i="12"/>
  <c r="BM319" i="12"/>
  <c r="BP319" i="12"/>
  <c r="BC319" i="12"/>
  <c r="BD319" i="12"/>
  <c r="BA319" i="12"/>
  <c r="BB319" i="12"/>
  <c r="AX319" i="12"/>
  <c r="AT18" i="12"/>
  <c r="AU18" i="12"/>
  <c r="AW18" i="12"/>
  <c r="BM18" i="12"/>
  <c r="BN18" i="12"/>
  <c r="AT162" i="12"/>
  <c r="AU162" i="12"/>
  <c r="AW162" i="12"/>
  <c r="BM162" i="12"/>
  <c r="BP162" i="12"/>
  <c r="BS162" i="12"/>
  <c r="BT162" i="12"/>
  <c r="AT155" i="12"/>
  <c r="AU155" i="12"/>
  <c r="AW155" i="12"/>
  <c r="BM155" i="12"/>
  <c r="BN155" i="12"/>
  <c r="BR155" i="12"/>
  <c r="BU155" i="12"/>
  <c r="BP97" i="12"/>
  <c r="BS97" i="12"/>
  <c r="AT63" i="12"/>
  <c r="AU63" i="12"/>
  <c r="AW63" i="12"/>
  <c r="BM63" i="12"/>
  <c r="BP63" i="12"/>
  <c r="BC63" i="12"/>
  <c r="BD63" i="12"/>
  <c r="BA63" i="12"/>
  <c r="BB63" i="12"/>
  <c r="AX63" i="12"/>
  <c r="AT309" i="12"/>
  <c r="AU309" i="12"/>
  <c r="AW309" i="12"/>
  <c r="BM309" i="12"/>
  <c r="AT14" i="12"/>
  <c r="AU14" i="12"/>
  <c r="AW14" i="12"/>
  <c r="BM14" i="12"/>
  <c r="BP14" i="12"/>
  <c r="AT175" i="12"/>
  <c r="AU175" i="12"/>
  <c r="AW175" i="12"/>
  <c r="BM175" i="12"/>
  <c r="BP175" i="12"/>
  <c r="AT48" i="12"/>
  <c r="AU48" i="12"/>
  <c r="AW48" i="12"/>
  <c r="BM48" i="12"/>
  <c r="BP48" i="12"/>
  <c r="BS48" i="12"/>
  <c r="AY99" i="12"/>
  <c r="AT24" i="12"/>
  <c r="AU24" i="12"/>
  <c r="AW24" i="12"/>
  <c r="BM24" i="12"/>
  <c r="BN24" i="12"/>
  <c r="AT51" i="12"/>
  <c r="AU51" i="12"/>
  <c r="AW51" i="12"/>
  <c r="BM51" i="12"/>
  <c r="BN51" i="12"/>
  <c r="AT159" i="12"/>
  <c r="AU159" i="12"/>
  <c r="AW159" i="12"/>
  <c r="BM159" i="12"/>
  <c r="BN159" i="12"/>
  <c r="BR159" i="12"/>
  <c r="BU159" i="12"/>
  <c r="AT80" i="12"/>
  <c r="AU80" i="12"/>
  <c r="AW80" i="12"/>
  <c r="BM80" i="12"/>
  <c r="BN80" i="12"/>
  <c r="BO80" i="12"/>
  <c r="BQ80" i="12"/>
  <c r="AT151" i="12"/>
  <c r="AU151" i="12"/>
  <c r="AW151" i="12"/>
  <c r="BM151" i="12"/>
  <c r="BP151" i="12"/>
  <c r="AT61" i="12"/>
  <c r="AU61" i="12"/>
  <c r="AW61" i="12"/>
  <c r="BM61" i="12"/>
  <c r="BP61" i="12"/>
  <c r="BC61" i="12"/>
  <c r="BD61" i="12"/>
  <c r="BA61" i="12"/>
  <c r="BB61" i="12"/>
  <c r="AX61" i="12"/>
  <c r="AT205" i="12"/>
  <c r="AU205" i="12"/>
  <c r="AW205" i="12"/>
  <c r="BM205" i="12"/>
  <c r="BP205" i="12"/>
  <c r="BS205" i="12"/>
  <c r="BT205" i="12"/>
  <c r="AT272" i="12"/>
  <c r="AU272" i="12"/>
  <c r="AW272" i="12"/>
  <c r="BM272" i="12"/>
  <c r="BP272" i="12"/>
  <c r="BS272" i="12"/>
  <c r="BT272" i="12"/>
  <c r="AT55" i="12"/>
  <c r="AU55" i="12"/>
  <c r="AW55" i="12"/>
  <c r="BM55" i="12"/>
  <c r="BN55" i="12"/>
  <c r="AT176" i="12"/>
  <c r="AU176" i="12"/>
  <c r="AW176" i="12"/>
  <c r="BM176" i="12"/>
  <c r="BP176" i="12"/>
  <c r="BC176" i="12"/>
  <c r="BD176" i="12"/>
  <c r="BA176" i="12"/>
  <c r="BB176" i="12"/>
  <c r="AX176" i="12"/>
  <c r="AY176" i="12"/>
  <c r="AT135" i="12"/>
  <c r="AU135" i="12"/>
  <c r="AW135" i="12"/>
  <c r="BM135" i="12"/>
  <c r="BN135" i="12"/>
  <c r="BR135" i="12"/>
  <c r="BU135" i="12"/>
  <c r="AT65" i="12"/>
  <c r="AU65" i="12"/>
  <c r="AW65" i="12"/>
  <c r="BM65" i="12"/>
  <c r="BP65" i="12"/>
  <c r="BS65" i="12"/>
  <c r="AT67" i="12"/>
  <c r="AU67" i="12"/>
  <c r="AW67" i="12"/>
  <c r="BM67" i="12"/>
  <c r="BP67" i="12"/>
  <c r="BS67" i="12"/>
  <c r="AT87" i="12"/>
  <c r="AU87" i="12"/>
  <c r="AW87" i="12"/>
  <c r="BM87" i="12"/>
  <c r="BN87" i="12"/>
  <c r="BR87" i="12"/>
  <c r="BU87" i="12"/>
  <c r="BE87" i="12"/>
  <c r="AT77" i="12"/>
  <c r="AU77" i="12"/>
  <c r="AW77" i="12"/>
  <c r="BM77" i="12"/>
  <c r="BN77" i="12"/>
  <c r="AT308" i="12"/>
  <c r="AU308" i="12"/>
  <c r="AW308" i="12"/>
  <c r="BM308" i="12"/>
  <c r="BP308" i="12"/>
  <c r="BC308" i="12"/>
  <c r="BD308" i="12"/>
  <c r="BA308" i="12"/>
  <c r="BB308" i="12"/>
  <c r="AX308" i="12"/>
  <c r="AT198" i="12"/>
  <c r="AU198" i="12"/>
  <c r="AW198" i="12"/>
  <c r="BM198" i="12"/>
  <c r="BN198" i="12"/>
  <c r="AT98" i="12"/>
  <c r="AU98" i="12"/>
  <c r="AW98" i="12"/>
  <c r="BM98" i="12"/>
  <c r="BN98" i="12"/>
  <c r="BO98" i="12"/>
  <c r="BQ98" i="12"/>
  <c r="AT152" i="12"/>
  <c r="AU152" i="12"/>
  <c r="AW152" i="12"/>
  <c r="BM152" i="12"/>
  <c r="BN152" i="12"/>
  <c r="BR152" i="12"/>
  <c r="BU152" i="12"/>
  <c r="AT78" i="12"/>
  <c r="AU78" i="12"/>
  <c r="AW78" i="12"/>
  <c r="BM78" i="12"/>
  <c r="BN78" i="12"/>
  <c r="BR78" i="12"/>
  <c r="BU78" i="12"/>
  <c r="AT35" i="12"/>
  <c r="AU35" i="12"/>
  <c r="AW35" i="12"/>
  <c r="BM35" i="12"/>
  <c r="BP35" i="12"/>
  <c r="BC35" i="12"/>
  <c r="BD35" i="12"/>
  <c r="BA35" i="12"/>
  <c r="BB35" i="12"/>
  <c r="AX35" i="12"/>
  <c r="AT131" i="12"/>
  <c r="AU131" i="12"/>
  <c r="AW131" i="12"/>
  <c r="BM131" i="12"/>
  <c r="BP131" i="12"/>
  <c r="BS131" i="12"/>
  <c r="AT32" i="12"/>
  <c r="AU32" i="12"/>
  <c r="AW32" i="12"/>
  <c r="BM32" i="12"/>
  <c r="BN32" i="12"/>
  <c r="BO32" i="12"/>
  <c r="BQ32" i="12"/>
  <c r="AT93" i="12"/>
  <c r="AU93" i="12"/>
  <c r="AW93" i="12"/>
  <c r="BM93" i="12"/>
  <c r="BP93" i="12"/>
  <c r="AT181" i="12"/>
  <c r="AU181" i="12"/>
  <c r="AW181" i="12"/>
  <c r="BM181" i="12"/>
  <c r="BN181" i="12"/>
  <c r="AT72" i="12"/>
  <c r="AU72" i="12"/>
  <c r="AW72" i="12"/>
  <c r="BM72" i="12"/>
  <c r="BP72" i="12"/>
  <c r="BC72" i="12"/>
  <c r="BD72" i="12"/>
  <c r="BA72" i="12"/>
  <c r="BB72" i="12"/>
  <c r="AX72" i="12"/>
  <c r="AT296" i="12"/>
  <c r="AU296" i="12"/>
  <c r="AW296" i="12"/>
  <c r="BM296" i="12"/>
  <c r="BP296" i="12"/>
  <c r="AT316" i="12"/>
  <c r="AU316" i="12"/>
  <c r="AW316" i="12"/>
  <c r="BM316" i="12"/>
  <c r="BN316" i="12"/>
  <c r="AT71" i="12"/>
  <c r="AU71" i="12"/>
  <c r="AW71" i="12"/>
  <c r="BM71" i="12"/>
  <c r="BP71" i="12"/>
  <c r="BS71" i="12"/>
  <c r="BT71" i="12"/>
  <c r="AT187" i="12"/>
  <c r="AU187" i="12"/>
  <c r="AW187" i="12"/>
  <c r="BM187" i="12"/>
  <c r="BP187" i="12"/>
  <c r="BC187" i="12"/>
  <c r="BD187" i="12"/>
  <c r="BA187" i="12"/>
  <c r="BB187" i="12"/>
  <c r="AX187" i="12"/>
  <c r="AT275" i="12"/>
  <c r="AU275" i="12"/>
  <c r="AW275" i="12"/>
  <c r="BM275" i="12"/>
  <c r="BP275" i="12"/>
  <c r="BS275" i="12"/>
  <c r="AT132" i="12"/>
  <c r="AU132" i="12"/>
  <c r="AW132" i="12"/>
  <c r="BM132" i="12"/>
  <c r="BN132" i="12"/>
  <c r="BR132" i="12"/>
  <c r="BU132" i="12"/>
  <c r="AT92" i="12"/>
  <c r="AU92" i="12"/>
  <c r="AW92" i="12"/>
  <c r="BM92" i="12"/>
  <c r="BP92" i="12"/>
  <c r="BC92" i="12"/>
  <c r="BD92" i="12"/>
  <c r="BA92" i="12"/>
  <c r="BB92" i="12"/>
  <c r="AX92" i="12"/>
  <c r="AT96" i="12"/>
  <c r="AU96" i="12"/>
  <c r="AW96" i="12"/>
  <c r="BM96" i="12"/>
  <c r="BN96" i="12"/>
  <c r="BO96" i="12"/>
  <c r="BQ96" i="12"/>
  <c r="AT136" i="12"/>
  <c r="AU136" i="12"/>
  <c r="AW136" i="12"/>
  <c r="BM136" i="12"/>
  <c r="BN136" i="12"/>
  <c r="BO136" i="12"/>
  <c r="BQ136" i="12"/>
  <c r="AT324" i="12"/>
  <c r="AU324" i="12"/>
  <c r="AW324" i="12"/>
  <c r="BM324" i="12"/>
  <c r="BP324" i="12"/>
  <c r="BC324" i="12"/>
  <c r="BD324" i="12"/>
  <c r="BA324" i="12"/>
  <c r="BB324" i="12"/>
  <c r="AX324" i="12"/>
  <c r="AT29" i="12"/>
  <c r="AU29" i="12"/>
  <c r="AW29" i="12"/>
  <c r="BM29" i="12"/>
  <c r="BP29" i="12"/>
  <c r="AT62" i="12"/>
  <c r="AU62" i="12"/>
  <c r="AW62" i="12"/>
  <c r="BM62" i="12"/>
  <c r="BP62" i="12"/>
  <c r="AT85" i="12"/>
  <c r="AU85" i="12"/>
  <c r="AW85" i="12"/>
  <c r="BM85" i="12"/>
  <c r="BP85" i="12"/>
  <c r="BC85" i="12"/>
  <c r="BD85" i="12"/>
  <c r="BA85" i="12"/>
  <c r="BB85" i="12"/>
  <c r="AX85" i="12"/>
  <c r="AT271" i="12"/>
  <c r="AU271" i="12"/>
  <c r="AW271" i="12"/>
  <c r="BM271" i="12"/>
  <c r="BN271" i="12"/>
  <c r="AT75" i="12"/>
  <c r="AU75" i="12"/>
  <c r="AW75" i="12"/>
  <c r="BM75" i="12"/>
  <c r="BN75" i="12"/>
  <c r="AT59" i="12"/>
  <c r="AU59" i="12"/>
  <c r="AW59" i="12"/>
  <c r="BM59" i="12"/>
  <c r="BN59" i="12"/>
  <c r="BR59" i="12"/>
  <c r="BU59" i="12"/>
  <c r="AT64" i="12"/>
  <c r="AU64" i="12"/>
  <c r="AW64" i="12"/>
  <c r="BM64" i="12"/>
  <c r="BP64" i="12"/>
  <c r="AT89" i="12"/>
  <c r="AU89" i="12"/>
  <c r="AW89" i="12"/>
  <c r="BM89" i="12"/>
  <c r="BN89" i="12"/>
  <c r="BO89" i="12"/>
  <c r="BQ89" i="12"/>
  <c r="AT315" i="12"/>
  <c r="AU315" i="12"/>
  <c r="AW315" i="12"/>
  <c r="BM315" i="12"/>
  <c r="BP315" i="12"/>
  <c r="AT36" i="12"/>
  <c r="AU36" i="12"/>
  <c r="AW36" i="12"/>
  <c r="BM36" i="12"/>
  <c r="BN36" i="12"/>
  <c r="BR36" i="12"/>
  <c r="BU36" i="12"/>
  <c r="AT120" i="12"/>
  <c r="AU120" i="12"/>
  <c r="AW120" i="12"/>
  <c r="BM120" i="12"/>
  <c r="BP120" i="12"/>
  <c r="BC120" i="12"/>
  <c r="BD120" i="12"/>
  <c r="BA120" i="12"/>
  <c r="BB120" i="12"/>
  <c r="AX120" i="12"/>
  <c r="AY120" i="12"/>
  <c r="AT66" i="12"/>
  <c r="AU66" i="12"/>
  <c r="AW66" i="12"/>
  <c r="BM66" i="12"/>
  <c r="BN66" i="12"/>
  <c r="AT201" i="12"/>
  <c r="AU201" i="12"/>
  <c r="AW201" i="12"/>
  <c r="BM201" i="12"/>
  <c r="BN201" i="12"/>
  <c r="AT28" i="12"/>
  <c r="AU28" i="12"/>
  <c r="AW28" i="12"/>
  <c r="BM28" i="12"/>
  <c r="BP28" i="12"/>
  <c r="BS28" i="12"/>
  <c r="AT49" i="12"/>
  <c r="AU49" i="12"/>
  <c r="AW49" i="12"/>
  <c r="BM49" i="12"/>
  <c r="BP49" i="12"/>
  <c r="AT166" i="12"/>
  <c r="AU166" i="12"/>
  <c r="AW166" i="12"/>
  <c r="BM166" i="12"/>
  <c r="BP166" i="12"/>
  <c r="BS166" i="12"/>
  <c r="AT94" i="12"/>
  <c r="AU94" i="12"/>
  <c r="AW94" i="12"/>
  <c r="BM94" i="12"/>
  <c r="BP94" i="12"/>
  <c r="BS94" i="12"/>
  <c r="BT94" i="12"/>
  <c r="AT74" i="12"/>
  <c r="AU74" i="12"/>
  <c r="AW74" i="12"/>
  <c r="BM74" i="12"/>
  <c r="BP74" i="12"/>
  <c r="AT193" i="12"/>
  <c r="AU193" i="12"/>
  <c r="AW193" i="12"/>
  <c r="BM193" i="12"/>
  <c r="BP193" i="12"/>
  <c r="AT282" i="12"/>
  <c r="AU282" i="12"/>
  <c r="AW282" i="12"/>
  <c r="BM282" i="12"/>
  <c r="BN282" i="12"/>
  <c r="BR282" i="12"/>
  <c r="BU282" i="12"/>
  <c r="AT127" i="12"/>
  <c r="AU127" i="12"/>
  <c r="AW127" i="12"/>
  <c r="BM127" i="12"/>
  <c r="BN127" i="12"/>
  <c r="AT204" i="12"/>
  <c r="AU204" i="12"/>
  <c r="AW204" i="12"/>
  <c r="BM204" i="12"/>
  <c r="BP204" i="12"/>
  <c r="AT7" i="12"/>
  <c r="AU7" i="12"/>
  <c r="AW7" i="12"/>
  <c r="BM7" i="12"/>
  <c r="BP7" i="12"/>
  <c r="BS7" i="12"/>
  <c r="AT56" i="12"/>
  <c r="AU56" i="12"/>
  <c r="AW56" i="12"/>
  <c r="BM56" i="12"/>
  <c r="BN56" i="12"/>
  <c r="AT118" i="12"/>
  <c r="AU118" i="12"/>
  <c r="AW118" i="12"/>
  <c r="BM118" i="12"/>
  <c r="BP118" i="12"/>
  <c r="AT42" i="12"/>
  <c r="AU42" i="12"/>
  <c r="AW42" i="12"/>
  <c r="BM42" i="12"/>
  <c r="BP42" i="12"/>
  <c r="BS42" i="12"/>
  <c r="AT58" i="12"/>
  <c r="AU58" i="12"/>
  <c r="AW58" i="12"/>
  <c r="BM58" i="12"/>
  <c r="BP58" i="12"/>
  <c r="AT83" i="12"/>
  <c r="AU83" i="12"/>
  <c r="AW83" i="12"/>
  <c r="BM83" i="12"/>
  <c r="BP83" i="12"/>
  <c r="AT46" i="12"/>
  <c r="AU46" i="12"/>
  <c r="AW46" i="12"/>
  <c r="BM46" i="12"/>
  <c r="BP46" i="12"/>
  <c r="BC46" i="12"/>
  <c r="BD46" i="12"/>
  <c r="BA46" i="12"/>
  <c r="BB46" i="12"/>
  <c r="AX46" i="12"/>
  <c r="AY46" i="12"/>
  <c r="AT156" i="12"/>
  <c r="AU156" i="12"/>
  <c r="AW156" i="12"/>
  <c r="BM156" i="12"/>
  <c r="BN156" i="12"/>
  <c r="AT325" i="12"/>
  <c r="AU325" i="12"/>
  <c r="AW325" i="12"/>
  <c r="BM325" i="12"/>
  <c r="BN325" i="12"/>
  <c r="AT178" i="12"/>
  <c r="AU178" i="12"/>
  <c r="AW178" i="12"/>
  <c r="BM178" i="12"/>
  <c r="BN178" i="12"/>
  <c r="BO178" i="12"/>
  <c r="BQ178" i="12"/>
  <c r="AT43" i="12"/>
  <c r="AU43" i="12"/>
  <c r="AW43" i="12"/>
  <c r="BM43" i="12"/>
  <c r="BN43" i="12"/>
  <c r="AT38" i="12"/>
  <c r="AU38" i="12"/>
  <c r="AW38" i="12"/>
  <c r="BM38" i="12"/>
  <c r="BP38" i="12"/>
  <c r="BS38" i="12"/>
  <c r="AT199" i="12"/>
  <c r="AU199" i="12"/>
  <c r="AW199" i="12"/>
  <c r="BM199" i="12"/>
  <c r="BN199" i="12"/>
  <c r="E106" i="14"/>
  <c r="F106" i="14"/>
  <c r="AT195" i="12"/>
  <c r="AU195" i="12"/>
  <c r="AW195" i="12"/>
  <c r="BM195" i="12"/>
  <c r="BN195" i="12"/>
  <c r="AT57" i="12"/>
  <c r="AU57" i="12"/>
  <c r="AW57" i="12"/>
  <c r="BM57" i="12"/>
  <c r="BP57" i="12"/>
  <c r="BS57" i="12"/>
  <c r="BT57" i="12"/>
  <c r="AT69" i="12"/>
  <c r="AU69" i="12"/>
  <c r="AW69" i="12"/>
  <c r="BM69" i="12"/>
  <c r="BN69" i="12"/>
  <c r="BO69" i="12"/>
  <c r="BQ69" i="12"/>
  <c r="AT3" i="12"/>
  <c r="AU3" i="12"/>
  <c r="AW3" i="12"/>
  <c r="BM3" i="12"/>
  <c r="BN3" i="12"/>
  <c r="BR3" i="12"/>
  <c r="BU3" i="12"/>
  <c r="BO167" i="12"/>
  <c r="BQ167" i="12"/>
  <c r="AT45" i="12"/>
  <c r="AU45" i="12"/>
  <c r="AW45" i="12"/>
  <c r="BM45" i="12"/>
  <c r="BP45" i="12"/>
  <c r="BS45" i="12"/>
  <c r="AT81" i="12"/>
  <c r="AU81" i="12"/>
  <c r="AW81" i="12"/>
  <c r="BM81" i="12"/>
  <c r="BP81" i="12"/>
  <c r="BC81" i="12"/>
  <c r="BD81" i="12"/>
  <c r="BA81" i="12"/>
  <c r="BB81" i="12"/>
  <c r="AX81" i="12"/>
  <c r="AY81" i="12"/>
  <c r="BP167" i="12"/>
  <c r="BS167" i="12"/>
  <c r="AT12" i="12"/>
  <c r="AU12" i="12"/>
  <c r="AW12" i="12"/>
  <c r="BM12" i="12"/>
  <c r="BN12" i="12"/>
  <c r="AT285" i="12"/>
  <c r="AU285" i="12"/>
  <c r="AW285" i="12"/>
  <c r="BM285" i="12"/>
  <c r="BP285" i="12"/>
  <c r="BC285" i="12"/>
  <c r="BD285" i="12"/>
  <c r="BA285" i="12"/>
  <c r="BB285" i="12"/>
  <c r="AX285" i="12"/>
  <c r="AT119" i="12"/>
  <c r="AU119" i="12"/>
  <c r="AW119" i="12"/>
  <c r="BM119" i="12"/>
  <c r="BN119" i="12"/>
  <c r="AT279" i="12"/>
  <c r="AU279" i="12"/>
  <c r="AW279" i="12"/>
  <c r="BM279" i="12"/>
  <c r="BN279" i="12"/>
  <c r="E37" i="8"/>
  <c r="BS328" i="12"/>
  <c r="AT123" i="12"/>
  <c r="AU123" i="12"/>
  <c r="AW123" i="12"/>
  <c r="BM123" i="12"/>
  <c r="BN123" i="12"/>
  <c r="BR123" i="12"/>
  <c r="BU123" i="12"/>
  <c r="AT60" i="12"/>
  <c r="AU60" i="12"/>
  <c r="AW60" i="12"/>
  <c r="BM60" i="12"/>
  <c r="BP60" i="12"/>
  <c r="BS60" i="12"/>
  <c r="BT60" i="12"/>
  <c r="AT9" i="12"/>
  <c r="AU9" i="12"/>
  <c r="AW9" i="12"/>
  <c r="BM9" i="12"/>
  <c r="BP9" i="12"/>
  <c r="BC9" i="12"/>
  <c r="BD9" i="12"/>
  <c r="BA9" i="12"/>
  <c r="BB9" i="12"/>
  <c r="AX9" i="12"/>
  <c r="AY9" i="12"/>
  <c r="AT11" i="12"/>
  <c r="AU11" i="12"/>
  <c r="AW11" i="12"/>
  <c r="BM11" i="12"/>
  <c r="BP11" i="12"/>
  <c r="BS11" i="12"/>
  <c r="AT79" i="12"/>
  <c r="AU79" i="12"/>
  <c r="AW79" i="12"/>
  <c r="BM79" i="12"/>
  <c r="BP79" i="12"/>
  <c r="BC79" i="12"/>
  <c r="BD79" i="12"/>
  <c r="BA79" i="12"/>
  <c r="BB79" i="12"/>
  <c r="AX79" i="12"/>
  <c r="BN328" i="12"/>
  <c r="BR328" i="12"/>
  <c r="BU328" i="12"/>
  <c r="BE328" i="12"/>
  <c r="BH167" i="12"/>
  <c r="AT6" i="12"/>
  <c r="AU6" i="12"/>
  <c r="AW6" i="12"/>
  <c r="BM6" i="12"/>
  <c r="BP6" i="12"/>
  <c r="BS6" i="12"/>
  <c r="AT161" i="12"/>
  <c r="AU161" i="12"/>
  <c r="AW161" i="12"/>
  <c r="BM161" i="12"/>
  <c r="BP161" i="12"/>
  <c r="AT113" i="12"/>
  <c r="AU113" i="12"/>
  <c r="AW113" i="12"/>
  <c r="BM113" i="12"/>
  <c r="BP113" i="12"/>
  <c r="BC113" i="12"/>
  <c r="BD113" i="12"/>
  <c r="BA113" i="12"/>
  <c r="BB113" i="12"/>
  <c r="AX113" i="12"/>
  <c r="AZ113" i="12"/>
  <c r="AT2" i="12"/>
  <c r="AU2" i="12"/>
  <c r="AW2" i="12"/>
  <c r="BM2" i="12"/>
  <c r="BP2" i="12"/>
  <c r="BS2" i="12"/>
  <c r="BT2" i="12"/>
  <c r="BF167" i="12"/>
  <c r="BG167" i="12"/>
  <c r="AT293" i="12"/>
  <c r="AU293" i="12"/>
  <c r="AW293" i="12"/>
  <c r="BM293" i="12"/>
  <c r="BN293" i="12"/>
  <c r="E135" i="14"/>
  <c r="F135" i="14"/>
  <c r="AT133" i="12"/>
  <c r="AU133" i="12"/>
  <c r="AW133" i="12"/>
  <c r="BM133" i="12"/>
  <c r="BN133" i="12"/>
  <c r="BR133" i="12"/>
  <c r="BU133" i="12"/>
  <c r="AT68" i="12"/>
  <c r="AU68" i="12"/>
  <c r="AW68" i="12"/>
  <c r="BM68" i="12"/>
  <c r="BP68" i="12"/>
  <c r="BS68" i="12"/>
  <c r="AT41" i="12"/>
  <c r="AU41" i="12"/>
  <c r="AW41" i="12"/>
  <c r="BM41" i="12"/>
  <c r="BN41" i="12"/>
  <c r="BO41" i="12"/>
  <c r="BQ41" i="12"/>
  <c r="AT84" i="12"/>
  <c r="AU84" i="12"/>
  <c r="AW84" i="12"/>
  <c r="BM84" i="12"/>
  <c r="BP84" i="12"/>
  <c r="BS84" i="12"/>
  <c r="AT52" i="12"/>
  <c r="AU52" i="12"/>
  <c r="AW52" i="12"/>
  <c r="BM52" i="12"/>
  <c r="BP52" i="12"/>
  <c r="BS52" i="12"/>
  <c r="BR104" i="12"/>
  <c r="BU104" i="12"/>
  <c r="BF104" i="12"/>
  <c r="BG104" i="12"/>
  <c r="BP104" i="12"/>
  <c r="BC104" i="12"/>
  <c r="BD104" i="12"/>
  <c r="AT103" i="12"/>
  <c r="AU103" i="12"/>
  <c r="AW103" i="12"/>
  <c r="BM103" i="12"/>
  <c r="BN103" i="12"/>
  <c r="BR103" i="12"/>
  <c r="BU103" i="12"/>
  <c r="K29" i="8"/>
  <c r="AT20" i="12"/>
  <c r="AU20" i="12"/>
  <c r="AW20" i="12"/>
  <c r="BM20" i="12"/>
  <c r="BN20" i="12"/>
  <c r="BO20" i="12"/>
  <c r="BQ20" i="12"/>
  <c r="AT114" i="12"/>
  <c r="AU114" i="12"/>
  <c r="AW114" i="12"/>
  <c r="BM114" i="12"/>
  <c r="BN114" i="12"/>
  <c r="E59" i="14"/>
  <c r="F59" i="14"/>
  <c r="AT143" i="12"/>
  <c r="AU143" i="12"/>
  <c r="AW143" i="12"/>
  <c r="BM143" i="12"/>
  <c r="BN143" i="12"/>
  <c r="BO143" i="12"/>
  <c r="BQ143" i="12"/>
  <c r="AT147" i="12"/>
  <c r="AU147" i="12"/>
  <c r="AW147" i="12"/>
  <c r="BM147" i="12"/>
  <c r="BP147" i="12"/>
  <c r="BS147" i="12"/>
  <c r="AT116" i="12"/>
  <c r="AU116" i="12"/>
  <c r="AW116" i="12"/>
  <c r="BM116" i="12"/>
  <c r="BN116" i="12"/>
  <c r="BO116" i="12"/>
  <c r="BQ116" i="12"/>
  <c r="AT207" i="12"/>
  <c r="AU207" i="12"/>
  <c r="AW207" i="12"/>
  <c r="BM207" i="12"/>
  <c r="BP207" i="12"/>
  <c r="AT149" i="12"/>
  <c r="AU149" i="12"/>
  <c r="AW149" i="12"/>
  <c r="BM149" i="12"/>
  <c r="BP149" i="12"/>
  <c r="BS149" i="12"/>
  <c r="BT149" i="12"/>
  <c r="AT122" i="12"/>
  <c r="AU122" i="12"/>
  <c r="AW122" i="12"/>
  <c r="BM122" i="12"/>
  <c r="BP122" i="12"/>
  <c r="BS122" i="12"/>
  <c r="AT326" i="12"/>
  <c r="AU326" i="12"/>
  <c r="AW326" i="12"/>
  <c r="BM326" i="12"/>
  <c r="BP326" i="12"/>
  <c r="BC326" i="12"/>
  <c r="BD326" i="12"/>
  <c r="BA326" i="12"/>
  <c r="BB326" i="12"/>
  <c r="AX326" i="12"/>
  <c r="AZ326" i="12"/>
  <c r="AT172" i="12"/>
  <c r="AU172" i="12"/>
  <c r="AW172" i="12"/>
  <c r="BM172" i="12"/>
  <c r="BN172" i="12"/>
  <c r="E82" i="14"/>
  <c r="F82" i="14"/>
  <c r="AT145" i="12"/>
  <c r="AU145" i="12"/>
  <c r="AW145" i="12"/>
  <c r="BM145" i="12"/>
  <c r="BN145" i="12"/>
  <c r="BO145" i="12"/>
  <c r="BQ145" i="12"/>
  <c r="AT95" i="12"/>
  <c r="AU95" i="12"/>
  <c r="AW95" i="12"/>
  <c r="BM95" i="12"/>
  <c r="BP95" i="12"/>
  <c r="AT184" i="12"/>
  <c r="AU184" i="12"/>
  <c r="AW184" i="12"/>
  <c r="BM184" i="12"/>
  <c r="BP184" i="12"/>
  <c r="AT203" i="12"/>
  <c r="AU203" i="12"/>
  <c r="AW203" i="12"/>
  <c r="BM203" i="12"/>
  <c r="BP203" i="12"/>
  <c r="AT280" i="12"/>
  <c r="AU280" i="12"/>
  <c r="AW280" i="12"/>
  <c r="BM280" i="12"/>
  <c r="BN280" i="12"/>
  <c r="E124" i="14"/>
  <c r="F124" i="14"/>
  <c r="AT134" i="12"/>
  <c r="AU134" i="12"/>
  <c r="AW134" i="12"/>
  <c r="BM134" i="12"/>
  <c r="BP134" i="12"/>
  <c r="BC134" i="12"/>
  <c r="BD134" i="12"/>
  <c r="BA134" i="12"/>
  <c r="BB134" i="12"/>
  <c r="AX134" i="12"/>
  <c r="AY134" i="12"/>
  <c r="AT54" i="12"/>
  <c r="AU54" i="12"/>
  <c r="AW54" i="12"/>
  <c r="BM54" i="12"/>
  <c r="BN54" i="12"/>
  <c r="AT202" i="12"/>
  <c r="AU202" i="12"/>
  <c r="AW202" i="12"/>
  <c r="BM202" i="12"/>
  <c r="BN202" i="12"/>
  <c r="BR202" i="12"/>
  <c r="BU202" i="12"/>
  <c r="AT274" i="12"/>
  <c r="AU274" i="12"/>
  <c r="AW274" i="12"/>
  <c r="BM274" i="12"/>
  <c r="BN274" i="12"/>
  <c r="AT50" i="12"/>
  <c r="AU50" i="12"/>
  <c r="AW50" i="12"/>
  <c r="BM50" i="12"/>
  <c r="BP50" i="12"/>
  <c r="BC50" i="12"/>
  <c r="BD50" i="12"/>
  <c r="BA50" i="12"/>
  <c r="BB50" i="12"/>
  <c r="AX50" i="12"/>
  <c r="BR100" i="12"/>
  <c r="BU100" i="12"/>
  <c r="BE100" i="12"/>
  <c r="AT283" i="12"/>
  <c r="AU283" i="12"/>
  <c r="AW283" i="12"/>
  <c r="BM283" i="12"/>
  <c r="BN283" i="12"/>
  <c r="BR283" i="12"/>
  <c r="BU283" i="12"/>
  <c r="AT10" i="12"/>
  <c r="AU10" i="12"/>
  <c r="AW10" i="12"/>
  <c r="BM10" i="12"/>
  <c r="BN10" i="12"/>
  <c r="BO10" i="12"/>
  <c r="BQ10" i="12"/>
  <c r="AT125" i="12"/>
  <c r="AU125" i="12"/>
  <c r="AW125" i="12"/>
  <c r="BM125" i="12"/>
  <c r="BN125" i="12"/>
  <c r="BR125" i="12"/>
  <c r="BU125" i="12"/>
  <c r="E20" i="8"/>
  <c r="AT139" i="12"/>
  <c r="AU139" i="12"/>
  <c r="AW139" i="12"/>
  <c r="BM139" i="12"/>
  <c r="BP139" i="12"/>
  <c r="BS139" i="12"/>
  <c r="AT164" i="12"/>
  <c r="AU164" i="12"/>
  <c r="AW164" i="12"/>
  <c r="BM164" i="12"/>
  <c r="BP164" i="12"/>
  <c r="BS164" i="12"/>
  <c r="BT164" i="12"/>
  <c r="AT276" i="12"/>
  <c r="AU276" i="12"/>
  <c r="AW276" i="12"/>
  <c r="BM276" i="12"/>
  <c r="BN276" i="12"/>
  <c r="E120" i="14"/>
  <c r="F120" i="14"/>
  <c r="AT306" i="12"/>
  <c r="AU306" i="12"/>
  <c r="AW306" i="12"/>
  <c r="BM306" i="12"/>
  <c r="AT189" i="12"/>
  <c r="AU189" i="12"/>
  <c r="AW189" i="12"/>
  <c r="BM189" i="12"/>
  <c r="BN189" i="12"/>
  <c r="BR189" i="12"/>
  <c r="BU189" i="12"/>
  <c r="BE189" i="12"/>
  <c r="BN101" i="12"/>
  <c r="BR101" i="12"/>
  <c r="BU101" i="12"/>
  <c r="BE101" i="12"/>
  <c r="AT194" i="12"/>
  <c r="AU194" i="12"/>
  <c r="AW194" i="12"/>
  <c r="BM194" i="12"/>
  <c r="BP194" i="12"/>
  <c r="BS101" i="12"/>
  <c r="AT171" i="12"/>
  <c r="AU171" i="12"/>
  <c r="AW171" i="12"/>
  <c r="BM171" i="12"/>
  <c r="BP171" i="12"/>
  <c r="AT323" i="12"/>
  <c r="AU323" i="12"/>
  <c r="AW323" i="12"/>
  <c r="BM323" i="12"/>
  <c r="BP323" i="12"/>
  <c r="BS323" i="12"/>
  <c r="BT323" i="12"/>
  <c r="AT153" i="12"/>
  <c r="AU153" i="12"/>
  <c r="AW153" i="12"/>
  <c r="BM153" i="12"/>
  <c r="BN153" i="12"/>
  <c r="BR153" i="12"/>
  <c r="BU153" i="12"/>
  <c r="AT318" i="12"/>
  <c r="AU318" i="12"/>
  <c r="AW318" i="12"/>
  <c r="BM318" i="12"/>
  <c r="BP168" i="12"/>
  <c r="BC168" i="12"/>
  <c r="BD168" i="12"/>
  <c r="BA168" i="12"/>
  <c r="BB168" i="12"/>
  <c r="AX168" i="12"/>
  <c r="AY168" i="12"/>
  <c r="AT206" i="12"/>
  <c r="AU206" i="12"/>
  <c r="AW206" i="12"/>
  <c r="BM206" i="12"/>
  <c r="AT154" i="12"/>
  <c r="AU154" i="12"/>
  <c r="AW154" i="12"/>
  <c r="BM154" i="12"/>
  <c r="BP154" i="12"/>
  <c r="BS154" i="12"/>
  <c r="BT154" i="12"/>
  <c r="BN329" i="12"/>
  <c r="BO329" i="12"/>
  <c r="BQ329" i="12"/>
  <c r="AT169" i="12"/>
  <c r="AU169" i="12"/>
  <c r="AW169" i="12"/>
  <c r="BM169" i="12"/>
  <c r="BP169" i="12"/>
  <c r="BC169" i="12"/>
  <c r="BD169" i="12"/>
  <c r="BA169" i="12"/>
  <c r="BB169" i="12"/>
  <c r="AX169" i="12"/>
  <c r="AT327" i="12"/>
  <c r="AU327" i="12"/>
  <c r="AW327" i="12"/>
  <c r="BM327" i="12"/>
  <c r="BP327" i="12"/>
  <c r="BC327" i="12"/>
  <c r="BD327" i="12"/>
  <c r="BA327" i="12"/>
  <c r="BB327" i="12"/>
  <c r="AX327" i="12"/>
  <c r="AY327" i="12"/>
  <c r="BC329" i="12"/>
  <c r="BD329" i="12"/>
  <c r="BA329" i="12"/>
  <c r="BB329" i="12"/>
  <c r="AX329" i="12"/>
  <c r="AZ329" i="12"/>
  <c r="AT91" i="12"/>
  <c r="AU91" i="12"/>
  <c r="AW91" i="12"/>
  <c r="BM91" i="12"/>
  <c r="BP91" i="12"/>
  <c r="BN131" i="12"/>
  <c r="BR131" i="12"/>
  <c r="BU131" i="12"/>
  <c r="BO168" i="12"/>
  <c r="BQ168" i="12"/>
  <c r="BN8" i="12"/>
  <c r="BO8" i="12"/>
  <c r="BQ8" i="12"/>
  <c r="BN37" i="12"/>
  <c r="BR37" i="12"/>
  <c r="BU37" i="12"/>
  <c r="AE86" i="12"/>
  <c r="AT86" i="12"/>
  <c r="AU86" i="12"/>
  <c r="AW86" i="12"/>
  <c r="BM86" i="12"/>
  <c r="C26" i="8"/>
  <c r="AT106" i="12"/>
  <c r="AU106" i="12"/>
  <c r="AW106" i="12"/>
  <c r="BM106" i="12"/>
  <c r="BP106" i="12"/>
  <c r="BC106" i="12"/>
  <c r="BD106" i="12"/>
  <c r="BA106" i="12"/>
  <c r="BB106" i="12"/>
  <c r="AX106" i="12"/>
  <c r="AT165" i="12"/>
  <c r="AU165" i="12"/>
  <c r="AW165" i="12"/>
  <c r="BM165" i="12"/>
  <c r="BN165" i="12"/>
  <c r="BR165" i="12"/>
  <c r="BU165" i="12"/>
  <c r="BP192" i="12"/>
  <c r="BS192" i="12"/>
  <c r="BT192" i="12"/>
  <c r="BN61" i="12"/>
  <c r="BR61" i="12"/>
  <c r="BU61" i="12"/>
  <c r="BN278" i="12"/>
  <c r="BR278" i="12"/>
  <c r="BU278" i="12"/>
  <c r="BC70" i="12"/>
  <c r="BD70" i="12"/>
  <c r="BA70" i="12"/>
  <c r="BB70" i="12"/>
  <c r="AX70" i="12"/>
  <c r="AY70" i="12"/>
  <c r="E127" i="14"/>
  <c r="F127" i="14"/>
  <c r="BP150" i="12"/>
  <c r="BC150" i="12"/>
  <c r="BD150" i="12"/>
  <c r="BA150" i="12"/>
  <c r="BB150" i="12"/>
  <c r="AX150" i="12"/>
  <c r="AY150" i="12"/>
  <c r="BC90" i="12"/>
  <c r="BD90" i="12"/>
  <c r="BA90" i="12"/>
  <c r="BB90" i="12"/>
  <c r="AX90" i="12"/>
  <c r="AY90" i="12"/>
  <c r="BN90" i="12"/>
  <c r="BO90" i="12"/>
  <c r="BQ90" i="12"/>
  <c r="BN273" i="12"/>
  <c r="BO150" i="12"/>
  <c r="BQ150" i="12"/>
  <c r="AT109" i="12"/>
  <c r="AU109" i="12"/>
  <c r="AW109" i="12"/>
  <c r="BM109" i="12"/>
  <c r="BN109" i="12"/>
  <c r="E55" i="14"/>
  <c r="F55" i="14"/>
  <c r="AT130" i="12"/>
  <c r="AU130" i="12"/>
  <c r="AW130" i="12"/>
  <c r="BM130" i="12"/>
  <c r="BN130" i="12"/>
  <c r="BR130" i="12"/>
  <c r="BU130" i="12"/>
  <c r="AT290" i="12"/>
  <c r="AU290" i="12"/>
  <c r="AW290" i="12"/>
  <c r="BM290" i="12"/>
  <c r="BN290" i="12"/>
  <c r="BN102" i="12"/>
  <c r="BR102" i="12"/>
  <c r="BU102" i="12"/>
  <c r="BF102" i="12"/>
  <c r="BG102" i="12"/>
  <c r="AT174" i="12"/>
  <c r="AU174" i="12"/>
  <c r="AW174" i="12"/>
  <c r="BM174" i="12"/>
  <c r="BN174" i="12"/>
  <c r="AT288" i="12"/>
  <c r="AU288" i="12"/>
  <c r="AW288" i="12"/>
  <c r="BM288" i="12"/>
  <c r="BN288" i="12"/>
  <c r="AT173" i="12"/>
  <c r="AU173" i="12"/>
  <c r="AW173" i="12"/>
  <c r="BM173" i="12"/>
  <c r="AT111" i="12"/>
  <c r="AU111" i="12"/>
  <c r="AW111" i="12"/>
  <c r="BM111" i="12"/>
  <c r="BN111" i="12"/>
  <c r="BN317" i="12"/>
  <c r="AT321" i="12"/>
  <c r="AU321" i="12"/>
  <c r="AW321" i="12"/>
  <c r="BM321" i="12"/>
  <c r="BP321" i="12"/>
  <c r="AT31" i="12"/>
  <c r="AU31" i="12"/>
  <c r="AW31" i="12"/>
  <c r="BM31" i="12"/>
  <c r="BP31" i="12"/>
  <c r="BN70" i="12"/>
  <c r="BC102" i="12"/>
  <c r="BD102" i="12"/>
  <c r="BA102" i="12"/>
  <c r="BB102" i="12"/>
  <c r="AX102" i="12"/>
  <c r="AY102" i="12"/>
  <c r="AT298" i="12"/>
  <c r="AU298" i="12"/>
  <c r="AW298" i="12"/>
  <c r="BM298" i="12"/>
  <c r="BN298" i="12"/>
  <c r="T19" i="8"/>
  <c r="T22" i="8"/>
  <c r="T20" i="8"/>
  <c r="T43" i="8"/>
  <c r="T45" i="8"/>
  <c r="X14" i="8"/>
  <c r="T21" i="8"/>
  <c r="T44" i="8"/>
  <c r="X13" i="8"/>
  <c r="AT108" i="12"/>
  <c r="AU108" i="12"/>
  <c r="AW108" i="12"/>
  <c r="BM108" i="12"/>
  <c r="BP108" i="12"/>
  <c r="AT295" i="12"/>
  <c r="AU295" i="12"/>
  <c r="AW295" i="12"/>
  <c r="BM295" i="12"/>
  <c r="BP295" i="12"/>
  <c r="AT294" i="12"/>
  <c r="AU294" i="12"/>
  <c r="AW294" i="12"/>
  <c r="BM294" i="12"/>
  <c r="AT286" i="12"/>
  <c r="AU286" i="12"/>
  <c r="AW286" i="12"/>
  <c r="BM286" i="12"/>
  <c r="BN286" i="12"/>
  <c r="AT185" i="12"/>
  <c r="AU185" i="12"/>
  <c r="AW185" i="12"/>
  <c r="BM185" i="12"/>
  <c r="BN185" i="12"/>
  <c r="AT196" i="12"/>
  <c r="AU196" i="12"/>
  <c r="AW196" i="12"/>
  <c r="BM196" i="12"/>
  <c r="BP196" i="12"/>
  <c r="AT21" i="12"/>
  <c r="AU21" i="12"/>
  <c r="AW21" i="12"/>
  <c r="BM21" i="12"/>
  <c r="BP21" i="12"/>
  <c r="AT322" i="12"/>
  <c r="AU322" i="12"/>
  <c r="AW322" i="12"/>
  <c r="BM322" i="12"/>
  <c r="BN322" i="12"/>
  <c r="AT141" i="12"/>
  <c r="AU141" i="12"/>
  <c r="AW141" i="12"/>
  <c r="BM141" i="12"/>
  <c r="BP141" i="12"/>
  <c r="AT110" i="12"/>
  <c r="AU110" i="12"/>
  <c r="AW110" i="12"/>
  <c r="BM110" i="12"/>
  <c r="AT23" i="12"/>
  <c r="AU23" i="12"/>
  <c r="AW23" i="12"/>
  <c r="BM23" i="12"/>
  <c r="BP23" i="12"/>
  <c r="BN272" i="12"/>
  <c r="BO272" i="12"/>
  <c r="BQ272" i="12"/>
  <c r="AT34" i="12"/>
  <c r="AU34" i="12"/>
  <c r="AW34" i="12"/>
  <c r="BM34" i="12"/>
  <c r="BN34" i="12"/>
  <c r="BN48" i="12"/>
  <c r="BO48" i="12"/>
  <c r="BQ48" i="12"/>
  <c r="AT112" i="12"/>
  <c r="AU112" i="12"/>
  <c r="AW112" i="12"/>
  <c r="BM112" i="12"/>
  <c r="BN112" i="12"/>
  <c r="AE107" i="12"/>
  <c r="AT107" i="12"/>
  <c r="AU107" i="12"/>
  <c r="AW107" i="12"/>
  <c r="BM107" i="12"/>
  <c r="AT140" i="12"/>
  <c r="AU140" i="12"/>
  <c r="AW140" i="12"/>
  <c r="BM140" i="12"/>
  <c r="BP140" i="12"/>
  <c r="BR77" i="12"/>
  <c r="BU77" i="12"/>
  <c r="BO77" i="12"/>
  <c r="BQ77" i="12"/>
  <c r="BN209" i="12"/>
  <c r="BP209" i="12"/>
  <c r="AT291" i="12"/>
  <c r="AU291" i="12"/>
  <c r="AW291" i="12"/>
  <c r="BM291" i="12"/>
  <c r="BN291" i="12"/>
  <c r="AT313" i="12"/>
  <c r="AU313" i="12"/>
  <c r="AW313" i="12"/>
  <c r="BM313" i="12"/>
  <c r="BN313" i="12"/>
  <c r="BO313" i="12"/>
  <c r="BQ313" i="12"/>
  <c r="AT148" i="12"/>
  <c r="AU148" i="12"/>
  <c r="AW148" i="12"/>
  <c r="BM148" i="12"/>
  <c r="BN148" i="12"/>
  <c r="AT289" i="12"/>
  <c r="AU289" i="12"/>
  <c r="AW289" i="12"/>
  <c r="BM289" i="12"/>
  <c r="BN289" i="12"/>
  <c r="AT292" i="12"/>
  <c r="AU292" i="12"/>
  <c r="AW292" i="12"/>
  <c r="BM292" i="12"/>
  <c r="BP292" i="12"/>
  <c r="AT299" i="12"/>
  <c r="AU299" i="12"/>
  <c r="AW299" i="12"/>
  <c r="BM299" i="12"/>
  <c r="AT179" i="12"/>
  <c r="AU179" i="12"/>
  <c r="AW179" i="12"/>
  <c r="BM179" i="12"/>
  <c r="BN179" i="12"/>
  <c r="AT16" i="12"/>
  <c r="AU16" i="12"/>
  <c r="AW16" i="12"/>
  <c r="BM16" i="12"/>
  <c r="BN16" i="12"/>
  <c r="AT137" i="12"/>
  <c r="AU137" i="12"/>
  <c r="AW137" i="12"/>
  <c r="BM137" i="12"/>
  <c r="AT314" i="12"/>
  <c r="AU314" i="12"/>
  <c r="AW314" i="12"/>
  <c r="BM314" i="12"/>
  <c r="AZ328" i="12"/>
  <c r="AY328" i="12"/>
  <c r="AT180" i="12"/>
  <c r="AU180" i="12"/>
  <c r="AW180" i="12"/>
  <c r="BM180" i="12"/>
  <c r="BP309" i="12"/>
  <c r="BN309" i="12"/>
  <c r="BN160" i="12"/>
  <c r="BR160" i="12"/>
  <c r="BU160" i="12"/>
  <c r="AT311" i="12"/>
  <c r="AU311" i="12"/>
  <c r="AW311" i="12"/>
  <c r="BM311" i="12"/>
  <c r="BN311" i="12"/>
  <c r="BF150" i="12"/>
  <c r="BG150" i="12"/>
  <c r="BE150" i="12"/>
  <c r="AT124" i="12"/>
  <c r="AU124" i="12"/>
  <c r="AW124" i="12"/>
  <c r="BM124" i="12"/>
  <c r="BN124" i="12"/>
  <c r="AT129" i="12"/>
  <c r="AU129" i="12"/>
  <c r="AW129" i="12"/>
  <c r="BM129" i="12"/>
  <c r="BP129" i="12"/>
  <c r="BN26" i="12"/>
  <c r="BP26" i="12"/>
  <c r="BP40" i="12"/>
  <c r="BN40" i="12"/>
  <c r="AE22" i="12"/>
  <c r="AT22" i="12"/>
  <c r="AU22" i="12"/>
  <c r="AW22" i="12"/>
  <c r="BM22" i="12"/>
  <c r="BF168" i="12"/>
  <c r="BG168" i="12"/>
  <c r="BE168" i="12"/>
  <c r="AY101" i="12"/>
  <c r="AZ101" i="12"/>
  <c r="AT17" i="12"/>
  <c r="AU17" i="12"/>
  <c r="AW17" i="12"/>
  <c r="BM17" i="12"/>
  <c r="AT13" i="12"/>
  <c r="AU13" i="12"/>
  <c r="AW13" i="12"/>
  <c r="BM13" i="12"/>
  <c r="AT144" i="12"/>
  <c r="AU144" i="12"/>
  <c r="AW144" i="12"/>
  <c r="BM144" i="12"/>
  <c r="AE310" i="12"/>
  <c r="AT310" i="12"/>
  <c r="AU310" i="12"/>
  <c r="AW310" i="12"/>
  <c r="BM310" i="12"/>
  <c r="E121" i="14"/>
  <c r="F121" i="14"/>
  <c r="E166" i="14"/>
  <c r="F166" i="14"/>
  <c r="AE25" i="12"/>
  <c r="AT25" i="12"/>
  <c r="AU25" i="12"/>
  <c r="AW25" i="12"/>
  <c r="BM25" i="12"/>
  <c r="BN44" i="12"/>
  <c r="BP44" i="12"/>
  <c r="AT142" i="12"/>
  <c r="AU142" i="12"/>
  <c r="AW142" i="12"/>
  <c r="BM142" i="12"/>
  <c r="BP142" i="12"/>
  <c r="AT183" i="12"/>
  <c r="AU183" i="12"/>
  <c r="AW183" i="12"/>
  <c r="BM183" i="12"/>
  <c r="BP56" i="12"/>
  <c r="AT117" i="12"/>
  <c r="AU117" i="12"/>
  <c r="AW117" i="12"/>
  <c r="BM117" i="12"/>
  <c r="AT301" i="12"/>
  <c r="AU301" i="12"/>
  <c r="AW301" i="12"/>
  <c r="BM301" i="12"/>
  <c r="BN301" i="12"/>
  <c r="BP73" i="12"/>
  <c r="BN73" i="12"/>
  <c r="BP47" i="12"/>
  <c r="BN47" i="12"/>
  <c r="AT197" i="12"/>
  <c r="AU197" i="12"/>
  <c r="AW197" i="12"/>
  <c r="BM197" i="12"/>
  <c r="AT312" i="12"/>
  <c r="AU312" i="12"/>
  <c r="AW312" i="12"/>
  <c r="BM312" i="12"/>
  <c r="AT182" i="12"/>
  <c r="AU182" i="12"/>
  <c r="AW182" i="12"/>
  <c r="BM182" i="12"/>
  <c r="BP182" i="12"/>
  <c r="AT158" i="12"/>
  <c r="AU158" i="12"/>
  <c r="AW158" i="12"/>
  <c r="BM158" i="12"/>
  <c r="BN158" i="12"/>
  <c r="AE307" i="12"/>
  <c r="AT307" i="12"/>
  <c r="AU307" i="12"/>
  <c r="AW307" i="12"/>
  <c r="BM307" i="12"/>
  <c r="BP307" i="12"/>
  <c r="AT157" i="12"/>
  <c r="AU157" i="12"/>
  <c r="AW157" i="12"/>
  <c r="BM157" i="12"/>
  <c r="BP157" i="12"/>
  <c r="AT188" i="12"/>
  <c r="AU188" i="12"/>
  <c r="AW188" i="12"/>
  <c r="BM188" i="12"/>
  <c r="E177" i="14"/>
  <c r="F177" i="14"/>
  <c r="BP177" i="12"/>
  <c r="BN177" i="12"/>
  <c r="AT302" i="12"/>
  <c r="AU302" i="12"/>
  <c r="AW302" i="12"/>
  <c r="BM302" i="12"/>
  <c r="BN302" i="12"/>
  <c r="AT304" i="12"/>
  <c r="AU304" i="12"/>
  <c r="AW304" i="12"/>
  <c r="BM304" i="12"/>
  <c r="AT19" i="12"/>
  <c r="AU19" i="12"/>
  <c r="AW19" i="12"/>
  <c r="BM19" i="12"/>
  <c r="AT15" i="12"/>
  <c r="AU15" i="12"/>
  <c r="AW15" i="12"/>
  <c r="BM15" i="12"/>
  <c r="BE82" i="12"/>
  <c r="BF82" i="12"/>
  <c r="BG82" i="12"/>
  <c r="BE99" i="12"/>
  <c r="BF99" i="12"/>
  <c r="BG99" i="12"/>
  <c r="BP316" i="12"/>
  <c r="AZ100" i="12"/>
  <c r="AY100" i="12"/>
  <c r="AV100" i="12"/>
  <c r="AE303" i="12"/>
  <c r="AT303" i="12"/>
  <c r="AU303" i="12"/>
  <c r="AW303" i="12"/>
  <c r="BM303" i="12"/>
  <c r="AT163" i="12"/>
  <c r="AU163" i="12"/>
  <c r="AW163" i="12"/>
  <c r="BM163" i="12"/>
  <c r="AE287" i="12"/>
  <c r="AT287" i="12"/>
  <c r="AU287" i="12"/>
  <c r="AW287" i="12"/>
  <c r="BM287" i="12"/>
  <c r="AE115" i="12"/>
  <c r="AT115" i="12"/>
  <c r="AU115" i="12"/>
  <c r="AW115" i="12"/>
  <c r="BM115" i="12"/>
  <c r="AT138" i="12"/>
  <c r="AU138" i="12"/>
  <c r="AW138" i="12"/>
  <c r="BM138" i="12"/>
  <c r="BC205" i="12"/>
  <c r="BD205" i="12"/>
  <c r="BA205" i="12"/>
  <c r="BB205" i="12"/>
  <c r="AX205" i="12"/>
  <c r="BC14" i="12"/>
  <c r="BD14" i="12"/>
  <c r="BA14" i="12"/>
  <c r="BB14" i="12"/>
  <c r="AX14" i="12"/>
  <c r="BS14" i="12"/>
  <c r="BT14" i="12"/>
  <c r="BS160" i="12"/>
  <c r="BT160" i="12"/>
  <c r="BN5" i="12"/>
  <c r="BP5" i="12"/>
  <c r="BN105" i="12"/>
  <c r="BP105" i="12"/>
  <c r="BP76" i="12"/>
  <c r="BN76" i="12"/>
  <c r="BP191" i="12"/>
  <c r="BN191" i="12"/>
  <c r="BN175" i="12"/>
  <c r="AE297" i="12"/>
  <c r="AT297" i="12"/>
  <c r="AU297" i="12"/>
  <c r="AW297" i="12"/>
  <c r="BM297" i="12"/>
  <c r="E170" i="14"/>
  <c r="F170" i="14"/>
  <c r="BC272" i="12"/>
  <c r="BD272" i="12"/>
  <c r="BA272" i="12"/>
  <c r="BB272" i="12"/>
  <c r="AX272" i="12"/>
  <c r="AV102" i="12"/>
  <c r="E99" i="14"/>
  <c r="F99" i="14"/>
  <c r="BO192" i="12"/>
  <c r="BQ192" i="12"/>
  <c r="K22" i="8"/>
  <c r="K44" i="8"/>
  <c r="O12" i="8"/>
  <c r="K19" i="8"/>
  <c r="K20" i="8"/>
  <c r="K45" i="8"/>
  <c r="O13" i="8"/>
  <c r="K21" i="8"/>
  <c r="P41" i="8"/>
  <c r="P42" i="8"/>
  <c r="O28" i="8"/>
  <c r="P28" i="8"/>
  <c r="O29" i="8"/>
  <c r="P29" i="8"/>
  <c r="BC65" i="12"/>
  <c r="BD65" i="12"/>
  <c r="BA65" i="12"/>
  <c r="BB65" i="12"/>
  <c r="AX65" i="12"/>
  <c r="BN186" i="12"/>
  <c r="BS8" i="12"/>
  <c r="E50" i="14"/>
  <c r="F50" i="14"/>
  <c r="BS27" i="12"/>
  <c r="BT27" i="12"/>
  <c r="BP195" i="12"/>
  <c r="BP75" i="12"/>
  <c r="BN176" i="12"/>
  <c r="BP30" i="12"/>
  <c r="BC30" i="12"/>
  <c r="BD30" i="12"/>
  <c r="BA30" i="12"/>
  <c r="BB30" i="12"/>
  <c r="AX30" i="12"/>
  <c r="BC97" i="12"/>
  <c r="BD97" i="12"/>
  <c r="BA97" i="12"/>
  <c r="BB97" i="12"/>
  <c r="AX97" i="12"/>
  <c r="AY97" i="12"/>
  <c r="BP305" i="12"/>
  <c r="BN27" i="12"/>
  <c r="BO27" i="12"/>
  <c r="BQ27" i="12"/>
  <c r="BC94" i="12"/>
  <c r="BD94" i="12"/>
  <c r="BA94" i="12"/>
  <c r="BB94" i="12"/>
  <c r="AX94" i="12"/>
  <c r="BN65" i="12"/>
  <c r="BO65" i="12"/>
  <c r="BQ65" i="12"/>
  <c r="AV323" i="12"/>
  <c r="BR284" i="12"/>
  <c r="BU284" i="12"/>
  <c r="BE284" i="12"/>
  <c r="BO87" i="12"/>
  <c r="BQ87" i="12"/>
  <c r="BP87" i="12"/>
  <c r="BS87" i="12"/>
  <c r="BT87" i="12"/>
  <c r="BN83" i="12"/>
  <c r="BO83" i="12"/>
  <c r="BQ83" i="12"/>
  <c r="BP155" i="12"/>
  <c r="BC155" i="12"/>
  <c r="BD155" i="12"/>
  <c r="BA155" i="12"/>
  <c r="BB155" i="12"/>
  <c r="AX155" i="12"/>
  <c r="BN315" i="12"/>
  <c r="BN270" i="12"/>
  <c r="BO82" i="12"/>
  <c r="BQ82" i="12"/>
  <c r="BR277" i="12"/>
  <c r="BU277" i="12"/>
  <c r="BR98" i="12"/>
  <c r="BU98" i="12"/>
  <c r="BN126" i="12"/>
  <c r="BS324" i="12"/>
  <c r="BT324" i="12"/>
  <c r="BC37" i="12"/>
  <c r="BD37" i="12"/>
  <c r="BA37" i="12"/>
  <c r="BB37" i="12"/>
  <c r="AX37" i="12"/>
  <c r="BN62" i="12"/>
  <c r="E30" i="14"/>
  <c r="F30" i="14"/>
  <c r="BN281" i="12"/>
  <c r="BN320" i="12"/>
  <c r="BS63" i="12"/>
  <c r="AV63" i="12"/>
  <c r="BP277" i="12"/>
  <c r="BS277" i="12"/>
  <c r="AV277" i="12"/>
  <c r="K43" i="8"/>
  <c r="O11" i="8"/>
  <c r="AV8" i="12"/>
  <c r="BT8" i="12"/>
  <c r="AV11" i="12"/>
  <c r="BT11" i="12"/>
  <c r="AV273" i="12"/>
  <c r="BT273" i="12"/>
  <c r="AV45" i="12"/>
  <c r="BT45" i="12"/>
  <c r="AV90" i="12"/>
  <c r="BT90" i="12"/>
  <c r="AV70" i="12"/>
  <c r="BT70" i="12"/>
  <c r="AV37" i="12"/>
  <c r="BT37" i="12"/>
  <c r="BF2" i="12"/>
  <c r="BE2" i="12"/>
  <c r="AV122" i="12"/>
  <c r="BT122" i="12"/>
  <c r="AV328" i="12"/>
  <c r="BT328" i="12"/>
  <c r="AV97" i="12"/>
  <c r="BT97" i="12"/>
  <c r="AV67" i="12"/>
  <c r="BT67" i="12"/>
  <c r="AV52" i="12"/>
  <c r="BT52" i="12"/>
  <c r="AV6" i="12"/>
  <c r="BT6" i="12"/>
  <c r="AV42" i="12"/>
  <c r="BT42" i="12"/>
  <c r="AV166" i="12"/>
  <c r="BT166" i="12"/>
  <c r="AV131" i="12"/>
  <c r="BT131" i="12"/>
  <c r="AV84" i="12"/>
  <c r="BT84" i="12"/>
  <c r="AV275" i="12"/>
  <c r="BT275" i="12"/>
  <c r="BS61" i="12"/>
  <c r="AV65" i="12"/>
  <c r="BT65" i="12"/>
  <c r="AV147" i="12"/>
  <c r="BT147" i="12"/>
  <c r="AV38" i="12"/>
  <c r="BT38" i="12"/>
  <c r="AV28" i="12"/>
  <c r="BT28" i="12"/>
  <c r="AV200" i="12"/>
  <c r="BT200" i="12"/>
  <c r="AV33" i="12"/>
  <c r="BT33" i="12"/>
  <c r="AV139" i="12"/>
  <c r="BT139" i="12"/>
  <c r="AV101" i="12"/>
  <c r="BT101" i="12"/>
  <c r="AV68" i="12"/>
  <c r="BT68" i="12"/>
  <c r="AV167" i="12"/>
  <c r="BT167" i="12"/>
  <c r="AV7" i="12"/>
  <c r="BT7" i="12"/>
  <c r="AV48" i="12"/>
  <c r="BT48" i="12"/>
  <c r="BN88" i="12"/>
  <c r="BP88" i="12"/>
  <c r="BC88" i="12"/>
  <c r="BD88" i="12"/>
  <c r="BA88" i="12"/>
  <c r="BB88" i="12"/>
  <c r="AX88" i="12"/>
  <c r="AY88" i="12"/>
  <c r="BN4" i="12"/>
  <c r="BO4" i="12"/>
  <c r="BQ4" i="12"/>
  <c r="BP4" i="12"/>
  <c r="BC4" i="12"/>
  <c r="BD4" i="12"/>
  <c r="BA4" i="12"/>
  <c r="BB4" i="12"/>
  <c r="AX4" i="12"/>
  <c r="BN53" i="12"/>
  <c r="BP53" i="12"/>
  <c r="BC53" i="12"/>
  <c r="BD53" i="12"/>
  <c r="BA53" i="12"/>
  <c r="BB53" i="12"/>
  <c r="AX53" i="12"/>
  <c r="BC200" i="12"/>
  <c r="BD200" i="12"/>
  <c r="BA200" i="12"/>
  <c r="BB200" i="12"/>
  <c r="AX200" i="12"/>
  <c r="AZ200" i="12"/>
  <c r="BE97" i="12"/>
  <c r="BS187" i="12"/>
  <c r="BT187" i="12"/>
  <c r="BP271" i="12"/>
  <c r="BS271" i="12"/>
  <c r="BS176" i="12"/>
  <c r="AZ176" i="12"/>
  <c r="BF328" i="12"/>
  <c r="BG328" i="12"/>
  <c r="BP135" i="12"/>
  <c r="BC135" i="12"/>
  <c r="BD135" i="12"/>
  <c r="BA135" i="12"/>
  <c r="BB135" i="12"/>
  <c r="AX135" i="12"/>
  <c r="BC122" i="12"/>
  <c r="BD122" i="12"/>
  <c r="BA122" i="12"/>
  <c r="BB122" i="12"/>
  <c r="AX122" i="12"/>
  <c r="BO78" i="12"/>
  <c r="BQ78" i="12"/>
  <c r="BO135" i="12"/>
  <c r="BQ135" i="12"/>
  <c r="BC28" i="12"/>
  <c r="BD28" i="12"/>
  <c r="BA28" i="12"/>
  <c r="BB28" i="12"/>
  <c r="AX28" i="12"/>
  <c r="BP55" i="12"/>
  <c r="BS319" i="12"/>
  <c r="BR208" i="12"/>
  <c r="BU208" i="12"/>
  <c r="BE208" i="12"/>
  <c r="BN171" i="12"/>
  <c r="E97" i="14"/>
  <c r="F97" i="14"/>
  <c r="BP39" i="12"/>
  <c r="BC39" i="12"/>
  <c r="BD39" i="12"/>
  <c r="BA39" i="12"/>
  <c r="BB39" i="12"/>
  <c r="AX39" i="12"/>
  <c r="BS85" i="12"/>
  <c r="BS50" i="12"/>
  <c r="BC48" i="12"/>
  <c r="BD48" i="12"/>
  <c r="BA48" i="12"/>
  <c r="BB48" i="12"/>
  <c r="AX48" i="12"/>
  <c r="AY48" i="12"/>
  <c r="BN118" i="12"/>
  <c r="BS35" i="12"/>
  <c r="BN71" i="12"/>
  <c r="BR71" i="12"/>
  <c r="BU71" i="12"/>
  <c r="BP78" i="12"/>
  <c r="BS78" i="12"/>
  <c r="BF100" i="12"/>
  <c r="BG100" i="12"/>
  <c r="BP24" i="12"/>
  <c r="BS24" i="12"/>
  <c r="BT24" i="12"/>
  <c r="BP66" i="12"/>
  <c r="BO152" i="12"/>
  <c r="BQ152" i="12"/>
  <c r="BS79" i="12"/>
  <c r="BR20" i="12"/>
  <c r="BU20" i="12"/>
  <c r="BN319" i="12"/>
  <c r="BO319" i="12"/>
  <c r="BQ319" i="12"/>
  <c r="BP178" i="12"/>
  <c r="BS178" i="12"/>
  <c r="BC33" i="12"/>
  <c r="BD33" i="12"/>
  <c r="BA33" i="12"/>
  <c r="BB33" i="12"/>
  <c r="AX33" i="12"/>
  <c r="AZ33" i="12"/>
  <c r="BP82" i="12"/>
  <c r="BC82" i="12"/>
  <c r="BD82" i="12"/>
  <c r="BA82" i="12"/>
  <c r="BB82" i="12"/>
  <c r="AX82" i="12"/>
  <c r="AY82" i="12"/>
  <c r="BP114" i="12"/>
  <c r="BS114" i="12"/>
  <c r="BT114" i="12"/>
  <c r="BC71" i="12"/>
  <c r="BD71" i="12"/>
  <c r="BA71" i="12"/>
  <c r="BB71" i="12"/>
  <c r="AX71" i="12"/>
  <c r="AZ71" i="12"/>
  <c r="BP152" i="12"/>
  <c r="BC152" i="12"/>
  <c r="BD152" i="12"/>
  <c r="BA152" i="12"/>
  <c r="BB152" i="12"/>
  <c r="AX152" i="12"/>
  <c r="BR114" i="12"/>
  <c r="BU114" i="12"/>
  <c r="AY317" i="12"/>
  <c r="BC11" i="12"/>
  <c r="BD11" i="12"/>
  <c r="BA11" i="12"/>
  <c r="BB11" i="12"/>
  <c r="AX11" i="12"/>
  <c r="BP43" i="12"/>
  <c r="BN146" i="12"/>
  <c r="BO146" i="12"/>
  <c r="BQ146" i="12"/>
  <c r="BN200" i="12"/>
  <c r="BO200" i="12"/>
  <c r="BQ200" i="12"/>
  <c r="BN187" i="12"/>
  <c r="E95" i="14"/>
  <c r="F95" i="14"/>
  <c r="BN33" i="12"/>
  <c r="BR33" i="12"/>
  <c r="BU33" i="12"/>
  <c r="BF33" i="12"/>
  <c r="BG33" i="12"/>
  <c r="BC273" i="12"/>
  <c r="BD273" i="12"/>
  <c r="BA273" i="12"/>
  <c r="BB273" i="12"/>
  <c r="AX273" i="12"/>
  <c r="AZ273" i="12"/>
  <c r="BO114" i="12"/>
  <c r="BQ114" i="12"/>
  <c r="BP198" i="12"/>
  <c r="BN204" i="12"/>
  <c r="BO133" i="12"/>
  <c r="BQ133" i="12"/>
  <c r="BS317" i="12"/>
  <c r="BN14" i="12"/>
  <c r="BO14" i="12"/>
  <c r="BQ14" i="12"/>
  <c r="BR190" i="12"/>
  <c r="BU190" i="12"/>
  <c r="BF190" i="12"/>
  <c r="BG190" i="12"/>
  <c r="BP98" i="12"/>
  <c r="BS98" i="12"/>
  <c r="BT98" i="12"/>
  <c r="BP190" i="12"/>
  <c r="BS190" i="12"/>
  <c r="BN9" i="12"/>
  <c r="BR9" i="12"/>
  <c r="BU9" i="12"/>
  <c r="BF9" i="12"/>
  <c r="BG9" i="12"/>
  <c r="BC146" i="12"/>
  <c r="BD146" i="12"/>
  <c r="BA146" i="12"/>
  <c r="BB146" i="12"/>
  <c r="AX146" i="12"/>
  <c r="E70" i="14"/>
  <c r="F70" i="14"/>
  <c r="BS278" i="12"/>
  <c r="BT278" i="12"/>
  <c r="BP51" i="12"/>
  <c r="BO59" i="12"/>
  <c r="BQ59" i="12"/>
  <c r="E66" i="14"/>
  <c r="F66" i="14"/>
  <c r="BN162" i="12"/>
  <c r="E73" i="14"/>
  <c r="F73" i="14"/>
  <c r="BP170" i="12"/>
  <c r="BS170" i="12"/>
  <c r="BN166" i="12"/>
  <c r="BO166" i="12"/>
  <c r="BQ166" i="12"/>
  <c r="BN35" i="12"/>
  <c r="BO35" i="12"/>
  <c r="BQ35" i="12"/>
  <c r="BP77" i="12"/>
  <c r="BC77" i="12"/>
  <c r="BD77" i="12"/>
  <c r="BA77" i="12"/>
  <c r="BB77" i="12"/>
  <c r="AX77" i="12"/>
  <c r="AY77" i="12"/>
  <c r="BN67" i="12"/>
  <c r="BR67" i="12"/>
  <c r="BU67" i="12"/>
  <c r="BE67" i="12"/>
  <c r="BP208" i="12"/>
  <c r="BC208" i="12"/>
  <c r="BD208" i="12"/>
  <c r="BA208" i="12"/>
  <c r="BB208" i="12"/>
  <c r="AX208" i="12"/>
  <c r="AZ208" i="12"/>
  <c r="BN151" i="12"/>
  <c r="BP300" i="12"/>
  <c r="BP18" i="12"/>
  <c r="BS18" i="12"/>
  <c r="BO132" i="12"/>
  <c r="BQ132" i="12"/>
  <c r="BC42" i="12"/>
  <c r="BD42" i="12"/>
  <c r="BA42" i="12"/>
  <c r="BB42" i="12"/>
  <c r="AX42" i="12"/>
  <c r="AY42" i="12"/>
  <c r="BC131" i="12"/>
  <c r="BD131" i="12"/>
  <c r="BA131" i="12"/>
  <c r="BB131" i="12"/>
  <c r="AX131" i="12"/>
  <c r="AY131" i="12"/>
  <c r="BP159" i="12"/>
  <c r="BS159" i="12"/>
  <c r="BT159" i="12"/>
  <c r="BP59" i="12"/>
  <c r="BC59" i="12"/>
  <c r="BD59" i="12"/>
  <c r="BA59" i="12"/>
  <c r="BB59" i="12"/>
  <c r="AX59" i="12"/>
  <c r="AY59" i="12"/>
  <c r="BP284" i="12"/>
  <c r="BC284" i="12"/>
  <c r="BD284" i="12"/>
  <c r="BA284" i="12"/>
  <c r="BB284" i="12"/>
  <c r="AX284" i="12"/>
  <c r="AY284" i="12"/>
  <c r="BC162" i="12"/>
  <c r="BD162" i="12"/>
  <c r="BA162" i="12"/>
  <c r="BB162" i="12"/>
  <c r="AX162" i="12"/>
  <c r="BO159" i="12"/>
  <c r="BQ159" i="12"/>
  <c r="BO155" i="12"/>
  <c r="BQ155" i="12"/>
  <c r="BR30" i="12"/>
  <c r="BU30" i="12"/>
  <c r="BF30" i="12"/>
  <c r="BG30" i="12"/>
  <c r="E115" i="14"/>
  <c r="F115" i="14"/>
  <c r="BC275" i="12"/>
  <c r="BD275" i="12"/>
  <c r="BA275" i="12"/>
  <c r="BB275" i="12"/>
  <c r="AX275" i="12"/>
  <c r="BR80" i="12"/>
  <c r="BU80" i="12"/>
  <c r="BE80" i="12"/>
  <c r="BN63" i="12"/>
  <c r="E31" i="14"/>
  <c r="F31" i="14"/>
  <c r="BP80" i="12"/>
  <c r="BS80" i="12"/>
  <c r="BN275" i="12"/>
  <c r="BO275" i="12"/>
  <c r="BQ275" i="12"/>
  <c r="BN205" i="12"/>
  <c r="E112" i="14"/>
  <c r="F112" i="14"/>
  <c r="BN193" i="12"/>
  <c r="BR193" i="12"/>
  <c r="BU193" i="12"/>
  <c r="AZ168" i="12"/>
  <c r="BO103" i="12"/>
  <c r="BQ103" i="12"/>
  <c r="BR89" i="12"/>
  <c r="BU89" i="12"/>
  <c r="BF89" i="12"/>
  <c r="BG89" i="12"/>
  <c r="BP89" i="12"/>
  <c r="BC89" i="12"/>
  <c r="BD89" i="12"/>
  <c r="BA89" i="12"/>
  <c r="BB89" i="12"/>
  <c r="AX89" i="12"/>
  <c r="BC149" i="12"/>
  <c r="BD149" i="12"/>
  <c r="BA149" i="12"/>
  <c r="BB149" i="12"/>
  <c r="AX149" i="12"/>
  <c r="BN308" i="12"/>
  <c r="BR308" i="12"/>
  <c r="BU308" i="12"/>
  <c r="BF308" i="12"/>
  <c r="BG308" i="12"/>
  <c r="BP156" i="12"/>
  <c r="BC156" i="12"/>
  <c r="BD156" i="12"/>
  <c r="BA156" i="12"/>
  <c r="BB156" i="12"/>
  <c r="AX156" i="12"/>
  <c r="BC2" i="12"/>
  <c r="BD2" i="12"/>
  <c r="BA2" i="12"/>
  <c r="BB2" i="12"/>
  <c r="AX2" i="12"/>
  <c r="AY2" i="12"/>
  <c r="BN161" i="12"/>
  <c r="BN64" i="12"/>
  <c r="E37" i="14"/>
  <c r="F37" i="14"/>
  <c r="BR32" i="12"/>
  <c r="BU32" i="12"/>
  <c r="BE32" i="12"/>
  <c r="BH32" i="12"/>
  <c r="BR136" i="12"/>
  <c r="BU136" i="12"/>
  <c r="BF136" i="12"/>
  <c r="BG136" i="12"/>
  <c r="BP96" i="12"/>
  <c r="BS96" i="12"/>
  <c r="BN46" i="12"/>
  <c r="BO46" i="12"/>
  <c r="BQ46" i="12"/>
  <c r="BR41" i="12"/>
  <c r="BU41" i="12"/>
  <c r="BE41" i="12"/>
  <c r="BP119" i="12"/>
  <c r="BS308" i="12"/>
  <c r="BR96" i="12"/>
  <c r="BU96" i="12"/>
  <c r="BF96" i="12"/>
  <c r="BG96" i="12"/>
  <c r="BS72" i="12"/>
  <c r="BP282" i="12"/>
  <c r="BS282" i="12"/>
  <c r="BO3" i="12"/>
  <c r="BQ3" i="12"/>
  <c r="AZ9" i="12"/>
  <c r="BS92" i="12"/>
  <c r="BO36" i="12"/>
  <c r="BQ36" i="12"/>
  <c r="BO282" i="12"/>
  <c r="BQ282" i="12"/>
  <c r="BN74" i="12"/>
  <c r="BR74" i="12"/>
  <c r="BU74" i="12"/>
  <c r="BC166" i="12"/>
  <c r="BD166" i="12"/>
  <c r="BA166" i="12"/>
  <c r="BB166" i="12"/>
  <c r="AX166" i="12"/>
  <c r="AZ166" i="12"/>
  <c r="BS46" i="12"/>
  <c r="BN72" i="12"/>
  <c r="BR72" i="12"/>
  <c r="BU72" i="12"/>
  <c r="BE72" i="12"/>
  <c r="BS120" i="12"/>
  <c r="BN120" i="12"/>
  <c r="BR120" i="12"/>
  <c r="BU120" i="12"/>
  <c r="BE120" i="12"/>
  <c r="BH120" i="12"/>
  <c r="BN203" i="12"/>
  <c r="BP181" i="12"/>
  <c r="BC57" i="12"/>
  <c r="BD57" i="12"/>
  <c r="BA57" i="12"/>
  <c r="BB57" i="12"/>
  <c r="AX57" i="12"/>
  <c r="AY57" i="12"/>
  <c r="BR69" i="12"/>
  <c r="BU69" i="12"/>
  <c r="BF69" i="12"/>
  <c r="BG69" i="12"/>
  <c r="BO283" i="12"/>
  <c r="BQ283" i="12"/>
  <c r="E126" i="14"/>
  <c r="F126" i="14"/>
  <c r="BP132" i="12"/>
  <c r="BS132" i="12"/>
  <c r="BS113" i="12"/>
  <c r="BC67" i="12"/>
  <c r="BD67" i="12"/>
  <c r="BA67" i="12"/>
  <c r="BB67" i="12"/>
  <c r="AX67" i="12"/>
  <c r="AZ67" i="12"/>
  <c r="BN93" i="12"/>
  <c r="BO93" i="12"/>
  <c r="BQ93" i="12"/>
  <c r="BF189" i="12"/>
  <c r="BG189" i="12"/>
  <c r="BR280" i="12"/>
  <c r="BU280" i="12"/>
  <c r="BF280" i="12"/>
  <c r="BG280" i="12"/>
  <c r="BN29" i="12"/>
  <c r="BO29" i="12"/>
  <c r="BQ29" i="12"/>
  <c r="BO123" i="12"/>
  <c r="BQ123" i="12"/>
  <c r="BC45" i="12"/>
  <c r="BD45" i="12"/>
  <c r="BA45" i="12"/>
  <c r="BB45" i="12"/>
  <c r="AX45" i="12"/>
  <c r="AZ45" i="12"/>
  <c r="BP32" i="12"/>
  <c r="BC32" i="12"/>
  <c r="BD32" i="12"/>
  <c r="BA32" i="12"/>
  <c r="BB32" i="12"/>
  <c r="AX32" i="12"/>
  <c r="AY32" i="12"/>
  <c r="BN58" i="12"/>
  <c r="BP136" i="12"/>
  <c r="BS136" i="12"/>
  <c r="BN324" i="12"/>
  <c r="E160" i="14"/>
  <c r="F160" i="14"/>
  <c r="K174" i="14"/>
  <c r="BN296" i="12"/>
  <c r="BO296" i="12"/>
  <c r="BQ296" i="12"/>
  <c r="BN57" i="12"/>
  <c r="BR57" i="12"/>
  <c r="BU57" i="12"/>
  <c r="BE57" i="12"/>
  <c r="BP325" i="12"/>
  <c r="BS325" i="12"/>
  <c r="E52" i="14"/>
  <c r="F52" i="14"/>
  <c r="BN94" i="12"/>
  <c r="BR94" i="12"/>
  <c r="BU94" i="12"/>
  <c r="BP69" i="12"/>
  <c r="BC69" i="12"/>
  <c r="BD69" i="12"/>
  <c r="BA69" i="12"/>
  <c r="BB69" i="12"/>
  <c r="AX69" i="12"/>
  <c r="AY69" i="12"/>
  <c r="BN92" i="12"/>
  <c r="BR92" i="12"/>
  <c r="BU92" i="12"/>
  <c r="BE92" i="12"/>
  <c r="BN85" i="12"/>
  <c r="BR85" i="12"/>
  <c r="BU85" i="12"/>
  <c r="BN42" i="12"/>
  <c r="E23" i="14"/>
  <c r="F23" i="14"/>
  <c r="BP3" i="12"/>
  <c r="BC3" i="12"/>
  <c r="BD3" i="12"/>
  <c r="BA3" i="12"/>
  <c r="BB3" i="12"/>
  <c r="AX3" i="12"/>
  <c r="BN79" i="12"/>
  <c r="BO79" i="12"/>
  <c r="BQ79" i="12"/>
  <c r="BN68" i="12"/>
  <c r="BN38" i="12"/>
  <c r="BO38" i="12"/>
  <c r="BQ38" i="12"/>
  <c r="AZ327" i="12"/>
  <c r="BP36" i="12"/>
  <c r="BS36" i="12"/>
  <c r="BR143" i="12"/>
  <c r="BU143" i="12"/>
  <c r="BE143" i="12"/>
  <c r="BO280" i="12"/>
  <c r="BQ280" i="12"/>
  <c r="BP103" i="12"/>
  <c r="BC103" i="12"/>
  <c r="BD103" i="12"/>
  <c r="BA103" i="12"/>
  <c r="BB103" i="12"/>
  <c r="AX103" i="12"/>
  <c r="AZ103" i="12"/>
  <c r="BP133" i="12"/>
  <c r="BC133" i="12"/>
  <c r="BD133" i="12"/>
  <c r="BA133" i="12"/>
  <c r="BB133" i="12"/>
  <c r="AX133" i="12"/>
  <c r="AZ133" i="12"/>
  <c r="BN7" i="12"/>
  <c r="BO7" i="12"/>
  <c r="BQ7" i="12"/>
  <c r="BO293" i="12"/>
  <c r="BQ293" i="12"/>
  <c r="BP127" i="12"/>
  <c r="BC127" i="12"/>
  <c r="BD127" i="12"/>
  <c r="BA127" i="12"/>
  <c r="BB127" i="12"/>
  <c r="AX127" i="12"/>
  <c r="BN11" i="12"/>
  <c r="BR11" i="12"/>
  <c r="BU11" i="12"/>
  <c r="BE11" i="12"/>
  <c r="BP201" i="12"/>
  <c r="AZ120" i="12"/>
  <c r="BN81" i="12"/>
  <c r="BR81" i="12"/>
  <c r="BU81" i="12"/>
  <c r="BE81" i="12"/>
  <c r="BC167" i="12"/>
  <c r="BD167" i="12"/>
  <c r="BA167" i="12"/>
  <c r="BB167" i="12"/>
  <c r="AX167" i="12"/>
  <c r="AY167" i="12"/>
  <c r="BR199" i="12"/>
  <c r="BU199" i="12"/>
  <c r="BC68" i="12"/>
  <c r="BD68" i="12"/>
  <c r="BA68" i="12"/>
  <c r="BB68" i="12"/>
  <c r="AX68" i="12"/>
  <c r="AZ68" i="12"/>
  <c r="BS285" i="12"/>
  <c r="BC7" i="12"/>
  <c r="BD7" i="12"/>
  <c r="BA7" i="12"/>
  <c r="BB7" i="12"/>
  <c r="AX7" i="12"/>
  <c r="AZ7" i="12"/>
  <c r="BP199" i="12"/>
  <c r="BC199" i="12"/>
  <c r="BD199" i="12"/>
  <c r="BA199" i="12"/>
  <c r="BB199" i="12"/>
  <c r="AX199" i="12"/>
  <c r="AZ199" i="12"/>
  <c r="BN49" i="12"/>
  <c r="BR49" i="12"/>
  <c r="BU49" i="12"/>
  <c r="BN28" i="12"/>
  <c r="BO199" i="12"/>
  <c r="BQ199" i="12"/>
  <c r="BR293" i="12"/>
  <c r="BU293" i="12"/>
  <c r="BF293" i="12"/>
  <c r="BG293" i="12"/>
  <c r="BC38" i="12"/>
  <c r="BD38" i="12"/>
  <c r="BA38" i="12"/>
  <c r="BB38" i="12"/>
  <c r="AX38" i="12"/>
  <c r="AZ38" i="12"/>
  <c r="AZ81" i="12"/>
  <c r="AY67" i="12"/>
  <c r="BO202" i="12"/>
  <c r="BQ202" i="12"/>
  <c r="BP12" i="12"/>
  <c r="BS12" i="12"/>
  <c r="BN45" i="12"/>
  <c r="BR45" i="12"/>
  <c r="BU45" i="12"/>
  <c r="BF45" i="12"/>
  <c r="BG45" i="12"/>
  <c r="BP293" i="12"/>
  <c r="BS293" i="12"/>
  <c r="E109" i="14"/>
  <c r="F109" i="14"/>
  <c r="BR178" i="12"/>
  <c r="BU178" i="12"/>
  <c r="BF178" i="12"/>
  <c r="BG178" i="12"/>
  <c r="BO328" i="12"/>
  <c r="BQ328" i="12"/>
  <c r="BN285" i="12"/>
  <c r="BR285" i="12"/>
  <c r="BU285" i="12"/>
  <c r="BE285" i="12"/>
  <c r="BS81" i="12"/>
  <c r="E61" i="14"/>
  <c r="F61" i="14"/>
  <c r="BR145" i="12"/>
  <c r="BU145" i="12"/>
  <c r="BE145" i="12"/>
  <c r="BN2" i="12"/>
  <c r="BR2" i="12"/>
  <c r="BU2" i="12"/>
  <c r="BA104" i="12"/>
  <c r="BB104" i="12"/>
  <c r="AX104" i="12"/>
  <c r="AZ104" i="12"/>
  <c r="BN6" i="12"/>
  <c r="BE104" i="12"/>
  <c r="BI104" i="12"/>
  <c r="BC60" i="12"/>
  <c r="BD60" i="12"/>
  <c r="BA60" i="12"/>
  <c r="BB60" i="12"/>
  <c r="AX60" i="12"/>
  <c r="AY60" i="12"/>
  <c r="BN194" i="12"/>
  <c r="E101" i="14"/>
  <c r="F101" i="14"/>
  <c r="BP279" i="12"/>
  <c r="BS279" i="12"/>
  <c r="AY113" i="12"/>
  <c r="BO153" i="12"/>
  <c r="BQ153" i="12"/>
  <c r="BO172" i="12"/>
  <c r="BQ172" i="12"/>
  <c r="BC6" i="12"/>
  <c r="BD6" i="12"/>
  <c r="BA6" i="12"/>
  <c r="BB6" i="12"/>
  <c r="AX6" i="12"/>
  <c r="AZ6" i="12"/>
  <c r="AY329" i="12"/>
  <c r="BN207" i="12"/>
  <c r="BO207" i="12"/>
  <c r="BQ207" i="12"/>
  <c r="BN113" i="12"/>
  <c r="E58" i="14"/>
  <c r="F58" i="14"/>
  <c r="BN164" i="12"/>
  <c r="BO164" i="12"/>
  <c r="BQ164" i="12"/>
  <c r="BR172" i="12"/>
  <c r="BU172" i="12"/>
  <c r="BF172" i="12"/>
  <c r="BG172" i="12"/>
  <c r="BR116" i="12"/>
  <c r="BU116" i="12"/>
  <c r="BE116" i="12"/>
  <c r="AY326" i="12"/>
  <c r="BC147" i="12"/>
  <c r="BD147" i="12"/>
  <c r="BA147" i="12"/>
  <c r="BB147" i="12"/>
  <c r="AX147" i="12"/>
  <c r="AY147" i="12"/>
  <c r="BP123" i="12"/>
  <c r="BC123" i="12"/>
  <c r="BD123" i="12"/>
  <c r="BA123" i="12"/>
  <c r="BB123" i="12"/>
  <c r="AX123" i="12"/>
  <c r="AY123" i="12"/>
  <c r="BN60" i="12"/>
  <c r="BR60" i="12"/>
  <c r="BU60" i="12"/>
  <c r="BS9" i="12"/>
  <c r="BP41" i="12"/>
  <c r="BN84" i="12"/>
  <c r="BR84" i="12"/>
  <c r="BU84" i="12"/>
  <c r="BF84" i="12"/>
  <c r="BG84" i="12"/>
  <c r="BC84" i="12"/>
  <c r="BD84" i="12"/>
  <c r="BA84" i="12"/>
  <c r="BB84" i="12"/>
  <c r="AX84" i="12"/>
  <c r="BP143" i="12"/>
  <c r="BS143" i="12"/>
  <c r="G26" i="8"/>
  <c r="D26" i="8"/>
  <c r="BC52" i="12"/>
  <c r="BD52" i="12"/>
  <c r="BA52" i="12"/>
  <c r="BB52" i="12"/>
  <c r="AX52" i="12"/>
  <c r="AZ52" i="12"/>
  <c r="BN52" i="12"/>
  <c r="BR52" i="12"/>
  <c r="BU52" i="12"/>
  <c r="BS104" i="12"/>
  <c r="BC139" i="12"/>
  <c r="BD139" i="12"/>
  <c r="BA139" i="12"/>
  <c r="BB139" i="12"/>
  <c r="AX139" i="12"/>
  <c r="AY139" i="12"/>
  <c r="BF101" i="12"/>
  <c r="BG101" i="12"/>
  <c r="BP20" i="12"/>
  <c r="BP116" i="12"/>
  <c r="BC116" i="12"/>
  <c r="BD116" i="12"/>
  <c r="BA116" i="12"/>
  <c r="BB116" i="12"/>
  <c r="AX116" i="12"/>
  <c r="AY116" i="12"/>
  <c r="BN147" i="12"/>
  <c r="BR147" i="12"/>
  <c r="BU147" i="12"/>
  <c r="BF147" i="12"/>
  <c r="BG147" i="12"/>
  <c r="BP145" i="12"/>
  <c r="BC145" i="12"/>
  <c r="BD145" i="12"/>
  <c r="BA145" i="12"/>
  <c r="BB145" i="12"/>
  <c r="AX145" i="12"/>
  <c r="AY145" i="12"/>
  <c r="BR10" i="12"/>
  <c r="BU10" i="12"/>
  <c r="BE10" i="12"/>
  <c r="BH10" i="12"/>
  <c r="BP290" i="12"/>
  <c r="BS290" i="12"/>
  <c r="BT290" i="12"/>
  <c r="BN149" i="12"/>
  <c r="BO149" i="12"/>
  <c r="BQ149" i="12"/>
  <c r="BN122" i="12"/>
  <c r="BR122" i="12"/>
  <c r="BU122" i="12"/>
  <c r="BF122" i="12"/>
  <c r="BG122" i="12"/>
  <c r="BO125" i="12"/>
  <c r="BQ125" i="12"/>
  <c r="BP10" i="12"/>
  <c r="BS10" i="12"/>
  <c r="BP283" i="12"/>
  <c r="BS283" i="12"/>
  <c r="BR276" i="12"/>
  <c r="BU276" i="12"/>
  <c r="BE276" i="12"/>
  <c r="BI276" i="12"/>
  <c r="BS208" i="12"/>
  <c r="E163" i="14"/>
  <c r="F163" i="14"/>
  <c r="BS326" i="12"/>
  <c r="BN326" i="12"/>
  <c r="BO326" i="12"/>
  <c r="BQ326" i="12"/>
  <c r="BN139" i="12"/>
  <c r="BR139" i="12"/>
  <c r="BU139" i="12"/>
  <c r="BF139" i="12"/>
  <c r="BG139" i="12"/>
  <c r="BP202" i="12"/>
  <c r="BS202" i="12"/>
  <c r="BP172" i="12"/>
  <c r="BC172" i="12"/>
  <c r="BD172" i="12"/>
  <c r="BA172" i="12"/>
  <c r="BB172" i="12"/>
  <c r="AX172" i="12"/>
  <c r="AZ172" i="12"/>
  <c r="BN95" i="12"/>
  <c r="BR95" i="12"/>
  <c r="BU95" i="12"/>
  <c r="BP153" i="12"/>
  <c r="BC153" i="12"/>
  <c r="BD153" i="12"/>
  <c r="BA153" i="12"/>
  <c r="BB153" i="12"/>
  <c r="AX153" i="12"/>
  <c r="AZ153" i="12"/>
  <c r="BO276" i="12"/>
  <c r="BQ276" i="12"/>
  <c r="E65" i="14"/>
  <c r="F65" i="14"/>
  <c r="BP125" i="12"/>
  <c r="BS125" i="12"/>
  <c r="BP276" i="12"/>
  <c r="BC276" i="12"/>
  <c r="BD276" i="12"/>
  <c r="BA276" i="12"/>
  <c r="BB276" i="12"/>
  <c r="AX276" i="12"/>
  <c r="BP189" i="12"/>
  <c r="BC189" i="12"/>
  <c r="BD189" i="12"/>
  <c r="BA189" i="12"/>
  <c r="BB189" i="12"/>
  <c r="AX189" i="12"/>
  <c r="BC323" i="12"/>
  <c r="BD323" i="12"/>
  <c r="BA323" i="12"/>
  <c r="BB323" i="12"/>
  <c r="AX323" i="12"/>
  <c r="AZ323" i="12"/>
  <c r="BN184" i="12"/>
  <c r="BP280" i="12"/>
  <c r="BS280" i="12"/>
  <c r="BS184" i="12"/>
  <c r="BC184" i="12"/>
  <c r="BD184" i="12"/>
  <c r="BA184" i="12"/>
  <c r="BB184" i="12"/>
  <c r="AX184" i="12"/>
  <c r="AZ184" i="12"/>
  <c r="E164" i="14"/>
  <c r="F164" i="14"/>
  <c r="BP54" i="12"/>
  <c r="BS54" i="12"/>
  <c r="BN50" i="12"/>
  <c r="BS169" i="12"/>
  <c r="BN169" i="12"/>
  <c r="BR169" i="12"/>
  <c r="BU169" i="12"/>
  <c r="BN134" i="12"/>
  <c r="BO134" i="12"/>
  <c r="BQ134" i="12"/>
  <c r="AZ90" i="12"/>
  <c r="BS134" i="12"/>
  <c r="BP274" i="12"/>
  <c r="BC274" i="12"/>
  <c r="BD274" i="12"/>
  <c r="BA274" i="12"/>
  <c r="BB274" i="12"/>
  <c r="AX274" i="12"/>
  <c r="BN323" i="12"/>
  <c r="E159" i="14"/>
  <c r="F159" i="14"/>
  <c r="K173" i="14"/>
  <c r="BR27" i="12"/>
  <c r="BU27" i="12"/>
  <c r="BE27" i="12"/>
  <c r="AZ134" i="12"/>
  <c r="BS95" i="12"/>
  <c r="BT95" i="12"/>
  <c r="BC95" i="12"/>
  <c r="BD95" i="12"/>
  <c r="BA95" i="12"/>
  <c r="BB95" i="12"/>
  <c r="AX95" i="12"/>
  <c r="BN306" i="12"/>
  <c r="BP306" i="12"/>
  <c r="BO54" i="12"/>
  <c r="BQ54" i="12"/>
  <c r="BR54" i="12"/>
  <c r="BU54" i="12"/>
  <c r="AZ284" i="12"/>
  <c r="BO101" i="12"/>
  <c r="BQ101" i="12"/>
  <c r="BO189" i="12"/>
  <c r="BQ189" i="12"/>
  <c r="BS168" i="12"/>
  <c r="BC154" i="12"/>
  <c r="BD154" i="12"/>
  <c r="BA154" i="12"/>
  <c r="BB154" i="12"/>
  <c r="AX154" i="12"/>
  <c r="BN327" i="12"/>
  <c r="BR327" i="12"/>
  <c r="BU327" i="12"/>
  <c r="BE327" i="12"/>
  <c r="BI327" i="12"/>
  <c r="BS327" i="12"/>
  <c r="BN318" i="12"/>
  <c r="BP318" i="12"/>
  <c r="BR205" i="12"/>
  <c r="BU205" i="12"/>
  <c r="BF205" i="12"/>
  <c r="BG205" i="12"/>
  <c r="BO131" i="12"/>
  <c r="BQ131" i="12"/>
  <c r="BN154" i="12"/>
  <c r="BF284" i="12"/>
  <c r="BG284" i="12"/>
  <c r="BN91" i="12"/>
  <c r="BO91" i="12"/>
  <c r="BQ91" i="12"/>
  <c r="BP206" i="12"/>
  <c r="BN206" i="12"/>
  <c r="BR329" i="12"/>
  <c r="BU329" i="12"/>
  <c r="BF329" i="12"/>
  <c r="BG329" i="12"/>
  <c r="E77" i="14"/>
  <c r="F77" i="14"/>
  <c r="BS106" i="12"/>
  <c r="BS135" i="12"/>
  <c r="BO71" i="12"/>
  <c r="BQ71" i="12"/>
  <c r="T23" i="8"/>
  <c r="BR109" i="12"/>
  <c r="BU109" i="12"/>
  <c r="BF109" i="12"/>
  <c r="BG109" i="12"/>
  <c r="BR8" i="12"/>
  <c r="BU8" i="12"/>
  <c r="BF8" i="12"/>
  <c r="BG8" i="12"/>
  <c r="BE102" i="12"/>
  <c r="BH102" i="12"/>
  <c r="BO109" i="12"/>
  <c r="BQ109" i="12"/>
  <c r="BO37" i="12"/>
  <c r="BQ37" i="12"/>
  <c r="BP109" i="12"/>
  <c r="BS109" i="12"/>
  <c r="BO165" i="12"/>
  <c r="BQ165" i="12"/>
  <c r="BP165" i="12"/>
  <c r="BS165" i="12"/>
  <c r="BS77" i="12"/>
  <c r="BP86" i="12"/>
  <c r="BN86" i="12"/>
  <c r="BO130" i="12"/>
  <c r="BQ130" i="12"/>
  <c r="BR272" i="12"/>
  <c r="BU272" i="12"/>
  <c r="BE272" i="12"/>
  <c r="BR65" i="12"/>
  <c r="BU65" i="12"/>
  <c r="BF65" i="12"/>
  <c r="BG65" i="12"/>
  <c r="E33" i="14"/>
  <c r="F33" i="14"/>
  <c r="BC277" i="12"/>
  <c r="BD277" i="12"/>
  <c r="BA277" i="12"/>
  <c r="BB277" i="12"/>
  <c r="AX277" i="12"/>
  <c r="AY277" i="12"/>
  <c r="BN106" i="12"/>
  <c r="BR106" i="12"/>
  <c r="BU106" i="12"/>
  <c r="BF106" i="12"/>
  <c r="BG106" i="12"/>
  <c r="AZ150" i="12"/>
  <c r="BO278" i="12"/>
  <c r="BQ278" i="12"/>
  <c r="BP288" i="12"/>
  <c r="BC288" i="12"/>
  <c r="BD288" i="12"/>
  <c r="BA288" i="12"/>
  <c r="BB288" i="12"/>
  <c r="AX288" i="12"/>
  <c r="E145" i="14"/>
  <c r="F145" i="14"/>
  <c r="E122" i="14"/>
  <c r="F122" i="14"/>
  <c r="E172" i="14"/>
  <c r="F172" i="14"/>
  <c r="AZ97" i="12"/>
  <c r="BC192" i="12"/>
  <c r="BD192" i="12"/>
  <c r="BA192" i="12"/>
  <c r="BB192" i="12"/>
  <c r="AX192" i="12"/>
  <c r="AZ192" i="12"/>
  <c r="AY200" i="12"/>
  <c r="BO61" i="12"/>
  <c r="BQ61" i="12"/>
  <c r="AZ70" i="12"/>
  <c r="BO102" i="12"/>
  <c r="BQ102" i="12"/>
  <c r="AZ48" i="12"/>
  <c r="BP174" i="12"/>
  <c r="BC174" i="12"/>
  <c r="BD174" i="12"/>
  <c r="BA174" i="12"/>
  <c r="BB174" i="12"/>
  <c r="AX174" i="12"/>
  <c r="BO72" i="12"/>
  <c r="BQ72" i="12"/>
  <c r="BC178" i="12"/>
  <c r="BD178" i="12"/>
  <c r="BA178" i="12"/>
  <c r="BB178" i="12"/>
  <c r="AX178" i="12"/>
  <c r="BR90" i="12"/>
  <c r="BU90" i="12"/>
  <c r="BE90" i="12"/>
  <c r="BI90" i="12"/>
  <c r="BS150" i="12"/>
  <c r="BN321" i="12"/>
  <c r="BO321" i="12"/>
  <c r="BQ321" i="12"/>
  <c r="BN31" i="12"/>
  <c r="BO31" i="12"/>
  <c r="BQ31" i="12"/>
  <c r="BP130" i="12"/>
  <c r="BS53" i="12"/>
  <c r="BF87" i="12"/>
  <c r="BG87" i="12"/>
  <c r="BR63" i="12"/>
  <c r="BU63" i="12"/>
  <c r="BO273" i="12"/>
  <c r="BQ273" i="12"/>
  <c r="BR273" i="12"/>
  <c r="BU273" i="12"/>
  <c r="BP313" i="12"/>
  <c r="BP34" i="12"/>
  <c r="BS34" i="12"/>
  <c r="E165" i="14"/>
  <c r="F165" i="14"/>
  <c r="BP291" i="12"/>
  <c r="BC291" i="12"/>
  <c r="BD291" i="12"/>
  <c r="BA291" i="12"/>
  <c r="BB291" i="12"/>
  <c r="AX291" i="12"/>
  <c r="E78" i="14"/>
  <c r="F78" i="14"/>
  <c r="E107" i="14"/>
  <c r="F107" i="14"/>
  <c r="BS88" i="12"/>
  <c r="BP298" i="12"/>
  <c r="BC298" i="12"/>
  <c r="BD298" i="12"/>
  <c r="BA298" i="12"/>
  <c r="BB298" i="12"/>
  <c r="AX298" i="12"/>
  <c r="BS155" i="12"/>
  <c r="BF125" i="12"/>
  <c r="BG125" i="12"/>
  <c r="BE125" i="12"/>
  <c r="E56" i="14"/>
  <c r="F56" i="14"/>
  <c r="BR111" i="12"/>
  <c r="BU111" i="12"/>
  <c r="BF111" i="12"/>
  <c r="BG111" i="12"/>
  <c r="BO111" i="12"/>
  <c r="BQ111" i="12"/>
  <c r="E155" i="14"/>
  <c r="F155" i="14"/>
  <c r="K169" i="14"/>
  <c r="BP322" i="12"/>
  <c r="BC322" i="12"/>
  <c r="BD322" i="12"/>
  <c r="BA322" i="12"/>
  <c r="BB322" i="12"/>
  <c r="AX322" i="12"/>
  <c r="BP112" i="12"/>
  <c r="BC112" i="12"/>
  <c r="BD112" i="12"/>
  <c r="BA112" i="12"/>
  <c r="BB112" i="12"/>
  <c r="AX112" i="12"/>
  <c r="BP111" i="12"/>
  <c r="BR319" i="12"/>
  <c r="BU319" i="12"/>
  <c r="BF319" i="12"/>
  <c r="BG319" i="12"/>
  <c r="BN173" i="12"/>
  <c r="BP173" i="12"/>
  <c r="BN21" i="12"/>
  <c r="BO21" i="12"/>
  <c r="BQ21" i="12"/>
  <c r="AZ46" i="12"/>
  <c r="BP185" i="12"/>
  <c r="BS185" i="12"/>
  <c r="BR313" i="12"/>
  <c r="BU313" i="12"/>
  <c r="BE313" i="12"/>
  <c r="BN157" i="12"/>
  <c r="BO157" i="12"/>
  <c r="BQ157" i="12"/>
  <c r="E175" i="14"/>
  <c r="F175" i="14"/>
  <c r="BS89" i="12"/>
  <c r="E149" i="14"/>
  <c r="F149" i="14"/>
  <c r="G163" i="14"/>
  <c r="BN129" i="12"/>
  <c r="BR129" i="12"/>
  <c r="BU129" i="12"/>
  <c r="BN108" i="12"/>
  <c r="BR108" i="12"/>
  <c r="BU108" i="12"/>
  <c r="BF108" i="12"/>
  <c r="BG108" i="12"/>
  <c r="BP311" i="12"/>
  <c r="BS311" i="12"/>
  <c r="E153" i="14"/>
  <c r="F153" i="14"/>
  <c r="BO317" i="12"/>
  <c r="BQ317" i="12"/>
  <c r="BR317" i="12"/>
  <c r="BU317" i="12"/>
  <c r="BN295" i="12"/>
  <c r="BR295" i="12"/>
  <c r="BU295" i="12"/>
  <c r="BC49" i="12"/>
  <c r="BD49" i="12"/>
  <c r="BA49" i="12"/>
  <c r="BB49" i="12"/>
  <c r="AX49" i="12"/>
  <c r="BS49" i="12"/>
  <c r="AZ102" i="12"/>
  <c r="BN23" i="12"/>
  <c r="BO23" i="12"/>
  <c r="BQ23" i="12"/>
  <c r="BS108" i="12"/>
  <c r="BC108" i="12"/>
  <c r="BD108" i="12"/>
  <c r="BA108" i="12"/>
  <c r="BB108" i="12"/>
  <c r="AX108" i="12"/>
  <c r="AY108" i="12"/>
  <c r="BC164" i="12"/>
  <c r="BD164" i="12"/>
  <c r="BA164" i="12"/>
  <c r="BB164" i="12"/>
  <c r="AX164" i="12"/>
  <c r="AZ164" i="12"/>
  <c r="BN196" i="12"/>
  <c r="BO196" i="12"/>
  <c r="BQ196" i="12"/>
  <c r="T24" i="8"/>
  <c r="T25" i="8"/>
  <c r="T46" i="8"/>
  <c r="X15" i="8"/>
  <c r="BO170" i="12"/>
  <c r="BQ170" i="12"/>
  <c r="E80" i="14"/>
  <c r="F80" i="14"/>
  <c r="BR170" i="12"/>
  <c r="BU170" i="12"/>
  <c r="BO160" i="12"/>
  <c r="BQ160" i="12"/>
  <c r="BP286" i="12"/>
  <c r="BC286" i="12"/>
  <c r="BD286" i="12"/>
  <c r="BA286" i="12"/>
  <c r="BB286" i="12"/>
  <c r="AX286" i="12"/>
  <c r="BN141" i="12"/>
  <c r="BR141" i="12"/>
  <c r="BU141" i="12"/>
  <c r="E71" i="14"/>
  <c r="F71" i="14"/>
  <c r="X12" i="8"/>
  <c r="E38" i="14"/>
  <c r="F38" i="14"/>
  <c r="BO70" i="12"/>
  <c r="BQ70" i="12"/>
  <c r="BS207" i="12"/>
  <c r="BC207" i="12"/>
  <c r="BD207" i="12"/>
  <c r="BA207" i="12"/>
  <c r="BB207" i="12"/>
  <c r="AX207" i="12"/>
  <c r="BP301" i="12"/>
  <c r="BC301" i="12"/>
  <c r="BD301" i="12"/>
  <c r="BA301" i="12"/>
  <c r="BB301" i="12"/>
  <c r="AX301" i="12"/>
  <c r="BR70" i="12"/>
  <c r="BU70" i="12"/>
  <c r="BE70" i="12"/>
  <c r="BI70" i="12"/>
  <c r="AZ63" i="12"/>
  <c r="AY63" i="12"/>
  <c r="E85" i="14"/>
  <c r="F85" i="14"/>
  <c r="BR176" i="12"/>
  <c r="BU176" i="12"/>
  <c r="BO176" i="12"/>
  <c r="BQ176" i="12"/>
  <c r="BO74" i="12"/>
  <c r="BQ74" i="12"/>
  <c r="BC74" i="12"/>
  <c r="BD74" i="12"/>
  <c r="BA74" i="12"/>
  <c r="BB74" i="12"/>
  <c r="AX74" i="12"/>
  <c r="BS74" i="12"/>
  <c r="BN294" i="12"/>
  <c r="BP294" i="12"/>
  <c r="BP179" i="12"/>
  <c r="BS179" i="12"/>
  <c r="BT179" i="12"/>
  <c r="BS140" i="12"/>
  <c r="BC140" i="12"/>
  <c r="BD140" i="12"/>
  <c r="BA140" i="12"/>
  <c r="BB140" i="12"/>
  <c r="AX140" i="12"/>
  <c r="AY140" i="12"/>
  <c r="BE282" i="12"/>
  <c r="BF282" i="12"/>
  <c r="BG282" i="12"/>
  <c r="BE20" i="12"/>
  <c r="BF20" i="12"/>
  <c r="BG20" i="12"/>
  <c r="BF131" i="12"/>
  <c r="BG131" i="12"/>
  <c r="BE131" i="12"/>
  <c r="BC271" i="12"/>
  <c r="BD271" i="12"/>
  <c r="BA271" i="12"/>
  <c r="BB271" i="12"/>
  <c r="AX271" i="12"/>
  <c r="BO281" i="12"/>
  <c r="BQ281" i="12"/>
  <c r="E125" i="14"/>
  <c r="F125" i="14"/>
  <c r="BR281" i="12"/>
  <c r="BU281" i="12"/>
  <c r="E118" i="14"/>
  <c r="F118" i="14"/>
  <c r="BO271" i="12"/>
  <c r="BQ271" i="12"/>
  <c r="BR271" i="12"/>
  <c r="BU271" i="12"/>
  <c r="BN140" i="12"/>
  <c r="BN110" i="12"/>
  <c r="BP110" i="12"/>
  <c r="BC281" i="12"/>
  <c r="BD281" i="12"/>
  <c r="BA281" i="12"/>
  <c r="BB281" i="12"/>
  <c r="AX281" i="12"/>
  <c r="BS281" i="12"/>
  <c r="E178" i="14"/>
  <c r="F178" i="14"/>
  <c r="BR48" i="12"/>
  <c r="BU48" i="12"/>
  <c r="BC83" i="12"/>
  <c r="BD83" i="12"/>
  <c r="BA83" i="12"/>
  <c r="BB83" i="12"/>
  <c r="AX83" i="12"/>
  <c r="BS83" i="12"/>
  <c r="BO270" i="12"/>
  <c r="BQ270" i="12"/>
  <c r="E117" i="14"/>
  <c r="F117" i="14"/>
  <c r="BR270" i="12"/>
  <c r="BU270" i="12"/>
  <c r="BN292" i="12"/>
  <c r="E134" i="14"/>
  <c r="F134" i="14"/>
  <c r="BP16" i="12"/>
  <c r="BC16" i="12"/>
  <c r="BD16" i="12"/>
  <c r="BA16" i="12"/>
  <c r="BB16" i="12"/>
  <c r="AX16" i="12"/>
  <c r="E46" i="14"/>
  <c r="F46" i="14"/>
  <c r="BR83" i="12"/>
  <c r="BU83" i="12"/>
  <c r="BS270" i="12"/>
  <c r="BC270" i="12"/>
  <c r="BD270" i="12"/>
  <c r="BA270" i="12"/>
  <c r="BB270" i="12"/>
  <c r="AX270" i="12"/>
  <c r="BF72" i="12"/>
  <c r="BG72" i="12"/>
  <c r="AY72" i="12"/>
  <c r="AZ72" i="12"/>
  <c r="BN107" i="12"/>
  <c r="BP107" i="12"/>
  <c r="BE96" i="12"/>
  <c r="BP137" i="12"/>
  <c r="BN137" i="12"/>
  <c r="E116" i="14"/>
  <c r="F116" i="14"/>
  <c r="BR209" i="12"/>
  <c r="BU209" i="12"/>
  <c r="BO209" i="12"/>
  <c r="BQ209" i="12"/>
  <c r="BE77" i="12"/>
  <c r="BF77" i="12"/>
  <c r="BG77" i="12"/>
  <c r="BR274" i="12"/>
  <c r="BU274" i="12"/>
  <c r="BO274" i="12"/>
  <c r="BQ274" i="12"/>
  <c r="AY133" i="12"/>
  <c r="BR279" i="12"/>
  <c r="BU279" i="12"/>
  <c r="E123" i="14"/>
  <c r="F123" i="14"/>
  <c r="BO279" i="12"/>
  <c r="BQ279" i="12"/>
  <c r="BC93" i="12"/>
  <c r="BD93" i="12"/>
  <c r="BA93" i="12"/>
  <c r="BB93" i="12"/>
  <c r="AX93" i="12"/>
  <c r="BS93" i="12"/>
  <c r="BR127" i="12"/>
  <c r="BU127" i="12"/>
  <c r="BO127" i="12"/>
  <c r="BQ127" i="12"/>
  <c r="BP148" i="12"/>
  <c r="BS148" i="12"/>
  <c r="BP289" i="12"/>
  <c r="BC289" i="12"/>
  <c r="BD289" i="12"/>
  <c r="BA289" i="12"/>
  <c r="BB289" i="12"/>
  <c r="AX289" i="12"/>
  <c r="BR309" i="12"/>
  <c r="BU309" i="12"/>
  <c r="E146" i="14"/>
  <c r="F146" i="14"/>
  <c r="BO309" i="12"/>
  <c r="BQ309" i="12"/>
  <c r="BN180" i="12"/>
  <c r="BP180" i="12"/>
  <c r="BI328" i="12"/>
  <c r="BH328" i="12"/>
  <c r="BF133" i="12"/>
  <c r="BG133" i="12"/>
  <c r="BE133" i="12"/>
  <c r="BS309" i="12"/>
  <c r="BC309" i="12"/>
  <c r="BD309" i="12"/>
  <c r="BA309" i="12"/>
  <c r="BB309" i="12"/>
  <c r="AX309" i="12"/>
  <c r="AY8" i="12"/>
  <c r="AZ8" i="12"/>
  <c r="BF283" i="12"/>
  <c r="BG283" i="12"/>
  <c r="BE283" i="12"/>
  <c r="BE202" i="12"/>
  <c r="BF202" i="12"/>
  <c r="BG202" i="12"/>
  <c r="AY285" i="12"/>
  <c r="AZ285" i="12"/>
  <c r="BP124" i="12"/>
  <c r="BS124" i="12"/>
  <c r="BT124" i="12"/>
  <c r="BE136" i="12"/>
  <c r="BN299" i="12"/>
  <c r="BP299" i="12"/>
  <c r="BF36" i="12"/>
  <c r="BG36" i="12"/>
  <c r="BE36" i="12"/>
  <c r="AZ139" i="12"/>
  <c r="BC29" i="12"/>
  <c r="BD29" i="12"/>
  <c r="BA29" i="12"/>
  <c r="BB29" i="12"/>
  <c r="AX29" i="12"/>
  <c r="BS29" i="12"/>
  <c r="BO12" i="12"/>
  <c r="BQ12" i="12"/>
  <c r="BR12" i="12"/>
  <c r="BU12" i="12"/>
  <c r="BS141" i="12"/>
  <c r="BC141" i="12"/>
  <c r="BD141" i="12"/>
  <c r="BA141" i="12"/>
  <c r="BB141" i="12"/>
  <c r="AX141" i="12"/>
  <c r="BP314" i="12"/>
  <c r="BN314" i="12"/>
  <c r="BE280" i="12"/>
  <c r="AY79" i="12"/>
  <c r="AZ79" i="12"/>
  <c r="BC209" i="12"/>
  <c r="BD209" i="12"/>
  <c r="BA209" i="12"/>
  <c r="BB209" i="12"/>
  <c r="AX209" i="12"/>
  <c r="BS209" i="12"/>
  <c r="BR325" i="12"/>
  <c r="BU325" i="12"/>
  <c r="BO325" i="12"/>
  <c r="BQ325" i="12"/>
  <c r="E161" i="14"/>
  <c r="F161" i="14"/>
  <c r="E181" i="14"/>
  <c r="F181" i="14"/>
  <c r="BN307" i="12"/>
  <c r="E144" i="14"/>
  <c r="F144" i="14"/>
  <c r="BN182" i="12"/>
  <c r="BO182" i="12"/>
  <c r="BQ182" i="12"/>
  <c r="BH150" i="12"/>
  <c r="BI150" i="12"/>
  <c r="BP310" i="12"/>
  <c r="BN310" i="12"/>
  <c r="BP22" i="12"/>
  <c r="BN22" i="12"/>
  <c r="AY275" i="12"/>
  <c r="AZ275" i="12"/>
  <c r="BN25" i="12"/>
  <c r="BP25" i="12"/>
  <c r="BO18" i="12"/>
  <c r="BQ18" i="12"/>
  <c r="BR18" i="12"/>
  <c r="BU18" i="12"/>
  <c r="BP197" i="12"/>
  <c r="BN197" i="12"/>
  <c r="BF61" i="12"/>
  <c r="BG61" i="12"/>
  <c r="BE61" i="12"/>
  <c r="BN144" i="12"/>
  <c r="BP144" i="12"/>
  <c r="BR40" i="12"/>
  <c r="BU40" i="12"/>
  <c r="BO40" i="12"/>
  <c r="BQ40" i="12"/>
  <c r="AY65" i="12"/>
  <c r="AZ65" i="12"/>
  <c r="BR75" i="12"/>
  <c r="BU75" i="12"/>
  <c r="BO75" i="12"/>
  <c r="BQ75" i="12"/>
  <c r="BN312" i="12"/>
  <c r="BP312" i="12"/>
  <c r="AY135" i="12"/>
  <c r="AZ135" i="12"/>
  <c r="BF152" i="12"/>
  <c r="BG152" i="12"/>
  <c r="BE152" i="12"/>
  <c r="BP183" i="12"/>
  <c r="BN183" i="12"/>
  <c r="AZ152" i="12"/>
  <c r="AY152" i="12"/>
  <c r="BS40" i="12"/>
  <c r="BC40" i="12"/>
  <c r="BD40" i="12"/>
  <c r="BA40" i="12"/>
  <c r="BB40" i="12"/>
  <c r="AX40" i="12"/>
  <c r="BR289" i="12"/>
  <c r="BU289" i="12"/>
  <c r="BO289" i="12"/>
  <c r="BQ289" i="12"/>
  <c r="E131" i="14"/>
  <c r="F131" i="14"/>
  <c r="AZ35" i="12"/>
  <c r="AY35" i="12"/>
  <c r="BS39" i="12"/>
  <c r="BR204" i="12"/>
  <c r="BU204" i="12"/>
  <c r="E111" i="14"/>
  <c r="F111" i="14"/>
  <c r="BO204" i="12"/>
  <c r="BQ204" i="12"/>
  <c r="AZ169" i="12"/>
  <c r="AY169" i="12"/>
  <c r="AY45" i="12"/>
  <c r="BP19" i="12"/>
  <c r="BN19" i="12"/>
  <c r="BC177" i="12"/>
  <c r="BD177" i="12"/>
  <c r="BA177" i="12"/>
  <c r="BB177" i="12"/>
  <c r="AX177" i="12"/>
  <c r="BS177" i="12"/>
  <c r="BR305" i="12"/>
  <c r="BU305" i="12"/>
  <c r="E142" i="14"/>
  <c r="F142" i="14"/>
  <c r="BO305" i="12"/>
  <c r="BQ305" i="12"/>
  <c r="BO47" i="12"/>
  <c r="BQ47" i="12"/>
  <c r="BR47" i="12"/>
  <c r="BU47" i="12"/>
  <c r="BF103" i="12"/>
  <c r="BG103" i="12"/>
  <c r="BE103" i="12"/>
  <c r="BF135" i="12"/>
  <c r="BG135" i="12"/>
  <c r="BE135" i="12"/>
  <c r="BS193" i="12"/>
  <c r="BC193" i="12"/>
  <c r="BD193" i="12"/>
  <c r="BA193" i="12"/>
  <c r="BB193" i="12"/>
  <c r="AX193" i="12"/>
  <c r="BC119" i="12"/>
  <c r="BD119" i="12"/>
  <c r="BA119" i="12"/>
  <c r="BB119" i="12"/>
  <c r="AX119" i="12"/>
  <c r="BS119" i="12"/>
  <c r="BT119" i="12"/>
  <c r="BF78" i="12"/>
  <c r="BG78" i="12"/>
  <c r="BE78" i="12"/>
  <c r="AZ50" i="12"/>
  <c r="AY50" i="12"/>
  <c r="BR39" i="12"/>
  <c r="BU39" i="12"/>
  <c r="BO39" i="12"/>
  <c r="BQ39" i="12"/>
  <c r="BS204" i="12"/>
  <c r="BC204" i="12"/>
  <c r="BD204" i="12"/>
  <c r="BA204" i="12"/>
  <c r="BB204" i="12"/>
  <c r="AX204" i="12"/>
  <c r="BS31" i="12"/>
  <c r="BC31" i="12"/>
  <c r="BD31" i="12"/>
  <c r="BA31" i="12"/>
  <c r="BB31" i="12"/>
  <c r="AX31" i="12"/>
  <c r="AY319" i="12"/>
  <c r="AZ319" i="12"/>
  <c r="AZ85" i="12"/>
  <c r="AY85" i="12"/>
  <c r="BS47" i="12"/>
  <c r="BC47" i="12"/>
  <c r="BD47" i="12"/>
  <c r="BA47" i="12"/>
  <c r="BB47" i="12"/>
  <c r="AX47" i="12"/>
  <c r="BS194" i="12"/>
  <c r="BC194" i="12"/>
  <c r="BD194" i="12"/>
  <c r="BA194" i="12"/>
  <c r="BB194" i="12"/>
  <c r="AX194" i="12"/>
  <c r="BC23" i="12"/>
  <c r="BD23" i="12"/>
  <c r="BA23" i="12"/>
  <c r="BB23" i="12"/>
  <c r="AX23" i="12"/>
  <c r="BS23" i="12"/>
  <c r="BO148" i="12"/>
  <c r="BQ148" i="12"/>
  <c r="BR148" i="12"/>
  <c r="BU148" i="12"/>
  <c r="BI168" i="12"/>
  <c r="BH168" i="12"/>
  <c r="BO119" i="12"/>
  <c r="BQ119" i="12"/>
  <c r="BR119" i="12"/>
  <c r="BU119" i="12"/>
  <c r="BR112" i="12"/>
  <c r="BU112" i="12"/>
  <c r="BO112" i="12"/>
  <c r="BQ112" i="12"/>
  <c r="E57" i="14"/>
  <c r="F57" i="14"/>
  <c r="BO16" i="12"/>
  <c r="BQ16" i="12"/>
  <c r="BR16" i="12"/>
  <c r="BU16" i="12"/>
  <c r="BN15" i="12"/>
  <c r="BP15" i="12"/>
  <c r="AY172" i="12"/>
  <c r="E41" i="14"/>
  <c r="F41" i="14"/>
  <c r="BO73" i="12"/>
  <c r="BQ73" i="12"/>
  <c r="BR73" i="12"/>
  <c r="BU73" i="12"/>
  <c r="AZ28" i="12"/>
  <c r="AY28" i="12"/>
  <c r="BR34" i="12"/>
  <c r="BU34" i="12"/>
  <c r="BO34" i="12"/>
  <c r="BQ34" i="12"/>
  <c r="BC44" i="12"/>
  <c r="BD44" i="12"/>
  <c r="BA44" i="12"/>
  <c r="BB44" i="12"/>
  <c r="AX44" i="12"/>
  <c r="BS44" i="12"/>
  <c r="BI101" i="12"/>
  <c r="BH101" i="12"/>
  <c r="BR322" i="12"/>
  <c r="BU322" i="12"/>
  <c r="BO322" i="12"/>
  <c r="BQ322" i="12"/>
  <c r="E158" i="14"/>
  <c r="F158" i="14"/>
  <c r="K172" i="14"/>
  <c r="AZ92" i="12"/>
  <c r="AY92" i="12"/>
  <c r="AY155" i="12"/>
  <c r="AZ155" i="12"/>
  <c r="BN17" i="12"/>
  <c r="BP17" i="12"/>
  <c r="E180" i="14"/>
  <c r="F180" i="14"/>
  <c r="BS321" i="12"/>
  <c r="BC321" i="12"/>
  <c r="BD321" i="12"/>
  <c r="BA321" i="12"/>
  <c r="BB321" i="12"/>
  <c r="AX321" i="12"/>
  <c r="BS43" i="12"/>
  <c r="BC43" i="12"/>
  <c r="BD43" i="12"/>
  <c r="BA43" i="12"/>
  <c r="BB43" i="12"/>
  <c r="AX43" i="12"/>
  <c r="BS91" i="12"/>
  <c r="BC91" i="12"/>
  <c r="BD91" i="12"/>
  <c r="BA91" i="12"/>
  <c r="BB91" i="12"/>
  <c r="AX91" i="12"/>
  <c r="BC73" i="12"/>
  <c r="BD73" i="12"/>
  <c r="BA73" i="12"/>
  <c r="BB73" i="12"/>
  <c r="AX73" i="12"/>
  <c r="BS73" i="12"/>
  <c r="BO311" i="12"/>
  <c r="BQ311" i="12"/>
  <c r="BR311" i="12"/>
  <c r="BU311" i="12"/>
  <c r="E148" i="14"/>
  <c r="F148" i="14"/>
  <c r="BR44" i="12"/>
  <c r="BU44" i="12"/>
  <c r="BO44" i="12"/>
  <c r="BQ44" i="12"/>
  <c r="BS296" i="12"/>
  <c r="BT296" i="12"/>
  <c r="BC296" i="12"/>
  <c r="BD296" i="12"/>
  <c r="BA296" i="12"/>
  <c r="BB296" i="12"/>
  <c r="AX296" i="12"/>
  <c r="AV71" i="12"/>
  <c r="BF277" i="12"/>
  <c r="BG277" i="12"/>
  <c r="BE277" i="12"/>
  <c r="BN13" i="12"/>
  <c r="BP13" i="12"/>
  <c r="AZ308" i="12"/>
  <c r="AY308" i="12"/>
  <c r="BC26" i="12"/>
  <c r="BD26" i="12"/>
  <c r="BA26" i="12"/>
  <c r="BB26" i="12"/>
  <c r="AX26" i="12"/>
  <c r="BS26" i="12"/>
  <c r="BC21" i="12"/>
  <c r="BD21" i="12"/>
  <c r="BA21" i="12"/>
  <c r="BB21" i="12"/>
  <c r="AX21" i="12"/>
  <c r="BS21" i="12"/>
  <c r="BO151" i="12"/>
  <c r="BQ151" i="12"/>
  <c r="BR151" i="12"/>
  <c r="BU151" i="12"/>
  <c r="BR62" i="12"/>
  <c r="BU62" i="12"/>
  <c r="BO62" i="12"/>
  <c r="BQ62" i="12"/>
  <c r="E24" i="14"/>
  <c r="F24" i="14"/>
  <c r="BR43" i="12"/>
  <c r="BU43" i="12"/>
  <c r="BO43" i="12"/>
  <c r="BQ43" i="12"/>
  <c r="BC295" i="12"/>
  <c r="BD295" i="12"/>
  <c r="BA295" i="12"/>
  <c r="BB295" i="12"/>
  <c r="AX295" i="12"/>
  <c r="BS295" i="12"/>
  <c r="BN188" i="12"/>
  <c r="BP188" i="12"/>
  <c r="BP302" i="12"/>
  <c r="BC302" i="12"/>
  <c r="BD302" i="12"/>
  <c r="BA302" i="12"/>
  <c r="BB302" i="12"/>
  <c r="AX302" i="12"/>
  <c r="BP158" i="12"/>
  <c r="BS158" i="12"/>
  <c r="BT158" i="12"/>
  <c r="BN142" i="12"/>
  <c r="BR142" i="12"/>
  <c r="BU142" i="12"/>
  <c r="BS64" i="12"/>
  <c r="BC64" i="12"/>
  <c r="BD64" i="12"/>
  <c r="BA64" i="12"/>
  <c r="BB64" i="12"/>
  <c r="AX64" i="12"/>
  <c r="AZ59" i="12"/>
  <c r="BF37" i="12"/>
  <c r="BG37" i="12"/>
  <c r="BE37" i="12"/>
  <c r="BR56" i="12"/>
  <c r="BU56" i="12"/>
  <c r="BO56" i="12"/>
  <c r="BQ56" i="12"/>
  <c r="BF92" i="12"/>
  <c r="BG92" i="12"/>
  <c r="BF132" i="12"/>
  <c r="BG132" i="12"/>
  <c r="BE132" i="12"/>
  <c r="BF155" i="12"/>
  <c r="BG155" i="12"/>
  <c r="BE155" i="12"/>
  <c r="AY122" i="12"/>
  <c r="AZ122" i="12"/>
  <c r="BH81" i="12"/>
  <c r="BI81" i="12"/>
  <c r="BF71" i="12"/>
  <c r="BG71" i="12"/>
  <c r="BE71" i="12"/>
  <c r="BR26" i="12"/>
  <c r="BU26" i="12"/>
  <c r="BO26" i="12"/>
  <c r="BQ26" i="12"/>
  <c r="BC151" i="12"/>
  <c r="BD151" i="12"/>
  <c r="BA151" i="12"/>
  <c r="BB151" i="12"/>
  <c r="AX151" i="12"/>
  <c r="BS151" i="12"/>
  <c r="BC62" i="12"/>
  <c r="BD62" i="12"/>
  <c r="BA62" i="12"/>
  <c r="BB62" i="12"/>
  <c r="AX62" i="12"/>
  <c r="BS62" i="12"/>
  <c r="BC292" i="12"/>
  <c r="BD292" i="12"/>
  <c r="BA292" i="12"/>
  <c r="BB292" i="12"/>
  <c r="AX292" i="12"/>
  <c r="BS292" i="12"/>
  <c r="BO286" i="12"/>
  <c r="BQ286" i="12"/>
  <c r="E128" i="14"/>
  <c r="F128" i="14"/>
  <c r="BR286" i="12"/>
  <c r="BU286" i="12"/>
  <c r="AY106" i="12"/>
  <c r="AZ106" i="12"/>
  <c r="BO177" i="12"/>
  <c r="BQ177" i="12"/>
  <c r="BR177" i="12"/>
  <c r="BU177" i="12"/>
  <c r="E86" i="14"/>
  <c r="F86" i="14"/>
  <c r="BS305" i="12"/>
  <c r="BC305" i="12"/>
  <c r="BD305" i="12"/>
  <c r="BA305" i="12"/>
  <c r="BB305" i="12"/>
  <c r="AX305" i="12"/>
  <c r="BF85" i="12"/>
  <c r="BG85" i="12"/>
  <c r="BE85" i="12"/>
  <c r="AZ88" i="12"/>
  <c r="E32" i="14"/>
  <c r="F32" i="14"/>
  <c r="BR64" i="12"/>
  <c r="BU64" i="12"/>
  <c r="BO64" i="12"/>
  <c r="BQ64" i="12"/>
  <c r="AZ37" i="12"/>
  <c r="AY37" i="12"/>
  <c r="BF59" i="12"/>
  <c r="BG59" i="12"/>
  <c r="BE59" i="12"/>
  <c r="BE199" i="12"/>
  <c r="BF199" i="12"/>
  <c r="BG199" i="12"/>
  <c r="BP304" i="12"/>
  <c r="BN304" i="12"/>
  <c r="BE169" i="12"/>
  <c r="BF169" i="12"/>
  <c r="BG169" i="12"/>
  <c r="E76" i="14"/>
  <c r="F76" i="14"/>
  <c r="AZ61" i="12"/>
  <c r="AY61" i="12"/>
  <c r="BP117" i="12"/>
  <c r="BN117" i="12"/>
  <c r="BS56" i="12"/>
  <c r="BC56" i="12"/>
  <c r="BD56" i="12"/>
  <c r="BA56" i="12"/>
  <c r="BB56" i="12"/>
  <c r="AX56" i="12"/>
  <c r="AY11" i="12"/>
  <c r="AZ11" i="12"/>
  <c r="AY30" i="12"/>
  <c r="AZ30" i="12"/>
  <c r="BS75" i="12"/>
  <c r="BC75" i="12"/>
  <c r="BD75" i="12"/>
  <c r="BA75" i="12"/>
  <c r="BB75" i="12"/>
  <c r="AX75" i="12"/>
  <c r="BR185" i="12"/>
  <c r="BU185" i="12"/>
  <c r="E93" i="14"/>
  <c r="F93" i="14"/>
  <c r="BO185" i="12"/>
  <c r="BQ185" i="12"/>
  <c r="BS196" i="12"/>
  <c r="BC196" i="12"/>
  <c r="BD196" i="12"/>
  <c r="BA196" i="12"/>
  <c r="BB196" i="12"/>
  <c r="AX196" i="12"/>
  <c r="BI82" i="12"/>
  <c r="BH82" i="12"/>
  <c r="BH99" i="12"/>
  <c r="BI99" i="12"/>
  <c r="BP115" i="12"/>
  <c r="BN115" i="12"/>
  <c r="BP303" i="12"/>
  <c r="BN303" i="12"/>
  <c r="AZ123" i="12"/>
  <c r="AY160" i="12"/>
  <c r="AZ160" i="12"/>
  <c r="AZ154" i="12"/>
  <c r="AY154" i="12"/>
  <c r="AZ60" i="12"/>
  <c r="AY272" i="12"/>
  <c r="AZ272" i="12"/>
  <c r="AY27" i="12"/>
  <c r="AZ27" i="12"/>
  <c r="AZ187" i="12"/>
  <c r="AY187" i="12"/>
  <c r="AY3" i="12"/>
  <c r="AZ3" i="12"/>
  <c r="AY14" i="12"/>
  <c r="AZ14" i="12"/>
  <c r="AZ94" i="12"/>
  <c r="AY94" i="12"/>
  <c r="BN297" i="12"/>
  <c r="BP297" i="12"/>
  <c r="AY149" i="12"/>
  <c r="AZ149" i="12"/>
  <c r="AY324" i="12"/>
  <c r="AZ324" i="12"/>
  <c r="BP287" i="12"/>
  <c r="BN287" i="12"/>
  <c r="BE205" i="12"/>
  <c r="BS156" i="12"/>
  <c r="BT156" i="12"/>
  <c r="BS161" i="12"/>
  <c r="BT161" i="12"/>
  <c r="BC161" i="12"/>
  <c r="BD161" i="12"/>
  <c r="BA161" i="12"/>
  <c r="BB161" i="12"/>
  <c r="AX161" i="12"/>
  <c r="BH100" i="12"/>
  <c r="BI100" i="12"/>
  <c r="BS171" i="12"/>
  <c r="BT171" i="12"/>
  <c r="BC171" i="12"/>
  <c r="BD171" i="12"/>
  <c r="BA171" i="12"/>
  <c r="BB171" i="12"/>
  <c r="AX171" i="12"/>
  <c r="AZ146" i="12"/>
  <c r="AY146" i="12"/>
  <c r="BE3" i="12"/>
  <c r="BF3" i="12"/>
  <c r="BG3" i="12"/>
  <c r="AY192" i="12"/>
  <c r="BF57" i="12"/>
  <c r="BG57" i="12"/>
  <c r="BS76" i="12"/>
  <c r="BT76" i="12"/>
  <c r="BC76" i="12"/>
  <c r="BD76" i="12"/>
  <c r="BA76" i="12"/>
  <c r="BB76" i="12"/>
  <c r="AX76" i="12"/>
  <c r="BR298" i="12"/>
  <c r="BU298" i="12"/>
  <c r="BO298" i="12"/>
  <c r="BQ298" i="12"/>
  <c r="BR300" i="12"/>
  <c r="BU300" i="12"/>
  <c r="E137" i="14"/>
  <c r="F137" i="14"/>
  <c r="BO300" i="12"/>
  <c r="BQ300" i="12"/>
  <c r="BC182" i="12"/>
  <c r="BD182" i="12"/>
  <c r="BA182" i="12"/>
  <c r="BB182" i="12"/>
  <c r="AX182" i="12"/>
  <c r="BS182" i="12"/>
  <c r="BT182" i="12"/>
  <c r="BF60" i="12"/>
  <c r="BG60" i="12"/>
  <c r="BE60" i="12"/>
  <c r="BC186" i="12"/>
  <c r="BD186" i="12"/>
  <c r="BA186" i="12"/>
  <c r="BB186" i="12"/>
  <c r="AX186" i="12"/>
  <c r="BS186" i="12"/>
  <c r="BT186" i="12"/>
  <c r="BS181" i="12"/>
  <c r="BT181" i="12"/>
  <c r="BC181" i="12"/>
  <c r="BD181" i="12"/>
  <c r="BA181" i="12"/>
  <c r="BB181" i="12"/>
  <c r="AX181" i="12"/>
  <c r="AV272" i="12"/>
  <c r="BO161" i="12"/>
  <c r="BQ161" i="12"/>
  <c r="E72" i="14"/>
  <c r="F72" i="14"/>
  <c r="BR161" i="12"/>
  <c r="BU161" i="12"/>
  <c r="AV164" i="12"/>
  <c r="BO126" i="12"/>
  <c r="BQ126" i="12"/>
  <c r="BR126" i="12"/>
  <c r="BU126" i="12"/>
  <c r="AV192" i="12"/>
  <c r="BF278" i="12"/>
  <c r="BG278" i="12"/>
  <c r="BE278" i="12"/>
  <c r="BO195" i="12"/>
  <c r="BQ195" i="12"/>
  <c r="E102" i="14"/>
  <c r="F102" i="14"/>
  <c r="BR195" i="12"/>
  <c r="BU195" i="12"/>
  <c r="AV187" i="12"/>
  <c r="BS157" i="12"/>
  <c r="BT157" i="12"/>
  <c r="BC157" i="12"/>
  <c r="BD157" i="12"/>
  <c r="BA157" i="12"/>
  <c r="BB157" i="12"/>
  <c r="AX157" i="12"/>
  <c r="BE98" i="12"/>
  <c r="BF98" i="12"/>
  <c r="BG98" i="12"/>
  <c r="AV60" i="12"/>
  <c r="BR186" i="12"/>
  <c r="BU186" i="12"/>
  <c r="E94" i="14"/>
  <c r="F94" i="14"/>
  <c r="BO186" i="12"/>
  <c r="BQ186" i="12"/>
  <c r="AV146" i="12"/>
  <c r="BS126" i="12"/>
  <c r="BT126" i="12"/>
  <c r="BC126" i="12"/>
  <c r="BD126" i="12"/>
  <c r="BA126" i="12"/>
  <c r="BB126" i="12"/>
  <c r="AX126" i="12"/>
  <c r="BF165" i="12"/>
  <c r="BG165" i="12"/>
  <c r="BE165" i="12"/>
  <c r="BS5" i="12"/>
  <c r="BT5" i="12"/>
  <c r="BC5" i="12"/>
  <c r="BD5" i="12"/>
  <c r="BA5" i="12"/>
  <c r="BB5" i="12"/>
  <c r="AX5" i="12"/>
  <c r="BS195" i="12"/>
  <c r="BT195" i="12"/>
  <c r="BC195" i="12"/>
  <c r="BD195" i="12"/>
  <c r="BA195" i="12"/>
  <c r="BB195" i="12"/>
  <c r="AX195" i="12"/>
  <c r="BF123" i="12"/>
  <c r="BG123" i="12"/>
  <c r="BE123" i="12"/>
  <c r="E27" i="14"/>
  <c r="F27" i="14"/>
  <c r="BO51" i="12"/>
  <c r="BQ51" i="12"/>
  <c r="BR51" i="12"/>
  <c r="BU51" i="12"/>
  <c r="E156" i="14"/>
  <c r="F156" i="14"/>
  <c r="K170" i="14"/>
  <c r="BR320" i="12"/>
  <c r="BU320" i="12"/>
  <c r="BO320" i="12"/>
  <c r="BQ320" i="12"/>
  <c r="BC316" i="12"/>
  <c r="BD316" i="12"/>
  <c r="BA316" i="12"/>
  <c r="BB316" i="12"/>
  <c r="AX316" i="12"/>
  <c r="BS316" i="12"/>
  <c r="BT316" i="12"/>
  <c r="AY162" i="12"/>
  <c r="AZ162" i="12"/>
  <c r="BH97" i="12"/>
  <c r="BI97" i="12"/>
  <c r="BO191" i="12"/>
  <c r="BQ191" i="12"/>
  <c r="E98" i="14"/>
  <c r="F98" i="14"/>
  <c r="BR191" i="12"/>
  <c r="BU191" i="12"/>
  <c r="AV324" i="12"/>
  <c r="AV57" i="12"/>
  <c r="BO5" i="12"/>
  <c r="BQ5" i="12"/>
  <c r="BR5" i="12"/>
  <c r="BU5" i="12"/>
  <c r="BH208" i="12"/>
  <c r="BI208" i="12"/>
  <c r="E168" i="14"/>
  <c r="F168" i="14"/>
  <c r="BI189" i="12"/>
  <c r="BH189" i="12"/>
  <c r="AY205" i="12"/>
  <c r="AZ205" i="12"/>
  <c r="BS51" i="12"/>
  <c r="BT51" i="12"/>
  <c r="BC51" i="12"/>
  <c r="BD51" i="12"/>
  <c r="BA51" i="12"/>
  <c r="BB51" i="12"/>
  <c r="AX51" i="12"/>
  <c r="BN163" i="12"/>
  <c r="BP163" i="12"/>
  <c r="BC320" i="12"/>
  <c r="BD320" i="12"/>
  <c r="BA320" i="12"/>
  <c r="BB320" i="12"/>
  <c r="AX320" i="12"/>
  <c r="BS320" i="12"/>
  <c r="BT320" i="12"/>
  <c r="BO301" i="12"/>
  <c r="BQ301" i="12"/>
  <c r="E138" i="14"/>
  <c r="F138" i="14"/>
  <c r="BR301" i="12"/>
  <c r="BU301" i="12"/>
  <c r="BS142" i="12"/>
  <c r="BT142" i="12"/>
  <c r="BC142" i="12"/>
  <c r="BD142" i="12"/>
  <c r="BA142" i="12"/>
  <c r="BB142" i="12"/>
  <c r="AX142" i="12"/>
  <c r="BO316" i="12"/>
  <c r="BQ316" i="12"/>
  <c r="BR316" i="12"/>
  <c r="BU316" i="12"/>
  <c r="E152" i="14"/>
  <c r="F152" i="14"/>
  <c r="E89" i="14"/>
  <c r="F89" i="14"/>
  <c r="BO181" i="12"/>
  <c r="BQ181" i="12"/>
  <c r="BR181" i="12"/>
  <c r="BU181" i="12"/>
  <c r="AV159" i="12"/>
  <c r="BC290" i="12"/>
  <c r="BD290" i="12"/>
  <c r="BA290" i="12"/>
  <c r="BB290" i="12"/>
  <c r="AX290" i="12"/>
  <c r="AV2" i="12"/>
  <c r="BR290" i="12"/>
  <c r="BU290" i="12"/>
  <c r="BO290" i="12"/>
  <c r="BQ290" i="12"/>
  <c r="E132" i="14"/>
  <c r="F132" i="14"/>
  <c r="E110" i="14"/>
  <c r="F110" i="14"/>
  <c r="BR203" i="12"/>
  <c r="BU203" i="12"/>
  <c r="BO203" i="12"/>
  <c r="BQ203" i="12"/>
  <c r="BE159" i="12"/>
  <c r="BF159" i="12"/>
  <c r="BG159" i="12"/>
  <c r="BE192" i="12"/>
  <c r="BF192" i="12"/>
  <c r="BG192" i="12"/>
  <c r="E84" i="14"/>
  <c r="F84" i="14"/>
  <c r="BR174" i="12"/>
  <c r="BU174" i="12"/>
  <c r="BO174" i="12"/>
  <c r="BQ174" i="12"/>
  <c r="BO66" i="12"/>
  <c r="BQ66" i="12"/>
  <c r="E34" i="14"/>
  <c r="F34" i="14"/>
  <c r="BR66" i="12"/>
  <c r="BU66" i="12"/>
  <c r="BC191" i="12"/>
  <c r="BD191" i="12"/>
  <c r="BA191" i="12"/>
  <c r="BB191" i="12"/>
  <c r="AX191" i="12"/>
  <c r="BS191" i="12"/>
  <c r="BT191" i="12"/>
  <c r="AV114" i="12"/>
  <c r="BO58" i="12"/>
  <c r="BQ58" i="12"/>
  <c r="BR58" i="12"/>
  <c r="BU58" i="12"/>
  <c r="BS315" i="12"/>
  <c r="BT315" i="12"/>
  <c r="BC315" i="12"/>
  <c r="BD315" i="12"/>
  <c r="BA315" i="12"/>
  <c r="BB315" i="12"/>
  <c r="AX315" i="12"/>
  <c r="BR24" i="12"/>
  <c r="BU24" i="12"/>
  <c r="BO24" i="12"/>
  <c r="BQ24" i="12"/>
  <c r="BO179" i="12"/>
  <c r="BQ179" i="12"/>
  <c r="BR179" i="12"/>
  <c r="BU179" i="12"/>
  <c r="E87" i="14"/>
  <c r="F87" i="14"/>
  <c r="BO288" i="12"/>
  <c r="BQ288" i="12"/>
  <c r="BR288" i="12"/>
  <c r="BU288" i="12"/>
  <c r="E130" i="14"/>
  <c r="F130" i="14"/>
  <c r="BS203" i="12"/>
  <c r="BT203" i="12"/>
  <c r="BC203" i="12"/>
  <c r="BD203" i="12"/>
  <c r="BA203" i="12"/>
  <c r="BB203" i="12"/>
  <c r="AX203" i="12"/>
  <c r="AY53" i="12"/>
  <c r="AZ53" i="12"/>
  <c r="AZ2" i="12"/>
  <c r="AV162" i="12"/>
  <c r="BI284" i="12"/>
  <c r="BH284" i="12"/>
  <c r="AV149" i="12"/>
  <c r="BC66" i="12"/>
  <c r="BD66" i="12"/>
  <c r="BA66" i="12"/>
  <c r="BB66" i="12"/>
  <c r="AX66" i="12"/>
  <c r="BS66" i="12"/>
  <c r="BT66" i="12"/>
  <c r="BF94" i="12"/>
  <c r="BG94" i="12"/>
  <c r="BE94" i="12"/>
  <c r="E75" i="14"/>
  <c r="F75" i="14"/>
  <c r="AV278" i="12"/>
  <c r="BS201" i="12"/>
  <c r="BT201" i="12"/>
  <c r="BC201" i="12"/>
  <c r="BD201" i="12"/>
  <c r="BA201" i="12"/>
  <c r="BB201" i="12"/>
  <c r="AX201" i="12"/>
  <c r="BS58" i="12"/>
  <c r="BT58" i="12"/>
  <c r="BC58" i="12"/>
  <c r="BD58" i="12"/>
  <c r="BA58" i="12"/>
  <c r="BB58" i="12"/>
  <c r="AX58" i="12"/>
  <c r="E105" i="14"/>
  <c r="F105" i="14"/>
  <c r="BR198" i="12"/>
  <c r="BU198" i="12"/>
  <c r="BO198" i="12"/>
  <c r="BQ198" i="12"/>
  <c r="AV160" i="12"/>
  <c r="BE130" i="12"/>
  <c r="BF130" i="12"/>
  <c r="BG130" i="12"/>
  <c r="BO315" i="12"/>
  <c r="BQ315" i="12"/>
  <c r="BR315" i="12"/>
  <c r="BU315" i="12"/>
  <c r="E151" i="14"/>
  <c r="F151" i="14"/>
  <c r="E171" i="14"/>
  <c r="F171" i="14"/>
  <c r="BR55" i="12"/>
  <c r="BU55" i="12"/>
  <c r="BO55" i="12"/>
  <c r="BQ55" i="12"/>
  <c r="BR302" i="12"/>
  <c r="BU302" i="12"/>
  <c r="E139" i="14"/>
  <c r="F139" i="14"/>
  <c r="BO302" i="12"/>
  <c r="BQ302" i="12"/>
  <c r="E169" i="14"/>
  <c r="F169" i="14"/>
  <c r="E133" i="14"/>
  <c r="F133" i="14"/>
  <c r="BR291" i="12"/>
  <c r="BU291" i="12"/>
  <c r="BO291" i="12"/>
  <c r="BQ291" i="12"/>
  <c r="AV98" i="12"/>
  <c r="BC118" i="12"/>
  <c r="BD118" i="12"/>
  <c r="BA118" i="12"/>
  <c r="BB118" i="12"/>
  <c r="AX118" i="12"/>
  <c r="BS118" i="12"/>
  <c r="BT118" i="12"/>
  <c r="AV94" i="12"/>
  <c r="BC175" i="12"/>
  <c r="BD175" i="12"/>
  <c r="BA175" i="12"/>
  <c r="BB175" i="12"/>
  <c r="AX175" i="12"/>
  <c r="BS175" i="12"/>
  <c r="BT175" i="12"/>
  <c r="BF114" i="12"/>
  <c r="BG114" i="12"/>
  <c r="BE114" i="12"/>
  <c r="BS105" i="12"/>
  <c r="BT105" i="12"/>
  <c r="BC105" i="12"/>
  <c r="BD105" i="12"/>
  <c r="BA105" i="12"/>
  <c r="BB105" i="12"/>
  <c r="AX105" i="12"/>
  <c r="AZ278" i="12"/>
  <c r="AY278" i="12"/>
  <c r="E108" i="14"/>
  <c r="F108" i="14"/>
  <c r="BR201" i="12"/>
  <c r="BU201" i="12"/>
  <c r="BO201" i="12"/>
  <c r="BQ201" i="12"/>
  <c r="BC198" i="12"/>
  <c r="BD198" i="12"/>
  <c r="BA198" i="12"/>
  <c r="BB198" i="12"/>
  <c r="AX198" i="12"/>
  <c r="BS198" i="12"/>
  <c r="BT198" i="12"/>
  <c r="AV14" i="12"/>
  <c r="AV205" i="12"/>
  <c r="BN138" i="12"/>
  <c r="BP138" i="12"/>
  <c r="AV154" i="12"/>
  <c r="BS129" i="12"/>
  <c r="BT129" i="12"/>
  <c r="BC129" i="12"/>
  <c r="BD129" i="12"/>
  <c r="BA129" i="12"/>
  <c r="BB129" i="12"/>
  <c r="AX129" i="12"/>
  <c r="BC55" i="12"/>
  <c r="BD55" i="12"/>
  <c r="BA55" i="12"/>
  <c r="BB55" i="12"/>
  <c r="AX55" i="12"/>
  <c r="BS55" i="12"/>
  <c r="BT55" i="12"/>
  <c r="BR124" i="12"/>
  <c r="BU124" i="12"/>
  <c r="E64" i="14"/>
  <c r="F64" i="14"/>
  <c r="BO124" i="12"/>
  <c r="BQ124" i="12"/>
  <c r="E69" i="14"/>
  <c r="F69" i="14"/>
  <c r="BO158" i="12"/>
  <c r="BQ158" i="12"/>
  <c r="BR158" i="12"/>
  <c r="BU158" i="12"/>
  <c r="BS307" i="12"/>
  <c r="BT307" i="12"/>
  <c r="BC307" i="12"/>
  <c r="BD307" i="12"/>
  <c r="BA307" i="12"/>
  <c r="BB307" i="12"/>
  <c r="AX307" i="12"/>
  <c r="BO156" i="12"/>
  <c r="BQ156" i="12"/>
  <c r="E67" i="14"/>
  <c r="F67" i="14"/>
  <c r="BR156" i="12"/>
  <c r="BU156" i="12"/>
  <c r="BR118" i="12"/>
  <c r="BU118" i="12"/>
  <c r="E63" i="14"/>
  <c r="F63" i="14"/>
  <c r="BO118" i="12"/>
  <c r="BQ118" i="12"/>
  <c r="BE153" i="12"/>
  <c r="BF153" i="12"/>
  <c r="BG153" i="12"/>
  <c r="BR171" i="12"/>
  <c r="BU171" i="12"/>
  <c r="E81" i="14"/>
  <c r="F81" i="14"/>
  <c r="BO171" i="12"/>
  <c r="BQ171" i="12"/>
  <c r="BR175" i="12"/>
  <c r="BU175" i="12"/>
  <c r="BO175" i="12"/>
  <c r="BQ175" i="12"/>
  <c r="BH87" i="12"/>
  <c r="BI87" i="12"/>
  <c r="BO76" i="12"/>
  <c r="BQ76" i="12"/>
  <c r="BR76" i="12"/>
  <c r="BU76" i="12"/>
  <c r="BR105" i="12"/>
  <c r="BU105" i="12"/>
  <c r="BO105" i="12"/>
  <c r="BQ105" i="12"/>
  <c r="BE160" i="12"/>
  <c r="BF160" i="12"/>
  <c r="BG160" i="12"/>
  <c r="AV27" i="12"/>
  <c r="BS300" i="12"/>
  <c r="BT300" i="12"/>
  <c r="BC300" i="12"/>
  <c r="BD300" i="12"/>
  <c r="BA300" i="12"/>
  <c r="BB300" i="12"/>
  <c r="AX300" i="12"/>
  <c r="K23" i="8"/>
  <c r="K24" i="8"/>
  <c r="BE293" i="12"/>
  <c r="AZ131" i="12"/>
  <c r="BS30" i="12"/>
  <c r="AV30" i="12"/>
  <c r="BO194" i="12"/>
  <c r="BQ194" i="12"/>
  <c r="E40" i="14"/>
  <c r="F40" i="14"/>
  <c r="BR275" i="12"/>
  <c r="BU275" i="12"/>
  <c r="BF275" i="12"/>
  <c r="BG275" i="12"/>
  <c r="BF208" i="12"/>
  <c r="BG208" i="12"/>
  <c r="BC190" i="12"/>
  <c r="BD190" i="12"/>
  <c r="BA190" i="12"/>
  <c r="BB190" i="12"/>
  <c r="AX190" i="12"/>
  <c r="AY190" i="12"/>
  <c r="BO193" i="12"/>
  <c r="BQ193" i="12"/>
  <c r="AV87" i="12"/>
  <c r="BO205" i="12"/>
  <c r="BQ205" i="12"/>
  <c r="AY38" i="12"/>
  <c r="AY166" i="12"/>
  <c r="BC159" i="12"/>
  <c r="BD159" i="12"/>
  <c r="BA159" i="12"/>
  <c r="BB159" i="12"/>
  <c r="AX159" i="12"/>
  <c r="AZ159" i="12"/>
  <c r="BC87" i="12"/>
  <c r="BD87" i="12"/>
  <c r="BA87" i="12"/>
  <c r="BB87" i="12"/>
  <c r="AX87" i="12"/>
  <c r="AY87" i="12"/>
  <c r="E100" i="14"/>
  <c r="F100" i="14"/>
  <c r="AZ69" i="12"/>
  <c r="AZ145" i="12"/>
  <c r="BE172" i="12"/>
  <c r="BH172" i="12"/>
  <c r="BC279" i="12"/>
  <c r="BD279" i="12"/>
  <c r="BA279" i="12"/>
  <c r="BB279" i="12"/>
  <c r="AX279" i="12"/>
  <c r="BR4" i="12"/>
  <c r="BU4" i="12"/>
  <c r="BS4" i="12"/>
  <c r="BE178" i="12"/>
  <c r="BI178" i="12"/>
  <c r="BS59" i="12"/>
  <c r="AV59" i="12"/>
  <c r="BS284" i="12"/>
  <c r="AV284" i="12"/>
  <c r="BJ284" i="12"/>
  <c r="BK284" i="12"/>
  <c r="BV284" i="12"/>
  <c r="BW284" i="12"/>
  <c r="AY273" i="12"/>
  <c r="BS152" i="12"/>
  <c r="BT152" i="12"/>
  <c r="BT277" i="12"/>
  <c r="BF116" i="12"/>
  <c r="BG116" i="12"/>
  <c r="BC132" i="12"/>
  <c r="BD132" i="12"/>
  <c r="BA132" i="12"/>
  <c r="BB132" i="12"/>
  <c r="AX132" i="12"/>
  <c r="AZ132" i="12"/>
  <c r="BO67" i="12"/>
  <c r="BQ67" i="12"/>
  <c r="AY103" i="12"/>
  <c r="BO187" i="12"/>
  <c r="BQ187" i="12"/>
  <c r="E48" i="14"/>
  <c r="F48" i="14"/>
  <c r="BR200" i="12"/>
  <c r="BU200" i="12"/>
  <c r="BT63" i="12"/>
  <c r="BC78" i="12"/>
  <c r="BD78" i="12"/>
  <c r="BA78" i="12"/>
  <c r="BB78" i="12"/>
  <c r="AX78" i="12"/>
  <c r="AZ78" i="12"/>
  <c r="BR166" i="12"/>
  <c r="BU166" i="12"/>
  <c r="BE166" i="12"/>
  <c r="BH166" i="12"/>
  <c r="E39" i="14"/>
  <c r="F39" i="14"/>
  <c r="AV271" i="12"/>
  <c r="BT271" i="12"/>
  <c r="AV62" i="12"/>
  <c r="BT62" i="12"/>
  <c r="AV295" i="12"/>
  <c r="BT295" i="12"/>
  <c r="AV21" i="12"/>
  <c r="BT21" i="12"/>
  <c r="AV194" i="12"/>
  <c r="BT194" i="12"/>
  <c r="AV209" i="12"/>
  <c r="BT209" i="12"/>
  <c r="AV88" i="12"/>
  <c r="BT88" i="12"/>
  <c r="AV327" i="12"/>
  <c r="BT327" i="12"/>
  <c r="AV104" i="12"/>
  <c r="BT104" i="12"/>
  <c r="AV12" i="12"/>
  <c r="BT12" i="12"/>
  <c r="AV92" i="12"/>
  <c r="BT92" i="12"/>
  <c r="AV96" i="12"/>
  <c r="BT96" i="12"/>
  <c r="AV170" i="12"/>
  <c r="BT170" i="12"/>
  <c r="AV78" i="12"/>
  <c r="BT78" i="12"/>
  <c r="AV176" i="12"/>
  <c r="BT176" i="12"/>
  <c r="AV91" i="12"/>
  <c r="BT91" i="12"/>
  <c r="AV204" i="12"/>
  <c r="BT204" i="12"/>
  <c r="AV29" i="12"/>
  <c r="BT29" i="12"/>
  <c r="AV83" i="12"/>
  <c r="BT83" i="12"/>
  <c r="AV74" i="12"/>
  <c r="BT74" i="12"/>
  <c r="AV108" i="12"/>
  <c r="BT108" i="12"/>
  <c r="AV311" i="12"/>
  <c r="BT311" i="12"/>
  <c r="AV185" i="12"/>
  <c r="BT185" i="12"/>
  <c r="AV285" i="12"/>
  <c r="BT285" i="12"/>
  <c r="AV319" i="12"/>
  <c r="BT319" i="12"/>
  <c r="AV26" i="12"/>
  <c r="BT26" i="12"/>
  <c r="AV23" i="12"/>
  <c r="BT23" i="12"/>
  <c r="AV47" i="12"/>
  <c r="BT47" i="12"/>
  <c r="AV270" i="12"/>
  <c r="BT270" i="12"/>
  <c r="AV207" i="12"/>
  <c r="BT207" i="12"/>
  <c r="AV169" i="12"/>
  <c r="BT169" i="12"/>
  <c r="AV326" i="12"/>
  <c r="BT326" i="12"/>
  <c r="AV18" i="12"/>
  <c r="BT18" i="12"/>
  <c r="AV178" i="12"/>
  <c r="BT178" i="12"/>
  <c r="AV35" i="12"/>
  <c r="BT35" i="12"/>
  <c r="AV151" i="12"/>
  <c r="BT151" i="12"/>
  <c r="AV43" i="12"/>
  <c r="BT43" i="12"/>
  <c r="AV193" i="12"/>
  <c r="BT193" i="12"/>
  <c r="AV40" i="12"/>
  <c r="BT40" i="12"/>
  <c r="AV53" i="12"/>
  <c r="BT53" i="12"/>
  <c r="AV168" i="12"/>
  <c r="BJ168" i="12"/>
  <c r="BK168" i="12"/>
  <c r="BX168" i="12"/>
  <c r="BT168" i="12"/>
  <c r="AV125" i="12"/>
  <c r="BT125" i="12"/>
  <c r="AV81" i="12"/>
  <c r="BT81" i="12"/>
  <c r="AV120" i="12"/>
  <c r="BT120" i="12"/>
  <c r="AV282" i="12"/>
  <c r="BT282" i="12"/>
  <c r="AV317" i="12"/>
  <c r="BT317" i="12"/>
  <c r="AV196" i="12"/>
  <c r="BT196" i="12"/>
  <c r="AV64" i="12"/>
  <c r="BT64" i="12"/>
  <c r="AV177" i="12"/>
  <c r="BT177" i="12"/>
  <c r="AV309" i="12"/>
  <c r="BT309" i="12"/>
  <c r="AV49" i="12"/>
  <c r="BT49" i="12"/>
  <c r="AV77" i="12"/>
  <c r="BT77" i="12"/>
  <c r="AV54" i="12"/>
  <c r="BT54" i="12"/>
  <c r="AV208" i="12"/>
  <c r="BJ208" i="12"/>
  <c r="BK208" i="12"/>
  <c r="BV208" i="12"/>
  <c r="BW208" i="12"/>
  <c r="BT208" i="12"/>
  <c r="AV143" i="12"/>
  <c r="BT143" i="12"/>
  <c r="AV279" i="12"/>
  <c r="BT279" i="12"/>
  <c r="AV136" i="12"/>
  <c r="BT136" i="12"/>
  <c r="AV113" i="12"/>
  <c r="BT113" i="12"/>
  <c r="AV72" i="12"/>
  <c r="BT72" i="12"/>
  <c r="AV321" i="12"/>
  <c r="BT321" i="12"/>
  <c r="AV39" i="12"/>
  <c r="BT39" i="12"/>
  <c r="AV148" i="12"/>
  <c r="BT148" i="12"/>
  <c r="AV165" i="12"/>
  <c r="BT165" i="12"/>
  <c r="AV132" i="12"/>
  <c r="BT132" i="12"/>
  <c r="AV46" i="12"/>
  <c r="BT46" i="12"/>
  <c r="AV79" i="12"/>
  <c r="BT79" i="12"/>
  <c r="AV50" i="12"/>
  <c r="BT50" i="12"/>
  <c r="AV89" i="12"/>
  <c r="BT89" i="12"/>
  <c r="AV135" i="12"/>
  <c r="BT135" i="12"/>
  <c r="AV283" i="12"/>
  <c r="BT283" i="12"/>
  <c r="AV36" i="12"/>
  <c r="BT36" i="12"/>
  <c r="AV308" i="12"/>
  <c r="BT308" i="12"/>
  <c r="AV85" i="12"/>
  <c r="BT85" i="12"/>
  <c r="AV4" i="12"/>
  <c r="BT4" i="12"/>
  <c r="AV281" i="12"/>
  <c r="BT281" i="12"/>
  <c r="AV140" i="12"/>
  <c r="BT140" i="12"/>
  <c r="AV34" i="12"/>
  <c r="BT34" i="12"/>
  <c r="BS32" i="12"/>
  <c r="AV106" i="12"/>
  <c r="BT106" i="12"/>
  <c r="AV134" i="12"/>
  <c r="BT134" i="12"/>
  <c r="AV184" i="12"/>
  <c r="BT184" i="12"/>
  <c r="AV10" i="12"/>
  <c r="BT10" i="12"/>
  <c r="AV80" i="12"/>
  <c r="BT80" i="12"/>
  <c r="AV56" i="12"/>
  <c r="BT56" i="12"/>
  <c r="AV292" i="12"/>
  <c r="BT292" i="12"/>
  <c r="AV73" i="12"/>
  <c r="BT73" i="12"/>
  <c r="AV44" i="12"/>
  <c r="BT44" i="12"/>
  <c r="AV141" i="12"/>
  <c r="BT141" i="12"/>
  <c r="AV93" i="12"/>
  <c r="BT93" i="12"/>
  <c r="BO162" i="12"/>
  <c r="BQ162" i="12"/>
  <c r="AV155" i="12"/>
  <c r="BT155" i="12"/>
  <c r="AV150" i="12"/>
  <c r="BT150" i="12"/>
  <c r="AV109" i="12"/>
  <c r="BT109" i="12"/>
  <c r="AV280" i="12"/>
  <c r="BT280" i="12"/>
  <c r="E35" i="14"/>
  <c r="F35" i="14"/>
  <c r="AV9" i="12"/>
  <c r="BT9" i="12"/>
  <c r="AV293" i="12"/>
  <c r="BT293" i="12"/>
  <c r="AV325" i="12"/>
  <c r="BT325" i="12"/>
  <c r="AV75" i="12"/>
  <c r="BT75" i="12"/>
  <c r="AV305" i="12"/>
  <c r="BT305" i="12"/>
  <c r="AV31" i="12"/>
  <c r="BT31" i="12"/>
  <c r="BC170" i="12"/>
  <c r="BD170" i="12"/>
  <c r="BA170" i="12"/>
  <c r="BB170" i="12"/>
  <c r="AX170" i="12"/>
  <c r="AY170" i="12"/>
  <c r="BR187" i="12"/>
  <c r="BU187" i="12"/>
  <c r="AV202" i="12"/>
  <c r="BT202" i="12"/>
  <c r="AV190" i="12"/>
  <c r="BT190" i="12"/>
  <c r="AV61" i="12"/>
  <c r="BT61" i="12"/>
  <c r="AY208" i="12"/>
  <c r="E29" i="14"/>
  <c r="F29" i="14"/>
  <c r="BR53" i="12"/>
  <c r="BU53" i="12"/>
  <c r="BO53" i="12"/>
  <c r="BQ53" i="12"/>
  <c r="AZ167" i="12"/>
  <c r="BJ167" i="12"/>
  <c r="BK167" i="12"/>
  <c r="BX167" i="12"/>
  <c r="BR14" i="12"/>
  <c r="BU14" i="12"/>
  <c r="E114" i="14"/>
  <c r="F114" i="14"/>
  <c r="BS69" i="12"/>
  <c r="BR162" i="12"/>
  <c r="BU162" i="12"/>
  <c r="BE162" i="12"/>
  <c r="BF67" i="12"/>
  <c r="BG67" i="12"/>
  <c r="BR88" i="12"/>
  <c r="BU88" i="12"/>
  <c r="BO88" i="12"/>
  <c r="BQ88" i="12"/>
  <c r="E51" i="14"/>
  <c r="F51" i="14"/>
  <c r="BF80" i="12"/>
  <c r="BG80" i="12"/>
  <c r="BO63" i="12"/>
  <c r="BQ63" i="12"/>
  <c r="AZ57" i="12"/>
  <c r="BF11" i="12"/>
  <c r="BG11" i="12"/>
  <c r="AY71" i="12"/>
  <c r="BE30" i="12"/>
  <c r="BH30" i="12"/>
  <c r="BE69" i="12"/>
  <c r="BH69" i="12"/>
  <c r="AZ42" i="12"/>
  <c r="BR35" i="12"/>
  <c r="BU35" i="12"/>
  <c r="BE35" i="12"/>
  <c r="BI35" i="12"/>
  <c r="BE9" i="12"/>
  <c r="BO9" i="12"/>
  <c r="BQ9" i="12"/>
  <c r="BR29" i="12"/>
  <c r="BU29" i="12"/>
  <c r="BF29" i="12"/>
  <c r="BG29" i="12"/>
  <c r="BF41" i="12"/>
  <c r="BG41" i="12"/>
  <c r="BC24" i="12"/>
  <c r="BD24" i="12"/>
  <c r="BA24" i="12"/>
  <c r="BB24" i="12"/>
  <c r="AX24" i="12"/>
  <c r="AY24" i="12"/>
  <c r="BF27" i="12"/>
  <c r="BG27" i="12"/>
  <c r="BR79" i="12"/>
  <c r="BU79" i="12"/>
  <c r="BE79" i="12"/>
  <c r="BH79" i="12"/>
  <c r="BO33" i="12"/>
  <c r="BQ33" i="12"/>
  <c r="BE45" i="12"/>
  <c r="BI45" i="12"/>
  <c r="AZ82" i="12"/>
  <c r="BC114" i="12"/>
  <c r="BD114" i="12"/>
  <c r="BA114" i="12"/>
  <c r="BB114" i="12"/>
  <c r="AX114" i="12"/>
  <c r="AZ114" i="12"/>
  <c r="BI32" i="12"/>
  <c r="BO45" i="12"/>
  <c r="BQ45" i="12"/>
  <c r="E25" i="14"/>
  <c r="F25" i="14"/>
  <c r="BG2" i="12"/>
  <c r="AY68" i="12"/>
  <c r="BH276" i="12"/>
  <c r="BE147" i="12"/>
  <c r="BI147" i="12"/>
  <c r="BO57" i="12"/>
  <c r="BQ57" i="12"/>
  <c r="BI120" i="12"/>
  <c r="BR93" i="12"/>
  <c r="BU93" i="12"/>
  <c r="BF93" i="12"/>
  <c r="BG93" i="12"/>
  <c r="BO85" i="12"/>
  <c r="BQ85" i="12"/>
  <c r="BS82" i="12"/>
  <c r="BF32" i="12"/>
  <c r="BG32" i="12"/>
  <c r="BE33" i="12"/>
  <c r="BI33" i="12"/>
  <c r="BC12" i="12"/>
  <c r="BD12" i="12"/>
  <c r="BA12" i="12"/>
  <c r="BB12" i="12"/>
  <c r="AX12" i="12"/>
  <c r="AZ12" i="12"/>
  <c r="BC282" i="12"/>
  <c r="BD282" i="12"/>
  <c r="BA282" i="12"/>
  <c r="BB282" i="12"/>
  <c r="AX282" i="12"/>
  <c r="AZ282" i="12"/>
  <c r="BR146" i="12"/>
  <c r="BU146" i="12"/>
  <c r="BF146" i="12"/>
  <c r="BG146" i="12"/>
  <c r="AY33" i="12"/>
  <c r="AY184" i="12"/>
  <c r="BE190" i="12"/>
  <c r="BH190" i="12"/>
  <c r="BC98" i="12"/>
  <c r="BD98" i="12"/>
  <c r="BA98" i="12"/>
  <c r="BB98" i="12"/>
  <c r="AX98" i="12"/>
  <c r="AZ98" i="12"/>
  <c r="BO120" i="12"/>
  <c r="BQ120" i="12"/>
  <c r="BC80" i="12"/>
  <c r="BD80" i="12"/>
  <c r="BA80" i="12"/>
  <c r="BB80" i="12"/>
  <c r="AX80" i="12"/>
  <c r="AY80" i="12"/>
  <c r="AY6" i="12"/>
  <c r="BE122" i="12"/>
  <c r="BH122" i="12"/>
  <c r="AY199" i="12"/>
  <c r="BC18" i="12"/>
  <c r="BD18" i="12"/>
  <c r="BA18" i="12"/>
  <c r="BB18" i="12"/>
  <c r="AX18" i="12"/>
  <c r="AZ18" i="12"/>
  <c r="AZ77" i="12"/>
  <c r="BS127" i="12"/>
  <c r="BR324" i="12"/>
  <c r="BU324" i="12"/>
  <c r="BF324" i="12"/>
  <c r="BG324" i="12"/>
  <c r="AZ116" i="12"/>
  <c r="BH67" i="12"/>
  <c r="BI67" i="12"/>
  <c r="BE308" i="12"/>
  <c r="BR296" i="12"/>
  <c r="BU296" i="12"/>
  <c r="BE296" i="12"/>
  <c r="BO324" i="12"/>
  <c r="BQ324" i="12"/>
  <c r="BF285" i="12"/>
  <c r="BG285" i="12"/>
  <c r="BS276" i="12"/>
  <c r="BE275" i="12"/>
  <c r="BH275" i="12"/>
  <c r="AY7" i="12"/>
  <c r="BO49" i="12"/>
  <c r="BQ49" i="12"/>
  <c r="BC293" i="12"/>
  <c r="BD293" i="12"/>
  <c r="BA293" i="12"/>
  <c r="BB293" i="12"/>
  <c r="AX293" i="12"/>
  <c r="AY293" i="12"/>
  <c r="BC325" i="12"/>
  <c r="BD325" i="12"/>
  <c r="BA325" i="12"/>
  <c r="BB325" i="12"/>
  <c r="AX325" i="12"/>
  <c r="AZ325" i="12"/>
  <c r="BE109" i="12"/>
  <c r="BE106" i="12"/>
  <c r="BH106" i="12"/>
  <c r="AZ147" i="12"/>
  <c r="BS116" i="12"/>
  <c r="BS274" i="12"/>
  <c r="BE84" i="12"/>
  <c r="BS133" i="12"/>
  <c r="BO308" i="12"/>
  <c r="BQ308" i="12"/>
  <c r="BR7" i="12"/>
  <c r="BU7" i="12"/>
  <c r="BF7" i="12"/>
  <c r="BG7" i="12"/>
  <c r="BO94" i="12"/>
  <c r="BQ94" i="12"/>
  <c r="BE89" i="12"/>
  <c r="BO42" i="12"/>
  <c r="BQ42" i="12"/>
  <c r="BS103" i="12"/>
  <c r="BR46" i="12"/>
  <c r="BU46" i="12"/>
  <c r="BE46" i="12"/>
  <c r="BH46" i="12"/>
  <c r="BC96" i="12"/>
  <c r="BD96" i="12"/>
  <c r="BA96" i="12"/>
  <c r="BB96" i="12"/>
  <c r="AX96" i="12"/>
  <c r="AZ96" i="12"/>
  <c r="BO285" i="12"/>
  <c r="BQ285" i="12"/>
  <c r="BR42" i="12"/>
  <c r="BU42" i="12"/>
  <c r="BF42" i="12"/>
  <c r="BG42" i="12"/>
  <c r="BS3" i="12"/>
  <c r="BF120" i="12"/>
  <c r="BG120" i="12"/>
  <c r="AZ32" i="12"/>
  <c r="BR113" i="12"/>
  <c r="BU113" i="12"/>
  <c r="BF113" i="12"/>
  <c r="BG113" i="12"/>
  <c r="BO92" i="12"/>
  <c r="BQ92" i="12"/>
  <c r="AY153" i="12"/>
  <c r="BH327" i="12"/>
  <c r="BR207" i="12"/>
  <c r="BU207" i="12"/>
  <c r="BE207" i="12"/>
  <c r="BO11" i="12"/>
  <c r="BQ11" i="12"/>
  <c r="BC136" i="12"/>
  <c r="BD136" i="12"/>
  <c r="BA136" i="12"/>
  <c r="BB136" i="12"/>
  <c r="AX136" i="12"/>
  <c r="AY136" i="12"/>
  <c r="BS145" i="12"/>
  <c r="BF143" i="12"/>
  <c r="BG143" i="12"/>
  <c r="BO81" i="12"/>
  <c r="BQ81" i="12"/>
  <c r="BR38" i="12"/>
  <c r="BU38" i="12"/>
  <c r="BF81" i="12"/>
  <c r="BG81" i="12"/>
  <c r="BC36" i="12"/>
  <c r="BD36" i="12"/>
  <c r="BA36" i="12"/>
  <c r="BB36" i="12"/>
  <c r="AX36" i="12"/>
  <c r="E36" i="14"/>
  <c r="F36" i="14"/>
  <c r="BO68" i="12"/>
  <c r="BQ68" i="12"/>
  <c r="BR68" i="12"/>
  <c r="BU68" i="12"/>
  <c r="BC143" i="12"/>
  <c r="BD143" i="12"/>
  <c r="BA143" i="12"/>
  <c r="BB143" i="12"/>
  <c r="AX143" i="12"/>
  <c r="AY143" i="12"/>
  <c r="BF145" i="12"/>
  <c r="BG145" i="12"/>
  <c r="BR28" i="12"/>
  <c r="BU28" i="12"/>
  <c r="BO28" i="12"/>
  <c r="BQ28" i="12"/>
  <c r="BH104" i="12"/>
  <c r="AY104" i="12"/>
  <c r="BE8" i="12"/>
  <c r="E68" i="14"/>
  <c r="F68" i="14"/>
  <c r="BO2" i="12"/>
  <c r="BQ2" i="12"/>
  <c r="BS199" i="12"/>
  <c r="BO113" i="12"/>
  <c r="BQ113" i="12"/>
  <c r="BC41" i="12"/>
  <c r="BD41" i="12"/>
  <c r="BA41" i="12"/>
  <c r="BB41" i="12"/>
  <c r="AX41" i="12"/>
  <c r="BS41" i="12"/>
  <c r="BO6" i="12"/>
  <c r="BQ6" i="12"/>
  <c r="BR6" i="12"/>
  <c r="BU6" i="12"/>
  <c r="BO60" i="12"/>
  <c r="BQ60" i="12"/>
  <c r="BR194" i="12"/>
  <c r="BU194" i="12"/>
  <c r="BE194" i="12"/>
  <c r="BI10" i="12"/>
  <c r="BR164" i="12"/>
  <c r="BU164" i="12"/>
  <c r="BF164" i="12"/>
  <c r="BG164" i="12"/>
  <c r="BO84" i="12"/>
  <c r="BQ84" i="12"/>
  <c r="BS123" i="12"/>
  <c r="E47" i="14"/>
  <c r="F47" i="14"/>
  <c r="AY52" i="12"/>
  <c r="E173" i="14"/>
  <c r="F173" i="14"/>
  <c r="E28" i="14"/>
  <c r="F28" i="14"/>
  <c r="BO52" i="12"/>
  <c r="BQ52" i="12"/>
  <c r="AY84" i="12"/>
  <c r="AZ84" i="12"/>
  <c r="BF52" i="12"/>
  <c r="BG52" i="12"/>
  <c r="BE52" i="12"/>
  <c r="BF10" i="12"/>
  <c r="BG10" i="12"/>
  <c r="BC280" i="12"/>
  <c r="BD280" i="12"/>
  <c r="BA280" i="12"/>
  <c r="BB280" i="12"/>
  <c r="AX280" i="12"/>
  <c r="AZ280" i="12"/>
  <c r="BO95" i="12"/>
  <c r="BQ95" i="12"/>
  <c r="BC20" i="12"/>
  <c r="BD20" i="12"/>
  <c r="BA20" i="12"/>
  <c r="BB20" i="12"/>
  <c r="AX20" i="12"/>
  <c r="BS20" i="12"/>
  <c r="BC10" i="12"/>
  <c r="BD10" i="12"/>
  <c r="BA10" i="12"/>
  <c r="BB10" i="12"/>
  <c r="AX10" i="12"/>
  <c r="AY10" i="12"/>
  <c r="BO147" i="12"/>
  <c r="BQ147" i="12"/>
  <c r="BF276" i="12"/>
  <c r="BG276" i="12"/>
  <c r="E79" i="14"/>
  <c r="F79" i="14"/>
  <c r="BS153" i="12"/>
  <c r="BO122" i="12"/>
  <c r="BQ122" i="12"/>
  <c r="BR149" i="12"/>
  <c r="BU149" i="12"/>
  <c r="BC125" i="12"/>
  <c r="BD125" i="12"/>
  <c r="BA125" i="12"/>
  <c r="BB125" i="12"/>
  <c r="AX125" i="12"/>
  <c r="AY125" i="12"/>
  <c r="BC283" i="12"/>
  <c r="BD283" i="12"/>
  <c r="BA283" i="12"/>
  <c r="BB283" i="12"/>
  <c r="AX283" i="12"/>
  <c r="AZ283" i="12"/>
  <c r="BS189" i="12"/>
  <c r="BO139" i="12"/>
  <c r="BQ139" i="12"/>
  <c r="AY323" i="12"/>
  <c r="E162" i="14"/>
  <c r="F162" i="14"/>
  <c r="BC202" i="12"/>
  <c r="BD202" i="12"/>
  <c r="BA202" i="12"/>
  <c r="BB202" i="12"/>
  <c r="AX202" i="12"/>
  <c r="BE139" i="12"/>
  <c r="BS172" i="12"/>
  <c r="BR326" i="12"/>
  <c r="BU326" i="12"/>
  <c r="E174" i="14"/>
  <c r="F174" i="14"/>
  <c r="BO184" i="12"/>
  <c r="BQ184" i="12"/>
  <c r="E92" i="14"/>
  <c r="F92" i="14"/>
  <c r="BR184" i="12"/>
  <c r="BU184" i="12"/>
  <c r="BO169" i="12"/>
  <c r="BQ169" i="12"/>
  <c r="E26" i="14"/>
  <c r="F26" i="14"/>
  <c r="BO50" i="12"/>
  <c r="BQ50" i="12"/>
  <c r="BR50" i="12"/>
  <c r="BU50" i="12"/>
  <c r="BC165" i="12"/>
  <c r="BD165" i="12"/>
  <c r="BA165" i="12"/>
  <c r="BB165" i="12"/>
  <c r="AX165" i="12"/>
  <c r="AZ165" i="12"/>
  <c r="BR134" i="12"/>
  <c r="BU134" i="12"/>
  <c r="BE134" i="12"/>
  <c r="BC54" i="12"/>
  <c r="BD54" i="12"/>
  <c r="BA54" i="12"/>
  <c r="BB54" i="12"/>
  <c r="AX54" i="12"/>
  <c r="BF90" i="12"/>
  <c r="BG90" i="12"/>
  <c r="BH90" i="12"/>
  <c r="BI102" i="12"/>
  <c r="BJ102" i="12"/>
  <c r="BK102" i="12"/>
  <c r="BV102" i="12"/>
  <c r="BW102" i="12"/>
  <c r="BR323" i="12"/>
  <c r="BU323" i="12"/>
  <c r="BS174" i="12"/>
  <c r="BO323" i="12"/>
  <c r="BQ323" i="12"/>
  <c r="AZ95" i="12"/>
  <c r="AY95" i="12"/>
  <c r="AV95" i="12"/>
  <c r="BF95" i="12"/>
  <c r="BG95" i="12"/>
  <c r="BE95" i="12"/>
  <c r="BC306" i="12"/>
  <c r="BD306" i="12"/>
  <c r="BA306" i="12"/>
  <c r="BB306" i="12"/>
  <c r="AX306" i="12"/>
  <c r="BS306" i="12"/>
  <c r="BR306" i="12"/>
  <c r="BU306" i="12"/>
  <c r="E143" i="14"/>
  <c r="F143" i="14"/>
  <c r="BO306" i="12"/>
  <c r="BQ306" i="12"/>
  <c r="BE54" i="12"/>
  <c r="BF54" i="12"/>
  <c r="BG54" i="12"/>
  <c r="BE65" i="12"/>
  <c r="BH65" i="12"/>
  <c r="BF327" i="12"/>
  <c r="BG327" i="12"/>
  <c r="BO327" i="12"/>
  <c r="BQ327" i="12"/>
  <c r="BR91" i="12"/>
  <c r="BU91" i="12"/>
  <c r="BF91" i="12"/>
  <c r="BG91" i="12"/>
  <c r="BE329" i="12"/>
  <c r="BC318" i="12"/>
  <c r="BD318" i="12"/>
  <c r="BA318" i="12"/>
  <c r="BB318" i="12"/>
  <c r="AX318" i="12"/>
  <c r="BS318" i="12"/>
  <c r="BO318" i="12"/>
  <c r="BQ318" i="12"/>
  <c r="BR318" i="12"/>
  <c r="BU318" i="12"/>
  <c r="E154" i="14"/>
  <c r="F154" i="14"/>
  <c r="BO206" i="12"/>
  <c r="BQ206" i="12"/>
  <c r="E113" i="14"/>
  <c r="F113" i="14"/>
  <c r="BR206" i="12"/>
  <c r="BU206" i="12"/>
  <c r="BS206" i="12"/>
  <c r="BC206" i="12"/>
  <c r="BD206" i="12"/>
  <c r="BA206" i="12"/>
  <c r="BB206" i="12"/>
  <c r="AX206" i="12"/>
  <c r="BR154" i="12"/>
  <c r="BU154" i="12"/>
  <c r="BO154" i="12"/>
  <c r="BQ154" i="12"/>
  <c r="BF272" i="12"/>
  <c r="BG272" i="12"/>
  <c r="BS288" i="12"/>
  <c r="X11" i="8"/>
  <c r="T42" i="8"/>
  <c r="AZ277" i="12"/>
  <c r="BO106" i="12"/>
  <c r="BQ106" i="12"/>
  <c r="BC109" i="12"/>
  <c r="BD109" i="12"/>
  <c r="BA109" i="12"/>
  <c r="BB109" i="12"/>
  <c r="AX109" i="12"/>
  <c r="AZ109" i="12"/>
  <c r="BS298" i="12"/>
  <c r="AY164" i="12"/>
  <c r="BC34" i="12"/>
  <c r="BD34" i="12"/>
  <c r="BA34" i="12"/>
  <c r="BB34" i="12"/>
  <c r="AX34" i="12"/>
  <c r="AY34" i="12"/>
  <c r="BE111" i="12"/>
  <c r="BH111" i="12"/>
  <c r="E157" i="14"/>
  <c r="F157" i="14"/>
  <c r="K171" i="14"/>
  <c r="BC185" i="12"/>
  <c r="BD185" i="12"/>
  <c r="BA185" i="12"/>
  <c r="BB185" i="12"/>
  <c r="AX185" i="12"/>
  <c r="AY185" i="12"/>
  <c r="BR321" i="12"/>
  <c r="BU321" i="12"/>
  <c r="BF321" i="12"/>
  <c r="BG321" i="12"/>
  <c r="BO129" i="12"/>
  <c r="BQ129" i="12"/>
  <c r="BS291" i="12"/>
  <c r="AZ190" i="12"/>
  <c r="K163" i="14"/>
  <c r="AY132" i="12"/>
  <c r="BR21" i="12"/>
  <c r="BU21" i="12"/>
  <c r="BE21" i="12"/>
  <c r="BR31" i="12"/>
  <c r="BU31" i="12"/>
  <c r="BE31" i="12"/>
  <c r="BC124" i="12"/>
  <c r="BD124" i="12"/>
  <c r="BA124" i="12"/>
  <c r="BB124" i="12"/>
  <c r="AX124" i="12"/>
  <c r="AY124" i="12"/>
  <c r="BR307" i="12"/>
  <c r="BU307" i="12"/>
  <c r="BF307" i="12"/>
  <c r="BG307" i="12"/>
  <c r="BR86" i="12"/>
  <c r="BU86" i="12"/>
  <c r="BO86" i="12"/>
  <c r="BQ86" i="12"/>
  <c r="E49" i="14"/>
  <c r="F49" i="14"/>
  <c r="BC86" i="12"/>
  <c r="BD86" i="12"/>
  <c r="BA86" i="12"/>
  <c r="BB86" i="12"/>
  <c r="AX86" i="12"/>
  <c r="BS86" i="12"/>
  <c r="AZ87" i="12"/>
  <c r="BJ87" i="12"/>
  <c r="BK87" i="12"/>
  <c r="BV87" i="12"/>
  <c r="BW87" i="12"/>
  <c r="BE319" i="12"/>
  <c r="BI319" i="12"/>
  <c r="BF313" i="12"/>
  <c r="BG313" i="12"/>
  <c r="BE108" i="12"/>
  <c r="BH108" i="12"/>
  <c r="E167" i="14"/>
  <c r="F167" i="14"/>
  <c r="AZ108" i="12"/>
  <c r="BC311" i="12"/>
  <c r="BD311" i="12"/>
  <c r="BA311" i="12"/>
  <c r="BB311" i="12"/>
  <c r="AX311" i="12"/>
  <c r="AZ311" i="12"/>
  <c r="BR23" i="12"/>
  <c r="BU23" i="12"/>
  <c r="BE23" i="12"/>
  <c r="AY178" i="12"/>
  <c r="AZ178" i="12"/>
  <c r="AY159" i="12"/>
  <c r="BO292" i="12"/>
  <c r="BQ292" i="12"/>
  <c r="BS286" i="12"/>
  <c r="BS322" i="12"/>
  <c r="E176" i="14"/>
  <c r="F176" i="14"/>
  <c r="BS289" i="12"/>
  <c r="BH178" i="12"/>
  <c r="AY282" i="12"/>
  <c r="BS130" i="12"/>
  <c r="BC130" i="12"/>
  <c r="BD130" i="12"/>
  <c r="BA130" i="12"/>
  <c r="BB130" i="12"/>
  <c r="AX130" i="12"/>
  <c r="BE273" i="12"/>
  <c r="BF273" i="12"/>
  <c r="BG273" i="12"/>
  <c r="BF63" i="12"/>
  <c r="BG63" i="12"/>
  <c r="BE63" i="12"/>
  <c r="BS112" i="12"/>
  <c r="BS313" i="12"/>
  <c r="BC313" i="12"/>
  <c r="BD313" i="12"/>
  <c r="BA313" i="12"/>
  <c r="BB313" i="12"/>
  <c r="AX313" i="12"/>
  <c r="BS16" i="12"/>
  <c r="BF200" i="12"/>
  <c r="BG200" i="12"/>
  <c r="BE200" i="12"/>
  <c r="BO307" i="12"/>
  <c r="BQ307" i="12"/>
  <c r="BC179" i="12"/>
  <c r="BD179" i="12"/>
  <c r="BA179" i="12"/>
  <c r="BB179" i="12"/>
  <c r="AX179" i="12"/>
  <c r="AY179" i="12"/>
  <c r="BO295" i="12"/>
  <c r="BQ295" i="12"/>
  <c r="BO108" i="12"/>
  <c r="BQ108" i="12"/>
  <c r="BR196" i="12"/>
  <c r="BU196" i="12"/>
  <c r="BE196" i="12"/>
  <c r="BI125" i="12"/>
  <c r="BH125" i="12"/>
  <c r="AZ276" i="12"/>
  <c r="AY276" i="12"/>
  <c r="AZ89" i="12"/>
  <c r="AY89" i="12"/>
  <c r="BS173" i="12"/>
  <c r="BC173" i="12"/>
  <c r="BD173" i="12"/>
  <c r="BA173" i="12"/>
  <c r="BB173" i="12"/>
  <c r="AX173" i="12"/>
  <c r="E83" i="14"/>
  <c r="F83" i="14"/>
  <c r="BO173" i="12"/>
  <c r="BQ173" i="12"/>
  <c r="BR173" i="12"/>
  <c r="BU173" i="12"/>
  <c r="BR157" i="12"/>
  <c r="BU157" i="12"/>
  <c r="BF157" i="12"/>
  <c r="BG157" i="12"/>
  <c r="E103" i="14"/>
  <c r="F103" i="14"/>
  <c r="AY189" i="12"/>
  <c r="AZ189" i="12"/>
  <c r="BC111" i="12"/>
  <c r="BD111" i="12"/>
  <c r="BA111" i="12"/>
  <c r="BB111" i="12"/>
  <c r="AX111" i="12"/>
  <c r="BS111" i="12"/>
  <c r="BF317" i="12"/>
  <c r="BG317" i="12"/>
  <c r="BE317" i="12"/>
  <c r="E90" i="14"/>
  <c r="F90" i="14"/>
  <c r="BS301" i="12"/>
  <c r="G167" i="14"/>
  <c r="K167" i="14"/>
  <c r="AZ49" i="12"/>
  <c r="AY49" i="12"/>
  <c r="BF49" i="12"/>
  <c r="BG49" i="12"/>
  <c r="BE49" i="12"/>
  <c r="BR182" i="12"/>
  <c r="BU182" i="12"/>
  <c r="BE182" i="12"/>
  <c r="BH70" i="12"/>
  <c r="BO141" i="12"/>
  <c r="BQ141" i="12"/>
  <c r="BF70" i="12"/>
  <c r="BG70" i="12"/>
  <c r="BJ97" i="12"/>
  <c r="BK97" i="12"/>
  <c r="BV97" i="12"/>
  <c r="BW97" i="12"/>
  <c r="BF207" i="12"/>
  <c r="BG207" i="12"/>
  <c r="T33" i="8"/>
  <c r="T40" i="8"/>
  <c r="BF170" i="12"/>
  <c r="BG170" i="12"/>
  <c r="BE170" i="12"/>
  <c r="BE176" i="12"/>
  <c r="BF176" i="12"/>
  <c r="BG176" i="12"/>
  <c r="AY207" i="12"/>
  <c r="AZ207" i="12"/>
  <c r="AZ170" i="12"/>
  <c r="BI166" i="12"/>
  <c r="BE74" i="12"/>
  <c r="BF74" i="12"/>
  <c r="BG74" i="12"/>
  <c r="BS302" i="12"/>
  <c r="BS294" i="12"/>
  <c r="BC294" i="12"/>
  <c r="BD294" i="12"/>
  <c r="BA294" i="12"/>
  <c r="BB294" i="12"/>
  <c r="AX294" i="12"/>
  <c r="BO294" i="12"/>
  <c r="BQ294" i="12"/>
  <c r="BR294" i="12"/>
  <c r="BU294" i="12"/>
  <c r="AZ74" i="12"/>
  <c r="AY74" i="12"/>
  <c r="AZ140" i="12"/>
  <c r="BJ328" i="12"/>
  <c r="BK328" i="12"/>
  <c r="BX328" i="12"/>
  <c r="AZ281" i="12"/>
  <c r="AY281" i="12"/>
  <c r="BR292" i="12"/>
  <c r="BU292" i="12"/>
  <c r="BE292" i="12"/>
  <c r="BI72" i="12"/>
  <c r="BH72" i="12"/>
  <c r="BS110" i="12"/>
  <c r="BC110" i="12"/>
  <c r="BD110" i="12"/>
  <c r="BA110" i="12"/>
  <c r="BB110" i="12"/>
  <c r="AX110" i="12"/>
  <c r="BE271" i="12"/>
  <c r="BF271" i="12"/>
  <c r="BG271" i="12"/>
  <c r="E179" i="14"/>
  <c r="F179" i="14"/>
  <c r="BH143" i="12"/>
  <c r="BI143" i="12"/>
  <c r="BE270" i="12"/>
  <c r="BF270" i="12"/>
  <c r="BG270" i="12"/>
  <c r="BR110" i="12"/>
  <c r="BU110" i="12"/>
  <c r="BO110" i="12"/>
  <c r="BQ110" i="12"/>
  <c r="BE83" i="12"/>
  <c r="BF83" i="12"/>
  <c r="BG83" i="12"/>
  <c r="BI20" i="12"/>
  <c r="BH20" i="12"/>
  <c r="BF281" i="12"/>
  <c r="BG281" i="12"/>
  <c r="BE281" i="12"/>
  <c r="AY271" i="12"/>
  <c r="AZ271" i="12"/>
  <c r="AY270" i="12"/>
  <c r="AZ270" i="12"/>
  <c r="BH282" i="12"/>
  <c r="BI282" i="12"/>
  <c r="BC107" i="12"/>
  <c r="BD107" i="12"/>
  <c r="BA107" i="12"/>
  <c r="BB107" i="12"/>
  <c r="AX107" i="12"/>
  <c r="BS107" i="12"/>
  <c r="AZ83" i="12"/>
  <c r="AY83" i="12"/>
  <c r="BI131" i="12"/>
  <c r="BH131" i="12"/>
  <c r="BR107" i="12"/>
  <c r="BU107" i="12"/>
  <c r="BO107" i="12"/>
  <c r="BQ107" i="12"/>
  <c r="E54" i="14"/>
  <c r="F54" i="14"/>
  <c r="BF48" i="12"/>
  <c r="BG48" i="12"/>
  <c r="BE48" i="12"/>
  <c r="BR140" i="12"/>
  <c r="BU140" i="12"/>
  <c r="BO140" i="12"/>
  <c r="BQ140" i="12"/>
  <c r="E150" i="14"/>
  <c r="F150" i="14"/>
  <c r="BO314" i="12"/>
  <c r="BQ314" i="12"/>
  <c r="BR314" i="12"/>
  <c r="BU314" i="12"/>
  <c r="BR299" i="12"/>
  <c r="BU299" i="12"/>
  <c r="E136" i="14"/>
  <c r="F136" i="14"/>
  <c r="BO299" i="12"/>
  <c r="BQ299" i="12"/>
  <c r="AY309" i="12"/>
  <c r="AZ309" i="12"/>
  <c r="BC148" i="12"/>
  <c r="BD148" i="12"/>
  <c r="BA148" i="12"/>
  <c r="BB148" i="12"/>
  <c r="AX148" i="12"/>
  <c r="AY148" i="12"/>
  <c r="BC314" i="12"/>
  <c r="BD314" i="12"/>
  <c r="BA314" i="12"/>
  <c r="BB314" i="12"/>
  <c r="AX314" i="12"/>
  <c r="BS314" i="12"/>
  <c r="BF12" i="12"/>
  <c r="BG12" i="12"/>
  <c r="BE12" i="12"/>
  <c r="AY127" i="12"/>
  <c r="AZ127" i="12"/>
  <c r="BE309" i="12"/>
  <c r="BF309" i="12"/>
  <c r="BG309" i="12"/>
  <c r="AY209" i="12"/>
  <c r="AZ209" i="12"/>
  <c r="BI136" i="12"/>
  <c r="BH136" i="12"/>
  <c r="BI133" i="12"/>
  <c r="BH133" i="12"/>
  <c r="BR137" i="12"/>
  <c r="BU137" i="12"/>
  <c r="BO137" i="12"/>
  <c r="BQ137" i="12"/>
  <c r="BC158" i="12"/>
  <c r="BD158" i="12"/>
  <c r="BA158" i="12"/>
  <c r="BB158" i="12"/>
  <c r="AX158" i="12"/>
  <c r="AY158" i="12"/>
  <c r="AZ274" i="12"/>
  <c r="AY274" i="12"/>
  <c r="BI280" i="12"/>
  <c r="BH280" i="12"/>
  <c r="BH36" i="12"/>
  <c r="BI36" i="12"/>
  <c r="BI283" i="12"/>
  <c r="BH283" i="12"/>
  <c r="BF127" i="12"/>
  <c r="BG127" i="12"/>
  <c r="BE127" i="12"/>
  <c r="BS137" i="12"/>
  <c r="BC137" i="12"/>
  <c r="BD137" i="12"/>
  <c r="BA137" i="12"/>
  <c r="BB137" i="12"/>
  <c r="AX137" i="12"/>
  <c r="BI285" i="12"/>
  <c r="BH285" i="12"/>
  <c r="BH202" i="12"/>
  <c r="BI202" i="12"/>
  <c r="BF274" i="12"/>
  <c r="BG274" i="12"/>
  <c r="BE274" i="12"/>
  <c r="BF209" i="12"/>
  <c r="BG209" i="12"/>
  <c r="BE209" i="12"/>
  <c r="BI96" i="12"/>
  <c r="BH96" i="12"/>
  <c r="BF4" i="12"/>
  <c r="BG4" i="12"/>
  <c r="BE4" i="12"/>
  <c r="BF141" i="12"/>
  <c r="BG141" i="12"/>
  <c r="BE141" i="12"/>
  <c r="BC180" i="12"/>
  <c r="BD180" i="12"/>
  <c r="BA180" i="12"/>
  <c r="BB180" i="12"/>
  <c r="AX180" i="12"/>
  <c r="BS180" i="12"/>
  <c r="AY93" i="12"/>
  <c r="AZ93" i="12"/>
  <c r="AY279" i="12"/>
  <c r="AZ279" i="12"/>
  <c r="BE325" i="12"/>
  <c r="BF325" i="12"/>
  <c r="BG325" i="12"/>
  <c r="AZ29" i="12"/>
  <c r="AY29" i="12"/>
  <c r="AY4" i="12"/>
  <c r="AZ4" i="12"/>
  <c r="BI79" i="12"/>
  <c r="E88" i="14"/>
  <c r="F88" i="14"/>
  <c r="BR180" i="12"/>
  <c r="BU180" i="12"/>
  <c r="BO180" i="12"/>
  <c r="BQ180" i="12"/>
  <c r="E182" i="14"/>
  <c r="F182" i="14"/>
  <c r="BF279" i="12"/>
  <c r="BG279" i="12"/>
  <c r="BE279" i="12"/>
  <c r="BH77" i="12"/>
  <c r="BI77" i="12"/>
  <c r="AZ141" i="12"/>
  <c r="AY141" i="12"/>
  <c r="BC299" i="12"/>
  <c r="BD299" i="12"/>
  <c r="BA299" i="12"/>
  <c r="BB299" i="12"/>
  <c r="AX299" i="12"/>
  <c r="BS299" i="12"/>
  <c r="BJ150" i="12"/>
  <c r="BK150" i="12"/>
  <c r="BJ101" i="12"/>
  <c r="BK101" i="12"/>
  <c r="BV101" i="12"/>
  <c r="BW101" i="12"/>
  <c r="AY322" i="12"/>
  <c r="AZ322" i="12"/>
  <c r="AY64" i="12"/>
  <c r="AZ64" i="12"/>
  <c r="AY289" i="12"/>
  <c r="AZ289" i="12"/>
  <c r="AZ16" i="12"/>
  <c r="AY16" i="12"/>
  <c r="AY193" i="12"/>
  <c r="AZ193" i="12"/>
  <c r="AV119" i="12"/>
  <c r="BO19" i="12"/>
  <c r="BQ19" i="12"/>
  <c r="BR19" i="12"/>
  <c r="BU19" i="12"/>
  <c r="BS183" i="12"/>
  <c r="BC183" i="12"/>
  <c r="BD183" i="12"/>
  <c r="BA183" i="12"/>
  <c r="BB183" i="12"/>
  <c r="AX183" i="12"/>
  <c r="BE40" i="12"/>
  <c r="BF40" i="12"/>
  <c r="BG40" i="12"/>
  <c r="BR25" i="12"/>
  <c r="BU25" i="12"/>
  <c r="BO25" i="12"/>
  <c r="BQ25" i="12"/>
  <c r="BO188" i="12"/>
  <c r="BQ188" i="12"/>
  <c r="E96" i="14"/>
  <c r="F96" i="14"/>
  <c r="BR188" i="12"/>
  <c r="BU188" i="12"/>
  <c r="AZ26" i="12"/>
  <c r="AY26" i="12"/>
  <c r="AY47" i="12"/>
  <c r="AZ47" i="12"/>
  <c r="BH169" i="12"/>
  <c r="BI169" i="12"/>
  <c r="BI59" i="12"/>
  <c r="BH59" i="12"/>
  <c r="BE177" i="12"/>
  <c r="BF177" i="12"/>
  <c r="BG177" i="12"/>
  <c r="BI92" i="12"/>
  <c r="BH92" i="12"/>
  <c r="AY286" i="12"/>
  <c r="AZ286" i="12"/>
  <c r="BE43" i="12"/>
  <c r="BF43" i="12"/>
  <c r="BG43" i="12"/>
  <c r="AZ21" i="12"/>
  <c r="AY21" i="12"/>
  <c r="BS13" i="12"/>
  <c r="BC13" i="12"/>
  <c r="BD13" i="12"/>
  <c r="BA13" i="12"/>
  <c r="BB13" i="12"/>
  <c r="AX13" i="12"/>
  <c r="AY43" i="12"/>
  <c r="AZ43" i="12"/>
  <c r="BF73" i="12"/>
  <c r="BG73" i="12"/>
  <c r="BE73" i="12"/>
  <c r="BS15" i="12"/>
  <c r="BC15" i="12"/>
  <c r="BD15" i="12"/>
  <c r="BA15" i="12"/>
  <c r="BB15" i="12"/>
  <c r="AX15" i="12"/>
  <c r="AY112" i="12"/>
  <c r="AZ112" i="12"/>
  <c r="AY119" i="12"/>
  <c r="AZ119" i="12"/>
  <c r="BI135" i="12"/>
  <c r="BH135" i="12"/>
  <c r="BF305" i="12"/>
  <c r="BG305" i="12"/>
  <c r="BE305" i="12"/>
  <c r="BS19" i="12"/>
  <c r="BC19" i="12"/>
  <c r="BD19" i="12"/>
  <c r="BA19" i="12"/>
  <c r="BB19" i="12"/>
  <c r="AX19" i="12"/>
  <c r="AZ39" i="12"/>
  <c r="AY39" i="12"/>
  <c r="BF18" i="12"/>
  <c r="BG18" i="12"/>
  <c r="BE18" i="12"/>
  <c r="BS117" i="12"/>
  <c r="BC117" i="12"/>
  <c r="BD117" i="12"/>
  <c r="BA117" i="12"/>
  <c r="BB117" i="12"/>
  <c r="AX117" i="12"/>
  <c r="AZ151" i="12"/>
  <c r="AY151" i="12"/>
  <c r="BJ99" i="12"/>
  <c r="BK99" i="12"/>
  <c r="BX99" i="12"/>
  <c r="BH41" i="12"/>
  <c r="BI41" i="12"/>
  <c r="E141" i="14"/>
  <c r="F141" i="14"/>
  <c r="BR304" i="12"/>
  <c r="BU304" i="12"/>
  <c r="BO304" i="12"/>
  <c r="BQ304" i="12"/>
  <c r="BH71" i="12"/>
  <c r="BI71" i="12"/>
  <c r="BR13" i="12"/>
  <c r="BU13" i="12"/>
  <c r="BO13" i="12"/>
  <c r="BQ13" i="12"/>
  <c r="BE311" i="12"/>
  <c r="BF311" i="12"/>
  <c r="BG311" i="12"/>
  <c r="BS17" i="12"/>
  <c r="BC17" i="12"/>
  <c r="BD17" i="12"/>
  <c r="BA17" i="12"/>
  <c r="BB17" i="12"/>
  <c r="AX17" i="12"/>
  <c r="BE34" i="12"/>
  <c r="BF34" i="12"/>
  <c r="BG34" i="12"/>
  <c r="BO15" i="12"/>
  <c r="BQ15" i="12"/>
  <c r="BR15" i="12"/>
  <c r="BU15" i="12"/>
  <c r="AY23" i="12"/>
  <c r="AZ23" i="12"/>
  <c r="BF39" i="12"/>
  <c r="BG39" i="12"/>
  <c r="BE39" i="12"/>
  <c r="BI30" i="12"/>
  <c r="BR22" i="12"/>
  <c r="BU22" i="12"/>
  <c r="BO22" i="12"/>
  <c r="BQ22" i="12"/>
  <c r="BF185" i="12"/>
  <c r="BG185" i="12"/>
  <c r="BE185" i="12"/>
  <c r="AY75" i="12"/>
  <c r="AZ75" i="12"/>
  <c r="BS304" i="12"/>
  <c r="BC304" i="12"/>
  <c r="BD304" i="12"/>
  <c r="BA304" i="12"/>
  <c r="BB304" i="12"/>
  <c r="AX304" i="12"/>
  <c r="BF286" i="12"/>
  <c r="BG286" i="12"/>
  <c r="BE286" i="12"/>
  <c r="BE56" i="12"/>
  <c r="BF56" i="12"/>
  <c r="BG56" i="12"/>
  <c r="AY296" i="12"/>
  <c r="AZ296" i="12"/>
  <c r="AZ91" i="12"/>
  <c r="AY91" i="12"/>
  <c r="BR17" i="12"/>
  <c r="BU17" i="12"/>
  <c r="BO17" i="12"/>
  <c r="BQ17" i="12"/>
  <c r="BE16" i="12"/>
  <c r="BF16" i="12"/>
  <c r="BG16" i="12"/>
  <c r="BE112" i="12"/>
  <c r="BF112" i="12"/>
  <c r="BG112" i="12"/>
  <c r="BH293" i="12"/>
  <c r="BI293" i="12"/>
  <c r="AZ31" i="12"/>
  <c r="AY31" i="12"/>
  <c r="BF47" i="12"/>
  <c r="BG47" i="12"/>
  <c r="BE47" i="12"/>
  <c r="BF204" i="12"/>
  <c r="BG204" i="12"/>
  <c r="BE204" i="12"/>
  <c r="BS312" i="12"/>
  <c r="BC312" i="12"/>
  <c r="BD312" i="12"/>
  <c r="BA312" i="12"/>
  <c r="BB312" i="12"/>
  <c r="AX312" i="12"/>
  <c r="BS144" i="12"/>
  <c r="BC144" i="12"/>
  <c r="BD144" i="12"/>
  <c r="BA144" i="12"/>
  <c r="BB144" i="12"/>
  <c r="AX144" i="12"/>
  <c r="BI172" i="12"/>
  <c r="BS22" i="12"/>
  <c r="BC22" i="12"/>
  <c r="BD22" i="12"/>
  <c r="BA22" i="12"/>
  <c r="BB22" i="12"/>
  <c r="AX22" i="12"/>
  <c r="BO142" i="12"/>
  <c r="BQ142" i="12"/>
  <c r="BH145" i="12"/>
  <c r="BI145" i="12"/>
  <c r="AY56" i="12"/>
  <c r="AZ56" i="12"/>
  <c r="BH85" i="12"/>
  <c r="BI85" i="12"/>
  <c r="BE26" i="12"/>
  <c r="BF26" i="12"/>
  <c r="BG26" i="12"/>
  <c r="BH155" i="12"/>
  <c r="BI155" i="12"/>
  <c r="AY295" i="12"/>
  <c r="AZ295" i="12"/>
  <c r="AV296" i="12"/>
  <c r="AY73" i="12"/>
  <c r="AZ73" i="12"/>
  <c r="BI122" i="12"/>
  <c r="BF322" i="12"/>
  <c r="BG322" i="12"/>
  <c r="BE322" i="12"/>
  <c r="AZ44" i="12"/>
  <c r="AY44" i="12"/>
  <c r="BF119" i="12"/>
  <c r="BG119" i="12"/>
  <c r="BE119" i="12"/>
  <c r="BO312" i="12"/>
  <c r="BQ312" i="12"/>
  <c r="BR312" i="12"/>
  <c r="BU312" i="12"/>
  <c r="BR144" i="12"/>
  <c r="BU144" i="12"/>
  <c r="BO144" i="12"/>
  <c r="BQ144" i="12"/>
  <c r="AY292" i="12"/>
  <c r="AZ292" i="12"/>
  <c r="BE62" i="12"/>
  <c r="BF62" i="12"/>
  <c r="BG62" i="12"/>
  <c r="BH11" i="12"/>
  <c r="BI11" i="12"/>
  <c r="AY321" i="12"/>
  <c r="AZ321" i="12"/>
  <c r="BI116" i="12"/>
  <c r="BH116" i="12"/>
  <c r="AY204" i="12"/>
  <c r="AZ204" i="12"/>
  <c r="AZ177" i="12"/>
  <c r="AY177" i="12"/>
  <c r="BE289" i="12"/>
  <c r="BF289" i="12"/>
  <c r="BG289" i="12"/>
  <c r="BH152" i="12"/>
  <c r="BI152" i="12"/>
  <c r="BH61" i="12"/>
  <c r="BI61" i="12"/>
  <c r="BO197" i="12"/>
  <c r="BQ197" i="12"/>
  <c r="E104" i="14"/>
  <c r="F104" i="14"/>
  <c r="BR197" i="12"/>
  <c r="BU197" i="12"/>
  <c r="BE64" i="12"/>
  <c r="BF64" i="12"/>
  <c r="BG64" i="12"/>
  <c r="BI199" i="12"/>
  <c r="BH199" i="12"/>
  <c r="AY305" i="12"/>
  <c r="AZ305" i="12"/>
  <c r="AZ62" i="12"/>
  <c r="AY62" i="12"/>
  <c r="BH132" i="12"/>
  <c r="BI132" i="12"/>
  <c r="BE151" i="12"/>
  <c r="BF151" i="12"/>
  <c r="BG151" i="12"/>
  <c r="BF44" i="12"/>
  <c r="BG44" i="12"/>
  <c r="BE44" i="12"/>
  <c r="BF193" i="12"/>
  <c r="BG193" i="12"/>
  <c r="BE193" i="12"/>
  <c r="AY194" i="12"/>
  <c r="AZ194" i="12"/>
  <c r="BH78" i="12"/>
  <c r="BI78" i="12"/>
  <c r="AZ40" i="12"/>
  <c r="AY40" i="12"/>
  <c r="BS197" i="12"/>
  <c r="BC197" i="12"/>
  <c r="BD197" i="12"/>
  <c r="BA197" i="12"/>
  <c r="BB197" i="12"/>
  <c r="AX197" i="12"/>
  <c r="E147" i="14"/>
  <c r="F147" i="14"/>
  <c r="BR310" i="12"/>
  <c r="BU310" i="12"/>
  <c r="BO310" i="12"/>
  <c r="BQ310" i="12"/>
  <c r="BJ100" i="12"/>
  <c r="BK100" i="12"/>
  <c r="BV100" i="12"/>
  <c r="BW100" i="12"/>
  <c r="AZ196" i="12"/>
  <c r="AY196" i="12"/>
  <c r="BO117" i="12"/>
  <c r="BQ117" i="12"/>
  <c r="E62" i="14"/>
  <c r="F62" i="14"/>
  <c r="BR117" i="12"/>
  <c r="BU117" i="12"/>
  <c r="BF295" i="12"/>
  <c r="BG295" i="12"/>
  <c r="BE295" i="12"/>
  <c r="BH37" i="12"/>
  <c r="BI37" i="12"/>
  <c r="BC188" i="12"/>
  <c r="BD188" i="12"/>
  <c r="BA188" i="12"/>
  <c r="BB188" i="12"/>
  <c r="AX188" i="12"/>
  <c r="BS188" i="12"/>
  <c r="BI277" i="12"/>
  <c r="BH277" i="12"/>
  <c r="BI308" i="12"/>
  <c r="BH308" i="12"/>
  <c r="BE148" i="12"/>
  <c r="BF148" i="12"/>
  <c r="BG148" i="12"/>
  <c r="BH80" i="12"/>
  <c r="BI80" i="12"/>
  <c r="BH103" i="12"/>
  <c r="BI103" i="12"/>
  <c r="E91" i="14"/>
  <c r="F91" i="14"/>
  <c r="BO183" i="12"/>
  <c r="BQ183" i="12"/>
  <c r="BR183" i="12"/>
  <c r="BU183" i="12"/>
  <c r="BE75" i="12"/>
  <c r="BF75" i="12"/>
  <c r="BG75" i="12"/>
  <c r="BS25" i="12"/>
  <c r="BC25" i="12"/>
  <c r="BD25" i="12"/>
  <c r="BA25" i="12"/>
  <c r="BB25" i="12"/>
  <c r="AX25" i="12"/>
  <c r="BC310" i="12"/>
  <c r="BD310" i="12"/>
  <c r="BA310" i="12"/>
  <c r="BB310" i="12"/>
  <c r="AX310" i="12"/>
  <c r="BS310" i="12"/>
  <c r="AZ300" i="12"/>
  <c r="AY300" i="12"/>
  <c r="AZ24" i="12"/>
  <c r="AZ157" i="12"/>
  <c r="AY157" i="12"/>
  <c r="AZ186" i="12"/>
  <c r="AY186" i="12"/>
  <c r="AY203" i="12"/>
  <c r="AZ203" i="12"/>
  <c r="AZ191" i="12"/>
  <c r="AY191" i="12"/>
  <c r="AZ142" i="12"/>
  <c r="AY142" i="12"/>
  <c r="AZ174" i="12"/>
  <c r="AY174" i="12"/>
  <c r="AY105" i="12"/>
  <c r="AZ105" i="12"/>
  <c r="AY58" i="12"/>
  <c r="AZ58" i="12"/>
  <c r="AY76" i="12"/>
  <c r="AZ76" i="12"/>
  <c r="AZ55" i="12"/>
  <c r="AY55" i="12"/>
  <c r="AZ66" i="12"/>
  <c r="AY66" i="12"/>
  <c r="AY302" i="12"/>
  <c r="AZ302" i="12"/>
  <c r="AZ315" i="12"/>
  <c r="AY315" i="12"/>
  <c r="AZ320" i="12"/>
  <c r="AY320" i="12"/>
  <c r="AY195" i="12"/>
  <c r="AZ195" i="12"/>
  <c r="AZ5" i="12"/>
  <c r="AY5" i="12"/>
  <c r="AY156" i="12"/>
  <c r="AZ156" i="12"/>
  <c r="AY175" i="12"/>
  <c r="AZ175" i="12"/>
  <c r="AY201" i="12"/>
  <c r="AZ201" i="12"/>
  <c r="AZ288" i="12"/>
  <c r="AY288" i="12"/>
  <c r="AZ291" i="12"/>
  <c r="AY291" i="12"/>
  <c r="AZ290" i="12"/>
  <c r="AY290" i="12"/>
  <c r="AY316" i="12"/>
  <c r="AZ316" i="12"/>
  <c r="AZ181" i="12"/>
  <c r="AY181" i="12"/>
  <c r="AZ51" i="12"/>
  <c r="AY51" i="12"/>
  <c r="AZ307" i="12"/>
  <c r="AY307" i="12"/>
  <c r="AY129" i="12"/>
  <c r="AZ129" i="12"/>
  <c r="AY198" i="12"/>
  <c r="AZ198" i="12"/>
  <c r="AY182" i="12"/>
  <c r="AZ182" i="12"/>
  <c r="AY171" i="12"/>
  <c r="AZ171" i="12"/>
  <c r="BS138" i="12"/>
  <c r="BT138" i="12"/>
  <c r="BC138" i="12"/>
  <c r="BD138" i="12"/>
  <c r="BA138" i="12"/>
  <c r="BB138" i="12"/>
  <c r="AX138" i="12"/>
  <c r="AV315" i="12"/>
  <c r="BF320" i="12"/>
  <c r="BG320" i="12"/>
  <c r="BE320" i="12"/>
  <c r="AV157" i="12"/>
  <c r="AV186" i="12"/>
  <c r="AV156" i="12"/>
  <c r="BR287" i="12"/>
  <c r="BU287" i="12"/>
  <c r="BO287" i="12"/>
  <c r="BQ287" i="12"/>
  <c r="E129" i="14"/>
  <c r="F129" i="14"/>
  <c r="E60" i="14"/>
  <c r="F60" i="14"/>
  <c r="BO115" i="12"/>
  <c r="BQ115" i="12"/>
  <c r="BR115" i="12"/>
  <c r="BU115" i="12"/>
  <c r="AV129" i="12"/>
  <c r="BR138" i="12"/>
  <c r="BU138" i="12"/>
  <c r="BO138" i="12"/>
  <c r="BQ138" i="12"/>
  <c r="AV118" i="12"/>
  <c r="BI130" i="12"/>
  <c r="BH130" i="12"/>
  <c r="BF198" i="12"/>
  <c r="BG198" i="12"/>
  <c r="BE198" i="12"/>
  <c r="BH159" i="12"/>
  <c r="BI159" i="12"/>
  <c r="BF203" i="12"/>
  <c r="BG203" i="12"/>
  <c r="BE203" i="12"/>
  <c r="AV24" i="12"/>
  <c r="BS163" i="12"/>
  <c r="BT163" i="12"/>
  <c r="BC163" i="12"/>
  <c r="BD163" i="12"/>
  <c r="BA163" i="12"/>
  <c r="BB163" i="12"/>
  <c r="AX163" i="12"/>
  <c r="AV316" i="12"/>
  <c r="BI165" i="12"/>
  <c r="BH165" i="12"/>
  <c r="BH272" i="12"/>
  <c r="BI272" i="12"/>
  <c r="BF186" i="12"/>
  <c r="BG186" i="12"/>
  <c r="BE186" i="12"/>
  <c r="BH27" i="12"/>
  <c r="BI27" i="12"/>
  <c r="BI57" i="12"/>
  <c r="BH57" i="12"/>
  <c r="BS287" i="12"/>
  <c r="BT287" i="12"/>
  <c r="BC287" i="12"/>
  <c r="BD287" i="12"/>
  <c r="BA287" i="12"/>
  <c r="BB287" i="12"/>
  <c r="AX287" i="12"/>
  <c r="BS115" i="12"/>
  <c r="BT115" i="12"/>
  <c r="BC115" i="12"/>
  <c r="BD115" i="12"/>
  <c r="BA115" i="12"/>
  <c r="BB115" i="12"/>
  <c r="AX115" i="12"/>
  <c r="BI153" i="12"/>
  <c r="BH153" i="12"/>
  <c r="BI160" i="12"/>
  <c r="BH160" i="12"/>
  <c r="BE124" i="12"/>
  <c r="BF124" i="12"/>
  <c r="BG124" i="12"/>
  <c r="BE201" i="12"/>
  <c r="BF201" i="12"/>
  <c r="BG201" i="12"/>
  <c r="AV201" i="12"/>
  <c r="AV66" i="12"/>
  <c r="BE288" i="12"/>
  <c r="BF288" i="12"/>
  <c r="BG288" i="12"/>
  <c r="BE179" i="12"/>
  <c r="BF179" i="12"/>
  <c r="BG179" i="12"/>
  <c r="AV290" i="12"/>
  <c r="BR163" i="12"/>
  <c r="BU163" i="12"/>
  <c r="BO163" i="12"/>
  <c r="BQ163" i="12"/>
  <c r="E74" i="14"/>
  <c r="F74" i="14"/>
  <c r="BF51" i="12"/>
  <c r="BG51" i="12"/>
  <c r="BE51" i="12"/>
  <c r="AZ161" i="12"/>
  <c r="AY161" i="12"/>
  <c r="BS297" i="12"/>
  <c r="BT297" i="12"/>
  <c r="BC297" i="12"/>
  <c r="BD297" i="12"/>
  <c r="BA297" i="12"/>
  <c r="BB297" i="12"/>
  <c r="AX297" i="12"/>
  <c r="AV105" i="12"/>
  <c r="BE171" i="12"/>
  <c r="BF171" i="12"/>
  <c r="BG171" i="12"/>
  <c r="AV124" i="12"/>
  <c r="BF76" i="12"/>
  <c r="BG76" i="12"/>
  <c r="BE76" i="12"/>
  <c r="BE118" i="12"/>
  <c r="BF118" i="12"/>
  <c r="BG118" i="12"/>
  <c r="AV307" i="12"/>
  <c r="AV191" i="12"/>
  <c r="K166" i="14"/>
  <c r="G166" i="14"/>
  <c r="AV142" i="12"/>
  <c r="AV5" i="12"/>
  <c r="BH278" i="12"/>
  <c r="BI278" i="12"/>
  <c r="BE126" i="12"/>
  <c r="BF126" i="12"/>
  <c r="BG126" i="12"/>
  <c r="AV76" i="12"/>
  <c r="AV171" i="12"/>
  <c r="BR297" i="12"/>
  <c r="BU297" i="12"/>
  <c r="BO297" i="12"/>
  <c r="BQ297" i="12"/>
  <c r="AV300" i="12"/>
  <c r="BH114" i="12"/>
  <c r="BI114" i="12"/>
  <c r="AZ118" i="12"/>
  <c r="AY118" i="12"/>
  <c r="BE175" i="12"/>
  <c r="BF175" i="12"/>
  <c r="BG175" i="12"/>
  <c r="BE302" i="12"/>
  <c r="BF302" i="12"/>
  <c r="BG302" i="12"/>
  <c r="BE129" i="12"/>
  <c r="BF129" i="12"/>
  <c r="BG129" i="12"/>
  <c r="AV58" i="12"/>
  <c r="BI94" i="12"/>
  <c r="BH94" i="12"/>
  <c r="AV203" i="12"/>
  <c r="BE66" i="12"/>
  <c r="BF66" i="12"/>
  <c r="BG66" i="12"/>
  <c r="BE174" i="12"/>
  <c r="BF174" i="12"/>
  <c r="BG174" i="12"/>
  <c r="BE181" i="12"/>
  <c r="BF181" i="12"/>
  <c r="BG181" i="12"/>
  <c r="BE316" i="12"/>
  <c r="BF316" i="12"/>
  <c r="BG316" i="12"/>
  <c r="BF301" i="12"/>
  <c r="BG301" i="12"/>
  <c r="BE301" i="12"/>
  <c r="AV179" i="12"/>
  <c r="BF5" i="12"/>
  <c r="BG5" i="12"/>
  <c r="BE5" i="12"/>
  <c r="AZ298" i="12"/>
  <c r="AY298" i="12"/>
  <c r="BE158" i="12"/>
  <c r="BF158" i="12"/>
  <c r="BG158" i="12"/>
  <c r="AV198" i="12"/>
  <c r="AV175" i="12"/>
  <c r="BE291" i="12"/>
  <c r="BF291" i="12"/>
  <c r="BG291" i="12"/>
  <c r="G165" i="14"/>
  <c r="K165" i="14"/>
  <c r="BE58" i="12"/>
  <c r="BF58" i="12"/>
  <c r="BG58" i="12"/>
  <c r="BE290" i="12"/>
  <c r="BF290" i="12"/>
  <c r="BG290" i="12"/>
  <c r="BI123" i="12"/>
  <c r="BH123" i="12"/>
  <c r="BI98" i="12"/>
  <c r="BH98" i="12"/>
  <c r="BF161" i="12"/>
  <c r="BG161" i="12"/>
  <c r="BE161" i="12"/>
  <c r="AV181" i="12"/>
  <c r="BF300" i="12"/>
  <c r="BG300" i="12"/>
  <c r="BE300" i="12"/>
  <c r="BI3" i="12"/>
  <c r="BH3" i="12"/>
  <c r="AV161" i="12"/>
  <c r="BI205" i="12"/>
  <c r="BH205" i="12"/>
  <c r="BE105" i="12"/>
  <c r="BF105" i="12"/>
  <c r="BG105" i="12"/>
  <c r="BE156" i="12"/>
  <c r="BF156" i="12"/>
  <c r="BG156" i="12"/>
  <c r="AV55" i="12"/>
  <c r="AV158" i="12"/>
  <c r="BE315" i="12"/>
  <c r="BF315" i="12"/>
  <c r="BG315" i="12"/>
  <c r="AY301" i="12"/>
  <c r="AZ301" i="12"/>
  <c r="BE24" i="12"/>
  <c r="BF24" i="12"/>
  <c r="BG24" i="12"/>
  <c r="BH192" i="12"/>
  <c r="BI192" i="12"/>
  <c r="BI109" i="12"/>
  <c r="BH109" i="12"/>
  <c r="AV320" i="12"/>
  <c r="BE191" i="12"/>
  <c r="BF191" i="12"/>
  <c r="BG191" i="12"/>
  <c r="AV126" i="12"/>
  <c r="BF195" i="12"/>
  <c r="BG195" i="12"/>
  <c r="BE195" i="12"/>
  <c r="BH60" i="12"/>
  <c r="BI60" i="12"/>
  <c r="BR303" i="12"/>
  <c r="BU303" i="12"/>
  <c r="E140" i="14"/>
  <c r="F140" i="14"/>
  <c r="BO303" i="12"/>
  <c r="BQ303" i="12"/>
  <c r="BE55" i="12"/>
  <c r="BF55" i="12"/>
  <c r="BG55" i="12"/>
  <c r="AV51" i="12"/>
  <c r="BI162" i="12"/>
  <c r="BH162" i="12"/>
  <c r="BE142" i="12"/>
  <c r="BF142" i="12"/>
  <c r="BG142" i="12"/>
  <c r="AV195" i="12"/>
  <c r="AY126" i="12"/>
  <c r="AZ126" i="12"/>
  <c r="BH313" i="12"/>
  <c r="BI313" i="12"/>
  <c r="AV182" i="12"/>
  <c r="BE298" i="12"/>
  <c r="BF298" i="12"/>
  <c r="BG298" i="12"/>
  <c r="BS303" i="12"/>
  <c r="BT303" i="12"/>
  <c r="BC303" i="12"/>
  <c r="BD303" i="12"/>
  <c r="BA303" i="12"/>
  <c r="BB303" i="12"/>
  <c r="AX303" i="12"/>
  <c r="K25" i="8"/>
  <c r="AD19" i="8"/>
  <c r="AD27" i="8"/>
  <c r="AY78" i="12"/>
  <c r="BF79" i="12"/>
  <c r="BG79" i="12"/>
  <c r="AY12" i="12"/>
  <c r="AV152" i="12"/>
  <c r="AY18" i="12"/>
  <c r="BF166" i="12"/>
  <c r="BG166" i="12"/>
  <c r="BH33" i="12"/>
  <c r="BJ33" i="12"/>
  <c r="BK33" i="12"/>
  <c r="BV33" i="12"/>
  <c r="BW33" i="12"/>
  <c r="BT30" i="12"/>
  <c r="BE146" i="12"/>
  <c r="BI146" i="12"/>
  <c r="BI69" i="12"/>
  <c r="BH147" i="12"/>
  <c r="BT284" i="12"/>
  <c r="BT59" i="12"/>
  <c r="BE113" i="12"/>
  <c r="BI113" i="12"/>
  <c r="BI190" i="12"/>
  <c r="BJ190" i="12"/>
  <c r="BK190" i="12"/>
  <c r="BX190" i="12"/>
  <c r="BE93" i="12"/>
  <c r="BH93" i="12"/>
  <c r="BE324" i="12"/>
  <c r="BH324" i="12"/>
  <c r="AY114" i="12"/>
  <c r="BJ114" i="12"/>
  <c r="BK114" i="12"/>
  <c r="BV114" i="12"/>
  <c r="BW114" i="12"/>
  <c r="AV13" i="12"/>
  <c r="BT13" i="12"/>
  <c r="AV41" i="12"/>
  <c r="BT41" i="12"/>
  <c r="AV82" i="12"/>
  <c r="BJ82" i="12"/>
  <c r="BK82" i="12"/>
  <c r="BV82" i="12"/>
  <c r="BW82" i="12"/>
  <c r="BT82" i="12"/>
  <c r="AV180" i="12"/>
  <c r="BT180" i="12"/>
  <c r="AV288" i="12"/>
  <c r="BT288" i="12"/>
  <c r="AV172" i="12"/>
  <c r="BJ172" i="12"/>
  <c r="BK172" i="12"/>
  <c r="BX172" i="12"/>
  <c r="BT172" i="12"/>
  <c r="AV145" i="12"/>
  <c r="BJ145" i="12"/>
  <c r="BK145" i="12"/>
  <c r="BV145" i="12"/>
  <c r="BW145" i="12"/>
  <c r="BT145" i="12"/>
  <c r="AV3" i="12"/>
  <c r="BT3" i="12"/>
  <c r="BE187" i="12"/>
  <c r="BF187" i="12"/>
  <c r="BG187" i="12"/>
  <c r="AV22" i="12"/>
  <c r="BT22" i="12"/>
  <c r="AV304" i="12"/>
  <c r="BT304" i="12"/>
  <c r="AV17" i="12"/>
  <c r="BT17" i="12"/>
  <c r="AV110" i="12"/>
  <c r="BT110" i="12"/>
  <c r="AV130" i="12"/>
  <c r="BT130" i="12"/>
  <c r="AV153" i="12"/>
  <c r="BJ153" i="12"/>
  <c r="BK153" i="12"/>
  <c r="BX153" i="12"/>
  <c r="BT153" i="12"/>
  <c r="AV123" i="12"/>
  <c r="BJ123" i="12"/>
  <c r="BK123" i="12"/>
  <c r="BV123" i="12"/>
  <c r="BW123" i="12"/>
  <c r="BT123" i="12"/>
  <c r="AV133" i="12"/>
  <c r="BJ133" i="12"/>
  <c r="BK133" i="12"/>
  <c r="BV133" i="12"/>
  <c r="BW133" i="12"/>
  <c r="BT133" i="12"/>
  <c r="AV197" i="12"/>
  <c r="BT197" i="12"/>
  <c r="AV301" i="12"/>
  <c r="BT301" i="12"/>
  <c r="AV16" i="12"/>
  <c r="BT16" i="12"/>
  <c r="AV199" i="12"/>
  <c r="BJ199" i="12"/>
  <c r="BK199" i="12"/>
  <c r="BX199" i="12"/>
  <c r="BT199" i="12"/>
  <c r="AV127" i="12"/>
  <c r="BT127" i="12"/>
  <c r="AV25" i="12"/>
  <c r="BT25" i="12"/>
  <c r="AV15" i="12"/>
  <c r="BT15" i="12"/>
  <c r="AV318" i="12"/>
  <c r="BT318" i="12"/>
  <c r="AV174" i="12"/>
  <c r="BT174" i="12"/>
  <c r="AV274" i="12"/>
  <c r="BT274" i="12"/>
  <c r="AV276" i="12"/>
  <c r="BT276" i="12"/>
  <c r="AV299" i="12"/>
  <c r="BT299" i="12"/>
  <c r="AV294" i="12"/>
  <c r="BT294" i="12"/>
  <c r="AV313" i="12"/>
  <c r="BT313" i="12"/>
  <c r="AV298" i="12"/>
  <c r="BT298" i="12"/>
  <c r="AV116" i="12"/>
  <c r="BT116" i="12"/>
  <c r="AV314" i="12"/>
  <c r="BT314" i="12"/>
  <c r="AV291" i="12"/>
  <c r="BT291" i="12"/>
  <c r="AV306" i="12"/>
  <c r="BT306" i="12"/>
  <c r="AV103" i="12"/>
  <c r="BT103" i="12"/>
  <c r="AV144" i="12"/>
  <c r="BT144" i="12"/>
  <c r="AV111" i="12"/>
  <c r="BT111" i="12"/>
  <c r="AV206" i="12"/>
  <c r="BT206" i="12"/>
  <c r="AV189" i="12"/>
  <c r="BJ189" i="12"/>
  <c r="BK189" i="12"/>
  <c r="BX189" i="12"/>
  <c r="BT189" i="12"/>
  <c r="AV20" i="12"/>
  <c r="BT20" i="12"/>
  <c r="BJ81" i="12"/>
  <c r="BK81" i="12"/>
  <c r="BV81" i="12"/>
  <c r="BW81" i="12"/>
  <c r="AV69" i="12"/>
  <c r="BJ69" i="12"/>
  <c r="BK69" i="12"/>
  <c r="BX69" i="12"/>
  <c r="BT69" i="12"/>
  <c r="AV32" i="12"/>
  <c r="BT32" i="12"/>
  <c r="AV19" i="12"/>
  <c r="BT19" i="12"/>
  <c r="AV86" i="12"/>
  <c r="BT86" i="12"/>
  <c r="AV302" i="12"/>
  <c r="BT302" i="12"/>
  <c r="AV112" i="12"/>
  <c r="BT112" i="12"/>
  <c r="AV289" i="12"/>
  <c r="BT289" i="12"/>
  <c r="AV188" i="12"/>
  <c r="BT188" i="12"/>
  <c r="AV183" i="12"/>
  <c r="BT183" i="12"/>
  <c r="AV310" i="12"/>
  <c r="BT310" i="12"/>
  <c r="AV312" i="12"/>
  <c r="BT312" i="12"/>
  <c r="AV117" i="12"/>
  <c r="BT117" i="12"/>
  <c r="AV137" i="12"/>
  <c r="BT137" i="12"/>
  <c r="AV107" i="12"/>
  <c r="BT107" i="12"/>
  <c r="AV322" i="12"/>
  <c r="BT322" i="12"/>
  <c r="AV173" i="12"/>
  <c r="BT173" i="12"/>
  <c r="AV286" i="12"/>
  <c r="BT286" i="12"/>
  <c r="BJ32" i="12"/>
  <c r="BK32" i="12"/>
  <c r="BX32" i="12"/>
  <c r="AZ124" i="12"/>
  <c r="AZ80" i="12"/>
  <c r="BJ80" i="12"/>
  <c r="BK80" i="12"/>
  <c r="BX80" i="12"/>
  <c r="BV167" i="12"/>
  <c r="BW167" i="12"/>
  <c r="BF162" i="12"/>
  <c r="BG162" i="12"/>
  <c r="BJ162" i="12"/>
  <c r="BK162" i="12"/>
  <c r="BV162" i="12"/>
  <c r="BW162" i="12"/>
  <c r="BE14" i="12"/>
  <c r="BF14" i="12"/>
  <c r="BG14" i="12"/>
  <c r="BE29" i="12"/>
  <c r="BI29" i="12"/>
  <c r="BF53" i="12"/>
  <c r="BG53" i="12"/>
  <c r="BE53" i="12"/>
  <c r="BF88" i="12"/>
  <c r="BG88" i="12"/>
  <c r="BE88" i="12"/>
  <c r="BI9" i="12"/>
  <c r="BH9" i="12"/>
  <c r="BJ9" i="12"/>
  <c r="BK9" i="12"/>
  <c r="BX9" i="12"/>
  <c r="BH35" i="12"/>
  <c r="BI46" i="12"/>
  <c r="BH8" i="12"/>
  <c r="BI8" i="12"/>
  <c r="BH45" i="12"/>
  <c r="BJ45" i="12"/>
  <c r="BK45" i="12"/>
  <c r="BV45" i="12"/>
  <c r="BW45" i="12"/>
  <c r="BF35" i="12"/>
  <c r="BG35" i="12"/>
  <c r="BJ120" i="12"/>
  <c r="BK120" i="12"/>
  <c r="BV120" i="12"/>
  <c r="BW120" i="12"/>
  <c r="BJ67" i="12"/>
  <c r="BK67" i="12"/>
  <c r="BV67" i="12"/>
  <c r="BW67" i="12"/>
  <c r="BE7" i="12"/>
  <c r="BH7" i="12"/>
  <c r="BI65" i="12"/>
  <c r="AY98" i="12"/>
  <c r="BJ98" i="12"/>
  <c r="BK98" i="12"/>
  <c r="BV98" i="12"/>
  <c r="BW98" i="12"/>
  <c r="BJ90" i="12"/>
  <c r="BK90" i="12"/>
  <c r="BV90" i="12"/>
  <c r="BW90" i="12"/>
  <c r="BI275" i="12"/>
  <c r="BJ275" i="12"/>
  <c r="BK275" i="12"/>
  <c r="BV275" i="12"/>
  <c r="BW275" i="12"/>
  <c r="BI106" i="12"/>
  <c r="BJ106" i="12"/>
  <c r="BK106" i="12"/>
  <c r="BV106" i="12"/>
  <c r="BW106" i="12"/>
  <c r="BF296" i="12"/>
  <c r="BG296" i="12"/>
  <c r="AY96" i="12"/>
  <c r="BJ96" i="12"/>
  <c r="BK96" i="12"/>
  <c r="BV96" i="12"/>
  <c r="BW96" i="12"/>
  <c r="AZ293" i="12"/>
  <c r="BJ293" i="12"/>
  <c r="BK293" i="12"/>
  <c r="BV293" i="12"/>
  <c r="BW293" i="12"/>
  <c r="AY325" i="12"/>
  <c r="BF46" i="12"/>
  <c r="BG46" i="12"/>
  <c r="BI89" i="12"/>
  <c r="BH89" i="12"/>
  <c r="BH84" i="12"/>
  <c r="BI84" i="12"/>
  <c r="BE307" i="12"/>
  <c r="BH307" i="12"/>
  <c r="AZ34" i="12"/>
  <c r="AZ185" i="12"/>
  <c r="BE42" i="12"/>
  <c r="BH42" i="12"/>
  <c r="BJ327" i="12"/>
  <c r="BK327" i="12"/>
  <c r="BV327" i="12"/>
  <c r="BW327" i="12"/>
  <c r="AZ136" i="12"/>
  <c r="BJ136" i="12"/>
  <c r="BK136" i="12"/>
  <c r="BX136" i="12"/>
  <c r="BE91" i="12"/>
  <c r="BH91" i="12"/>
  <c r="BJ104" i="12"/>
  <c r="BK104" i="12"/>
  <c r="BV104" i="12"/>
  <c r="BW104" i="12"/>
  <c r="BF38" i="12"/>
  <c r="BG38" i="12"/>
  <c r="BE38" i="12"/>
  <c r="BF68" i="12"/>
  <c r="BG68" i="12"/>
  <c r="BE68" i="12"/>
  <c r="AZ143" i="12"/>
  <c r="BJ143" i="12"/>
  <c r="BK143" i="12"/>
  <c r="BV143" i="12"/>
  <c r="BW143" i="12"/>
  <c r="AY36" i="12"/>
  <c r="AZ36" i="12"/>
  <c r="BE164" i="12"/>
  <c r="BI164" i="12"/>
  <c r="BF28" i="12"/>
  <c r="BG28" i="12"/>
  <c r="BE28" i="12"/>
  <c r="BF194" i="12"/>
  <c r="BG194" i="12"/>
  <c r="BF6" i="12"/>
  <c r="BG6" i="12"/>
  <c r="BE6" i="12"/>
  <c r="AZ41" i="12"/>
  <c r="AY41" i="12"/>
  <c r="BH319" i="12"/>
  <c r="BJ319" i="12"/>
  <c r="BK319" i="12"/>
  <c r="AY280" i="12"/>
  <c r="BJ280" i="12"/>
  <c r="BK280" i="12"/>
  <c r="BX280" i="12"/>
  <c r="BH52" i="12"/>
  <c r="BI52" i="12"/>
  <c r="AY283" i="12"/>
  <c r="BJ283" i="12"/>
  <c r="BK283" i="12"/>
  <c r="BX283" i="12"/>
  <c r="AZ10" i="12"/>
  <c r="BJ10" i="12"/>
  <c r="BK10" i="12"/>
  <c r="BX10" i="12"/>
  <c r="AY20" i="12"/>
  <c r="AZ20" i="12"/>
  <c r="AZ125" i="12"/>
  <c r="BJ125" i="12"/>
  <c r="BK125" i="12"/>
  <c r="BV125" i="12"/>
  <c r="BW125" i="12"/>
  <c r="BE149" i="12"/>
  <c r="BF149" i="12"/>
  <c r="BG149" i="12"/>
  <c r="AY165" i="12"/>
  <c r="BJ165" i="12"/>
  <c r="BK165" i="12"/>
  <c r="BX165" i="12"/>
  <c r="BF134" i="12"/>
  <c r="BG134" i="12"/>
  <c r="BH139" i="12"/>
  <c r="BI139" i="12"/>
  <c r="AY202" i="12"/>
  <c r="AZ202" i="12"/>
  <c r="BE326" i="12"/>
  <c r="BF326" i="12"/>
  <c r="BG326" i="12"/>
  <c r="BE184" i="12"/>
  <c r="BF184" i="12"/>
  <c r="BG184" i="12"/>
  <c r="AY54" i="12"/>
  <c r="AZ54" i="12"/>
  <c r="BF50" i="12"/>
  <c r="BG50" i="12"/>
  <c r="BE50" i="12"/>
  <c r="BF323" i="12"/>
  <c r="BG323" i="12"/>
  <c r="BE323" i="12"/>
  <c r="BI95" i="12"/>
  <c r="BH95" i="12"/>
  <c r="BH54" i="12"/>
  <c r="BI54" i="12"/>
  <c r="BF306" i="12"/>
  <c r="BG306" i="12"/>
  <c r="BE306" i="12"/>
  <c r="AZ306" i="12"/>
  <c r="AY306" i="12"/>
  <c r="BF318" i="12"/>
  <c r="BG318" i="12"/>
  <c r="BE318" i="12"/>
  <c r="AY318" i="12"/>
  <c r="AZ318" i="12"/>
  <c r="BH329" i="12"/>
  <c r="BI329" i="12"/>
  <c r="K168" i="14"/>
  <c r="G168" i="14"/>
  <c r="BF154" i="12"/>
  <c r="BG154" i="12"/>
  <c r="BE154" i="12"/>
  <c r="BE206" i="12"/>
  <c r="BF206" i="12"/>
  <c r="BG206" i="12"/>
  <c r="BF23" i="12"/>
  <c r="BG23" i="12"/>
  <c r="AY206" i="12"/>
  <c r="AZ206" i="12"/>
  <c r="BF31" i="12"/>
  <c r="BG31" i="12"/>
  <c r="BE321" i="12"/>
  <c r="BI321" i="12"/>
  <c r="BF21" i="12"/>
  <c r="BG21" i="12"/>
  <c r="AY109" i="12"/>
  <c r="BJ109" i="12"/>
  <c r="BK109" i="12"/>
  <c r="BV109" i="12"/>
  <c r="BW109" i="12"/>
  <c r="BI111" i="12"/>
  <c r="BX102" i="12"/>
  <c r="BX97" i="12"/>
  <c r="AY86" i="12"/>
  <c r="AZ86" i="12"/>
  <c r="BF86" i="12"/>
  <c r="BG86" i="12"/>
  <c r="BE86" i="12"/>
  <c r="BI108" i="12"/>
  <c r="BJ108" i="12"/>
  <c r="BK108" i="12"/>
  <c r="BV108" i="12"/>
  <c r="BW108" i="12"/>
  <c r="AZ148" i="12"/>
  <c r="BJ178" i="12"/>
  <c r="BK178" i="12"/>
  <c r="BX178" i="12"/>
  <c r="AY311" i="12"/>
  <c r="BF196" i="12"/>
  <c r="BG196" i="12"/>
  <c r="BJ276" i="12"/>
  <c r="BK276" i="12"/>
  <c r="BV276" i="12"/>
  <c r="BW276" i="12"/>
  <c r="BF182" i="12"/>
  <c r="BG182" i="12"/>
  <c r="BX284" i="12"/>
  <c r="AZ130" i="12"/>
  <c r="AY130" i="12"/>
  <c r="BV328" i="12"/>
  <c r="BW328" i="12"/>
  <c r="BX100" i="12"/>
  <c r="AZ313" i="12"/>
  <c r="AY313" i="12"/>
  <c r="BI63" i="12"/>
  <c r="BH63" i="12"/>
  <c r="BI273" i="12"/>
  <c r="BH273" i="12"/>
  <c r="AZ158" i="12"/>
  <c r="BE157" i="12"/>
  <c r="BI157" i="12"/>
  <c r="AZ179" i="12"/>
  <c r="BH200" i="12"/>
  <c r="BI200" i="12"/>
  <c r="BF292" i="12"/>
  <c r="BG292" i="12"/>
  <c r="BE173" i="12"/>
  <c r="BF173" i="12"/>
  <c r="BG173" i="12"/>
  <c r="BH134" i="12"/>
  <c r="BI134" i="12"/>
  <c r="AZ111" i="12"/>
  <c r="AY111" i="12"/>
  <c r="AY173" i="12"/>
  <c r="AZ173" i="12"/>
  <c r="BH317" i="12"/>
  <c r="BI317" i="12"/>
  <c r="BH49" i="12"/>
  <c r="BI49" i="12"/>
  <c r="BJ166" i="12"/>
  <c r="BK166" i="12"/>
  <c r="BX166" i="12"/>
  <c r="BJ70" i="12"/>
  <c r="BK70" i="12"/>
  <c r="BV70" i="12"/>
  <c r="BW70" i="12"/>
  <c r="BJ155" i="12"/>
  <c r="BK155" i="12"/>
  <c r="BV155" i="12"/>
  <c r="BW155" i="12"/>
  <c r="BJ79" i="12"/>
  <c r="BK79" i="12"/>
  <c r="BX79" i="12"/>
  <c r="T41" i="8"/>
  <c r="X10" i="8"/>
  <c r="X16" i="8"/>
  <c r="T47" i="8"/>
  <c r="BH207" i="12"/>
  <c r="BI207" i="12"/>
  <c r="BH176" i="12"/>
  <c r="BI176" i="12"/>
  <c r="BH170" i="12"/>
  <c r="BI170" i="12"/>
  <c r="BX101" i="12"/>
  <c r="BJ46" i="12"/>
  <c r="BK46" i="12"/>
  <c r="BX46" i="12"/>
  <c r="BJ72" i="12"/>
  <c r="BK72" i="12"/>
  <c r="BV72" i="12"/>
  <c r="BW72" i="12"/>
  <c r="AY294" i="12"/>
  <c r="AZ294" i="12"/>
  <c r="BH74" i="12"/>
  <c r="BI74" i="12"/>
  <c r="BF294" i="12"/>
  <c r="BG294" i="12"/>
  <c r="BE294" i="12"/>
  <c r="BJ282" i="12"/>
  <c r="BK282" i="12"/>
  <c r="BX282" i="12"/>
  <c r="BX208" i="12"/>
  <c r="BJ92" i="12"/>
  <c r="BK92" i="12"/>
  <c r="BV92" i="12"/>
  <c r="BW92" i="12"/>
  <c r="BJ169" i="12"/>
  <c r="BK169" i="12"/>
  <c r="BX169" i="12"/>
  <c r="BJ27" i="12"/>
  <c r="BK27" i="12"/>
  <c r="BX27" i="12"/>
  <c r="BV168" i="12"/>
  <c r="BW168" i="12"/>
  <c r="BJ272" i="12"/>
  <c r="BK272" i="12"/>
  <c r="BX272" i="12"/>
  <c r="BJ131" i="12"/>
  <c r="BK131" i="12"/>
  <c r="BV131" i="12"/>
  <c r="BW131" i="12"/>
  <c r="BX87" i="12"/>
  <c r="BJ57" i="12"/>
  <c r="BK57" i="12"/>
  <c r="BV57" i="12"/>
  <c r="BW57" i="12"/>
  <c r="BJ159" i="12"/>
  <c r="BK159" i="12"/>
  <c r="BX159" i="12"/>
  <c r="BI83" i="12"/>
  <c r="BH83" i="12"/>
  <c r="BV99" i="12"/>
  <c r="BW99" i="12"/>
  <c r="BJ61" i="12"/>
  <c r="BK61" i="12"/>
  <c r="BX61" i="12"/>
  <c r="BJ77" i="12"/>
  <c r="BK77" i="12"/>
  <c r="BV77" i="12"/>
  <c r="BW77" i="12"/>
  <c r="BF140" i="12"/>
  <c r="BG140" i="12"/>
  <c r="BE140" i="12"/>
  <c r="BE107" i="12"/>
  <c r="BF107" i="12"/>
  <c r="BG107" i="12"/>
  <c r="BJ85" i="12"/>
  <c r="BK85" i="12"/>
  <c r="BV85" i="12"/>
  <c r="BW85" i="12"/>
  <c r="BH48" i="12"/>
  <c r="BI48" i="12"/>
  <c r="BI271" i="12"/>
  <c r="BH271" i="12"/>
  <c r="BF110" i="12"/>
  <c r="BG110" i="12"/>
  <c r="BE110" i="12"/>
  <c r="AZ110" i="12"/>
  <c r="AY110" i="12"/>
  <c r="BJ116" i="12"/>
  <c r="BK116" i="12"/>
  <c r="BX116" i="12"/>
  <c r="BJ65" i="12"/>
  <c r="BK65" i="12"/>
  <c r="BV65" i="12"/>
  <c r="BW65" i="12"/>
  <c r="BJ135" i="12"/>
  <c r="BK135" i="12"/>
  <c r="BX135" i="12"/>
  <c r="BJ59" i="12"/>
  <c r="BK59" i="12"/>
  <c r="BV59" i="12"/>
  <c r="BW59" i="12"/>
  <c r="BJ147" i="12"/>
  <c r="BK147" i="12"/>
  <c r="BX147" i="12"/>
  <c r="AY107" i="12"/>
  <c r="AZ107" i="12"/>
  <c r="BI281" i="12"/>
  <c r="BH281" i="12"/>
  <c r="BI270" i="12"/>
  <c r="BH270" i="12"/>
  <c r="AZ180" i="12"/>
  <c r="AY180" i="12"/>
  <c r="BE137" i="12"/>
  <c r="BF137" i="12"/>
  <c r="BG137" i="12"/>
  <c r="AZ314" i="12"/>
  <c r="AY314" i="12"/>
  <c r="BJ30" i="12"/>
  <c r="BK30" i="12"/>
  <c r="BV30" i="12"/>
  <c r="BW30" i="12"/>
  <c r="BH274" i="12"/>
  <c r="BI274" i="12"/>
  <c r="BJ11" i="12"/>
  <c r="BK11" i="12"/>
  <c r="BV11" i="12"/>
  <c r="BW11" i="12"/>
  <c r="BJ122" i="12"/>
  <c r="BK122" i="12"/>
  <c r="BV122" i="12"/>
  <c r="BW122" i="12"/>
  <c r="BI4" i="12"/>
  <c r="BH4" i="12"/>
  <c r="BJ285" i="12"/>
  <c r="BK285" i="12"/>
  <c r="BE299" i="12"/>
  <c r="BF299" i="12"/>
  <c r="BG299" i="12"/>
  <c r="BI309" i="12"/>
  <c r="BH309" i="12"/>
  <c r="AY299" i="12"/>
  <c r="AZ299" i="12"/>
  <c r="BI279" i="12"/>
  <c r="BH279" i="12"/>
  <c r="BE180" i="12"/>
  <c r="BF180" i="12"/>
  <c r="BG180" i="12"/>
  <c r="BH141" i="12"/>
  <c r="BI141" i="12"/>
  <c r="BH127" i="12"/>
  <c r="BI127" i="12"/>
  <c r="BI12" i="12"/>
  <c r="BH12" i="12"/>
  <c r="BE314" i="12"/>
  <c r="BF314" i="12"/>
  <c r="BG314" i="12"/>
  <c r="BX81" i="12"/>
  <c r="BI325" i="12"/>
  <c r="BH325" i="12"/>
  <c r="BJ160" i="12"/>
  <c r="BK160" i="12"/>
  <c r="BX160" i="12"/>
  <c r="BH209" i="12"/>
  <c r="BI209" i="12"/>
  <c r="AZ137" i="12"/>
  <c r="AY137" i="12"/>
  <c r="G164" i="14"/>
  <c r="K164" i="14"/>
  <c r="BJ60" i="12"/>
  <c r="BK60" i="12"/>
  <c r="BV60" i="12"/>
  <c r="BW60" i="12"/>
  <c r="BV150" i="12"/>
  <c r="BW150" i="12"/>
  <c r="BX150" i="12"/>
  <c r="BJ152" i="12"/>
  <c r="BK152" i="12"/>
  <c r="BV152" i="12"/>
  <c r="BW152" i="12"/>
  <c r="BJ308" i="12"/>
  <c r="BK308" i="12"/>
  <c r="BV308" i="12"/>
  <c r="BW308" i="12"/>
  <c r="BJ37" i="12"/>
  <c r="BK37" i="12"/>
  <c r="BX37" i="12"/>
  <c r="BJ94" i="12"/>
  <c r="BK94" i="12"/>
  <c r="BV94" i="12"/>
  <c r="BW94" i="12"/>
  <c r="AY13" i="12"/>
  <c r="AZ13" i="12"/>
  <c r="AZ188" i="12"/>
  <c r="AY188" i="12"/>
  <c r="AZ144" i="12"/>
  <c r="AY144" i="12"/>
  <c r="AY19" i="12"/>
  <c r="AZ19" i="12"/>
  <c r="AZ25" i="12"/>
  <c r="AY25" i="12"/>
  <c r="BH44" i="12"/>
  <c r="BI44" i="12"/>
  <c r="BH26" i="12"/>
  <c r="BI26" i="12"/>
  <c r="AZ22" i="12"/>
  <c r="AY22" i="12"/>
  <c r="BH16" i="12"/>
  <c r="BI16" i="12"/>
  <c r="BE22" i="12"/>
  <c r="BF22" i="12"/>
  <c r="BG22" i="12"/>
  <c r="BH43" i="12"/>
  <c r="BI43" i="12"/>
  <c r="BI31" i="12"/>
  <c r="BH31" i="12"/>
  <c r="BI75" i="12"/>
  <c r="BH75" i="12"/>
  <c r="BI23" i="12"/>
  <c r="BH23" i="12"/>
  <c r="BE117" i="12"/>
  <c r="BF117" i="12"/>
  <c r="BG117" i="12"/>
  <c r="BE310" i="12"/>
  <c r="BF310" i="12"/>
  <c r="BG310" i="12"/>
  <c r="BH193" i="12"/>
  <c r="BI193" i="12"/>
  <c r="BH151" i="12"/>
  <c r="BI151" i="12"/>
  <c r="BJ132" i="12"/>
  <c r="BK132" i="12"/>
  <c r="BH64" i="12"/>
  <c r="BI64" i="12"/>
  <c r="BI322" i="12"/>
  <c r="BH322" i="12"/>
  <c r="BJ71" i="12"/>
  <c r="BK71" i="12"/>
  <c r="BH18" i="12"/>
  <c r="BI18" i="12"/>
  <c r="BI73" i="12"/>
  <c r="BH73" i="12"/>
  <c r="BE312" i="12"/>
  <c r="BF312" i="12"/>
  <c r="BG312" i="12"/>
  <c r="BH119" i="12"/>
  <c r="BI119" i="12"/>
  <c r="BH56" i="12"/>
  <c r="BI56" i="12"/>
  <c r="BE19" i="12"/>
  <c r="BF19" i="12"/>
  <c r="BG19" i="12"/>
  <c r="BJ78" i="12"/>
  <c r="BK78" i="12"/>
  <c r="BH62" i="12"/>
  <c r="BI62" i="12"/>
  <c r="BH47" i="12"/>
  <c r="BI47" i="12"/>
  <c r="BF17" i="12"/>
  <c r="BG17" i="12"/>
  <c r="BE17" i="12"/>
  <c r="BI185" i="12"/>
  <c r="BH185" i="12"/>
  <c r="BH39" i="12"/>
  <c r="BI39" i="12"/>
  <c r="BE15" i="12"/>
  <c r="BF15" i="12"/>
  <c r="BG15" i="12"/>
  <c r="BH34" i="12"/>
  <c r="BI34" i="12"/>
  <c r="BH311" i="12"/>
  <c r="BI311" i="12"/>
  <c r="BE304" i="12"/>
  <c r="BF304" i="12"/>
  <c r="BG304" i="12"/>
  <c r="AZ117" i="12"/>
  <c r="AY117" i="12"/>
  <c r="BI40" i="12"/>
  <c r="BH40" i="12"/>
  <c r="BH292" i="12"/>
  <c r="BI292" i="12"/>
  <c r="BE183" i="12"/>
  <c r="BF183" i="12"/>
  <c r="BG183" i="12"/>
  <c r="BI295" i="12"/>
  <c r="BH295" i="12"/>
  <c r="AZ197" i="12"/>
  <c r="AY197" i="12"/>
  <c r="BH289" i="12"/>
  <c r="BI289" i="12"/>
  <c r="BH112" i="12"/>
  <c r="BI112" i="12"/>
  <c r="AY304" i="12"/>
  <c r="AZ304" i="12"/>
  <c r="AZ17" i="12"/>
  <c r="AY17" i="12"/>
  <c r="BH296" i="12"/>
  <c r="BI296" i="12"/>
  <c r="BH177" i="12"/>
  <c r="BI177" i="12"/>
  <c r="BF188" i="12"/>
  <c r="BG188" i="12"/>
  <c r="BE188" i="12"/>
  <c r="BJ205" i="12"/>
  <c r="BK205" i="12"/>
  <c r="BV205" i="12"/>
  <c r="BW205" i="12"/>
  <c r="BJ103" i="12"/>
  <c r="BK103" i="12"/>
  <c r="BH148" i="12"/>
  <c r="BI148" i="12"/>
  <c r="BF144" i="12"/>
  <c r="BG144" i="12"/>
  <c r="BE144" i="12"/>
  <c r="BE13" i="12"/>
  <c r="BF13" i="12"/>
  <c r="BG13" i="12"/>
  <c r="BH21" i="12"/>
  <c r="BI21" i="12"/>
  <c r="BI305" i="12"/>
  <c r="BH305" i="12"/>
  <c r="AZ310" i="12"/>
  <c r="AY310" i="12"/>
  <c r="BJ277" i="12"/>
  <c r="BK277" i="12"/>
  <c r="BF197" i="12"/>
  <c r="BG197" i="12"/>
  <c r="BE197" i="12"/>
  <c r="BH286" i="12"/>
  <c r="BI286" i="12"/>
  <c r="BF25" i="12"/>
  <c r="BG25" i="12"/>
  <c r="BE25" i="12"/>
  <c r="AZ183" i="12"/>
  <c r="AY183" i="12"/>
  <c r="BJ278" i="12"/>
  <c r="BK278" i="12"/>
  <c r="BX278" i="12"/>
  <c r="BH194" i="12"/>
  <c r="BI194" i="12"/>
  <c r="AZ312" i="12"/>
  <c r="AY312" i="12"/>
  <c r="BH204" i="12"/>
  <c r="BI204" i="12"/>
  <c r="BH196" i="12"/>
  <c r="BI196" i="12"/>
  <c r="AZ15" i="12"/>
  <c r="AY15" i="12"/>
  <c r="BJ3" i="12"/>
  <c r="BK3" i="12"/>
  <c r="BV3" i="12"/>
  <c r="BW3" i="12"/>
  <c r="BJ192" i="12"/>
  <c r="BK192" i="12"/>
  <c r="BX192" i="12"/>
  <c r="AY138" i="12"/>
  <c r="AZ138" i="12"/>
  <c r="AY297" i="12"/>
  <c r="AZ297" i="12"/>
  <c r="AZ163" i="12"/>
  <c r="AY163" i="12"/>
  <c r="AY115" i="12"/>
  <c r="AZ115" i="12"/>
  <c r="AZ303" i="12"/>
  <c r="AY303" i="12"/>
  <c r="BH315" i="12"/>
  <c r="BI315" i="12"/>
  <c r="BI161" i="12"/>
  <c r="BH161" i="12"/>
  <c r="BH201" i="12"/>
  <c r="BI201" i="12"/>
  <c r="BH198" i="12"/>
  <c r="BI198" i="12"/>
  <c r="BH320" i="12"/>
  <c r="BI320" i="12"/>
  <c r="AV138" i="12"/>
  <c r="BH24" i="12"/>
  <c r="BI24" i="12"/>
  <c r="BI158" i="12"/>
  <c r="BH158" i="12"/>
  <c r="BI302" i="12"/>
  <c r="BH302" i="12"/>
  <c r="BE297" i="12"/>
  <c r="BF297" i="12"/>
  <c r="BG297" i="12"/>
  <c r="BH301" i="12"/>
  <c r="BI301" i="12"/>
  <c r="AV115" i="12"/>
  <c r="AV163" i="12"/>
  <c r="BH203" i="12"/>
  <c r="BI203" i="12"/>
  <c r="AV303" i="12"/>
  <c r="BI5" i="12"/>
  <c r="BH5" i="12"/>
  <c r="BI174" i="12"/>
  <c r="BH174" i="12"/>
  <c r="BH126" i="12"/>
  <c r="BI126" i="12"/>
  <c r="BH182" i="12"/>
  <c r="BI182" i="12"/>
  <c r="BI171" i="12"/>
  <c r="BH171" i="12"/>
  <c r="BH51" i="12"/>
  <c r="BI51" i="12"/>
  <c r="BH179" i="12"/>
  <c r="BI179" i="12"/>
  <c r="BE138" i="12"/>
  <c r="BF138" i="12"/>
  <c r="BG138" i="12"/>
  <c r="BH298" i="12"/>
  <c r="BI298" i="12"/>
  <c r="BI142" i="12"/>
  <c r="BH142" i="12"/>
  <c r="BI105" i="12"/>
  <c r="BH105" i="12"/>
  <c r="BI175" i="12"/>
  <c r="BH175" i="12"/>
  <c r="BI76" i="12"/>
  <c r="BH76" i="12"/>
  <c r="AY287" i="12"/>
  <c r="AZ287" i="12"/>
  <c r="BF287" i="12"/>
  <c r="BG287" i="12"/>
  <c r="BE287" i="12"/>
  <c r="BI55" i="12"/>
  <c r="BH55" i="12"/>
  <c r="BH195" i="12"/>
  <c r="BI195" i="12"/>
  <c r="BH191" i="12"/>
  <c r="BI191" i="12"/>
  <c r="BH290" i="12"/>
  <c r="BI290" i="12"/>
  <c r="BH291" i="12"/>
  <c r="BI291" i="12"/>
  <c r="BH316" i="12"/>
  <c r="BI316" i="12"/>
  <c r="BI66" i="12"/>
  <c r="BH66" i="12"/>
  <c r="AV297" i="12"/>
  <c r="BH288" i="12"/>
  <c r="BI288" i="12"/>
  <c r="BI186" i="12"/>
  <c r="BH186" i="12"/>
  <c r="BI156" i="12"/>
  <c r="BH156" i="12"/>
  <c r="BH300" i="12"/>
  <c r="BI300" i="12"/>
  <c r="BI124" i="12"/>
  <c r="BH124" i="12"/>
  <c r="BF115" i="12"/>
  <c r="BG115" i="12"/>
  <c r="BE115" i="12"/>
  <c r="BE303" i="12"/>
  <c r="BF303" i="12"/>
  <c r="BG303" i="12"/>
  <c r="BH58" i="12"/>
  <c r="BI58" i="12"/>
  <c r="BH181" i="12"/>
  <c r="BI181" i="12"/>
  <c r="BH129" i="12"/>
  <c r="BI129" i="12"/>
  <c r="BI118" i="12"/>
  <c r="BH118" i="12"/>
  <c r="BF163" i="12"/>
  <c r="BG163" i="12"/>
  <c r="BE163" i="12"/>
  <c r="AV287" i="12"/>
  <c r="AD30" i="8"/>
  <c r="AD29" i="8"/>
  <c r="AD22" i="8"/>
  <c r="AD21" i="8"/>
  <c r="K46" i="8"/>
  <c r="K33" i="8"/>
  <c r="BH146" i="12"/>
  <c r="BJ146" i="12"/>
  <c r="BK146" i="12"/>
  <c r="BV146" i="12"/>
  <c r="BW146" i="12"/>
  <c r="BI93" i="12"/>
  <c r="BH113" i="12"/>
  <c r="BX120" i="12"/>
  <c r="BI324" i="12"/>
  <c r="BJ324" i="12"/>
  <c r="BK324" i="12"/>
  <c r="BV324" i="12"/>
  <c r="BW324" i="12"/>
  <c r="BI7" i="12"/>
  <c r="BJ7" i="12"/>
  <c r="BK7" i="12"/>
  <c r="BX7" i="12"/>
  <c r="BX67" i="12"/>
  <c r="BJ89" i="12"/>
  <c r="BK89" i="12"/>
  <c r="BV89" i="12"/>
  <c r="BW89" i="12"/>
  <c r="BX82" i="12"/>
  <c r="BX33" i="12"/>
  <c r="BJ84" i="12"/>
  <c r="BK84" i="12"/>
  <c r="BX84" i="12"/>
  <c r="BH187" i="12"/>
  <c r="BI187" i="12"/>
  <c r="BV32" i="12"/>
  <c r="BW32" i="12"/>
  <c r="BJ8" i="12"/>
  <c r="BK8" i="12"/>
  <c r="BX8" i="12"/>
  <c r="BH53" i="12"/>
  <c r="BI53" i="12"/>
  <c r="BV9" i="12"/>
  <c r="BW9" i="12"/>
  <c r="BH29" i="12"/>
  <c r="BJ29" i="12"/>
  <c r="BK29" i="12"/>
  <c r="BX29" i="12"/>
  <c r="BI14" i="12"/>
  <c r="BH14" i="12"/>
  <c r="BH88" i="12"/>
  <c r="BI88" i="12"/>
  <c r="BJ35" i="12"/>
  <c r="BK35" i="12"/>
  <c r="BV35" i="12"/>
  <c r="BW35" i="12"/>
  <c r="BX90" i="12"/>
  <c r="BX327" i="12"/>
  <c r="BI307" i="12"/>
  <c r="BJ307" i="12"/>
  <c r="BK307" i="12"/>
  <c r="BV307" i="12"/>
  <c r="BW307" i="12"/>
  <c r="BJ36" i="12"/>
  <c r="BK36" i="12"/>
  <c r="BV36" i="12"/>
  <c r="BW36" i="12"/>
  <c r="BX104" i="12"/>
  <c r="BI42" i="12"/>
  <c r="BJ42" i="12"/>
  <c r="BK42" i="12"/>
  <c r="BX42" i="12"/>
  <c r="BI91" i="12"/>
  <c r="BJ91" i="12"/>
  <c r="BK91" i="12"/>
  <c r="BV91" i="12"/>
  <c r="BW91" i="12"/>
  <c r="BV190" i="12"/>
  <c r="BW190" i="12"/>
  <c r="BI38" i="12"/>
  <c r="BH38" i="12"/>
  <c r="BJ20" i="12"/>
  <c r="BK20" i="12"/>
  <c r="BX20" i="12"/>
  <c r="BH164" i="12"/>
  <c r="BJ164" i="12"/>
  <c r="BK164" i="12"/>
  <c r="BV164" i="12"/>
  <c r="BW164" i="12"/>
  <c r="BH68" i="12"/>
  <c r="BI68" i="12"/>
  <c r="BJ41" i="12"/>
  <c r="BK41" i="12"/>
  <c r="BV41" i="12"/>
  <c r="BW41" i="12"/>
  <c r="BI28" i="12"/>
  <c r="BH28" i="12"/>
  <c r="BH321" i="12"/>
  <c r="BJ321" i="12"/>
  <c r="BK321" i="12"/>
  <c r="BV321" i="12"/>
  <c r="BW321" i="12"/>
  <c r="BJ202" i="12"/>
  <c r="BK202" i="12"/>
  <c r="BX202" i="12"/>
  <c r="BH6" i="12"/>
  <c r="BI6" i="12"/>
  <c r="BJ52" i="12"/>
  <c r="BK52" i="12"/>
  <c r="BV10" i="12"/>
  <c r="BW10" i="12"/>
  <c r="BI149" i="12"/>
  <c r="BH149" i="12"/>
  <c r="BJ139" i="12"/>
  <c r="BK139" i="12"/>
  <c r="BI326" i="12"/>
  <c r="BH326" i="12"/>
  <c r="BI184" i="12"/>
  <c r="BH184" i="12"/>
  <c r="BI50" i="12"/>
  <c r="BH50" i="12"/>
  <c r="BJ95" i="12"/>
  <c r="BK95" i="12"/>
  <c r="BX95" i="12"/>
  <c r="BJ54" i="12"/>
  <c r="BK54" i="12"/>
  <c r="BX54" i="12"/>
  <c r="BH323" i="12"/>
  <c r="BI323" i="12"/>
  <c r="BH306" i="12"/>
  <c r="BI306" i="12"/>
  <c r="BJ329" i="12"/>
  <c r="BK329" i="12"/>
  <c r="BV165" i="12"/>
  <c r="BW165" i="12"/>
  <c r="BH318" i="12"/>
  <c r="BI318" i="12"/>
  <c r="BX155" i="12"/>
  <c r="BI206" i="12"/>
  <c r="BH206" i="12"/>
  <c r="BH154" i="12"/>
  <c r="BI154" i="12"/>
  <c r="BV178" i="12"/>
  <c r="BW178" i="12"/>
  <c r="BV189" i="12"/>
  <c r="BW189" i="12"/>
  <c r="BV272" i="12"/>
  <c r="BW272" i="12"/>
  <c r="BI86" i="12"/>
  <c r="BH86" i="12"/>
  <c r="BX276" i="12"/>
  <c r="BJ313" i="12"/>
  <c r="BK313" i="12"/>
  <c r="BV313" i="12"/>
  <c r="BW313" i="12"/>
  <c r="BX57" i="12"/>
  <c r="BX133" i="12"/>
  <c r="BX72" i="12"/>
  <c r="BX122" i="12"/>
  <c r="BX114" i="12"/>
  <c r="BJ130" i="12"/>
  <c r="BK130" i="12"/>
  <c r="BV130" i="12"/>
  <c r="BW130" i="12"/>
  <c r="BV169" i="12"/>
  <c r="BW169" i="12"/>
  <c r="BV135" i="12"/>
  <c r="BW135" i="12"/>
  <c r="BX96" i="12"/>
  <c r="BX77" i="12"/>
  <c r="BV79" i="12"/>
  <c r="BW79" i="12"/>
  <c r="BV282" i="12"/>
  <c r="BW282" i="12"/>
  <c r="BV46" i="12"/>
  <c r="BW46" i="12"/>
  <c r="BX65" i="12"/>
  <c r="BX143" i="12"/>
  <c r="BX45" i="12"/>
  <c r="BX92" i="12"/>
  <c r="BV166" i="12"/>
  <c r="BW166" i="12"/>
  <c r="BX125" i="12"/>
  <c r="BJ63" i="12"/>
  <c r="BK63" i="12"/>
  <c r="BV63" i="12"/>
  <c r="BW63" i="12"/>
  <c r="BH157" i="12"/>
  <c r="BJ157" i="12"/>
  <c r="BK157" i="12"/>
  <c r="BX157" i="12"/>
  <c r="BJ111" i="12"/>
  <c r="BK111" i="12"/>
  <c r="BX111" i="12"/>
  <c r="BJ273" i="12"/>
  <c r="BK273" i="12"/>
  <c r="BV116" i="12"/>
  <c r="BW116" i="12"/>
  <c r="BJ317" i="12"/>
  <c r="BK317" i="12"/>
  <c r="BX317" i="12"/>
  <c r="BJ200" i="12"/>
  <c r="BK200" i="12"/>
  <c r="BJ134" i="12"/>
  <c r="BK134" i="12"/>
  <c r="BX11" i="12"/>
  <c r="BX131" i="12"/>
  <c r="BI173" i="12"/>
  <c r="BH173" i="12"/>
  <c r="BJ113" i="12"/>
  <c r="BK113" i="12"/>
  <c r="BV113" i="12"/>
  <c r="BW113" i="12"/>
  <c r="BV27" i="12"/>
  <c r="BW27" i="12"/>
  <c r="BX94" i="12"/>
  <c r="BX106" i="12"/>
  <c r="BV69" i="12"/>
  <c r="BW69" i="12"/>
  <c r="BV280" i="12"/>
  <c r="BW280" i="12"/>
  <c r="BX146" i="12"/>
  <c r="BJ49" i="12"/>
  <c r="BK49" i="12"/>
  <c r="BV159" i="12"/>
  <c r="BW159" i="12"/>
  <c r="BX60" i="12"/>
  <c r="BX70" i="12"/>
  <c r="BJ75" i="12"/>
  <c r="BK75" i="12"/>
  <c r="BV75" i="12"/>
  <c r="BW75" i="12"/>
  <c r="BJ74" i="12"/>
  <c r="BK74" i="12"/>
  <c r="BX74" i="12"/>
  <c r="BV172" i="12"/>
  <c r="BW172" i="12"/>
  <c r="BX85" i="12"/>
  <c r="BX275" i="12"/>
  <c r="BJ170" i="12"/>
  <c r="BK170" i="12"/>
  <c r="BV170" i="12"/>
  <c r="BW170" i="12"/>
  <c r="BJ186" i="12"/>
  <c r="BK186" i="12"/>
  <c r="BV186" i="12"/>
  <c r="BW186" i="12"/>
  <c r="BV136" i="12"/>
  <c r="BW136" i="12"/>
  <c r="T48" i="8"/>
  <c r="BJ40" i="12"/>
  <c r="BK40" i="12"/>
  <c r="BX40" i="12"/>
  <c r="BJ34" i="12"/>
  <c r="BK34" i="12"/>
  <c r="BX34" i="12"/>
  <c r="BX30" i="12"/>
  <c r="BJ4" i="12"/>
  <c r="BK4" i="12"/>
  <c r="BX4" i="12"/>
  <c r="BX324" i="12"/>
  <c r="BX59" i="12"/>
  <c r="BJ176" i="12"/>
  <c r="BK176" i="12"/>
  <c r="BJ207" i="12"/>
  <c r="BK207" i="12"/>
  <c r="BX152" i="12"/>
  <c r="BV80" i="12"/>
  <c r="BW80" i="12"/>
  <c r="BV147" i="12"/>
  <c r="BW147" i="12"/>
  <c r="BJ44" i="12"/>
  <c r="BK44" i="12"/>
  <c r="BV44" i="12"/>
  <c r="BW44" i="12"/>
  <c r="BJ271" i="12"/>
  <c r="BK271" i="12"/>
  <c r="BX271" i="12"/>
  <c r="BI294" i="12"/>
  <c r="BH294" i="12"/>
  <c r="BJ281" i="12"/>
  <c r="BK281" i="12"/>
  <c r="BV281" i="12"/>
  <c r="BW281" i="12"/>
  <c r="BJ83" i="12"/>
  <c r="BK83" i="12"/>
  <c r="BV83" i="12"/>
  <c r="BW83" i="12"/>
  <c r="BJ286" i="12"/>
  <c r="BK286" i="12"/>
  <c r="BX286" i="12"/>
  <c r="BJ141" i="12"/>
  <c r="BK141" i="12"/>
  <c r="BV141" i="12"/>
  <c r="BW141" i="12"/>
  <c r="BV283" i="12"/>
  <c r="BW283" i="12"/>
  <c r="BJ179" i="12"/>
  <c r="BK179" i="12"/>
  <c r="BX179" i="12"/>
  <c r="BJ18" i="12"/>
  <c r="BK18" i="12"/>
  <c r="BX18" i="12"/>
  <c r="BJ64" i="12"/>
  <c r="BK64" i="12"/>
  <c r="BX64" i="12"/>
  <c r="BX293" i="12"/>
  <c r="BJ5" i="12"/>
  <c r="BK5" i="12"/>
  <c r="BX5" i="12"/>
  <c r="BV153" i="12"/>
  <c r="BW153" i="12"/>
  <c r="BJ288" i="12"/>
  <c r="BK288" i="12"/>
  <c r="BV288" i="12"/>
  <c r="BW288" i="12"/>
  <c r="BJ289" i="12"/>
  <c r="BK289" i="12"/>
  <c r="BV289" i="12"/>
  <c r="BW289" i="12"/>
  <c r="BJ73" i="12"/>
  <c r="BK73" i="12"/>
  <c r="BV73" i="12"/>
  <c r="BW73" i="12"/>
  <c r="BX308" i="12"/>
  <c r="BJ93" i="12"/>
  <c r="BK93" i="12"/>
  <c r="BV93" i="12"/>
  <c r="BW93" i="12"/>
  <c r="BH107" i="12"/>
  <c r="BI107" i="12"/>
  <c r="BJ31" i="12"/>
  <c r="BK31" i="12"/>
  <c r="BX31" i="12"/>
  <c r="BV199" i="12"/>
  <c r="BW199" i="12"/>
  <c r="BI140" i="12"/>
  <c r="BH140" i="12"/>
  <c r="BJ274" i="12"/>
  <c r="BK274" i="12"/>
  <c r="BX274" i="12"/>
  <c r="BI110" i="12"/>
  <c r="BH110" i="12"/>
  <c r="BJ279" i="12"/>
  <c r="BK279" i="12"/>
  <c r="BX279" i="12"/>
  <c r="BJ270" i="12"/>
  <c r="BK270" i="12"/>
  <c r="BJ48" i="12"/>
  <c r="BK48" i="12"/>
  <c r="BX109" i="12"/>
  <c r="BJ198" i="12"/>
  <c r="BK198" i="12"/>
  <c r="BV198" i="12"/>
  <c r="BW198" i="12"/>
  <c r="BJ315" i="12"/>
  <c r="BK315" i="12"/>
  <c r="BX315" i="12"/>
  <c r="BJ39" i="12"/>
  <c r="BK39" i="12"/>
  <c r="BX39" i="12"/>
  <c r="BV37" i="12"/>
  <c r="BW37" i="12"/>
  <c r="BJ325" i="12"/>
  <c r="BK325" i="12"/>
  <c r="BV325" i="12"/>
  <c r="BW325" i="12"/>
  <c r="BV61" i="12"/>
  <c r="BW61" i="12"/>
  <c r="BX98" i="12"/>
  <c r="BJ151" i="12"/>
  <c r="BK151" i="12"/>
  <c r="BV151" i="12"/>
  <c r="BW151" i="12"/>
  <c r="BJ16" i="12"/>
  <c r="BK16" i="12"/>
  <c r="BV16" i="12"/>
  <c r="BW16" i="12"/>
  <c r="BJ12" i="12"/>
  <c r="BK12" i="12"/>
  <c r="BX12" i="12"/>
  <c r="BJ193" i="12"/>
  <c r="BK193" i="12"/>
  <c r="BV193" i="12"/>
  <c r="BW193" i="12"/>
  <c r="BJ21" i="12"/>
  <c r="BK21" i="12"/>
  <c r="BV21" i="12"/>
  <c r="BW21" i="12"/>
  <c r="BJ23" i="12"/>
  <c r="BK23" i="12"/>
  <c r="BX23" i="12"/>
  <c r="BX145" i="12"/>
  <c r="BJ209" i="12"/>
  <c r="BK209" i="12"/>
  <c r="BH314" i="12"/>
  <c r="BI314" i="12"/>
  <c r="BX285" i="12"/>
  <c r="BV285" i="12"/>
  <c r="BW285" i="12"/>
  <c r="BH137" i="12"/>
  <c r="BI137" i="12"/>
  <c r="BV160" i="12"/>
  <c r="BW160" i="12"/>
  <c r="BX162" i="12"/>
  <c r="BJ112" i="12"/>
  <c r="BK112" i="12"/>
  <c r="BX112" i="12"/>
  <c r="BJ182" i="12"/>
  <c r="BK182" i="12"/>
  <c r="BX182" i="12"/>
  <c r="BJ305" i="12"/>
  <c r="BK305" i="12"/>
  <c r="BX305" i="12"/>
  <c r="BJ292" i="12"/>
  <c r="BK292" i="12"/>
  <c r="BX292" i="12"/>
  <c r="BJ185" i="12"/>
  <c r="BK185" i="12"/>
  <c r="BX185" i="12"/>
  <c r="BJ62" i="12"/>
  <c r="BK62" i="12"/>
  <c r="BV62" i="12"/>
  <c r="BW62" i="12"/>
  <c r="BJ56" i="12"/>
  <c r="BK56" i="12"/>
  <c r="BX56" i="12"/>
  <c r="BJ119" i="12"/>
  <c r="BK119" i="12"/>
  <c r="BV119" i="12"/>
  <c r="BW119" i="12"/>
  <c r="BJ43" i="12"/>
  <c r="BK43" i="12"/>
  <c r="BX43" i="12"/>
  <c r="BJ127" i="12"/>
  <c r="BK127" i="12"/>
  <c r="BH180" i="12"/>
  <c r="BI180" i="12"/>
  <c r="BJ309" i="12"/>
  <c r="BK309" i="12"/>
  <c r="BH299" i="12"/>
  <c r="BI299" i="12"/>
  <c r="BJ177" i="12"/>
  <c r="BK177" i="12"/>
  <c r="BV177" i="12"/>
  <c r="BW177" i="12"/>
  <c r="BJ300" i="12"/>
  <c r="BK300" i="12"/>
  <c r="BV300" i="12"/>
  <c r="BW300" i="12"/>
  <c r="BJ311" i="12"/>
  <c r="BK311" i="12"/>
  <c r="BX311" i="12"/>
  <c r="BJ158" i="12"/>
  <c r="BK158" i="12"/>
  <c r="BV158" i="12"/>
  <c r="BW158" i="12"/>
  <c r="BJ204" i="12"/>
  <c r="BK204" i="12"/>
  <c r="BV204" i="12"/>
  <c r="BW204" i="12"/>
  <c r="BJ194" i="12"/>
  <c r="BK194" i="12"/>
  <c r="BV194" i="12"/>
  <c r="BW194" i="12"/>
  <c r="BX108" i="12"/>
  <c r="BJ124" i="12"/>
  <c r="BK124" i="12"/>
  <c r="BV124" i="12"/>
  <c r="BW124" i="12"/>
  <c r="BJ66" i="12"/>
  <c r="BK66" i="12"/>
  <c r="BV66" i="12"/>
  <c r="BW66" i="12"/>
  <c r="BJ290" i="12"/>
  <c r="BK290" i="12"/>
  <c r="BX290" i="12"/>
  <c r="BJ142" i="12"/>
  <c r="BK142" i="12"/>
  <c r="BX142" i="12"/>
  <c r="BJ295" i="12"/>
  <c r="BK295" i="12"/>
  <c r="BX295" i="12"/>
  <c r="BJ47" i="12"/>
  <c r="BK47" i="12"/>
  <c r="BV47" i="12"/>
  <c r="BW47" i="12"/>
  <c r="BJ322" i="12"/>
  <c r="BK322" i="12"/>
  <c r="BX322" i="12"/>
  <c r="BJ175" i="12"/>
  <c r="BK175" i="12"/>
  <c r="BX175" i="12"/>
  <c r="BJ105" i="12"/>
  <c r="BK105" i="12"/>
  <c r="BX105" i="12"/>
  <c r="BJ203" i="12"/>
  <c r="BK203" i="12"/>
  <c r="BX203" i="12"/>
  <c r="BJ301" i="12"/>
  <c r="BK301" i="12"/>
  <c r="BV301" i="12"/>
  <c r="BW301" i="12"/>
  <c r="BJ302" i="12"/>
  <c r="BK302" i="12"/>
  <c r="BX302" i="12"/>
  <c r="BV71" i="12"/>
  <c r="BW71" i="12"/>
  <c r="BX71" i="12"/>
  <c r="BI117" i="12"/>
  <c r="BH117" i="12"/>
  <c r="BH13" i="12"/>
  <c r="BI13" i="12"/>
  <c r="BJ316" i="12"/>
  <c r="BK316" i="12"/>
  <c r="BV316" i="12"/>
  <c r="BW316" i="12"/>
  <c r="BJ126" i="12"/>
  <c r="BK126" i="12"/>
  <c r="BV126" i="12"/>
  <c r="BW126" i="12"/>
  <c r="BI197" i="12"/>
  <c r="BH197" i="12"/>
  <c r="BH144" i="12"/>
  <c r="BI144" i="12"/>
  <c r="BJ296" i="12"/>
  <c r="BK296" i="12"/>
  <c r="BI17" i="12"/>
  <c r="BH17" i="12"/>
  <c r="BV78" i="12"/>
  <c r="BW78" i="12"/>
  <c r="BX78" i="12"/>
  <c r="BI183" i="12"/>
  <c r="BH183" i="12"/>
  <c r="BH304" i="12"/>
  <c r="BI304" i="12"/>
  <c r="BH15" i="12"/>
  <c r="BI15" i="12"/>
  <c r="BJ201" i="12"/>
  <c r="BK201" i="12"/>
  <c r="BX201" i="12"/>
  <c r="BV278" i="12"/>
  <c r="BW278" i="12"/>
  <c r="BX123" i="12"/>
  <c r="BV319" i="12"/>
  <c r="BW319" i="12"/>
  <c r="BX319" i="12"/>
  <c r="BH188" i="12"/>
  <c r="BI188" i="12"/>
  <c r="BI22" i="12"/>
  <c r="BH22" i="12"/>
  <c r="BJ26" i="12"/>
  <c r="BK26" i="12"/>
  <c r="BX277" i="12"/>
  <c r="BV277" i="12"/>
  <c r="BW277" i="12"/>
  <c r="BJ55" i="12"/>
  <c r="BK55" i="12"/>
  <c r="BX55" i="12"/>
  <c r="BX205" i="12"/>
  <c r="BJ196" i="12"/>
  <c r="BK196" i="12"/>
  <c r="BI25" i="12"/>
  <c r="BH25" i="12"/>
  <c r="BJ148" i="12"/>
  <c r="BK148" i="12"/>
  <c r="BJ291" i="12"/>
  <c r="BK291" i="12"/>
  <c r="BX291" i="12"/>
  <c r="BJ76" i="12"/>
  <c r="BK76" i="12"/>
  <c r="BX76" i="12"/>
  <c r="BX3" i="12"/>
  <c r="BX103" i="12"/>
  <c r="BV103" i="12"/>
  <c r="BW103" i="12"/>
  <c r="BH19" i="12"/>
  <c r="BI19" i="12"/>
  <c r="BV132" i="12"/>
  <c r="BW132" i="12"/>
  <c r="BX132" i="12"/>
  <c r="BH310" i="12"/>
  <c r="BI310" i="12"/>
  <c r="BJ174" i="12"/>
  <c r="BK174" i="12"/>
  <c r="BX174" i="12"/>
  <c r="BJ320" i="12"/>
  <c r="BK320" i="12"/>
  <c r="BX320" i="12"/>
  <c r="BI312" i="12"/>
  <c r="BH312" i="12"/>
  <c r="BJ24" i="12"/>
  <c r="BK24" i="12"/>
  <c r="BX24" i="12"/>
  <c r="BJ118" i="12"/>
  <c r="BK118" i="12"/>
  <c r="BX118" i="12"/>
  <c r="BJ58" i="12"/>
  <c r="BK58" i="12"/>
  <c r="BX58" i="12"/>
  <c r="BJ298" i="12"/>
  <c r="BK298" i="12"/>
  <c r="BX298" i="12"/>
  <c r="BJ51" i="12"/>
  <c r="BK51" i="12"/>
  <c r="BX51" i="12"/>
  <c r="BJ181" i="12"/>
  <c r="BK181" i="12"/>
  <c r="BX181" i="12"/>
  <c r="BJ195" i="12"/>
  <c r="BK195" i="12"/>
  <c r="BX195" i="12"/>
  <c r="BJ156" i="12"/>
  <c r="BK156" i="12"/>
  <c r="BX156" i="12"/>
  <c r="BJ191" i="12"/>
  <c r="BK191" i="12"/>
  <c r="BV191" i="12"/>
  <c r="BW191" i="12"/>
  <c r="BJ171" i="12"/>
  <c r="BK171" i="12"/>
  <c r="BX171" i="12"/>
  <c r="BV192" i="12"/>
  <c r="BW192" i="12"/>
  <c r="BJ129" i="12"/>
  <c r="BK129" i="12"/>
  <c r="BX129" i="12"/>
  <c r="BJ161" i="12"/>
  <c r="BK161" i="12"/>
  <c r="BV161" i="12"/>
  <c r="BW161" i="12"/>
  <c r="BH115" i="12"/>
  <c r="BI115" i="12"/>
  <c r="BI287" i="12"/>
  <c r="BH287" i="12"/>
  <c r="BH163" i="12"/>
  <c r="BI163" i="12"/>
  <c r="BI138" i="12"/>
  <c r="BH138" i="12"/>
  <c r="BH297" i="12"/>
  <c r="BI297" i="12"/>
  <c r="BH303" i="12"/>
  <c r="BI303" i="12"/>
  <c r="K40" i="8"/>
  <c r="AD35" i="8"/>
  <c r="O14" i="8"/>
  <c r="O10" i="8"/>
  <c r="K42" i="8"/>
  <c r="BX89" i="12"/>
  <c r="BV7" i="12"/>
  <c r="BW7" i="12"/>
  <c r="BX35" i="12"/>
  <c r="BV8" i="12"/>
  <c r="BW8" i="12"/>
  <c r="BV84" i="12"/>
  <c r="BW84" i="12"/>
  <c r="BX36" i="12"/>
  <c r="BJ53" i="12"/>
  <c r="BK53" i="12"/>
  <c r="BV53" i="12"/>
  <c r="BW53" i="12"/>
  <c r="BJ187" i="12"/>
  <c r="BK187" i="12"/>
  <c r="BX53" i="12"/>
  <c r="BJ88" i="12"/>
  <c r="BK88" i="12"/>
  <c r="BJ14" i="12"/>
  <c r="BK14" i="12"/>
  <c r="BV42" i="12"/>
  <c r="BW42" i="12"/>
  <c r="BV202" i="12"/>
  <c r="BW202" i="12"/>
  <c r="BV20" i="12"/>
  <c r="BW20" i="12"/>
  <c r="BX164" i="12"/>
  <c r="BX41" i="12"/>
  <c r="BJ28" i="12"/>
  <c r="BK28" i="12"/>
  <c r="BJ38" i="12"/>
  <c r="BK38" i="12"/>
  <c r="BJ68" i="12"/>
  <c r="BK68" i="12"/>
  <c r="BJ6" i="12"/>
  <c r="BK6" i="12"/>
  <c r="BX52" i="12"/>
  <c r="BV52" i="12"/>
  <c r="BW52" i="12"/>
  <c r="BJ149" i="12"/>
  <c r="BK149" i="12"/>
  <c r="BJ326" i="12"/>
  <c r="BK326" i="12"/>
  <c r="BJ184" i="12"/>
  <c r="BK184" i="12"/>
  <c r="BV139" i="12"/>
  <c r="BW139" i="12"/>
  <c r="BX139" i="12"/>
  <c r="BJ50" i="12"/>
  <c r="BK50" i="12"/>
  <c r="BV50" i="12"/>
  <c r="BW50" i="12"/>
  <c r="BJ306" i="12"/>
  <c r="BK306" i="12"/>
  <c r="BV306" i="12"/>
  <c r="BW306" i="12"/>
  <c r="BV54" i="12"/>
  <c r="BW54" i="12"/>
  <c r="BV95" i="12"/>
  <c r="BW95" i="12"/>
  <c r="BJ318" i="12"/>
  <c r="BK318" i="12"/>
  <c r="BJ206" i="12"/>
  <c r="BK206" i="12"/>
  <c r="BX206" i="12"/>
  <c r="BJ323" i="12"/>
  <c r="BK323" i="12"/>
  <c r="BJ154" i="12"/>
  <c r="BK154" i="12"/>
  <c r="BV329" i="12"/>
  <c r="BW329" i="12"/>
  <c r="BX329" i="12"/>
  <c r="BJ86" i="12"/>
  <c r="BK86" i="12"/>
  <c r="BV86" i="12"/>
  <c r="BW86" i="12"/>
  <c r="BX313" i="12"/>
  <c r="BX301" i="12"/>
  <c r="BX130" i="12"/>
  <c r="BV142" i="12"/>
  <c r="BW142" i="12"/>
  <c r="BX75" i="12"/>
  <c r="BX186" i="12"/>
  <c r="BX288" i="12"/>
  <c r="BX66" i="12"/>
  <c r="BX62" i="12"/>
  <c r="BV55" i="12"/>
  <c r="BW55" i="12"/>
  <c r="BX63" i="12"/>
  <c r="BJ173" i="12"/>
  <c r="BK173" i="12"/>
  <c r="BX173" i="12"/>
  <c r="BV18" i="12"/>
  <c r="BW18" i="12"/>
  <c r="BV286" i="12"/>
  <c r="BW286" i="12"/>
  <c r="BV34" i="12"/>
  <c r="BW34" i="12"/>
  <c r="BX273" i="12"/>
  <c r="BV273" i="12"/>
  <c r="BW273" i="12"/>
  <c r="BV274" i="12"/>
  <c r="BW274" i="12"/>
  <c r="BV111" i="12"/>
  <c r="BW111" i="12"/>
  <c r="BJ294" i="12"/>
  <c r="BK294" i="12"/>
  <c r="BV294" i="12"/>
  <c r="BW294" i="12"/>
  <c r="BV200" i="12"/>
  <c r="BW200" i="12"/>
  <c r="BX200" i="12"/>
  <c r="BX113" i="12"/>
  <c r="BX93" i="12"/>
  <c r="BV317" i="12"/>
  <c r="BW317" i="12"/>
  <c r="BV134" i="12"/>
  <c r="BW134" i="12"/>
  <c r="BX134" i="12"/>
  <c r="BX289" i="12"/>
  <c r="BX281" i="12"/>
  <c r="BV74" i="12"/>
  <c r="BW74" i="12"/>
  <c r="BX170" i="12"/>
  <c r="BV315" i="12"/>
  <c r="BW315" i="12"/>
  <c r="BV5" i="12"/>
  <c r="BW5" i="12"/>
  <c r="BX191" i="12"/>
  <c r="BV29" i="12"/>
  <c r="BW29" i="12"/>
  <c r="BX325" i="12"/>
  <c r="BV51" i="12"/>
  <c r="BW51" i="12"/>
  <c r="BV290" i="12"/>
  <c r="BW290" i="12"/>
  <c r="BV64" i="12"/>
  <c r="BW64" i="12"/>
  <c r="BV12" i="12"/>
  <c r="BW12" i="12"/>
  <c r="BV271" i="12"/>
  <c r="BW271" i="12"/>
  <c r="BX194" i="12"/>
  <c r="BV203" i="12"/>
  <c r="BW203" i="12"/>
  <c r="BV31" i="12"/>
  <c r="BW31" i="12"/>
  <c r="BX151" i="12"/>
  <c r="BJ137" i="12"/>
  <c r="BK137" i="12"/>
  <c r="BV137" i="12"/>
  <c r="BW137" i="12"/>
  <c r="BV4" i="12"/>
  <c r="BW4" i="12"/>
  <c r="BV279" i="12"/>
  <c r="BW279" i="12"/>
  <c r="BX124" i="12"/>
  <c r="BX49" i="12"/>
  <c r="BV49" i="12"/>
  <c r="BW49" i="12"/>
  <c r="BX300" i="12"/>
  <c r="BV157" i="12"/>
  <c r="BW157" i="12"/>
  <c r="BX307" i="12"/>
  <c r="BX126" i="12"/>
  <c r="BV195" i="12"/>
  <c r="BW195" i="12"/>
  <c r="BX198" i="12"/>
  <c r="BX91" i="12"/>
  <c r="BX44" i="12"/>
  <c r="BJ144" i="12"/>
  <c r="BK144" i="12"/>
  <c r="BX144" i="12"/>
  <c r="BV112" i="12"/>
  <c r="BW112" i="12"/>
  <c r="BX83" i="12"/>
  <c r="BX119" i="12"/>
  <c r="BV207" i="12"/>
  <c r="BW207" i="12"/>
  <c r="BX207" i="12"/>
  <c r="BV176" i="12"/>
  <c r="BW176" i="12"/>
  <c r="BX176" i="12"/>
  <c r="BV23" i="12"/>
  <c r="BW23" i="12"/>
  <c r="BV292" i="12"/>
  <c r="BW292" i="12"/>
  <c r="BJ17" i="12"/>
  <c r="BK17" i="12"/>
  <c r="BV17" i="12"/>
  <c r="BW17" i="12"/>
  <c r="BV40" i="12"/>
  <c r="BW40" i="12"/>
  <c r="BV174" i="12"/>
  <c r="BW174" i="12"/>
  <c r="BJ183" i="12"/>
  <c r="BK183" i="12"/>
  <c r="BV183" i="12"/>
  <c r="BW183" i="12"/>
  <c r="BJ197" i="12"/>
  <c r="BK197" i="12"/>
  <c r="BV197" i="12"/>
  <c r="BW197" i="12"/>
  <c r="BJ107" i="12"/>
  <c r="BK107" i="12"/>
  <c r="BV107" i="12"/>
  <c r="BW107" i="12"/>
  <c r="BX141" i="12"/>
  <c r="BV182" i="12"/>
  <c r="BW182" i="12"/>
  <c r="BV56" i="12"/>
  <c r="BW56" i="12"/>
  <c r="BV320" i="12"/>
  <c r="BW320" i="12"/>
  <c r="BJ25" i="12"/>
  <c r="BK25" i="12"/>
  <c r="BX25" i="12"/>
  <c r="BV58" i="12"/>
  <c r="BW58" i="12"/>
  <c r="BV201" i="12"/>
  <c r="BW201" i="12"/>
  <c r="BJ110" i="12"/>
  <c r="BK110" i="12"/>
  <c r="BV110" i="12"/>
  <c r="BW110" i="12"/>
  <c r="BX321" i="12"/>
  <c r="BX73" i="12"/>
  <c r="BV311" i="12"/>
  <c r="BW311" i="12"/>
  <c r="BV179" i="12"/>
  <c r="BW179" i="12"/>
  <c r="BV118" i="12"/>
  <c r="BW118" i="12"/>
  <c r="BX177" i="12"/>
  <c r="BV295" i="12"/>
  <c r="BW295" i="12"/>
  <c r="BJ140" i="12"/>
  <c r="BK140" i="12"/>
  <c r="BV175" i="12"/>
  <c r="BW175" i="12"/>
  <c r="BV185" i="12"/>
  <c r="BW185" i="12"/>
  <c r="BV39" i="12"/>
  <c r="BW39" i="12"/>
  <c r="BV305" i="12"/>
  <c r="BW305" i="12"/>
  <c r="BJ299" i="12"/>
  <c r="BK299" i="12"/>
  <c r="BV299" i="12"/>
  <c r="BW299" i="12"/>
  <c r="BV302" i="12"/>
  <c r="BW302" i="12"/>
  <c r="BX270" i="12"/>
  <c r="BV270" i="12"/>
  <c r="BW270" i="12"/>
  <c r="BX158" i="12"/>
  <c r="BX16" i="12"/>
  <c r="BX48" i="12"/>
  <c r="BV48" i="12"/>
  <c r="BW48" i="12"/>
  <c r="BV171" i="12"/>
  <c r="BW171" i="12"/>
  <c r="BJ180" i="12"/>
  <c r="BK180" i="12"/>
  <c r="BV180" i="12"/>
  <c r="BW180" i="12"/>
  <c r="BX161" i="12"/>
  <c r="BX193" i="12"/>
  <c r="BX316" i="12"/>
  <c r="BV24" i="12"/>
  <c r="BW24" i="12"/>
  <c r="BV43" i="12"/>
  <c r="BW43" i="12"/>
  <c r="BX47" i="12"/>
  <c r="BJ314" i="12"/>
  <c r="BK314" i="12"/>
  <c r="BX209" i="12"/>
  <c r="BV209" i="12"/>
  <c r="BW209" i="12"/>
  <c r="BV181" i="12"/>
  <c r="BW181" i="12"/>
  <c r="BJ117" i="12"/>
  <c r="BK117" i="12"/>
  <c r="BX117" i="12"/>
  <c r="BX21" i="12"/>
  <c r="BV291" i="12"/>
  <c r="BW291" i="12"/>
  <c r="BV322" i="12"/>
  <c r="BW322" i="12"/>
  <c r="BV127" i="12"/>
  <c r="BW127" i="12"/>
  <c r="BX127" i="12"/>
  <c r="BJ287" i="12"/>
  <c r="BK287" i="12"/>
  <c r="BX287" i="12"/>
  <c r="BJ188" i="12"/>
  <c r="BK188" i="12"/>
  <c r="BX188" i="12"/>
  <c r="BV309" i="12"/>
  <c r="BW309" i="12"/>
  <c r="BX309" i="12"/>
  <c r="BJ15" i="12"/>
  <c r="BK15" i="12"/>
  <c r="BV15" i="12"/>
  <c r="BW15" i="12"/>
  <c r="BJ304" i="12"/>
  <c r="BK304" i="12"/>
  <c r="BX304" i="12"/>
  <c r="BJ312" i="12"/>
  <c r="BK312" i="12"/>
  <c r="BX312" i="12"/>
  <c r="BV105" i="12"/>
  <c r="BW105" i="12"/>
  <c r="BJ22" i="12"/>
  <c r="BK22" i="12"/>
  <c r="BX22" i="12"/>
  <c r="BX204" i="12"/>
  <c r="BJ19" i="12"/>
  <c r="BK19" i="12"/>
  <c r="BX19" i="12"/>
  <c r="BJ115" i="12"/>
  <c r="BK115" i="12"/>
  <c r="BV115" i="12"/>
  <c r="BW115" i="12"/>
  <c r="BJ13" i="12"/>
  <c r="BK13" i="12"/>
  <c r="BJ310" i="12"/>
  <c r="BK310" i="12"/>
  <c r="BV26" i="12"/>
  <c r="BW26" i="12"/>
  <c r="BX26" i="12"/>
  <c r="BV148" i="12"/>
  <c r="BW148" i="12"/>
  <c r="BX148" i="12"/>
  <c r="BV156" i="12"/>
  <c r="BW156" i="12"/>
  <c r="BV298" i="12"/>
  <c r="BW298" i="12"/>
  <c r="BJ163" i="12"/>
  <c r="BK163" i="12"/>
  <c r="BV163" i="12"/>
  <c r="BW163" i="12"/>
  <c r="BV129" i="12"/>
  <c r="BW129" i="12"/>
  <c r="BX296" i="12"/>
  <c r="BV296" i="12"/>
  <c r="BW296" i="12"/>
  <c r="BV76" i="12"/>
  <c r="BW76" i="12"/>
  <c r="BJ303" i="12"/>
  <c r="BK303" i="12"/>
  <c r="BX303" i="12"/>
  <c r="BX196" i="12"/>
  <c r="BV196" i="12"/>
  <c r="BW196" i="12"/>
  <c r="BJ297" i="12"/>
  <c r="BK297" i="12"/>
  <c r="BX297" i="12"/>
  <c r="BJ138" i="12"/>
  <c r="BK138" i="12"/>
  <c r="BX138" i="12"/>
  <c r="K41" i="8"/>
  <c r="O9" i="8"/>
  <c r="O15" i="8"/>
  <c r="O24" i="8"/>
  <c r="K47" i="8"/>
  <c r="M48" i="8"/>
  <c r="AD37" i="8"/>
  <c r="AD38" i="8"/>
  <c r="K48" i="8"/>
  <c r="P21" i="8"/>
  <c r="BX187" i="12"/>
  <c r="BV187" i="12"/>
  <c r="BW187" i="12"/>
  <c r="BV14" i="12"/>
  <c r="BW14" i="12"/>
  <c r="BX14" i="12"/>
  <c r="BX88" i="12"/>
  <c r="BV88" i="12"/>
  <c r="BW88" i="12"/>
  <c r="BX28" i="12"/>
  <c r="BV28" i="12"/>
  <c r="BW28" i="12"/>
  <c r="BV38" i="12"/>
  <c r="BW38" i="12"/>
  <c r="BX38" i="12"/>
  <c r="BV68" i="12"/>
  <c r="BW68" i="12"/>
  <c r="BX68" i="12"/>
  <c r="BX6" i="12"/>
  <c r="BV6" i="12"/>
  <c r="BW6" i="12"/>
  <c r="BX149" i="12"/>
  <c r="BV149" i="12"/>
  <c r="BW149" i="12"/>
  <c r="BX50" i="12"/>
  <c r="BX326" i="12"/>
  <c r="BV326" i="12"/>
  <c r="BW326" i="12"/>
  <c r="BX184" i="12"/>
  <c r="BV184" i="12"/>
  <c r="BW184" i="12"/>
  <c r="BX306" i="12"/>
  <c r="BV206" i="12"/>
  <c r="BW206" i="12"/>
  <c r="BX318" i="12"/>
  <c r="BV318" i="12"/>
  <c r="BW318" i="12"/>
  <c r="BV323" i="12"/>
  <c r="BW323" i="12"/>
  <c r="BX323" i="12"/>
  <c r="BV154" i="12"/>
  <c r="BW154" i="12"/>
  <c r="BX154" i="12"/>
  <c r="BX86" i="12"/>
  <c r="BX294" i="12"/>
  <c r="BV173" i="12"/>
  <c r="BW173" i="12"/>
  <c r="BX183" i="12"/>
  <c r="BX137" i="12"/>
  <c r="BV25" i="12"/>
  <c r="BW25" i="12"/>
  <c r="BX197" i="12"/>
  <c r="BV22" i="12"/>
  <c r="BW22" i="12"/>
  <c r="BX107" i="12"/>
  <c r="BV117" i="12"/>
  <c r="BW117" i="12"/>
  <c r="BV312" i="12"/>
  <c r="BW312" i="12"/>
  <c r="BV287" i="12"/>
  <c r="BW287" i="12"/>
  <c r="BX17" i="12"/>
  <c r="BX180" i="12"/>
  <c r="BV144" i="12"/>
  <c r="BW144" i="12"/>
  <c r="BX299" i="12"/>
  <c r="BX110" i="12"/>
  <c r="BX140" i="12"/>
  <c r="BV140" i="12"/>
  <c r="BW140" i="12"/>
  <c r="BV188" i="12"/>
  <c r="BW188" i="12"/>
  <c r="BX115" i="12"/>
  <c r="BV304" i="12"/>
  <c r="BW304" i="12"/>
  <c r="BV19" i="12"/>
  <c r="BW19" i="12"/>
  <c r="BV138" i="12"/>
  <c r="BW138" i="12"/>
  <c r="BV314" i="12"/>
  <c r="BW314" i="12"/>
  <c r="BX314" i="12"/>
  <c r="BV297" i="12"/>
  <c r="BW297" i="12"/>
  <c r="BX15" i="12"/>
  <c r="BX163" i="12"/>
  <c r="BV310" i="12"/>
  <c r="BW310" i="12"/>
  <c r="BX310" i="12"/>
  <c r="BV303" i="12"/>
  <c r="BW303" i="12"/>
  <c r="BV13" i="12"/>
  <c r="BW13" i="12"/>
  <c r="BX13" i="12"/>
  <c r="O34" i="8"/>
  <c r="O26" i="8"/>
  <c r="N26" i="8"/>
  <c r="P26" i="8"/>
  <c r="O35" i="8"/>
  <c r="P24" i="8"/>
  <c r="P30" i="8"/>
  <c r="O25" i="8"/>
  <c r="P25" i="8"/>
  <c r="P23" i="8"/>
  <c r="X43" i="8"/>
  <c r="X44" i="8"/>
  <c r="X41" i="8"/>
  <c r="P27" i="8"/>
  <c r="P37" i="8"/>
  <c r="O37" i="8"/>
  <c r="P36" i="8"/>
  <c r="P38" i="8"/>
  <c r="O38" i="8"/>
  <c r="D21" i="8"/>
  <c r="Y44" i="8"/>
  <c r="X51" i="8"/>
  <c r="Y51" i="8"/>
  <c r="X38" i="8"/>
  <c r="O36" i="8"/>
  <c r="X39" i="8"/>
  <c r="X40" i="8"/>
  <c r="Y40" i="8"/>
  <c r="Y53" i="8"/>
  <c r="Y52" i="8"/>
  <c r="E27" i="8"/>
  <c r="E24" i="8"/>
  <c r="G21" i="8"/>
  <c r="F21" i="8"/>
  <c r="G27" i="8"/>
  <c r="G28" i="8"/>
  <c r="Y54" i="8"/>
  <c r="Y39" i="8"/>
  <c r="D36" i="8"/>
  <c r="X34" i="8"/>
  <c r="C24" i="8"/>
  <c r="BI2" i="12"/>
  <c r="BH2" i="12"/>
  <c r="X35" i="8"/>
  <c r="X45" i="8"/>
  <c r="X36" i="8"/>
  <c r="W36" i="8"/>
  <c r="Y36" i="8"/>
  <c r="Y34" i="8"/>
  <c r="E39" i="8"/>
  <c r="G36" i="8"/>
  <c r="F36" i="8"/>
  <c r="BJ2" i="12"/>
  <c r="BK2" i="12"/>
  <c r="E40" i="8"/>
  <c r="C39" i="8"/>
  <c r="E42" i="8"/>
  <c r="F42" i="8"/>
  <c r="BX2" i="12"/>
  <c r="BV2" i="12"/>
  <c r="BW2" i="12"/>
  <c r="O20" i="28" l="1"/>
  <c r="O21" i="28"/>
  <c r="T18" i="28"/>
  <c r="T29" i="28"/>
  <c r="A19" i="28"/>
  <c r="O18" i="28"/>
  <c r="P18" i="28" s="1"/>
  <c r="C19" i="28"/>
  <c r="C20" i="28" s="1"/>
  <c r="E20" i="28" s="1"/>
  <c r="K30" i="28"/>
  <c r="K31" i="28"/>
  <c r="K32" i="28"/>
  <c r="A20" i="28"/>
  <c r="O31" i="28"/>
  <c r="P31" i="28" s="1"/>
  <c r="D23" i="28"/>
  <c r="F25" i="28" s="1"/>
  <c r="O39" i="28"/>
  <c r="N39" i="28" s="1"/>
  <c r="AN23" i="28"/>
  <c r="K15" i="28"/>
  <c r="G19" i="28"/>
  <c r="O19" i="28"/>
  <c r="O17" i="28"/>
  <c r="AK9" i="28"/>
  <c r="N33" i="28"/>
  <c r="J43" i="28"/>
  <c r="A22" i="28" l="1"/>
  <c r="A23" i="28" s="1"/>
  <c r="J16" i="28"/>
  <c r="A21" i="28"/>
  <c r="E19" i="28"/>
  <c r="T45" i="28"/>
  <c r="X14" i="28" s="1"/>
  <c r="T44" i="28"/>
  <c r="X13" i="28" s="1"/>
  <c r="T22" i="28"/>
  <c r="T21" i="28"/>
  <c r="T20" i="28"/>
  <c r="T43" i="28" s="1"/>
  <c r="T19" i="28"/>
  <c r="T23" i="28" s="1"/>
  <c r="T33" i="28" s="1"/>
  <c r="T40" i="28" s="1"/>
  <c r="T24" i="28"/>
  <c r="T25" i="28" s="1"/>
  <c r="T46" i="28" s="1"/>
  <c r="X15" i="28" s="1"/>
  <c r="O16" i="28"/>
  <c r="J3" i="28"/>
  <c r="K3" i="28" s="1"/>
  <c r="K4" i="28" s="1"/>
  <c r="K16" i="28"/>
  <c r="G24" i="28"/>
  <c r="C27" i="28" s="1"/>
  <c r="G23" i="28"/>
  <c r="F23" i="28" s="1"/>
  <c r="P39" i="28"/>
  <c r="O32" i="28"/>
  <c r="O33" i="28" s="1"/>
  <c r="A24" i="28" l="1"/>
  <c r="T41" i="28"/>
  <c r="X10" i="28" s="1"/>
  <c r="X12" i="28"/>
  <c r="X11" i="28" s="1"/>
  <c r="T42" i="28"/>
  <c r="T47" i="28" s="1"/>
  <c r="T48" i="28" s="1"/>
  <c r="K27" i="28"/>
  <c r="P16" i="28"/>
  <c r="P15" i="28" s="1"/>
  <c r="K29" i="28"/>
  <c r="K18" i="28"/>
  <c r="C26" i="28"/>
  <c r="G26" i="28" s="1"/>
  <c r="D26" i="28" s="1"/>
  <c r="O30" i="28"/>
  <c r="O27" i="28"/>
  <c r="P33" i="28"/>
  <c r="O40" i="28" s="1"/>
  <c r="P40" i="28" s="1"/>
  <c r="K45" i="28" l="1"/>
  <c r="O13" i="28" s="1"/>
  <c r="K44" i="28"/>
  <c r="O12" i="28" s="1"/>
  <c r="X16" i="28"/>
  <c r="K19" i="28"/>
  <c r="K22" i="28"/>
  <c r="K20" i="28"/>
  <c r="K43" i="28" s="1"/>
  <c r="O11" i="28" s="1"/>
  <c r="K21" i="28"/>
  <c r="P41" i="28"/>
  <c r="P42" i="28"/>
  <c r="O28" i="28"/>
  <c r="P28" i="28" s="1"/>
  <c r="O29" i="28"/>
  <c r="P29" i="28" s="1"/>
  <c r="K23" i="28" l="1"/>
  <c r="P13" i="28"/>
  <c r="P12" i="28"/>
  <c r="K24" i="28"/>
  <c r="K25" i="28" l="1"/>
  <c r="AD19" i="28"/>
  <c r="AD27" i="28"/>
  <c r="AD21" i="28" l="1"/>
  <c r="AD22" i="28"/>
  <c r="AD29" i="28"/>
  <c r="AD30" i="28"/>
  <c r="K46" i="28"/>
  <c r="K33" i="28"/>
  <c r="O14" i="28" l="1"/>
  <c r="O10" i="28" s="1"/>
  <c r="K42" i="28"/>
  <c r="AD35" i="28"/>
  <c r="AD37" i="28" s="1"/>
  <c r="K40" i="28"/>
  <c r="K41" i="28" l="1"/>
  <c r="O9" i="28" s="1"/>
  <c r="K47" i="28"/>
  <c r="AD38" i="28"/>
  <c r="O15" i="28" l="1"/>
  <c r="O24" i="28" s="1"/>
  <c r="M48" i="28"/>
  <c r="K48" i="28"/>
  <c r="O26" i="28" l="1"/>
  <c r="P26" i="28" s="1"/>
  <c r="O35" i="28" s="1"/>
  <c r="P24" i="28"/>
  <c r="O25" i="28"/>
  <c r="P25" i="28" s="1"/>
  <c r="X43" i="28"/>
  <c r="X44" i="28" s="1"/>
  <c r="X41" i="28" s="1"/>
  <c r="P27" i="28" l="1"/>
  <c r="P30" i="28"/>
  <c r="P37" i="28"/>
  <c r="O37" i="28" s="1"/>
  <c r="P36" i="28"/>
  <c r="O36" i="28" s="1"/>
  <c r="P38" i="28"/>
  <c r="O38" i="28" s="1"/>
  <c r="X38" i="28"/>
  <c r="Y44" i="28"/>
  <c r="X51" i="28" s="1"/>
  <c r="Y51" i="28" s="1"/>
  <c r="D21" i="28" l="1"/>
  <c r="E27" i="28" s="1"/>
  <c r="Y52" i="28"/>
  <c r="Y53" i="28"/>
  <c r="X39" i="28"/>
  <c r="X40" i="28"/>
  <c r="Y40" i="28" s="1"/>
  <c r="E24" i="28" l="1"/>
  <c r="E30" i="28" s="1"/>
  <c r="G21" i="28"/>
  <c r="F21" i="28" s="1"/>
  <c r="X34" i="28"/>
  <c r="Y39" i="28"/>
  <c r="Y54" i="28"/>
  <c r="C24" i="28"/>
  <c r="G25" i="28" l="1"/>
  <c r="G27" i="28"/>
  <c r="X36" i="28"/>
  <c r="W36" i="28" s="1"/>
  <c r="Y36" i="28" s="1"/>
  <c r="X35" i="28"/>
  <c r="X45" i="28"/>
  <c r="Y34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Henrique</author>
  </authors>
  <commentList>
    <comment ref="B158" authorId="0" shapeId="0" xr:uid="{CC59FD6D-9B3C-4F29-B494-957F09673E70}">
      <text>
        <r>
          <rPr>
            <b/>
            <sz val="9"/>
            <color indexed="81"/>
            <rFont val="Segoe UI"/>
            <family val="2"/>
          </rPr>
          <t>Henrique:</t>
        </r>
        <r>
          <rPr>
            <sz val="9"/>
            <color indexed="81"/>
            <rFont val="Segoe UI"/>
            <family val="2"/>
          </rPr>
          <t xml:space="preserve">
A CAMESA TRAZ NO 5407.52.10
</t>
        </r>
      </text>
    </comment>
    <comment ref="B159" authorId="0" shapeId="0" xr:uid="{884523CF-3760-4A8E-9279-B2AE53D92861}">
      <text>
        <r>
          <rPr>
            <b/>
            <sz val="9"/>
            <color indexed="81"/>
            <rFont val="Segoe UI"/>
            <family val="2"/>
          </rPr>
          <t>Henrique:</t>
        </r>
        <r>
          <rPr>
            <sz val="9"/>
            <color indexed="81"/>
            <rFont val="Segoe UI"/>
            <family val="2"/>
          </rPr>
          <t xml:space="preserve">
A CAMESA TRAZ NO 5407.52.10
</t>
        </r>
      </text>
    </comment>
    <comment ref="B160" authorId="0" shapeId="0" xr:uid="{2DD4A378-FC0A-4E95-A555-1F22E38C1D95}">
      <text>
        <r>
          <rPr>
            <b/>
            <sz val="9"/>
            <color indexed="81"/>
            <rFont val="Segoe UI"/>
            <family val="2"/>
          </rPr>
          <t>Henrique:</t>
        </r>
        <r>
          <rPr>
            <sz val="9"/>
            <color indexed="81"/>
            <rFont val="Segoe UI"/>
            <family val="2"/>
          </rPr>
          <t xml:space="preserve">
A CAMESA TRAZ NO 5407.52.10
</t>
        </r>
      </text>
    </comment>
    <comment ref="B161" authorId="0" shapeId="0" xr:uid="{DDAD3BEF-7FA6-4E09-8D2F-F0EF1630D39B}">
      <text>
        <r>
          <rPr>
            <b/>
            <sz val="9"/>
            <color indexed="81"/>
            <rFont val="Segoe UI"/>
            <family val="2"/>
          </rPr>
          <t>Henrique:</t>
        </r>
        <r>
          <rPr>
            <sz val="9"/>
            <color indexed="81"/>
            <rFont val="Segoe UI"/>
            <family val="2"/>
          </rPr>
          <t xml:space="preserve">
A CAMESA TRAZ NO 5407.52.10
</t>
        </r>
      </text>
    </comment>
    <comment ref="B162" authorId="0" shapeId="0" xr:uid="{8939D95D-3CC6-4C0A-81B5-E5B105CCA0A5}">
      <text>
        <r>
          <rPr>
            <b/>
            <sz val="9"/>
            <color indexed="81"/>
            <rFont val="Segoe UI"/>
            <family val="2"/>
          </rPr>
          <t>Henrique:</t>
        </r>
        <r>
          <rPr>
            <sz val="9"/>
            <color indexed="81"/>
            <rFont val="Segoe UI"/>
            <family val="2"/>
          </rPr>
          <t xml:space="preserve">
A CAMESA TRAZ NO 5407.52.10
</t>
        </r>
      </text>
    </comment>
    <comment ref="B163" authorId="0" shapeId="0" xr:uid="{2A55DD62-5222-4B6D-8DAF-A9198C717EE2}">
      <text>
        <r>
          <rPr>
            <b/>
            <sz val="9"/>
            <color indexed="81"/>
            <rFont val="Segoe UI"/>
            <family val="2"/>
          </rPr>
          <t>Henrique:</t>
        </r>
        <r>
          <rPr>
            <sz val="9"/>
            <color indexed="81"/>
            <rFont val="Segoe UI"/>
            <family val="2"/>
          </rPr>
          <t xml:space="preserve">
A CAMESA TRAZ NO 5407.52.10
</t>
        </r>
      </text>
    </comment>
    <comment ref="B164" authorId="0" shapeId="0" xr:uid="{BEA1F056-330F-40EC-94B5-B922270C8797}">
      <text>
        <r>
          <rPr>
            <b/>
            <sz val="9"/>
            <color indexed="81"/>
            <rFont val="Segoe UI"/>
            <family val="2"/>
          </rPr>
          <t>Henrique:</t>
        </r>
        <r>
          <rPr>
            <sz val="9"/>
            <color indexed="81"/>
            <rFont val="Segoe UI"/>
            <family val="2"/>
          </rPr>
          <t xml:space="preserve">
A CAMESA TRAZ NO 5407.52.10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Henrique</author>
  </authors>
  <commentList>
    <comment ref="B157" authorId="0" shapeId="0" xr:uid="{BE14A100-6C65-7A4F-98A6-7DD110841632}">
      <text>
        <r>
          <rPr>
            <b/>
            <sz val="9"/>
            <color indexed="81"/>
            <rFont val="Segoe UI"/>
            <family val="2"/>
          </rPr>
          <t>Henrique:</t>
        </r>
        <r>
          <rPr>
            <sz val="9"/>
            <color indexed="81"/>
            <rFont val="Segoe UI"/>
            <family val="2"/>
          </rPr>
          <t xml:space="preserve">
A CAMESA TRAZ NO 5407.52.10
</t>
        </r>
      </text>
    </comment>
    <comment ref="B158" authorId="0" shapeId="0" xr:uid="{E3ED85D6-7087-E94A-8FAE-06E333FB7075}">
      <text>
        <r>
          <rPr>
            <b/>
            <sz val="9"/>
            <color indexed="81"/>
            <rFont val="Segoe UI"/>
            <family val="2"/>
          </rPr>
          <t>Henrique:</t>
        </r>
        <r>
          <rPr>
            <sz val="9"/>
            <color indexed="81"/>
            <rFont val="Segoe UI"/>
            <family val="2"/>
          </rPr>
          <t xml:space="preserve">
A CAMESA TRAZ NO 5407.52.10
</t>
        </r>
      </text>
    </comment>
    <comment ref="B159" authorId="0" shapeId="0" xr:uid="{6A74257D-566A-4D47-92CB-B7BBFB6EAAE3}">
      <text>
        <r>
          <rPr>
            <b/>
            <sz val="9"/>
            <color indexed="81"/>
            <rFont val="Segoe UI"/>
            <family val="2"/>
          </rPr>
          <t>Henrique:</t>
        </r>
        <r>
          <rPr>
            <sz val="9"/>
            <color indexed="81"/>
            <rFont val="Segoe UI"/>
            <family val="2"/>
          </rPr>
          <t xml:space="preserve">
A CAMESA TRAZ NO 5407.52.10
</t>
        </r>
      </text>
    </comment>
    <comment ref="B160" authorId="0" shapeId="0" xr:uid="{A24499AA-195B-7349-83CA-E4BCAB6C0139}">
      <text>
        <r>
          <rPr>
            <b/>
            <sz val="9"/>
            <color indexed="81"/>
            <rFont val="Segoe UI"/>
            <family val="2"/>
          </rPr>
          <t>Henrique:</t>
        </r>
        <r>
          <rPr>
            <sz val="9"/>
            <color indexed="81"/>
            <rFont val="Segoe UI"/>
            <family val="2"/>
          </rPr>
          <t xml:space="preserve">
A CAMESA TRAZ NO 5407.52.10
</t>
        </r>
      </text>
    </comment>
    <comment ref="B161" authorId="0" shapeId="0" xr:uid="{4A51CC1D-8C07-D442-BAB7-E9B5C6B7BB3D}">
      <text>
        <r>
          <rPr>
            <b/>
            <sz val="9"/>
            <color indexed="81"/>
            <rFont val="Segoe UI"/>
            <family val="2"/>
          </rPr>
          <t>Henrique:</t>
        </r>
        <r>
          <rPr>
            <sz val="9"/>
            <color indexed="81"/>
            <rFont val="Segoe UI"/>
            <family val="2"/>
          </rPr>
          <t xml:space="preserve">
A CAMESA TRAZ NO 5407.52.10
</t>
        </r>
      </text>
    </comment>
    <comment ref="B162" authorId="0" shapeId="0" xr:uid="{7324C15F-8CBC-954D-A2A0-5C8EDDA23323}">
      <text>
        <r>
          <rPr>
            <b/>
            <sz val="9"/>
            <color indexed="81"/>
            <rFont val="Segoe UI"/>
            <family val="2"/>
          </rPr>
          <t>Henrique:</t>
        </r>
        <r>
          <rPr>
            <sz val="9"/>
            <color indexed="81"/>
            <rFont val="Segoe UI"/>
            <family val="2"/>
          </rPr>
          <t xml:space="preserve">
A CAMESA TRAZ NO 5407.52.10
</t>
        </r>
      </text>
    </comment>
    <comment ref="B163" authorId="0" shapeId="0" xr:uid="{C6D6A983-C718-B845-AC08-304BB95F1F68}">
      <text>
        <r>
          <rPr>
            <b/>
            <sz val="9"/>
            <color indexed="81"/>
            <rFont val="Segoe UI"/>
            <family val="2"/>
          </rPr>
          <t>Henrique:</t>
        </r>
        <r>
          <rPr>
            <sz val="9"/>
            <color indexed="81"/>
            <rFont val="Segoe UI"/>
            <family val="2"/>
          </rPr>
          <t xml:space="preserve">
A CAMESA TRAZ NO 5407.52.10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Henrique</author>
  </authors>
  <commentList>
    <comment ref="C159" authorId="0" shapeId="0" xr:uid="{4B24A32A-8F41-4945-B45A-EA8AA15F52DA}">
      <text>
        <r>
          <rPr>
            <b/>
            <sz val="9"/>
            <color indexed="81"/>
            <rFont val="Segoe UI"/>
            <family val="2"/>
          </rPr>
          <t>Henrique:</t>
        </r>
        <r>
          <rPr>
            <sz val="9"/>
            <color indexed="81"/>
            <rFont val="Segoe UI"/>
            <family val="2"/>
          </rPr>
          <t xml:space="preserve">
A CAMESA TRAZ NO 5407.52.10
</t>
        </r>
      </text>
    </comment>
    <comment ref="C160" authorId="0" shapeId="0" xr:uid="{9B227A34-6C49-2E46-A4F2-F28590324056}">
      <text>
        <r>
          <rPr>
            <b/>
            <sz val="9"/>
            <color indexed="81"/>
            <rFont val="Segoe UI"/>
            <family val="2"/>
          </rPr>
          <t>Henrique:</t>
        </r>
        <r>
          <rPr>
            <sz val="9"/>
            <color indexed="81"/>
            <rFont val="Segoe UI"/>
            <family val="2"/>
          </rPr>
          <t xml:space="preserve">
A CAMESA TRAZ NO 5407.52.10
</t>
        </r>
      </text>
    </comment>
    <comment ref="C161" authorId="0" shapeId="0" xr:uid="{2BCCA6EE-A723-2042-80BA-1011593D0D9E}">
      <text>
        <r>
          <rPr>
            <b/>
            <sz val="9"/>
            <color indexed="81"/>
            <rFont val="Segoe UI"/>
            <family val="2"/>
          </rPr>
          <t>Henrique:</t>
        </r>
        <r>
          <rPr>
            <sz val="9"/>
            <color indexed="81"/>
            <rFont val="Segoe UI"/>
            <family val="2"/>
          </rPr>
          <t xml:space="preserve">
A CAMESA TRAZ NO 5407.52.10
</t>
        </r>
      </text>
    </comment>
    <comment ref="C162" authorId="0" shapeId="0" xr:uid="{34315511-5E93-3140-99C0-BAF8E71D6DC3}">
      <text>
        <r>
          <rPr>
            <b/>
            <sz val="9"/>
            <color indexed="81"/>
            <rFont val="Segoe UI"/>
            <family val="2"/>
          </rPr>
          <t>Henrique:</t>
        </r>
        <r>
          <rPr>
            <sz val="9"/>
            <color indexed="81"/>
            <rFont val="Segoe UI"/>
            <family val="2"/>
          </rPr>
          <t xml:space="preserve">
A CAMESA TRAZ NO 5407.52.10
</t>
        </r>
      </text>
    </comment>
    <comment ref="C163" authorId="0" shapeId="0" xr:uid="{79F36030-D84B-4347-B72D-030A127095B2}">
      <text>
        <r>
          <rPr>
            <b/>
            <sz val="9"/>
            <color indexed="81"/>
            <rFont val="Segoe UI"/>
            <family val="2"/>
          </rPr>
          <t>Henrique:</t>
        </r>
        <r>
          <rPr>
            <sz val="9"/>
            <color indexed="81"/>
            <rFont val="Segoe UI"/>
            <family val="2"/>
          </rPr>
          <t xml:space="preserve">
A CAMESA TRAZ NO 5407.52.10
</t>
        </r>
      </text>
    </comment>
    <comment ref="C164" authorId="0" shapeId="0" xr:uid="{855F4A42-548E-7B42-9EB4-53D4CEC7E3A6}">
      <text>
        <r>
          <rPr>
            <b/>
            <sz val="9"/>
            <color indexed="81"/>
            <rFont val="Segoe UI"/>
            <family val="2"/>
          </rPr>
          <t>Henrique:</t>
        </r>
        <r>
          <rPr>
            <sz val="9"/>
            <color indexed="81"/>
            <rFont val="Segoe UI"/>
            <family val="2"/>
          </rPr>
          <t xml:space="preserve">
A CAMESA TRAZ NO 5407.52.10
</t>
        </r>
      </text>
    </comment>
    <comment ref="C165" authorId="0" shapeId="0" xr:uid="{4669CC1C-04B2-874F-AAC3-D4BFC142BDB9}">
      <text>
        <r>
          <rPr>
            <b/>
            <sz val="9"/>
            <color indexed="81"/>
            <rFont val="Segoe UI"/>
            <family val="2"/>
          </rPr>
          <t>Henrique:</t>
        </r>
        <r>
          <rPr>
            <sz val="9"/>
            <color indexed="81"/>
            <rFont val="Segoe UI"/>
            <family val="2"/>
          </rPr>
          <t xml:space="preserve">
A CAMESA TRAZ NO 5407.52.10
</t>
        </r>
      </text>
    </comment>
  </commentList>
</comments>
</file>

<file path=xl/sharedStrings.xml><?xml version="1.0" encoding="utf-8"?>
<sst xmlns="http://schemas.openxmlformats.org/spreadsheetml/2006/main" count="4000" uniqueCount="684">
  <si>
    <t>CÁLCULO DE PREÇOS PROCESSO</t>
  </si>
  <si>
    <t>CALCULO ITEM 1</t>
  </si>
  <si>
    <t>CALCULO ITEM 2</t>
  </si>
  <si>
    <t>BASE DE CALCULO CUSTOS</t>
  </si>
  <si>
    <t>CALCIULAR PREÇO FINAL</t>
  </si>
  <si>
    <t>IMPORTAÇÃO - MG</t>
  </si>
  <si>
    <t>VENDA - INTERESTADUAL</t>
  </si>
  <si>
    <t xml:space="preserve">Dolar Final </t>
  </si>
  <si>
    <t>VENDA EM DÓLAR</t>
  </si>
  <si>
    <t>Preço Final R$</t>
  </si>
  <si>
    <t>Container</t>
  </si>
  <si>
    <t xml:space="preserve">Valor Final </t>
  </si>
  <si>
    <t>Descrição</t>
  </si>
  <si>
    <t>%</t>
  </si>
  <si>
    <t>CABOTAGEM</t>
  </si>
  <si>
    <t>ITEM 1</t>
  </si>
  <si>
    <t>ITEM 2</t>
  </si>
  <si>
    <t>117.421 metros</t>
  </si>
  <si>
    <t>TRANSPORTE</t>
  </si>
  <si>
    <t>IBITINGA</t>
  </si>
  <si>
    <t>OPERAÇÃO</t>
  </si>
  <si>
    <t>INTER</t>
  </si>
  <si>
    <t>FRETE INTERNAC. USD</t>
  </si>
  <si>
    <t>NCM</t>
  </si>
  <si>
    <t>CUSTO TOTAL UNITÁRIO</t>
  </si>
  <si>
    <t>CELULA NCM</t>
  </si>
  <si>
    <t>5,4571x 20 por cento da entrada</t>
  </si>
  <si>
    <t>DÓLAR FISCAL</t>
  </si>
  <si>
    <t>COMISSÃO</t>
  </si>
  <si>
    <t>CAPADIDADE CNTR</t>
  </si>
  <si>
    <t>Vr. FOB Unitário</t>
  </si>
  <si>
    <t>(-) CRÉDITOS S/ IMPORT</t>
  </si>
  <si>
    <t>CELULA ICMS</t>
  </si>
  <si>
    <t>Quantidade</t>
  </si>
  <si>
    <t>(-) IPI</t>
  </si>
  <si>
    <t>INTRA</t>
  </si>
  <si>
    <t>5,2137 x 80 por cento  do saldo</t>
  </si>
  <si>
    <t>Vr. FOB TOTAL</t>
  </si>
  <si>
    <t>(-) PIS</t>
  </si>
  <si>
    <t>PRODUTO 1</t>
  </si>
  <si>
    <t>ESCORA 20kN 1710 - 3000 ajustavel</t>
  </si>
  <si>
    <t>TX CONVERSÃO FISCAL</t>
  </si>
  <si>
    <t>(-) COFINS</t>
  </si>
  <si>
    <t>MINAS</t>
  </si>
  <si>
    <t>QUANTIDADE CNTR</t>
  </si>
  <si>
    <t>Total FOB R$</t>
  </si>
  <si>
    <t>(-) ICMS</t>
  </si>
  <si>
    <t>QUANTIDADE</t>
  </si>
  <si>
    <t>Frete Internacional</t>
  </si>
  <si>
    <t>CUSTO FINAL</t>
  </si>
  <si>
    <t>CALCULO TRANSPORTADORA IDA</t>
  </si>
  <si>
    <t>VALOR FOB</t>
  </si>
  <si>
    <t>VALOR FOB TABELA</t>
  </si>
  <si>
    <t>MENOR FOB</t>
  </si>
  <si>
    <t>Capatazia</t>
  </si>
  <si>
    <t>Outros Gastos</t>
  </si>
  <si>
    <t>FRETE PESO</t>
  </si>
  <si>
    <t>TOTAL FOB</t>
  </si>
  <si>
    <t>TOTAL FOB R$</t>
  </si>
  <si>
    <t>Valor aduaneiro</t>
  </si>
  <si>
    <t>PEDÁGIO</t>
  </si>
  <si>
    <t>FRETE INTERNAC.
USD</t>
  </si>
  <si>
    <t>FRETE INTERNAC.
R$</t>
  </si>
  <si>
    <t>Imp. Importação</t>
  </si>
  <si>
    <t>Comissão de vendas</t>
  </si>
  <si>
    <t>AD. VALOREM</t>
  </si>
  <si>
    <t>Total CIF USD</t>
  </si>
  <si>
    <t>Total CIF R$</t>
  </si>
  <si>
    <t>CUSTO EM USD</t>
  </si>
  <si>
    <t>CUSTO EM REAIS</t>
  </si>
  <si>
    <t>IPI</t>
  </si>
  <si>
    <t>Administração</t>
  </si>
  <si>
    <t>ADICIONAL 25 TON</t>
  </si>
  <si>
    <t>CUSTO PROCESSO</t>
  </si>
  <si>
    <t>PIS</t>
  </si>
  <si>
    <t>Operador Logistico</t>
  </si>
  <si>
    <t>ICMS</t>
  </si>
  <si>
    <t>PV em USD</t>
  </si>
  <si>
    <t>PV TABELA</t>
  </si>
  <si>
    <t>PV em R$</t>
  </si>
  <si>
    <t>COFINS</t>
  </si>
  <si>
    <t>Contador</t>
  </si>
  <si>
    <t>TOTAL</t>
  </si>
  <si>
    <t>Total Valor Aduaneiro</t>
  </si>
  <si>
    <t>Salários</t>
  </si>
  <si>
    <t>MARGEM</t>
  </si>
  <si>
    <t>LUCRO</t>
  </si>
  <si>
    <t>BC ICMS</t>
  </si>
  <si>
    <t>xxx</t>
  </si>
  <si>
    <t>CALCULO TRANSPORTADORA RETORNO</t>
  </si>
  <si>
    <t>Siscomex</t>
  </si>
  <si>
    <t>PRODUTO 2</t>
  </si>
  <si>
    <t>TEC MIC 90GSM TINTO 250CM</t>
  </si>
  <si>
    <t>AFRMM</t>
  </si>
  <si>
    <t>S.D.A./Despachante</t>
  </si>
  <si>
    <t>QUANTIDADE 1x40</t>
  </si>
  <si>
    <t>Diferença frete internacional</t>
  </si>
  <si>
    <t>Valores Agente de cargas</t>
  </si>
  <si>
    <t>Armazenagem PORTO</t>
  </si>
  <si>
    <t>CALCULO TRANSPORTADORA - IBITINGA</t>
  </si>
  <si>
    <t>Custo Desembaraço - Santos</t>
  </si>
  <si>
    <t>Frete Interno - Pouso Alegre</t>
  </si>
  <si>
    <t>Valor Unitário USD / tx dolar di</t>
  </si>
  <si>
    <t>TOTAL VENDA</t>
  </si>
  <si>
    <t>Margem</t>
  </si>
  <si>
    <t>Operação de carga e descarga</t>
  </si>
  <si>
    <t>PREÇO DE VENDA S/ Impostos</t>
  </si>
  <si>
    <t>coleta vazio</t>
  </si>
  <si>
    <t>Base de Cálculo PIS/COFINS</t>
  </si>
  <si>
    <t>LUCRO OPERAÇÃO</t>
  </si>
  <si>
    <t>Custo Processo</t>
  </si>
  <si>
    <t>Custo Total Unitário</t>
  </si>
  <si>
    <t>Base de Cálculo ICMS</t>
  </si>
  <si>
    <t>(-) CRÉDITOS S/ INSUMOS</t>
  </si>
  <si>
    <t>CUSTOS FIXOS</t>
  </si>
  <si>
    <t>BC IPI</t>
  </si>
  <si>
    <t>Base de Calculo lucro presumido</t>
  </si>
  <si>
    <t>CUSTO FINAL TOTAL</t>
  </si>
  <si>
    <t>CCSLL</t>
  </si>
  <si>
    <t>CUSTO FINAL UNITÁRIO</t>
  </si>
  <si>
    <t>IR</t>
  </si>
  <si>
    <t>adicional de IR</t>
  </si>
  <si>
    <t>PRODUTO</t>
  </si>
  <si>
    <t>II NCM</t>
  </si>
  <si>
    <t>ICMS INTRA</t>
  </si>
  <si>
    <t>ICMS INTER</t>
  </si>
  <si>
    <t>Reg Espec
INTRA</t>
  </si>
  <si>
    <t>Reg Espec
INTER</t>
  </si>
  <si>
    <t>ICMS-ST</t>
  </si>
  <si>
    <t>MOQ</t>
  </si>
  <si>
    <t>LAI MEI</t>
  </si>
  <si>
    <t>TONGKHUAN</t>
  </si>
  <si>
    <t>AUDREY</t>
  </si>
  <si>
    <t>DANIELLE</t>
  </si>
  <si>
    <t>EMMA/heitor</t>
  </si>
  <si>
    <t>MIIHYUEH</t>
  </si>
  <si>
    <t>AVANT</t>
  </si>
  <si>
    <t>KAYBEE</t>
  </si>
  <si>
    <t>GLOBAL</t>
  </si>
  <si>
    <t>MENOR VALOR FOB UNITÁRIO</t>
  </si>
  <si>
    <t>VALOR FOB UNITÁRIO</t>
  </si>
  <si>
    <t>FOB</t>
  </si>
  <si>
    <t>FRETE INTERNACIONAL</t>
  </si>
  <si>
    <t>TOTAL CIF USD</t>
  </si>
  <si>
    <t>TOTAL CIF R$</t>
  </si>
  <si>
    <t>II</t>
  </si>
  <si>
    <t>TX SISCOMEX</t>
  </si>
  <si>
    <t>CAPATAZIAS</t>
  </si>
  <si>
    <t>Diferença frete int</t>
  </si>
  <si>
    <t>FRETE RODVIÁRIO</t>
  </si>
  <si>
    <t>OPERADOR
LOGÍSTICO</t>
  </si>
  <si>
    <t>COLETA vazio</t>
  </si>
  <si>
    <t>CUSTO DO PROCESSO R$</t>
  </si>
  <si>
    <t>CUSTO TOTAL UNITÁRIO R$</t>
  </si>
  <si>
    <t>CUSTO UNITÁRIO EM USD</t>
  </si>
  <si>
    <t>Base de Calculo IR</t>
  </si>
  <si>
    <t>Base de Calculo csll</t>
  </si>
  <si>
    <t>CSLL</t>
  </si>
  <si>
    <t>adicional IR</t>
  </si>
  <si>
    <t>custo VENDA</t>
  </si>
  <si>
    <t>Custo total OPERAÇAO R$</t>
  </si>
  <si>
    <t xml:space="preserve">PERCENTUAL </t>
  </si>
  <si>
    <t>PREÇO
DE VENDA SUGERIDO USD</t>
  </si>
  <si>
    <t>PREÇO
DE VENDA TABELA USD</t>
  </si>
  <si>
    <t>PREÇO
DE VENDA JUROS TABELA USD</t>
  </si>
  <si>
    <t>PREÇO
DE VENDA SUGERIDO R$</t>
  </si>
  <si>
    <t>PREÇO
DE VENDA JUROS SUGERIDO R$</t>
  </si>
  <si>
    <t>PREÇO
DE VENDA TABELA R$</t>
  </si>
  <si>
    <t>TOTAL VENDA SUGERIDA</t>
  </si>
  <si>
    <t>TOTAL VENDA PREÇO TABELA</t>
  </si>
  <si>
    <t>CUSTO TOTAL</t>
  </si>
  <si>
    <t>custo total</t>
  </si>
  <si>
    <t>margem</t>
  </si>
  <si>
    <t>COLCHA SOLTEIRO PVC</t>
  </si>
  <si>
    <t>9404.40.00</t>
  </si>
  <si>
    <t>N/A</t>
  </si>
  <si>
    <t>COLCHA CASAL PVC</t>
  </si>
  <si>
    <t>COLCHA QUEEN PVC</t>
  </si>
  <si>
    <t>COLCHA KING PVC</t>
  </si>
  <si>
    <t xml:space="preserve">COLCHA SOLTEIRO RIBBON </t>
  </si>
  <si>
    <t>COLCHA CASAL RIBBON</t>
  </si>
  <si>
    <t>COLCHA QUEEN RIBBON</t>
  </si>
  <si>
    <t>COLCHA KING RIBBON</t>
  </si>
  <si>
    <t>COLCHA SOLTEIRO BELLY BAND</t>
  </si>
  <si>
    <t>COLCHA CASAL BELLY BAND</t>
  </si>
  <si>
    <t>COLCHA QUEEN BELLY BAND</t>
  </si>
  <si>
    <t>COLCHA KING BELLY BAND</t>
  </si>
  <si>
    <t>CORTINA</t>
  </si>
  <si>
    <t>6303.92.00</t>
  </si>
  <si>
    <t>FIBRA DE POLIÉSTER</t>
  </si>
  <si>
    <t>5503.20.90</t>
  </si>
  <si>
    <t>FIO DE POLIÉSTER</t>
  </si>
  <si>
    <t>5402.33.10</t>
  </si>
  <si>
    <t>JOGO DE CAMA POLIESTER 85GSM - PONTO PALITO SOLTEIRO</t>
  </si>
  <si>
    <t>6302.32.00</t>
  </si>
  <si>
    <t>JOGO DE CAMA POLIESTER 85GSM - PONTO PALITO CASAL</t>
  </si>
  <si>
    <t>JOGO DE CAMA POLIESTER 85GSM - PONTO PALITO QUEEN</t>
  </si>
  <si>
    <t>JOGO DE CAMA POLIESTER 85GSM - PONTO PALITO KING</t>
  </si>
  <si>
    <t>JOGO DE CAMA POLIESTER 85GSM SOLTEIRO</t>
  </si>
  <si>
    <t>JOGO DE CAMA POLIESTER 85GSM CASAL</t>
  </si>
  <si>
    <t>JOGO DE CAMA POLIESTER 85GSM QUEEN</t>
  </si>
  <si>
    <t>JOGO DE CAMA POLIESTER 85GSM KING</t>
  </si>
  <si>
    <t>JOGO DE CAMA POLIESTER 90GSM - PONTO PALITO SOLTEIRO</t>
  </si>
  <si>
    <t>JOGO DE CAMA POLIESTER 90GSM - PONTO PALITO CASAL</t>
  </si>
  <si>
    <t>JOGO DE CAMA POLIESTER 90GSM - PONTO PALITO QUEEN</t>
  </si>
  <si>
    <t>JOGO DE CAMA POLIESTER 90GSM - PONTO PALITO KING</t>
  </si>
  <si>
    <t>JOGO DE CAMA POLIESTER 90GSM SOLTEIRO</t>
  </si>
  <si>
    <t>JOGO DE CAMA POLIESTER 90GSM CASAL</t>
  </si>
  <si>
    <t>JOGO DE CAMA POLIESTER 90GSM QUEEN</t>
  </si>
  <si>
    <t>JOGO DE CAMA POLIESTER 90GSM KING</t>
  </si>
  <si>
    <t>JOGO DE CAMA PERCAL 180 FIOS SOLTEIRO</t>
  </si>
  <si>
    <t>6302.22.00</t>
  </si>
  <si>
    <t>JOGO DE CAMA PERCAL 180 FIOS CASAL</t>
  </si>
  <si>
    <t>JOGO DE CAMA PERCAL 180 FIOS QUEEN</t>
  </si>
  <si>
    <t>JOGO DE CAMA PERCAL 180 FIOS KING</t>
  </si>
  <si>
    <t>PILLOW TOP ALGODAO SOLTEIRO</t>
  </si>
  <si>
    <t>PILLOW TOP ALGODAO CASAL</t>
  </si>
  <si>
    <t>PILLOW TOP ALGODAO QUEEN</t>
  </si>
  <si>
    <t>PILLOW TOP ALGODAO KING</t>
  </si>
  <si>
    <t>PILLOW TOP POLIESTER SOLTEIRO</t>
  </si>
  <si>
    <t>PILLOW TOP POLIESTER CASAL</t>
  </si>
  <si>
    <t>PILLOW TOP POLIESTER QUEEN</t>
  </si>
  <si>
    <t>PILLOW TOP POLIESTER KING</t>
  </si>
  <si>
    <t>ROUPÃO</t>
  </si>
  <si>
    <t>TAPETE POPCORN BANHEIRO</t>
  </si>
  <si>
    <t>5705.00.00</t>
  </si>
  <si>
    <t>CAPACHO PVC</t>
  </si>
  <si>
    <t>3929.90.90</t>
  </si>
  <si>
    <t>ILHÓS</t>
  </si>
  <si>
    <t>MANTA SHERPA  E POPCORN</t>
  </si>
  <si>
    <t>6301.40.00</t>
  </si>
  <si>
    <t>MANTA SHERPA  E CORAL</t>
  </si>
  <si>
    <t>MANTA COM CAPUZ</t>
  </si>
  <si>
    <t>KIT TOALHA COM CAPUZ 
E PANO DE BOCA</t>
  </si>
  <si>
    <t>6302.91.00</t>
  </si>
  <si>
    <t>NANINHA C/ FLANNEL</t>
  </si>
  <si>
    <t>9503.00.31</t>
  </si>
  <si>
    <t>NANINHA C/ SHERPA</t>
  </si>
  <si>
    <t>BABADOR</t>
  </si>
  <si>
    <t>6209.20.00</t>
  </si>
  <si>
    <t>BABADOR SILICONE</t>
  </si>
  <si>
    <t>3926.20.00</t>
  </si>
  <si>
    <t>KIT TOALHA MULTIUSO 35X35CM</t>
  </si>
  <si>
    <t>6302.93.00</t>
  </si>
  <si>
    <t>LAB GROWN DIAMOND</t>
  </si>
  <si>
    <t>7104.21.00</t>
  </si>
  <si>
    <t>BRINCOS DE OURO 18K</t>
  </si>
  <si>
    <t>7113.19.00</t>
  </si>
  <si>
    <t>COPO DE PAPEL</t>
  </si>
  <si>
    <t>4823.69.00</t>
  </si>
  <si>
    <t>PLACA DE PVC - 1220 X 2440 X 3MM</t>
  </si>
  <si>
    <t>3920.43.90</t>
  </si>
  <si>
    <t>PLACA DE PVC - 1220 X 2440 X 5MM</t>
  </si>
  <si>
    <t>PAINEL RIPADO - 2,90 X 21,9 X 3MM</t>
  </si>
  <si>
    <t>MCM FLEXIVEL</t>
  </si>
  <si>
    <t>6810.11.00</t>
  </si>
  <si>
    <t>QUARTZO</t>
  </si>
  <si>
    <t>PERFIL DE ALUMÍNIO - 2,50 X 0,3 X 3MM</t>
  </si>
  <si>
    <t>7604.29.20</t>
  </si>
  <si>
    <t>ESCORA 3,20 - Sleeve nut:</t>
  </si>
  <si>
    <t>7308.40.00</t>
  </si>
  <si>
    <t>VIGA H20</t>
  </si>
  <si>
    <t>4418.30.00</t>
  </si>
  <si>
    <t>MALHA DE AÇO</t>
  </si>
  <si>
    <t>7314.20.00</t>
  </si>
  <si>
    <t>ARAME DE AÇO</t>
  </si>
  <si>
    <t>7313.00.00</t>
  </si>
  <si>
    <t>GUINDASTE DE TORRE</t>
  </si>
  <si>
    <t>8426.20.00</t>
  </si>
  <si>
    <t>ELEVADOR CREMALHEIRA</t>
  </si>
  <si>
    <t>8428.10.00</t>
  </si>
  <si>
    <t>7317.00.90</t>
  </si>
  <si>
    <t>PREGOS</t>
  </si>
  <si>
    <t>TORNEIRA LAVANDERIA</t>
  </si>
  <si>
    <t>8481.80.00</t>
  </si>
  <si>
    <t>TORNEIRA COZINHA</t>
  </si>
  <si>
    <t>TORNEIRA BANHEIRO</t>
  </si>
  <si>
    <t>REGISTRO</t>
  </si>
  <si>
    <t>VASO SANITARIO</t>
  </si>
  <si>
    <t>6910.10.00</t>
  </si>
  <si>
    <t>COLA PU</t>
  </si>
  <si>
    <t>3506.91.20</t>
  </si>
  <si>
    <t>PVC CLEAR 0,07MM 140CM</t>
  </si>
  <si>
    <t>3921.90.90</t>
  </si>
  <si>
    <t>PVC TÉRMICO ESTAMPADO 0,11MM 140CM</t>
  </si>
  <si>
    <t>PVC BLACKOUT 100% 0,16MM 140CM</t>
  </si>
  <si>
    <t>TEC BLACKOUT LISO 185gsm MF BACKING 280CM</t>
  </si>
  <si>
    <t>5407.53.00</t>
  </si>
  <si>
    <t>TEC BLACKOUT LISO 250GSM LINHO E MF BACKING 280CM</t>
  </si>
  <si>
    <t>TEC BLACKOUT 240GSM 280CM</t>
  </si>
  <si>
    <t>TEC BLACKOUT LISO 200GSM 280CM</t>
  </si>
  <si>
    <t>TEC BLACKOUT MEMPHIS 330GSM 280CM</t>
  </si>
  <si>
    <t>TEC BLACKOUT PONGEE 220GSM 290CM</t>
  </si>
  <si>
    <t>TEC BLACKOUT 100% RUBBER</t>
  </si>
  <si>
    <t>TEC CHIMPA 145GSM 160CM</t>
  </si>
  <si>
    <t>TEC CHIMPA 245GSM 160CM</t>
  </si>
  <si>
    <t>TEC POLY SATIN JACQUARD 150GSM 280CM</t>
  </si>
  <si>
    <t>5407.52.10</t>
  </si>
  <si>
    <t>TEC POLY SATIN JACQUARD 160GSM 280CM</t>
  </si>
  <si>
    <t>TEC POLY SATIN JACQUARD DOBBY 150GSM 280CM</t>
  </si>
  <si>
    <t>TEC POLY SATIN JACQUARD DOBBY 150GSM 280CM - CATONIC</t>
  </si>
  <si>
    <t>TEC HELANCA 105GSM ESTAMPADO 180CM</t>
  </si>
  <si>
    <t>6006.34.20</t>
  </si>
  <si>
    <t>TEC HELANCA 105GSM LISO 180CM</t>
  </si>
  <si>
    <t>6006.32.20</t>
  </si>
  <si>
    <t>TEC HELANCA 120GSM ESTAMPADO 180CM</t>
  </si>
  <si>
    <t>TEC HELANCA 120GSM LISO 180CM</t>
  </si>
  <si>
    <t>TEC HELANCA 130GSM LISO 180CM</t>
  </si>
  <si>
    <t>TEC JACQUARD IMPERM 200GSM LISO 200CM</t>
  </si>
  <si>
    <t>TEC MALHA LIGANETE 190GSM ESTAMPADO 160CM</t>
  </si>
  <si>
    <t>TEC MALHA LIGANETE 210GSM LISO 160CM</t>
  </si>
  <si>
    <t>TEC MICROFIBRA TOWEL 200GSM 80% POLIÉSTER 20% POLIAMIDA 145CM</t>
  </si>
  <si>
    <t>TEC 100% ALGODÃO 200FIOS 250CM</t>
  </si>
  <si>
    <t>TEC 100% ALGODÃO 200FIOS 300CM</t>
  </si>
  <si>
    <t>TEC 100% ALGODÃO 300FIOS 280CM</t>
  </si>
  <si>
    <t>TEC 100% ALGODÃO 400FIOS 280CM</t>
  </si>
  <si>
    <t>TEC 100% ALGODÃO 400FIOS 300CM</t>
  </si>
  <si>
    <t>TEC 100% ALGODÃO 200FIOS 250CM - DOBBY</t>
  </si>
  <si>
    <t>TEC 100% ALGODÃO 200FIOS 300CM - DOBBY</t>
  </si>
  <si>
    <t>TEC 100% ALGODÃO 300FIOS 280CM - DOBBY</t>
  </si>
  <si>
    <t>TEC 100% ALGODÃO 400FIOS 280CM - DOBBY</t>
  </si>
  <si>
    <t>TEC 100% ALGODÃO 400FIOS 300CM - DOBBY</t>
  </si>
  <si>
    <t>TEC 100% BAMBU 300FIOS 280CM</t>
  </si>
  <si>
    <t>TEC WOVEN MISTO 63% P 32% V 5% E</t>
  </si>
  <si>
    <t>TEC MIC 55GSM ESTAMPADO 240CM</t>
  </si>
  <si>
    <t>5407.54.00</t>
  </si>
  <si>
    <t>TEC MIC 60GSM ESTAMPADO 240CM</t>
  </si>
  <si>
    <t>TEC MIC 65GSM ESTAMPADO 225CM</t>
  </si>
  <si>
    <t>TEC MIC 65GSM ESTAMPADO 240CM</t>
  </si>
  <si>
    <t>TEC MIC 65GSM ESTAMPADO 250CM</t>
  </si>
  <si>
    <t>TEC MIC 65GSM ESTAMPADO 280CM</t>
  </si>
  <si>
    <t xml:space="preserve"> </t>
  </si>
  <si>
    <t>TEC MIC 65GSM TINTO 225CM</t>
  </si>
  <si>
    <t>TEC MIC 65GSM TINTO 240CM</t>
  </si>
  <si>
    <t>TEC MIC 65GSM TINTO 250CM</t>
  </si>
  <si>
    <t>TEC MIC 65GSM TINTO 280CM</t>
  </si>
  <si>
    <t>TEC MIC 65GSM TINTO 300CM</t>
  </si>
  <si>
    <t>TEC MIC 70GSM ESTAMPADO 225CM</t>
  </si>
  <si>
    <t>TEC MIC 70GSM ESTAMPADO 250CM</t>
  </si>
  <si>
    <t>TEC MIC 70GSM TINTO 225CM</t>
  </si>
  <si>
    <t>TEC MIC 70GSM TINTO 250CM</t>
  </si>
  <si>
    <t>TEC MIC 75GSM ESTAMPADO 160CM</t>
  </si>
  <si>
    <t>TEC MIC 75GSM ESTAMPADO 225CM</t>
  </si>
  <si>
    <t>TEC MIC 75GSM ESTAMPADO 250CM</t>
  </si>
  <si>
    <t>TEC MIC 75GSM TINTO 160CM</t>
  </si>
  <si>
    <t>TEC MIC 75GSM TINTO 225CM</t>
  </si>
  <si>
    <t>TEC MIC 75GSM TINTO 250CM</t>
  </si>
  <si>
    <t>TEC MIC 75GSM TINTO 250CM - EMBOSSED</t>
  </si>
  <si>
    <t>TEC MIC 75GSM TINTO 280CM - EMBOSSED</t>
  </si>
  <si>
    <t>TEC MIC 80GSM TINTO 250CM</t>
  </si>
  <si>
    <t>TEC MIC 82GSM TINTO 250CM</t>
  </si>
  <si>
    <t>TEC MIC 85GSM ESTAMPADO 225CM</t>
  </si>
  <si>
    <t>TEC MIC 85GSM ESTAMPADO 250CM</t>
  </si>
  <si>
    <t>TEC MIC 85GSM TINTO 225CM</t>
  </si>
  <si>
    <t>TEC MIC 85GSM TINTO 250CM</t>
  </si>
  <si>
    <t>TEC MIC 90GSM ESTAMPADO 250CM</t>
  </si>
  <si>
    <t>TEC MIC 90GSM ESTAMPADO 280CM</t>
  </si>
  <si>
    <t>TEC MIC 90GSM TINTO 280CM</t>
  </si>
  <si>
    <t>TEC MIC 90GSM TINTO 250CM - SEERSUCKER</t>
  </si>
  <si>
    <t>TEC MIC 100GSM ESTAMPADO 160CM</t>
  </si>
  <si>
    <t>TEC MIC 100GSM ESTAMPADO 225CM</t>
  </si>
  <si>
    <t>TEC MIC 100GSM ESTAMPADO 240CM</t>
  </si>
  <si>
    <t>TEC MIC 100GSM ESTAMPADO 250CM</t>
  </si>
  <si>
    <t>TEC MIC 100GSM TINTO 160CM</t>
  </si>
  <si>
    <t>TEC MIC 100GSM TINTO 225CM</t>
  </si>
  <si>
    <t>TEC MIC 100GSM TINTO 240CM</t>
  </si>
  <si>
    <t>TEC MIC 100GSM TINTO 250CM</t>
  </si>
  <si>
    <t>TEC MIC 120GSM TINTO 250CM</t>
  </si>
  <si>
    <t>TEC MIC 120GSM ESTAMPADO 250CM</t>
  </si>
  <si>
    <t>TEC MIC 125GSM TINTO 250CM</t>
  </si>
  <si>
    <t>TEC MIC 125GSM TINTO 280CM</t>
  </si>
  <si>
    <t>TEC MIC 130GSM TINTO 250CM</t>
  </si>
  <si>
    <t>TEC MIC 130GSM TINTO 280CM</t>
  </si>
  <si>
    <t>TEC MIC 140GSM TINTO 250CM</t>
  </si>
  <si>
    <t>TEC MIC 140GSM TINTO 280CM</t>
  </si>
  <si>
    <t>TEC MIC 130GSM CATIONIC 250CM</t>
  </si>
  <si>
    <t>TEC MIC 130GSM CATIONIC 280CM</t>
  </si>
  <si>
    <t>TEC MIC 100GSM C/ ELASTANO ESTAMPADO</t>
  </si>
  <si>
    <t>TEC MIC 240GSM TR 80/20 - SUIIT</t>
  </si>
  <si>
    <t>TEC OXFORD 180G ESTAMPADO 150CM</t>
  </si>
  <si>
    <t>TEC OXFORD 140GSM TINTO 150CM</t>
  </si>
  <si>
    <t>TEC OXFORD 140GSM TINTO 300CM</t>
  </si>
  <si>
    <t>TEC CORAL FLEECE 180G/M2 250CM</t>
  </si>
  <si>
    <t>6001.92.00</t>
  </si>
  <si>
    <t>TEC CORAL FLEECE ESTAMPADO 180G/M2 250CM</t>
  </si>
  <si>
    <t>TEC CORAL FLEECE SUTILE 270GSM 160CM</t>
  </si>
  <si>
    <t>TEC CORAL FLEECE 350G/M2 250CM</t>
  </si>
  <si>
    <t>TEC TEDDY 220gsm 150cm</t>
  </si>
  <si>
    <t>TEC PLUSH 250gsm 142cm</t>
  </si>
  <si>
    <t>TEC TEDDY 180gsm 142cm</t>
  </si>
  <si>
    <t>TEC TEDDY 265gsm 160cm</t>
  </si>
  <si>
    <t>TEC SHERPA NATURAL 180GSM 250CM</t>
  </si>
  <si>
    <t>TEC SHERPA TINTO</t>
  </si>
  <si>
    <t>TEC SHERPA BONDED BRANCO E CORES 180+180GSM - 250CM</t>
  </si>
  <si>
    <t>TEC SHERPA BONDED TINTO DOIS LADOS 180+180GSM - 250CM</t>
  </si>
  <si>
    <t>TEC VELOUR 230G/M2 - 142CM</t>
  </si>
  <si>
    <t>TEC VELOUR 250G/M2 - 142CM</t>
  </si>
  <si>
    <t>TEC VELVET 190G/M2 - 142CM</t>
  </si>
  <si>
    <t>TEC VOIL LISO 45G/M2</t>
  </si>
  <si>
    <t>5407.61.00</t>
  </si>
  <si>
    <t>TEC VOIL XADREZ LISO 50G/M2</t>
  </si>
  <si>
    <t>TEC VOIL FLAMÉ LISO 100G/M2 300</t>
  </si>
  <si>
    <t>TEC VOIL FLAMÉ LISO 110G/M2 300</t>
  </si>
  <si>
    <t>TEC TAFETÁ CRUSHED 65GSM 280</t>
  </si>
  <si>
    <t>TEC PATCHWORK ULTRASSONICO</t>
  </si>
  <si>
    <t>5811.00.00</t>
  </si>
  <si>
    <t>ZIPPER M45 METALICO BRASS 13</t>
  </si>
  <si>
    <t>ZIPPER M45 METALICO BRASS 14</t>
  </si>
  <si>
    <t>ZIPPER M45 METALICO BRASS 15</t>
  </si>
  <si>
    <t>ZIPPER M45 METALICO BRASS 16</t>
  </si>
  <si>
    <t>ZIPPER M45 METALICO BRASS 18</t>
  </si>
  <si>
    <t>ZIPPER M45 METALICO BRASS 20</t>
  </si>
  <si>
    <t>ZIPPER M45 METALICO NIQUELADO 13</t>
  </si>
  <si>
    <t>ZIPPER M45 METALICO NIQUELADO 14</t>
  </si>
  <si>
    <t>ZIPPER M45 METALICO NIQUELADO 15</t>
  </si>
  <si>
    <t>ZIPPER M45 METALICO NIQUELADO 16</t>
  </si>
  <si>
    <t>ZIPPER M45 METALICO NIQUELADO 18</t>
  </si>
  <si>
    <t>ZIPPER M45 METALICO NIQUELADO 20</t>
  </si>
  <si>
    <t>ZIPPER M45 METALICO STEEL 13</t>
  </si>
  <si>
    <t>ZIPPER M45 METALICO STEEL 14</t>
  </si>
  <si>
    <t>ZIPPER M45 METALICO STEEL 15</t>
  </si>
  <si>
    <t>ZIPPER M45 METALICO STEEL 16</t>
  </si>
  <si>
    <t>ZIPPER M45 METALICO STEEL 18</t>
  </si>
  <si>
    <t>ZIPPER M45 METALICO STEEL 20</t>
  </si>
  <si>
    <t>ZIPPER DE NYLON</t>
  </si>
  <si>
    <t>CURSOR 3</t>
  </si>
  <si>
    <t>OBS.</t>
  </si>
  <si>
    <t>MOQ 1 CNTR</t>
  </si>
  <si>
    <t>PREÇO
DE VENDA</t>
  </si>
  <si>
    <t>PREÇO
DE VENDA R$</t>
  </si>
  <si>
    <t>3 pcs</t>
  </si>
  <si>
    <t>2 pcs</t>
  </si>
  <si>
    <t>2pcs</t>
  </si>
  <si>
    <t>3pcs</t>
  </si>
  <si>
    <t>4pcs</t>
  </si>
  <si>
    <t>percal enchimento 1200gsm</t>
  </si>
  <si>
    <t>poliéster 90gsm enchimento 600gsm</t>
  </si>
  <si>
    <t>PC</t>
  </si>
  <si>
    <t>KIT</t>
  </si>
  <si>
    <t>MT</t>
  </si>
  <si>
    <t>KG</t>
  </si>
  <si>
    <t>PEACH SKIN 1 LADO</t>
  </si>
  <si>
    <t>PEACH SKIN 2 LADOS</t>
  </si>
  <si>
    <t>TEC MIC 75GSM TINTO 220CM - EMBOSSED</t>
  </si>
  <si>
    <t>13CM    R$ 0,8857</t>
  </si>
  <si>
    <t>14CM    R$ 0,9161</t>
  </si>
  <si>
    <t>15CM    R$ 0,9467</t>
  </si>
  <si>
    <t>16CM    R$ 0,9771</t>
  </si>
  <si>
    <t>18CM    R$ 1,0381</t>
  </si>
  <si>
    <t>20CM    R$ 1,0989</t>
  </si>
  <si>
    <t>13CM    R$ 1,0182</t>
  </si>
  <si>
    <t>14CM    R$ 1,0596</t>
  </si>
  <si>
    <t>15CM    R$ 1,1011</t>
  </si>
  <si>
    <t>16CM    R$ 1,1425</t>
  </si>
  <si>
    <t>18CM    R$ 1,2254</t>
  </si>
  <si>
    <t>20CM    R$ 1,3082</t>
  </si>
  <si>
    <t>Ziper metal médio níquel (PT)</t>
  </si>
  <si>
    <t>13CM    R$ 1,0348</t>
  </si>
  <si>
    <t>14CM    R$ 1,0788</t>
  </si>
  <si>
    <t>15CM    R$ 1,1227</t>
  </si>
  <si>
    <t>16CM    R$ 1,1668</t>
  </si>
  <si>
    <t>17CM    R$ 1,2107</t>
  </si>
  <si>
    <t>18CM    R$ 1,2547</t>
  </si>
  <si>
    <t>19CM    R$ 1,2986</t>
  </si>
  <si>
    <t>20CM    R$ 1,3427</t>
  </si>
  <si>
    <t>LEAD TIME PRODUÇÃO +- 45-50 DIAS
TRANSITO MARÍTIMO +- 45 DIAS
DESEMBARÇO +  ENTREGA +- 15 DIAS
TOTAL + 120 DIAS</t>
  </si>
  <si>
    <t>PVC CLEAR 2MMx200mmx50M</t>
  </si>
  <si>
    <t>3920.43.10</t>
  </si>
  <si>
    <t>FIBRA DE POLIÉSTER BI-COMPONENTE</t>
  </si>
  <si>
    <t>5503.20.10</t>
  </si>
  <si>
    <t>KIT SACOS PARA LAVAR ROUPA</t>
  </si>
  <si>
    <t>6304.99.00</t>
  </si>
  <si>
    <t>ETIQUETA TERMICA</t>
  </si>
  <si>
    <t>4821.90.00</t>
  </si>
  <si>
    <t>PALLET MADEIRA</t>
  </si>
  <si>
    <t>4415.20.00</t>
  </si>
  <si>
    <t>COLCHA SOLTEIRO 60GSM SOLID</t>
  </si>
  <si>
    <t>COLCHA CASAL 60GSM SOLID</t>
  </si>
  <si>
    <t>COLCHA QUEEN 60GSM SOLID</t>
  </si>
  <si>
    <t>COLCHA KING 60GSM SOLID</t>
  </si>
  <si>
    <t>COLCHA SOLTEIRO 65GSM ESTAMPADA</t>
  </si>
  <si>
    <t>COLCHA CASAL 65GSM ESTAMPADA</t>
  </si>
  <si>
    <t>COLCHA QUEEN 65GSM ESTAMPADA</t>
  </si>
  <si>
    <t>COLCHA KING 65GSM ESTAMPADA</t>
  </si>
  <si>
    <t>COLCHA SOLTEIRO 70GSM SOLID 3D</t>
  </si>
  <si>
    <t>COLCHA CASAL 70GSM SOLID 3D</t>
  </si>
  <si>
    <t>COLCHA QUEEN 70GSM SOLID 3D</t>
  </si>
  <si>
    <t>COLCHA KING 70GSM SOLID 3D</t>
  </si>
  <si>
    <t>COLCHA SOLTEIRO 70GSM SOLID BULLET</t>
  </si>
  <si>
    <t>COLCHA CASAL 70GSM SOLID BULLET</t>
  </si>
  <si>
    <t>COLCHA QUEEN 70GSM SOLID BULLET</t>
  </si>
  <si>
    <t>COLCHA KING 70GSM SOLID BULLET</t>
  </si>
  <si>
    <t>COLCHA SOLTEIRO 82GSM SOLID</t>
  </si>
  <si>
    <t>COLCHA CASAL 82GSM SOLID</t>
  </si>
  <si>
    <t>COLCHA QUEEN 82GSM SOLID</t>
  </si>
  <si>
    <t>COLCHA KING 82GSM SOLID</t>
  </si>
  <si>
    <t>COLCHA SOLTEIRO 85GSM SOLID</t>
  </si>
  <si>
    <t>COLCHA CASAL 85GSM SOLID</t>
  </si>
  <si>
    <t>COLCHA QUEEN 85GSM SOLID</t>
  </si>
  <si>
    <t>COLCHA KING 85GSM SOLID</t>
  </si>
  <si>
    <t>COLCHA SOLTEIRO 80gsm SOLID COSTURADO - 180x240cm</t>
  </si>
  <si>
    <t>COLCHA CASAL 80gsm SOLID COSTURADO - 220x240cm</t>
  </si>
  <si>
    <t>COLCHA QUEEN 80gsm SOLID COSTURADO - 240x260cm</t>
  </si>
  <si>
    <t>COLCHA KING 80gsm SOLID COSTURADO - 280x260cm</t>
  </si>
  <si>
    <t>COLCHA SUPER KING 80gsm SOLID COSTURADO - 310x280cm</t>
  </si>
  <si>
    <t>COLCHA SOLTEIRO 90GSM SOLID COSTURADO - 180x240cm</t>
  </si>
  <si>
    <t>COLCHA CASAL 90gsm SEERSUCKER COSTURADO - 220x240cm A</t>
  </si>
  <si>
    <t>COLCHA QUEEN 90GSM SEERSUCKER COSTURADO - 240x260cm A</t>
  </si>
  <si>
    <t>COLCHA KING 90gsm SEERSUCKER COSTURADO - 280x260cm A</t>
  </si>
  <si>
    <t>COLCHA CASAL 90gsm SEERSUCKER COSTURADO - 220x240cm B</t>
  </si>
  <si>
    <t>COLCHA QUEEN 90GSM SEERSUCKER COSTURADO - 240x260cm B</t>
  </si>
  <si>
    <t>COLCHA KING 90gsm SEERSUCKER COSTURADO - 280x260cm B</t>
  </si>
  <si>
    <t>COLCHA CASAL 90GSM SOLID COSTURADO - 220x240cm</t>
  </si>
  <si>
    <t>COLCHA QUEEN 90GSM SOLID COSTURADO - 240x260cm</t>
  </si>
  <si>
    <t>COLCHA KING 90GSM SOLID COSTURADO - 280x260cm</t>
  </si>
  <si>
    <t>COLCHA SUPER KING 90GSM SOLID COSTURADO - 310x280cm</t>
  </si>
  <si>
    <t>JOGO DE CAMA POLIESTER 85GSM - BORDADO SOLTEIRO</t>
  </si>
  <si>
    <t>JOGO DE CAMA POLIESTER 85GSM - BORDADO CASAL</t>
  </si>
  <si>
    <t>JOGO DE CAMA POLIESTER 85GSM - BORDADO QUEEN</t>
  </si>
  <si>
    <t>JOGO DE CAMA POLIESTER 85GSM - BORDADO KING</t>
  </si>
  <si>
    <t>JOGO DE CAMA POLIESTER 85GSM SOLTEIRO - LAZY MICRO</t>
  </si>
  <si>
    <t>JOGO DE CAMA POLIESTER 85GSM CASAL - LAZY MICRO</t>
  </si>
  <si>
    <t>JOGO DE CAMA POLIESTER 85GSM QUEEN - LAZY MICRO</t>
  </si>
  <si>
    <t>JOGO DE CAMA POLIESTER 85GSM KING - LAZY MICRO</t>
  </si>
  <si>
    <t>JOGO DE CAMA PERCAL 400 FIOS LISOSOLTEIRO</t>
  </si>
  <si>
    <t>JOGO DE CAMA PERCAL 400 FIOS LISOCASAL</t>
  </si>
  <si>
    <t>JOGO DE CAMA PERCAL 400 FIOS LISOQUEEN</t>
  </si>
  <si>
    <t>JOGO DE CAMA PERCAL 400 FIOS LISOKING</t>
  </si>
  <si>
    <t>JOGO DE CAMA PERCAL 400 FIOS COM BORDADOSOLTEIRO</t>
  </si>
  <si>
    <t>JOGO DE CAMA PERCAL 400 FIOS COM BORDADOCASAL</t>
  </si>
  <si>
    <t>JOGO DE CAMA PERCAL 400 FIOS COM BORDADOQUEEN</t>
  </si>
  <si>
    <t>JOGO DE CAMA PERCAL 400 FIOS COM BORDADOKING</t>
  </si>
  <si>
    <t>MASSA PORCELANA</t>
  </si>
  <si>
    <t>2508.40.90</t>
  </si>
  <si>
    <t>MESES</t>
  </si>
  <si>
    <t>JUROS</t>
  </si>
  <si>
    <t>JUROS A.A.</t>
  </si>
  <si>
    <t>TEC MIC 90GSM TINTO 260CM</t>
  </si>
  <si>
    <t>3307.49.00</t>
  </si>
  <si>
    <t>FRAGRÂNCIA - CHEIRINHO PARA CARRO</t>
  </si>
  <si>
    <t>8711.20.10</t>
  </si>
  <si>
    <t>6506.10.00</t>
  </si>
  <si>
    <t>2712.20.00</t>
  </si>
  <si>
    <t>8417.41.00</t>
  </si>
  <si>
    <t>9617.00.10</t>
  </si>
  <si>
    <t>4202.12.10</t>
  </si>
  <si>
    <t>3923.10.00</t>
  </si>
  <si>
    <t>3919.10.00</t>
  </si>
  <si>
    <t>MOTO A COMBUSTAO 110CC</t>
  </si>
  <si>
    <t>CAPACETE</t>
  </si>
  <si>
    <t>PARAFINA GRANULADA</t>
  </si>
  <si>
    <t>COMPUTADOR ALL-IN-ONE</t>
  </si>
  <si>
    <t>COOLER DE BEBIDAS ELETRICO</t>
  </si>
  <si>
    <t>MALA VIAGEM COM MOTOR E RODAS</t>
  </si>
  <si>
    <t>PLASTICO PARA EMBALAGEM DE ENVIOS</t>
  </si>
  <si>
    <t>FITA ADESIVA 5CM LARGURA</t>
  </si>
  <si>
    <t>EMPILHADEIRA</t>
  </si>
  <si>
    <t>8427.10.90</t>
  </si>
  <si>
    <t>8528.52.00</t>
  </si>
  <si>
    <t>MONITOR</t>
  </si>
  <si>
    <t>TAPETE HIGIENICO</t>
  </si>
  <si>
    <t>4818.90.90</t>
  </si>
  <si>
    <t>PROTETOR DE COLCHÃO SOLTEIRO</t>
  </si>
  <si>
    <t>PROTETOR DE COLCHÃO CASAL</t>
  </si>
  <si>
    <t>PROTETOR DE COLCHÃO QUEEN</t>
  </si>
  <si>
    <t>PROTETOR DE COLCHÃO KING</t>
  </si>
  <si>
    <t>MAQUINA MATELASSÊ</t>
  </si>
  <si>
    <t>8447.20.29</t>
  </si>
  <si>
    <t>CADEIRA DE MASSAGEM</t>
  </si>
  <si>
    <t>9019.10.00</t>
  </si>
  <si>
    <t>CARPETE QUADRADO</t>
  </si>
  <si>
    <t>5703.39.00</t>
  </si>
  <si>
    <t>TEC MALHA IMPERM 115GSM LISO 210CM</t>
  </si>
  <si>
    <t>5903.20.00</t>
  </si>
  <si>
    <t>Xx</t>
  </si>
  <si>
    <t>Base de Calculo DIFAL</t>
  </si>
  <si>
    <t>icms difal</t>
  </si>
  <si>
    <t>icms difal mg</t>
  </si>
  <si>
    <t>EMPILHADEIRA 2</t>
  </si>
  <si>
    <t>8429.51.19</t>
  </si>
  <si>
    <t>2506.10.00</t>
  </si>
  <si>
    <t>Valor CIF</t>
  </si>
  <si>
    <t>VALOR TOTAL DO CUSTO DE ENTRADA NA IMPORTACAO</t>
  </si>
  <si>
    <t>CUSTO IMPORTACAO FINAL TOTAL</t>
  </si>
  <si>
    <t>CUSTO IMPORTACAO FINAL UNITÁRIO</t>
  </si>
  <si>
    <t>CUSTO TOTAL UNITÁRIO ANTES DA NOTA</t>
  </si>
  <si>
    <t xml:space="preserve">PREÇO DE VENDA </t>
  </si>
  <si>
    <t>TOTAL DIFAL</t>
  </si>
  <si>
    <t xml:space="preserve">Frete Interno </t>
  </si>
  <si>
    <t>FRETE INTERNAC. R$</t>
  </si>
  <si>
    <t>3923.10.90</t>
  </si>
  <si>
    <t>BALDE</t>
  </si>
  <si>
    <t>8479.82.10</t>
  </si>
  <si>
    <t>MISTURADOR</t>
  </si>
  <si>
    <t>PALETIZADORA</t>
  </si>
  <si>
    <t>8479.50.00</t>
  </si>
  <si>
    <t>MAQUINA ROBO INDUSTRIAL</t>
  </si>
  <si>
    <t>Frete NACIONAL ALL-IN</t>
  </si>
  <si>
    <t>de</t>
  </si>
  <si>
    <t>PLACA FECHAMENTO</t>
  </si>
  <si>
    <t>7210.49.00</t>
  </si>
  <si>
    <t>GRADIL METALICO</t>
  </si>
  <si>
    <t>7326.90.90</t>
  </si>
  <si>
    <t>TENDA DUAS AGUAS</t>
  </si>
  <si>
    <t>9406.90.20</t>
  </si>
  <si>
    <t>PEDESTAL ORGANIZADOR DE FILAS</t>
  </si>
  <si>
    <t>9403.20.00</t>
  </si>
  <si>
    <t>PISO INTERLOCK</t>
  </si>
  <si>
    <t>3926.90.90</t>
  </si>
  <si>
    <t>ESCORA 20kN 1700 - 3200 AÇO GALVANIZADO</t>
  </si>
  <si>
    <t>ESCORA 32kN 1710 - 3000 - ALUMINIO</t>
  </si>
  <si>
    <t>MALHA DE AÇO 6CM X 50CM</t>
  </si>
  <si>
    <t>7314.41.00</t>
  </si>
  <si>
    <t>MALHA DE AÇO 7,50CM X 50CM</t>
  </si>
  <si>
    <t>MALHA DE AÇO 12CM X 50CM</t>
  </si>
  <si>
    <t>ARAME DE AÇO RECOZIDO TORCIDO 1,25MM - ROLO 1KG CAIXA COM 20 ROLOS</t>
  </si>
  <si>
    <t>ARAME DE AÇO RECOZIDO 1,25MM - ROLO 1KG CAIXA COM 20 ROLOS</t>
  </si>
  <si>
    <t>ARAME DE AÇO RECOZIDO 2,11MM - ROLO 1KG CAIXA COM 20 ROLOS</t>
  </si>
  <si>
    <t>ARAME DE AÇO RECOZIDO 2,77MM - ROLO 1KG CAIXA COM 20 ROLOS</t>
  </si>
  <si>
    <t>ARAME DE AÇO RECOZIDO 1,25MM - ROLO 50KG</t>
  </si>
  <si>
    <t>ARAME DE AÇO RECOZIDO 2,11MM - ROLO 50KG</t>
  </si>
  <si>
    <t>ARAME DE AÇO RECOZIDO 2,77MM - ROLO 50KG</t>
  </si>
  <si>
    <t>ARAME DE AÇO GALVANIZADO 1,25MM - ROLO 1KG CAIXA COM 20 ROLOS</t>
  </si>
  <si>
    <t>ARAME DE AÇO GALVANIZADO 2,11MM - ROLO 1KG CAIXA COM 20 ROLOS</t>
  </si>
  <si>
    <t>ARAME DE AÇO GALVANIZADO 2,77MM - ROLO 1KG CAIXA COM 20 ROLOS</t>
  </si>
  <si>
    <t>ARAME DE AÇO GALVANIZADO 2,11MM - ROLO 50KG</t>
  </si>
  <si>
    <t>ARAME DE AÇO GALVANIZADO 2,77MM - ROLO 50KG</t>
  </si>
  <si>
    <t>ARAME DE AÇO GALVANIZADO 3,4MM - ROLO 50KG</t>
  </si>
  <si>
    <t>ARAME FARPADO 1,60MM - FARPA 1,54MM - DISTANCIA 125MM - CARGA DE TORAÇÃO 250KG - ROLO 100M</t>
  </si>
  <si>
    <t>ARAME FARPADO 1,60MM - FARPA 1,54MM - DISTANCIA 125MM - CARGA DE TORAÇÃO 250KG - ROLO 250M</t>
  </si>
  <si>
    <t>ARAME FARPADO 1,60MM - FARPA 1,54MM - DISTANCIA 125MM - CARGA DE TORAÇÃO 250KG - ROLO 500M</t>
  </si>
  <si>
    <t>ARAME FARPADO 1,60MM - FARPA 1,54MM - DISTANCIA 125MM - CARGA DE TORAÇÃO 350KG - ROLO 250M</t>
  </si>
  <si>
    <t>ARAME FARPADO 1,60MM - FARPA 1,54MM - DISTANCIA 125MM - CARGA DE TORAÇÃO 350KG - ROLO 500M</t>
  </si>
  <si>
    <t>DECK WPC 140X22 AL-GS140-22C</t>
  </si>
  <si>
    <t>3918.90.00</t>
  </si>
  <si>
    <t>DECK WPC 140X23 AL-K140-23C</t>
  </si>
  <si>
    <t>DECK WPC 148X23 AL-K148-23A</t>
  </si>
  <si>
    <t>DECK WPC 140X23 AL-S148-23A</t>
  </si>
  <si>
    <t>RODAPÉ PVC</t>
  </si>
  <si>
    <t>3925.20.00</t>
  </si>
  <si>
    <t>BARROTE WPC</t>
  </si>
  <si>
    <t>GUINDASTE DE TORRE 80MTS</t>
  </si>
  <si>
    <t>ELEVADOR CREMALHEIRA 60MTS</t>
  </si>
  <si>
    <t>TORNEIRA LAVANDERIA - LATÃO REVESTIDA DE ZINCO</t>
  </si>
  <si>
    <t>TORNEIRA COZINHA - LATÃO REVESTIDA DE ZINCO</t>
  </si>
  <si>
    <t>TORNEIRA BANHEIRO - LATÃO REVESTIDA DE ZINCO</t>
  </si>
  <si>
    <t>REGISTRO - LATÃO REVESTIDA DE ZINCO</t>
  </si>
  <si>
    <t>CONTAINERS PARA ÁREA DE VIVÊNCIA - 14M²</t>
  </si>
  <si>
    <t>8609.00.00</t>
  </si>
  <si>
    <t xml:space="preserve">DISCO DE CORTAR FERRO </t>
  </si>
  <si>
    <t>6804.21.19</t>
  </si>
  <si>
    <t>DISCO DE MADEIRA DE 9. 1/4 36 DENTES</t>
  </si>
  <si>
    <t>DISCO DIAMANTADO 180MM SEGMENTADO MTX</t>
  </si>
  <si>
    <t>DISCO DIAMANTADO DE CONCRETO 110X20MM</t>
  </si>
  <si>
    <t>DISCO DIAMANTADO DE CONCRETO 350X10MM</t>
  </si>
  <si>
    <t>DISCO DIAMANTADO SEGMENTADO 105 MM PARA MÁRMORES E GRANITO</t>
  </si>
  <si>
    <t>ABRAÇADEIRA NYLON - 7,6X400MM</t>
  </si>
  <si>
    <t>PISO LAMINADO</t>
  </si>
  <si>
    <t>4411.13.91</t>
  </si>
  <si>
    <t>PALLET</t>
  </si>
  <si>
    <t xml:space="preserve">CUBA INOX RETANGULAR 40X34X14 </t>
  </si>
  <si>
    <t>7324.10.00</t>
  </si>
  <si>
    <t>SIFÃO PIA AMERIC 1 1/2"X 2"X 40 CM TE 30</t>
  </si>
  <si>
    <t>3917.40.90</t>
  </si>
  <si>
    <t>SIFÃO TANQUE/PIA 1 1/2"X1 1/2" X30 CM BRANCO</t>
  </si>
  <si>
    <t>VÁLVULA LAVATÓRIO 2 3/8" X 1" S/ LADR.</t>
  </si>
  <si>
    <t>8481.80.11</t>
  </si>
  <si>
    <t>VÁLVULA P/ TANQUE 1 1/4" CROMADO</t>
  </si>
  <si>
    <t>VÁLVULA PIA AMERICANA 3 1/2" X 1 1/2"</t>
  </si>
  <si>
    <t>FECHADURA EXTERNA - FECHADURA CONCEPT ZC 40MM 401-30</t>
  </si>
  <si>
    <t>8301.40.00</t>
  </si>
  <si>
    <t xml:space="preserve">FECHADURA INTERNA - FECHADURA CONCEPT </t>
  </si>
  <si>
    <t>FECHADURA BANHEIRO - FECHADURA CONCEPT</t>
  </si>
  <si>
    <t>DOBRADIÇA - 3X2 ½ CROMADA PINO E BOLA COM PARAFUSO</t>
  </si>
  <si>
    <t>8302.21.00</t>
  </si>
  <si>
    <t>VASO SANITARIO C/ CAIXA ACOPLADA</t>
  </si>
  <si>
    <t>LAVATÓRIO COM COLUNA</t>
  </si>
  <si>
    <t>LAVATÓRIO SEM COLUNA AZALEA BR - 0,47 (L) x 0,385 (P)</t>
  </si>
  <si>
    <t>TANQUE P FASL CELITE BR (20 litros)/ 1512030010300 - COM COLUNA P/TANQUE CELITE BR - 0,265 ( A ) x 0,51 ( L ) x 0,38 ( P )</t>
  </si>
  <si>
    <t>CREDITO COFINS LUCRO REAL</t>
  </si>
  <si>
    <t>CREDITO PIS LUCRO REAL</t>
  </si>
  <si>
    <t>LÁPIS</t>
  </si>
  <si>
    <t>9604.10.00</t>
  </si>
  <si>
    <t>Base de Calculo lucro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</si>
</sst>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$-409]* #,##0.00_ ;_-[$$-409]* \-#,##0.00\ ;_-[$$-409]* &quot;-&quot;??_ ;_-@_ "/>
    <numFmt numFmtId="165" formatCode="_-* #,##0_-;\-* #,##0_-;_-* &quot;-&quot;??_-;_-@_-"/>
    <numFmt numFmtId="166" formatCode="_-[$R$-416]\ * #,##0.00_-;\-[$R$-416]\ * #,##0.00_-;_-[$R$-416]\ * &quot;-&quot;??_-;_-@_-"/>
    <numFmt numFmtId="167" formatCode="_-[$R$-416]\ * #,##0.0000_-;\-[$R$-416]\ * #,##0.0000_-;_-[$R$-416]\ * &quot;-&quot;??_-;_-@_-"/>
    <numFmt numFmtId="168" formatCode="_-[$$-409]* #,##0.0000_ ;_-[$$-409]* \-#,##0.0000\ ;_-[$$-409]* &quot;-&quot;??_ ;_-@_ "/>
    <numFmt numFmtId="169" formatCode="_-* #,##0.000_-;\-* #,##0.000_-;_-* &quot;-&quot;??_-;_-@_-"/>
    <numFmt numFmtId="170" formatCode="_-* #,##0.0000_-;\-* #,##0.0000_-;_-* &quot;-&quot;??_-;_-@_-"/>
    <numFmt numFmtId="171" formatCode="_-[$$-409]* #,##0.000_ ;_-[$$-409]* \-#,##0.000\ ;_-[$$-409]* &quot;-&quot;??_ ;_-@_ "/>
    <numFmt numFmtId="172" formatCode="0.0%"/>
    <numFmt numFmtId="173" formatCode="_-* #,##0.000000_-;\-* #,##0.000000_-;_-* &quot;-&quot;??_-;_-@_-"/>
    <numFmt numFmtId="174" formatCode="0.00000"/>
    <numFmt numFmtId="175" formatCode="_-* #,##0.000_-;\-* #,##0.000_-;_-* &quot;-&quot;???_-;_-@_-"/>
    <numFmt numFmtId="176" formatCode="_-* #,##0.00000_-;\-* #,##0.00000_-;_-* &quot;-&quot;??_-;_-@_-"/>
    <numFmt numFmtId="177" formatCode="0.000"/>
    <numFmt numFmtId="178" formatCode="_-[$$-409]* #,##0.000_ ;_-[$$-409]* \-#,##0.000\ ;_-[$$-409]* &quot;-&quot;???_ ;_-@_ "/>
    <numFmt numFmtId="179" formatCode="_-* #,##0.0000000_-;\-* #,##0.0000000_-;_-* &quot;-&quot;??_-;_-@_-"/>
    <numFmt numFmtId="180" formatCode="_-* #,##0.0000000_-;\-* #,##0.0000000_-;_-* &quot;-&quot;???????_-;_-@_-"/>
    <numFmt numFmtId="181" formatCode="\$#,##0.00;\-\$#,##0.00"/>
    <numFmt numFmtId="182" formatCode="0.0000"/>
    <numFmt numFmtId="183" formatCode="_-[$R$-416]\ * #,##0.00000_-;\-[$R$-416]\ * #,##0.00000_-;_-[$R$-416]\ * &quot;-&quot;??_-;_-@_-"/>
    <numFmt numFmtId="184" formatCode="_-[$$-409]* #,##0.00000_ ;_-[$$-409]* \-#,##0.00000\ ;_-[$$-409]* &quot;-&quot;??_ ;_-@_ "/>
    <numFmt numFmtId="185" formatCode="_-[$R$-416]\ * #,##0.00000_-;\-[$R$-416]\ * #,##0.00000_-;_-[$R$-416]\ * &quot;-&quot;?????_-;_-@_-"/>
    <numFmt numFmtId="186" formatCode="_-[$R$-416]\ * #,##0.0000_-;\-[$R$-416]\ * #,##0.0000_-;_-[$R$-416]\ * &quot;-&quot;????_-;_-@_-"/>
    <numFmt numFmtId="187" formatCode="_-* #,##0.00000_-;\-* #,##0.00000_-;_-* &quot;-&quot;?????_-;_-@_-"/>
    <numFmt numFmtId="188" formatCode="_-* #,##0.00_-;\-* #,##0.00_-;_-* &quot;-&quot;?????_-;_-@_-"/>
    <numFmt numFmtId="189" formatCode="_-* #,##0.0000_-;\-* #,##0.0000_-;_-* &quot;-&quot;????_-;_-@_-"/>
    <numFmt numFmtId="190" formatCode="0.000%"/>
    <numFmt numFmtId="191" formatCode="_-[$$-409]* #,##0.00000_ ;_-[$$-409]* \-#,##0.00000\ ;_-[$$-409]* &quot;-&quot;?????_ ;_-@_ "/>
    <numFmt numFmtId="192" formatCode="[$$-409]#,##0.0000"/>
    <numFmt numFmtId="193" formatCode="[$$-409]#,##0.00"/>
    <numFmt numFmtId="194" formatCode="0.00000%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6"/>
      <name val="Calibri"/>
      <family val="2"/>
      <scheme val="minor"/>
    </font>
    <font>
      <sz val="26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name val="Arial"/>
      <family val="2"/>
    </font>
    <font>
      <b/>
      <sz val="16"/>
      <color rgb="FFFFFF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rgb="FFFF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11"/>
      <color rgb="FFE40000"/>
      <name val="Calibri"/>
      <family val="2"/>
      <scheme val="minor"/>
    </font>
    <font>
      <b/>
      <sz val="10"/>
      <color rgb="FFFFFFFF"/>
      <name val="Arial"/>
      <family val="2"/>
    </font>
    <font>
      <sz val="11"/>
      <color rgb="FF000000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6AFCF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89999084444715716"/>
        <bgColor indexed="64"/>
      </patternFill>
    </fill>
    <fill>
      <patternFill patternType="solid">
        <fgColor rgb="FFCDF3F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161616"/>
        <bgColor rgb="FF000000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/>
      <bottom/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</cellStyleXfs>
  <cellXfs count="620">
    <xf numFmtId="0" fontId="0" fillId="0" borderId="0" xfId="0"/>
    <xf numFmtId="1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5" borderId="1" xfId="8" applyFont="1" applyFill="1" applyBorder="1" applyAlignment="1">
      <alignment horizontal="center" vertical="center" wrapText="1"/>
    </xf>
    <xf numFmtId="0" fontId="6" fillId="4" borderId="0" xfId="8" applyFill="1"/>
    <xf numFmtId="0" fontId="6" fillId="6" borderId="1" xfId="8" applyFill="1" applyBorder="1"/>
    <xf numFmtId="9" fontId="8" fillId="8" borderId="1" xfId="9" applyFont="1" applyFill="1" applyBorder="1" applyAlignment="1">
      <alignment horizontal="center"/>
    </xf>
    <xf numFmtId="10" fontId="7" fillId="4" borderId="1" xfId="9" applyNumberFormat="1" applyFont="1" applyFill="1" applyBorder="1" applyAlignment="1">
      <alignment horizontal="center"/>
    </xf>
    <xf numFmtId="9" fontId="7" fillId="4" borderId="1" xfId="9" applyFont="1" applyFill="1" applyBorder="1" applyAlignment="1">
      <alignment horizontal="center"/>
    </xf>
    <xf numFmtId="9" fontId="6" fillId="4" borderId="0" xfId="9" applyFont="1" applyFill="1"/>
    <xf numFmtId="10" fontId="6" fillId="4" borderId="0" xfId="9" applyNumberFormat="1" applyFont="1" applyFill="1"/>
    <xf numFmtId="0" fontId="0" fillId="4" borderId="0" xfId="0" applyFill="1"/>
    <xf numFmtId="0" fontId="5" fillId="4" borderId="0" xfId="0" applyFont="1" applyFill="1"/>
    <xf numFmtId="0" fontId="3" fillId="4" borderId="13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3" fillId="4" borderId="21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3" fillId="4" borderId="9" xfId="0" applyFont="1" applyFill="1" applyBorder="1"/>
    <xf numFmtId="168" fontId="3" fillId="4" borderId="15" xfId="0" applyNumberFormat="1" applyFont="1" applyFill="1" applyBorder="1"/>
    <xf numFmtId="0" fontId="3" fillId="4" borderId="15" xfId="0" applyFont="1" applyFill="1" applyBorder="1"/>
    <xf numFmtId="164" fontId="3" fillId="4" borderId="15" xfId="0" applyNumberFormat="1" applyFont="1" applyFill="1" applyBorder="1"/>
    <xf numFmtId="0" fontId="3" fillId="4" borderId="21" xfId="0" applyFont="1" applyFill="1" applyBorder="1"/>
    <xf numFmtId="0" fontId="3" fillId="4" borderId="2" xfId="0" applyFont="1" applyFill="1" applyBorder="1"/>
    <xf numFmtId="44" fontId="3" fillId="4" borderId="19" xfId="0" applyNumberFormat="1" applyFont="1" applyFill="1" applyBorder="1"/>
    <xf numFmtId="44" fontId="3" fillId="4" borderId="4" xfId="2" applyFont="1" applyFill="1" applyBorder="1"/>
    <xf numFmtId="0" fontId="0" fillId="4" borderId="21" xfId="0" applyFill="1" applyBorder="1"/>
    <xf numFmtId="0" fontId="0" fillId="4" borderId="2" xfId="0" applyFill="1" applyBorder="1"/>
    <xf numFmtId="44" fontId="0" fillId="4" borderId="4" xfId="0" applyNumberFormat="1" applyFill="1" applyBorder="1"/>
    <xf numFmtId="10" fontId="0" fillId="4" borderId="2" xfId="0" applyNumberFormat="1" applyFill="1" applyBorder="1"/>
    <xf numFmtId="44" fontId="0" fillId="4" borderId="0" xfId="0" applyNumberFormat="1" applyFill="1"/>
    <xf numFmtId="0" fontId="0" fillId="4" borderId="1" xfId="0" applyFill="1" applyBorder="1"/>
    <xf numFmtId="164" fontId="0" fillId="4" borderId="1" xfId="2" applyNumberFormat="1" applyFont="1" applyFill="1" applyBorder="1" applyProtection="1">
      <protection locked="0"/>
    </xf>
    <xf numFmtId="44" fontId="3" fillId="4" borderId="4" xfId="0" applyNumberFormat="1" applyFont="1" applyFill="1" applyBorder="1"/>
    <xf numFmtId="9" fontId="0" fillId="4" borderId="1" xfId="0" applyNumberFormat="1" applyFill="1" applyBorder="1" applyProtection="1">
      <protection locked="0"/>
    </xf>
    <xf numFmtId="9" fontId="0" fillId="4" borderId="0" xfId="0" applyNumberFormat="1" applyFill="1"/>
    <xf numFmtId="10" fontId="0" fillId="4" borderId="1" xfId="0" applyNumberFormat="1" applyFill="1" applyBorder="1"/>
    <xf numFmtId="44" fontId="0" fillId="4" borderId="4" xfId="2" applyFont="1" applyFill="1" applyBorder="1"/>
    <xf numFmtId="44" fontId="0" fillId="4" borderId="2" xfId="2" applyFont="1" applyFill="1" applyBorder="1" applyProtection="1">
      <protection locked="0"/>
    </xf>
    <xf numFmtId="169" fontId="0" fillId="4" borderId="4" xfId="1" applyNumberFormat="1" applyFont="1" applyFill="1" applyBorder="1"/>
    <xf numFmtId="10" fontId="3" fillId="4" borderId="1" xfId="0" applyNumberFormat="1" applyFont="1" applyFill="1" applyBorder="1"/>
    <xf numFmtId="0" fontId="0" fillId="4" borderId="26" xfId="0" applyFill="1" applyBorder="1"/>
    <xf numFmtId="0" fontId="0" fillId="4" borderId="3" xfId="0" applyFill="1" applyBorder="1"/>
    <xf numFmtId="166" fontId="0" fillId="4" borderId="17" xfId="0" quotePrefix="1" applyNumberFormat="1" applyFill="1" applyBorder="1"/>
    <xf numFmtId="166" fontId="0" fillId="4" borderId="3" xfId="0" applyNumberFormat="1" applyFill="1" applyBorder="1"/>
    <xf numFmtId="0" fontId="0" fillId="4" borderId="15" xfId="0" applyFill="1" applyBorder="1"/>
    <xf numFmtId="0" fontId="0" fillId="4" borderId="4" xfId="0" applyFill="1" applyBorder="1"/>
    <xf numFmtId="166" fontId="0" fillId="4" borderId="6" xfId="0" quotePrefix="1" applyNumberFormat="1" applyFill="1" applyBorder="1"/>
    <xf numFmtId="166" fontId="0" fillId="4" borderId="4" xfId="0" applyNumberFormat="1" applyFill="1" applyBorder="1"/>
    <xf numFmtId="167" fontId="0" fillId="4" borderId="1" xfId="0" applyNumberFormat="1" applyFill="1" applyBorder="1"/>
    <xf numFmtId="10" fontId="0" fillId="4" borderId="6" xfId="0" quotePrefix="1" applyNumberFormat="1" applyFill="1" applyBorder="1"/>
    <xf numFmtId="9" fontId="0" fillId="4" borderId="6" xfId="0" quotePrefix="1" applyNumberFormat="1" applyFill="1" applyBorder="1"/>
    <xf numFmtId="0" fontId="0" fillId="4" borderId="5" xfId="0" applyFill="1" applyBorder="1"/>
    <xf numFmtId="9" fontId="0" fillId="4" borderId="18" xfId="0" quotePrefix="1" applyNumberFormat="1" applyFill="1" applyBorder="1"/>
    <xf numFmtId="166" fontId="0" fillId="4" borderId="16" xfId="0" applyNumberFormat="1" applyFill="1" applyBorder="1"/>
    <xf numFmtId="166" fontId="0" fillId="4" borderId="13" xfId="0" applyNumberFormat="1" applyFill="1" applyBorder="1"/>
    <xf numFmtId="43" fontId="0" fillId="4" borderId="0" xfId="1" applyFont="1" applyFill="1"/>
    <xf numFmtId="10" fontId="0" fillId="4" borderId="0" xfId="0" applyNumberFormat="1" applyFill="1"/>
    <xf numFmtId="166" fontId="0" fillId="4" borderId="3" xfId="0" quotePrefix="1" applyNumberFormat="1" applyFill="1" applyBorder="1"/>
    <xf numFmtId="166" fontId="0" fillId="4" borderId="3" xfId="1" applyNumberFormat="1" applyFont="1" applyFill="1" applyBorder="1"/>
    <xf numFmtId="166" fontId="0" fillId="4" borderId="4" xfId="0" quotePrefix="1" applyNumberFormat="1" applyFill="1" applyBorder="1"/>
    <xf numFmtId="10" fontId="0" fillId="4" borderId="4" xfId="0" quotePrefix="1" applyNumberFormat="1" applyFill="1" applyBorder="1"/>
    <xf numFmtId="44" fontId="0" fillId="4" borderId="0" xfId="2" applyFont="1" applyFill="1" applyBorder="1"/>
    <xf numFmtId="9" fontId="0" fillId="4" borderId="4" xfId="0" quotePrefix="1" applyNumberFormat="1" applyFill="1" applyBorder="1"/>
    <xf numFmtId="43" fontId="0" fillId="4" borderId="0" xfId="1" applyFont="1" applyFill="1" applyBorder="1"/>
    <xf numFmtId="0" fontId="0" fillId="4" borderId="11" xfId="0" applyFill="1" applyBorder="1"/>
    <xf numFmtId="0" fontId="11" fillId="4" borderId="13" xfId="0" applyFont="1" applyFill="1" applyBorder="1" applyAlignment="1" applyProtection="1">
      <alignment horizontal="center" vertical="center"/>
      <protection locked="0"/>
    </xf>
    <xf numFmtId="43" fontId="5" fillId="4" borderId="0" xfId="1" applyFont="1" applyFill="1"/>
    <xf numFmtId="0" fontId="2" fillId="4" borderId="0" xfId="0" applyFont="1" applyFill="1" applyAlignment="1">
      <alignment horizontal="center"/>
    </xf>
    <xf numFmtId="0" fontId="0" fillId="4" borderId="14" xfId="0" applyFill="1" applyBorder="1"/>
    <xf numFmtId="0" fontId="0" fillId="4" borderId="8" xfId="0" applyFill="1" applyBorder="1"/>
    <xf numFmtId="0" fontId="0" fillId="4" borderId="9" xfId="0" applyFill="1" applyBorder="1"/>
    <xf numFmtId="43" fontId="0" fillId="3" borderId="15" xfId="1" applyFont="1" applyFill="1" applyBorder="1"/>
    <xf numFmtId="0" fontId="0" fillId="4" borderId="7" xfId="0" applyFill="1" applyBorder="1"/>
    <xf numFmtId="0" fontId="3" fillId="4" borderId="20" xfId="0" applyFont="1" applyFill="1" applyBorder="1"/>
    <xf numFmtId="0" fontId="0" fillId="4" borderId="10" xfId="0" applyFill="1" applyBorder="1"/>
    <xf numFmtId="0" fontId="0" fillId="4" borderId="21" xfId="0" applyFill="1" applyBorder="1" applyProtection="1">
      <protection locked="0"/>
    </xf>
    <xf numFmtId="0" fontId="0" fillId="4" borderId="25" xfId="0" applyFill="1" applyBorder="1"/>
    <xf numFmtId="0" fontId="3" fillId="4" borderId="31" xfId="0" applyFont="1" applyFill="1" applyBorder="1" applyAlignment="1">
      <alignment horizontal="center"/>
    </xf>
    <xf numFmtId="170" fontId="0" fillId="4" borderId="31" xfId="1" applyNumberFormat="1" applyFont="1" applyFill="1" applyBorder="1" applyProtection="1">
      <protection locked="0"/>
    </xf>
    <xf numFmtId="44" fontId="0" fillId="4" borderId="31" xfId="2" applyFont="1" applyFill="1" applyBorder="1"/>
    <xf numFmtId="44" fontId="3" fillId="4" borderId="31" xfId="0" applyNumberFormat="1" applyFont="1" applyFill="1" applyBorder="1"/>
    <xf numFmtId="44" fontId="0" fillId="4" borderId="31" xfId="0" applyNumberFormat="1" applyFill="1" applyBorder="1"/>
    <xf numFmtId="44" fontId="1" fillId="4" borderId="31" xfId="2" applyFont="1" applyFill="1" applyBorder="1"/>
    <xf numFmtId="44" fontId="0" fillId="4" borderId="31" xfId="2" applyFont="1" applyFill="1" applyBorder="1" applyAlignment="1" applyProtection="1">
      <protection locked="0"/>
    </xf>
    <xf numFmtId="8" fontId="0" fillId="4" borderId="31" xfId="2" applyNumberFormat="1" applyFont="1" applyFill="1" applyBorder="1" applyAlignment="1" applyProtection="1">
      <protection locked="0"/>
    </xf>
    <xf numFmtId="8" fontId="0" fillId="4" borderId="31" xfId="2" applyNumberFormat="1" applyFont="1" applyFill="1" applyBorder="1" applyProtection="1">
      <protection locked="0"/>
    </xf>
    <xf numFmtId="44" fontId="1" fillId="4" borderId="31" xfId="2" applyFont="1" applyFill="1" applyBorder="1" applyProtection="1">
      <protection locked="0"/>
    </xf>
    <xf numFmtId="44" fontId="0" fillId="4" borderId="31" xfId="0" applyNumberFormat="1" applyFill="1" applyBorder="1" applyProtection="1">
      <protection locked="0"/>
    </xf>
    <xf numFmtId="44" fontId="3" fillId="4" borderId="31" xfId="2" applyFont="1" applyFill="1" applyBorder="1" applyAlignment="1"/>
    <xf numFmtId="0" fontId="3" fillId="4" borderId="32" xfId="0" applyFont="1" applyFill="1" applyBorder="1"/>
    <xf numFmtId="44" fontId="3" fillId="4" borderId="33" xfId="0" applyNumberFormat="1" applyFont="1" applyFill="1" applyBorder="1"/>
    <xf numFmtId="10" fontId="0" fillId="4" borderId="10" xfId="0" applyNumberFormat="1" applyFill="1" applyBorder="1"/>
    <xf numFmtId="0" fontId="0" fillId="3" borderId="0" xfId="0" applyFill="1"/>
    <xf numFmtId="0" fontId="0" fillId="4" borderId="12" xfId="0" applyFill="1" applyBorder="1"/>
    <xf numFmtId="44" fontId="0" fillId="4" borderId="9" xfId="0" applyNumberFormat="1" applyFill="1" applyBorder="1"/>
    <xf numFmtId="174" fontId="0" fillId="4" borderId="0" xfId="0" applyNumberFormat="1" applyFill="1"/>
    <xf numFmtId="0" fontId="0" fillId="13" borderId="0" xfId="0" applyFill="1"/>
    <xf numFmtId="0" fontId="0" fillId="13" borderId="0" xfId="0" quotePrefix="1" applyFill="1"/>
    <xf numFmtId="0" fontId="0" fillId="13" borderId="10" xfId="0" applyFill="1" applyBorder="1"/>
    <xf numFmtId="0" fontId="0" fillId="13" borderId="14" xfId="0" applyFill="1" applyBorder="1"/>
    <xf numFmtId="0" fontId="0" fillId="13" borderId="8" xfId="0" applyFill="1" applyBorder="1"/>
    <xf numFmtId="0" fontId="12" fillId="4" borderId="14" xfId="0" applyFont="1" applyFill="1" applyBorder="1" applyAlignment="1">
      <alignment horizontal="center" vertical="center"/>
    </xf>
    <xf numFmtId="166" fontId="0" fillId="4" borderId="0" xfId="0" applyNumberFormat="1" applyFill="1"/>
    <xf numFmtId="170" fontId="0" fillId="4" borderId="0" xfId="0" applyNumberFormat="1" applyFill="1"/>
    <xf numFmtId="173" fontId="0" fillId="4" borderId="12" xfId="1" applyNumberFormat="1" applyFont="1" applyFill="1" applyBorder="1"/>
    <xf numFmtId="43" fontId="0" fillId="0" borderId="1" xfId="1" applyFont="1" applyBorder="1" applyAlignment="1">
      <alignment horizontal="center"/>
    </xf>
    <xf numFmtId="0" fontId="6" fillId="4" borderId="0" xfId="8" applyFill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169" fontId="3" fillId="2" borderId="1" xfId="1" applyNumberFormat="1" applyFont="1" applyFill="1" applyBorder="1" applyAlignment="1">
      <alignment horizontal="center" vertical="center" wrapText="1"/>
    </xf>
    <xf numFmtId="169" fontId="0" fillId="0" borderId="1" xfId="1" applyNumberFormat="1" applyFont="1" applyBorder="1" applyAlignment="1">
      <alignment horizontal="center"/>
    </xf>
    <xf numFmtId="169" fontId="6" fillId="4" borderId="0" xfId="1" applyNumberFormat="1" applyFont="1" applyFill="1"/>
    <xf numFmtId="170" fontId="0" fillId="0" borderId="1" xfId="1" applyNumberFormat="1" applyFont="1" applyBorder="1" applyAlignment="1">
      <alignment horizontal="center"/>
    </xf>
    <xf numFmtId="176" fontId="0" fillId="0" borderId="1" xfId="1" applyNumberFormat="1" applyFont="1" applyBorder="1" applyAlignment="1">
      <alignment horizontal="center"/>
    </xf>
    <xf numFmtId="175" fontId="0" fillId="4" borderId="0" xfId="0" applyNumberFormat="1" applyFill="1"/>
    <xf numFmtId="10" fontId="0" fillId="0" borderId="1" xfId="3" applyNumberFormat="1" applyFont="1" applyBorder="1" applyAlignment="1">
      <alignment horizontal="center"/>
    </xf>
    <xf numFmtId="20" fontId="6" fillId="4" borderId="0" xfId="8" applyNumberFormat="1" applyFill="1"/>
    <xf numFmtId="169" fontId="3" fillId="3" borderId="1" xfId="1" applyNumberFormat="1" applyFont="1" applyFill="1" applyBorder="1" applyAlignment="1">
      <alignment horizontal="center" vertical="center" wrapText="1"/>
    </xf>
    <xf numFmtId="177" fontId="6" fillId="4" borderId="0" xfId="8" applyNumberFormat="1" applyFill="1"/>
    <xf numFmtId="177" fontId="0" fillId="0" borderId="1" xfId="1" applyNumberFormat="1" applyFont="1" applyBorder="1" applyAlignment="1">
      <alignment horizontal="center"/>
    </xf>
    <xf numFmtId="177" fontId="0" fillId="14" borderId="1" xfId="1" applyNumberFormat="1" applyFont="1" applyFill="1" applyBorder="1" applyAlignment="1">
      <alignment horizontal="center"/>
    </xf>
    <xf numFmtId="177" fontId="3" fillId="10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43" fontId="0" fillId="0" borderId="19" xfId="1" applyFont="1" applyBorder="1" applyAlignment="1">
      <alignment horizontal="center"/>
    </xf>
    <xf numFmtId="0" fontId="6" fillId="6" borderId="35" xfId="8" applyFill="1" applyBorder="1"/>
    <xf numFmtId="0" fontId="6" fillId="6" borderId="19" xfId="8" applyFill="1" applyBorder="1"/>
    <xf numFmtId="0" fontId="6" fillId="6" borderId="4" xfId="8" applyFill="1" applyBorder="1"/>
    <xf numFmtId="0" fontId="3" fillId="4" borderId="0" xfId="0" applyFont="1" applyFill="1" applyAlignment="1">
      <alignment horizontal="left" wrapText="1"/>
    </xf>
    <xf numFmtId="0" fontId="2" fillId="4" borderId="22" xfId="0" applyFont="1" applyFill="1" applyBorder="1"/>
    <xf numFmtId="0" fontId="2" fillId="4" borderId="23" xfId="0" applyFont="1" applyFill="1" applyBorder="1"/>
    <xf numFmtId="0" fontId="2" fillId="4" borderId="30" xfId="0" applyFont="1" applyFill="1" applyBorder="1"/>
    <xf numFmtId="0" fontId="2" fillId="4" borderId="24" xfId="0" applyFont="1" applyFill="1" applyBorder="1"/>
    <xf numFmtId="0" fontId="11" fillId="4" borderId="13" xfId="0" applyFont="1" applyFill="1" applyBorder="1" applyAlignment="1">
      <alignment horizontal="center" vertical="center"/>
    </xf>
    <xf numFmtId="0" fontId="0" fillId="4" borderId="31" xfId="0" applyFill="1" applyBorder="1"/>
    <xf numFmtId="164" fontId="0" fillId="4" borderId="31" xfId="0" applyNumberFormat="1" applyFill="1" applyBorder="1"/>
    <xf numFmtId="166" fontId="0" fillId="4" borderId="31" xfId="0" applyNumberFormat="1" applyFill="1" applyBorder="1" applyProtection="1">
      <protection locked="0"/>
    </xf>
    <xf numFmtId="44" fontId="0" fillId="4" borderId="4" xfId="0" applyNumberFormat="1" applyFill="1" applyBorder="1" applyProtection="1">
      <protection locked="0"/>
    </xf>
    <xf numFmtId="0" fontId="0" fillId="4" borderId="2" xfId="0" applyFill="1" applyBorder="1" applyProtection="1">
      <protection locked="0"/>
    </xf>
    <xf numFmtId="9" fontId="0" fillId="4" borderId="1" xfId="3" applyFont="1" applyFill="1" applyBorder="1" applyAlignment="1"/>
    <xf numFmtId="0" fontId="0" fillId="13" borderId="7" xfId="0" applyFill="1" applyBorder="1"/>
    <xf numFmtId="166" fontId="0" fillId="4" borderId="31" xfId="0" applyNumberFormat="1" applyFill="1" applyBorder="1"/>
    <xf numFmtId="10" fontId="0" fillId="4" borderId="1" xfId="3" applyNumberFormat="1" applyFont="1" applyFill="1" applyBorder="1"/>
    <xf numFmtId="171" fontId="6" fillId="4" borderId="0" xfId="1" applyNumberFormat="1" applyFont="1" applyFill="1"/>
    <xf numFmtId="0" fontId="18" fillId="4" borderId="0" xfId="8" applyFont="1" applyFill="1" applyAlignment="1">
      <alignment vertical="center"/>
    </xf>
    <xf numFmtId="0" fontId="3" fillId="17" borderId="13" xfId="0" applyFont="1" applyFill="1" applyBorder="1" applyAlignment="1">
      <alignment horizontal="center" vertical="center" wrapText="1"/>
    </xf>
    <xf numFmtId="171" fontId="3" fillId="17" borderId="8" xfId="1" applyNumberFormat="1" applyFont="1" applyFill="1" applyBorder="1" applyAlignment="1">
      <alignment horizontal="center" vertical="center" wrapText="1"/>
    </xf>
    <xf numFmtId="0" fontId="7" fillId="18" borderId="13" xfId="8" applyFont="1" applyFill="1" applyBorder="1" applyAlignment="1">
      <alignment horizontal="center" vertical="center" wrapText="1"/>
    </xf>
    <xf numFmtId="9" fontId="0" fillId="0" borderId="1" xfId="3" applyFont="1" applyBorder="1" applyAlignment="1">
      <alignment horizontal="center"/>
    </xf>
    <xf numFmtId="171" fontId="19" fillId="19" borderId="13" xfId="0" applyNumberFormat="1" applyFont="1" applyFill="1" applyBorder="1" applyAlignment="1">
      <alignment horizontal="center" vertical="center"/>
    </xf>
    <xf numFmtId="43" fontId="6" fillId="4" borderId="0" xfId="8" applyNumberFormat="1" applyFill="1"/>
    <xf numFmtId="178" fontId="0" fillId="4" borderId="0" xfId="0" applyNumberFormat="1" applyFill="1"/>
    <xf numFmtId="9" fontId="0" fillId="4" borderId="0" xfId="3" applyFont="1" applyFill="1"/>
    <xf numFmtId="44" fontId="0" fillId="4" borderId="13" xfId="0" applyNumberFormat="1" applyFill="1" applyBorder="1"/>
    <xf numFmtId="0" fontId="0" fillId="4" borderId="36" xfId="0" applyFill="1" applyBorder="1" applyAlignment="1" applyProtection="1">
      <alignment horizontal="left"/>
      <protection locked="0"/>
    </xf>
    <xf numFmtId="0" fontId="0" fillId="4" borderId="37" xfId="0" applyFill="1" applyBorder="1" applyAlignment="1" applyProtection="1">
      <alignment horizontal="center"/>
      <protection locked="0"/>
    </xf>
    <xf numFmtId="166" fontId="0" fillId="4" borderId="38" xfId="2" applyNumberFormat="1" applyFont="1" applyFill="1" applyBorder="1" applyAlignment="1" applyProtection="1">
      <alignment horizontal="center"/>
      <protection locked="0"/>
    </xf>
    <xf numFmtId="0" fontId="3" fillId="4" borderId="39" xfId="0" applyFont="1" applyFill="1" applyBorder="1"/>
    <xf numFmtId="0" fontId="3" fillId="4" borderId="40" xfId="0" applyFont="1" applyFill="1" applyBorder="1"/>
    <xf numFmtId="164" fontId="3" fillId="4" borderId="16" xfId="0" applyNumberFormat="1" applyFont="1" applyFill="1" applyBorder="1"/>
    <xf numFmtId="0" fontId="0" fillId="4" borderId="39" xfId="0" applyFill="1" applyBorder="1"/>
    <xf numFmtId="10" fontId="0" fillId="4" borderId="40" xfId="0" applyNumberFormat="1" applyFill="1" applyBorder="1"/>
    <xf numFmtId="44" fontId="0" fillId="4" borderId="16" xfId="2" applyFont="1" applyFill="1" applyBorder="1"/>
    <xf numFmtId="0" fontId="3" fillId="4" borderId="43" xfId="0" applyFont="1" applyFill="1" applyBorder="1"/>
    <xf numFmtId="0" fontId="3" fillId="4" borderId="44" xfId="0" applyFont="1" applyFill="1" applyBorder="1"/>
    <xf numFmtId="44" fontId="3" fillId="4" borderId="13" xfId="0" applyNumberFormat="1" applyFont="1" applyFill="1" applyBorder="1"/>
    <xf numFmtId="0" fontId="0" fillId="4" borderId="43" xfId="0" applyFill="1" applyBorder="1"/>
    <xf numFmtId="0" fontId="0" fillId="4" borderId="45" xfId="0" applyFill="1" applyBorder="1"/>
    <xf numFmtId="10" fontId="0" fillId="4" borderId="46" xfId="0" applyNumberFormat="1" applyFill="1" applyBorder="1"/>
    <xf numFmtId="44" fontId="0" fillId="4" borderId="15" xfId="2" applyFont="1" applyFill="1" applyBorder="1"/>
    <xf numFmtId="44" fontId="0" fillId="4" borderId="15" xfId="0" applyNumberFormat="1" applyFill="1" applyBorder="1"/>
    <xf numFmtId="0" fontId="3" fillId="4" borderId="45" xfId="0" applyFont="1" applyFill="1" applyBorder="1"/>
    <xf numFmtId="9" fontId="3" fillId="4" borderId="46" xfId="0" applyNumberFormat="1" applyFont="1" applyFill="1" applyBorder="1"/>
    <xf numFmtId="44" fontId="3" fillId="4" borderId="15" xfId="0" applyNumberFormat="1" applyFont="1" applyFill="1" applyBorder="1"/>
    <xf numFmtId="10" fontId="0" fillId="4" borderId="44" xfId="0" applyNumberFormat="1" applyFill="1" applyBorder="1"/>
    <xf numFmtId="44" fontId="0" fillId="4" borderId="13" xfId="2" applyFont="1" applyFill="1" applyBorder="1"/>
    <xf numFmtId="10" fontId="3" fillId="4" borderId="44" xfId="3" applyNumberFormat="1" applyFont="1" applyFill="1" applyBorder="1"/>
    <xf numFmtId="0" fontId="0" fillId="4" borderId="36" xfId="0" applyFill="1" applyBorder="1" applyProtection="1">
      <protection locked="0"/>
    </xf>
    <xf numFmtId="0" fontId="0" fillId="4" borderId="37" xfId="0" applyFill="1" applyBorder="1"/>
    <xf numFmtId="44" fontId="0" fillId="4" borderId="38" xfId="0" applyNumberFormat="1" applyFill="1" applyBorder="1" applyProtection="1">
      <protection locked="0"/>
    </xf>
    <xf numFmtId="0" fontId="0" fillId="4" borderId="41" xfId="0" applyFill="1" applyBorder="1" applyProtection="1">
      <protection locked="0"/>
    </xf>
    <xf numFmtId="44" fontId="0" fillId="4" borderId="42" xfId="2" applyFont="1" applyFill="1" applyBorder="1" applyProtection="1">
      <protection locked="0"/>
    </xf>
    <xf numFmtId="44" fontId="0" fillId="4" borderId="19" xfId="2" applyFont="1" applyFill="1" applyBorder="1"/>
    <xf numFmtId="0" fontId="0" fillId="4" borderId="43" xfId="0" applyFill="1" applyBorder="1" applyProtection="1">
      <protection locked="0"/>
    </xf>
    <xf numFmtId="9" fontId="0" fillId="4" borderId="44" xfId="0" applyNumberFormat="1" applyFill="1" applyBorder="1" applyProtection="1">
      <protection locked="0"/>
    </xf>
    <xf numFmtId="166" fontId="5" fillId="4" borderId="0" xfId="0" applyNumberFormat="1" applyFont="1" applyFill="1"/>
    <xf numFmtId="169" fontId="0" fillId="3" borderId="1" xfId="1" applyNumberFormat="1" applyFont="1" applyFill="1" applyBorder="1" applyAlignment="1">
      <alignment horizontal="center"/>
    </xf>
    <xf numFmtId="0" fontId="7" fillId="7" borderId="1" xfId="8" applyFont="1" applyFill="1" applyBorder="1" applyAlignment="1">
      <alignment horizontal="center"/>
    </xf>
    <xf numFmtId="3" fontId="7" fillId="7" borderId="1" xfId="8" applyNumberFormat="1" applyFont="1" applyFill="1" applyBorder="1" applyAlignment="1">
      <alignment horizontal="center"/>
    </xf>
    <xf numFmtId="0" fontId="6" fillId="4" borderId="0" xfId="8" applyFill="1" applyAlignment="1">
      <alignment horizontal="center"/>
    </xf>
    <xf numFmtId="0" fontId="0" fillId="4" borderId="0" xfId="0" applyFill="1" applyAlignment="1">
      <alignment horizontal="center"/>
    </xf>
    <xf numFmtId="171" fontId="17" fillId="0" borderId="34" xfId="1" applyNumberFormat="1" applyFont="1" applyFill="1" applyBorder="1" applyAlignment="1">
      <alignment horizontal="center"/>
    </xf>
    <xf numFmtId="0" fontId="0" fillId="3" borderId="39" xfId="0" applyFill="1" applyBorder="1"/>
    <xf numFmtId="10" fontId="0" fillId="3" borderId="40" xfId="0" applyNumberFormat="1" applyFill="1" applyBorder="1"/>
    <xf numFmtId="44" fontId="0" fillId="3" borderId="16" xfId="2" applyFont="1" applyFill="1" applyBorder="1"/>
    <xf numFmtId="0" fontId="0" fillId="3" borderId="43" xfId="0" applyFill="1" applyBorder="1"/>
    <xf numFmtId="10" fontId="0" fillId="3" borderId="44" xfId="0" applyNumberFormat="1" applyFill="1" applyBorder="1" applyProtection="1">
      <protection locked="0"/>
    </xf>
    <xf numFmtId="44" fontId="0" fillId="3" borderId="13" xfId="0" applyNumberFormat="1" applyFill="1" applyBorder="1"/>
    <xf numFmtId="0" fontId="0" fillId="3" borderId="7" xfId="0" applyFill="1" applyBorder="1"/>
    <xf numFmtId="173" fontId="0" fillId="3" borderId="12" xfId="1" applyNumberFormat="1" applyFont="1" applyFill="1" applyBorder="1"/>
    <xf numFmtId="9" fontId="0" fillId="3" borderId="15" xfId="3" applyFont="1" applyFill="1" applyBorder="1"/>
    <xf numFmtId="43" fontId="0" fillId="3" borderId="0" xfId="1" applyFont="1" applyFill="1"/>
    <xf numFmtId="179" fontId="0" fillId="4" borderId="0" xfId="1" applyNumberFormat="1" applyFont="1" applyFill="1"/>
    <xf numFmtId="180" fontId="0" fillId="4" borderId="0" xfId="0" applyNumberFormat="1" applyFill="1"/>
    <xf numFmtId="164" fontId="0" fillId="4" borderId="0" xfId="0" applyNumberFormat="1" applyFill="1"/>
    <xf numFmtId="181" fontId="17" fillId="3" borderId="1" xfId="0" applyNumberFormat="1" applyFont="1" applyFill="1" applyBorder="1" applyAlignment="1">
      <alignment horizontal="center" vertical="center"/>
    </xf>
    <xf numFmtId="177" fontId="3" fillId="21" borderId="1" xfId="0" applyNumberFormat="1" applyFont="1" applyFill="1" applyBorder="1" applyAlignment="1">
      <alignment horizontal="center" vertical="center" wrapText="1"/>
    </xf>
    <xf numFmtId="169" fontId="4" fillId="2" borderId="1" xfId="1" applyNumberFormat="1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/>
    </xf>
    <xf numFmtId="166" fontId="14" fillId="22" borderId="13" xfId="0" applyNumberFormat="1" applyFont="1" applyFill="1" applyBorder="1" applyAlignment="1">
      <alignment horizontal="center" vertical="center"/>
    </xf>
    <xf numFmtId="9" fontId="11" fillId="23" borderId="13" xfId="3" applyFont="1" applyFill="1" applyBorder="1" applyAlignment="1" applyProtection="1">
      <alignment horizontal="center" vertical="center"/>
      <protection locked="0"/>
    </xf>
    <xf numFmtId="0" fontId="4" fillId="2" borderId="15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64" fontId="13" fillId="22" borderId="13" xfId="0" applyNumberFormat="1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 wrapText="1"/>
    </xf>
    <xf numFmtId="164" fontId="14" fillId="22" borderId="13" xfId="0" applyNumberFormat="1" applyFont="1" applyFill="1" applyBorder="1" applyAlignment="1">
      <alignment horizontal="center" vertical="center"/>
    </xf>
    <xf numFmtId="10" fontId="14" fillId="22" borderId="13" xfId="0" applyNumberFormat="1" applyFont="1" applyFill="1" applyBorder="1" applyAlignment="1">
      <alignment horizontal="center" vertical="center"/>
    </xf>
    <xf numFmtId="166" fontId="16" fillId="3" borderId="13" xfId="0" applyNumberFormat="1" applyFont="1" applyFill="1" applyBorder="1" applyAlignment="1">
      <alignment horizontal="center" vertical="center"/>
    </xf>
    <xf numFmtId="166" fontId="16" fillId="25" borderId="13" xfId="0" applyNumberFormat="1" applyFont="1" applyFill="1" applyBorder="1" applyAlignment="1">
      <alignment horizontal="center" vertical="center"/>
    </xf>
    <xf numFmtId="166" fontId="16" fillId="3" borderId="13" xfId="0" applyNumberFormat="1" applyFont="1" applyFill="1" applyBorder="1" applyAlignment="1">
      <alignment vertical="center"/>
    </xf>
    <xf numFmtId="0" fontId="4" fillId="26" borderId="13" xfId="0" applyFont="1" applyFill="1" applyBorder="1" applyAlignment="1">
      <alignment horizontal="center" vertical="center"/>
    </xf>
    <xf numFmtId="0" fontId="4" fillId="26" borderId="13" xfId="0" applyFont="1" applyFill="1" applyBorder="1" applyAlignment="1">
      <alignment horizontal="center" vertical="center" wrapText="1"/>
    </xf>
    <xf numFmtId="169" fontId="21" fillId="28" borderId="1" xfId="1" applyNumberFormat="1" applyFont="1" applyFill="1" applyBorder="1" applyAlignment="1">
      <alignment horizontal="center" vertical="center" wrapText="1"/>
    </xf>
    <xf numFmtId="177" fontId="3" fillId="29" borderId="1" xfId="0" applyNumberFormat="1" applyFont="1" applyFill="1" applyBorder="1" applyAlignment="1">
      <alignment horizontal="center" vertical="center" wrapText="1"/>
    </xf>
    <xf numFmtId="177" fontId="3" fillId="15" borderId="1" xfId="0" applyNumberFormat="1" applyFont="1" applyFill="1" applyBorder="1" applyAlignment="1">
      <alignment horizontal="center" vertical="center" wrapText="1"/>
    </xf>
    <xf numFmtId="177" fontId="3" fillId="26" borderId="1" xfId="0" applyNumberFormat="1" applyFont="1" applyFill="1" applyBorder="1" applyAlignment="1">
      <alignment horizontal="center" vertical="center" wrapText="1"/>
    </xf>
    <xf numFmtId="177" fontId="3" fillId="18" borderId="1" xfId="0" applyNumberFormat="1" applyFont="1" applyFill="1" applyBorder="1" applyAlignment="1">
      <alignment horizontal="center" vertical="center" wrapText="1"/>
    </xf>
    <xf numFmtId="177" fontId="0" fillId="3" borderId="1" xfId="1" applyNumberFormat="1" applyFont="1" applyFill="1" applyBorder="1" applyAlignment="1">
      <alignment horizontal="center"/>
    </xf>
    <xf numFmtId="0" fontId="6" fillId="3" borderId="35" xfId="8" applyFill="1" applyBorder="1"/>
    <xf numFmtId="0" fontId="6" fillId="3" borderId="1" xfId="8" applyFill="1" applyBorder="1"/>
    <xf numFmtId="166" fontId="4" fillId="4" borderId="25" xfId="0" applyNumberFormat="1" applyFont="1" applyFill="1" applyBorder="1" applyAlignment="1">
      <alignment horizontal="center" vertical="center"/>
    </xf>
    <xf numFmtId="166" fontId="6" fillId="4" borderId="0" xfId="1" applyNumberFormat="1" applyFont="1" applyFill="1"/>
    <xf numFmtId="166" fontId="3" fillId="17" borderId="8" xfId="1" applyNumberFormat="1" applyFont="1" applyFill="1" applyBorder="1" applyAlignment="1">
      <alignment horizontal="center" vertical="center" wrapText="1"/>
    </xf>
    <xf numFmtId="166" fontId="17" fillId="0" borderId="34" xfId="1" applyNumberFormat="1" applyFont="1" applyBorder="1" applyAlignment="1">
      <alignment horizontal="center"/>
    </xf>
    <xf numFmtId="184" fontId="14" fillId="22" borderId="13" xfId="0" applyNumberFormat="1" applyFont="1" applyFill="1" applyBorder="1" applyAlignment="1">
      <alignment horizontal="center" vertical="center"/>
    </xf>
    <xf numFmtId="185" fontId="0" fillId="4" borderId="0" xfId="0" applyNumberFormat="1" applyFill="1"/>
    <xf numFmtId="9" fontId="4" fillId="2" borderId="8" xfId="0" applyNumberFormat="1" applyFont="1" applyFill="1" applyBorder="1" applyAlignment="1">
      <alignment horizontal="center" vertical="center"/>
    </xf>
    <xf numFmtId="166" fontId="23" fillId="31" borderId="13" xfId="0" applyNumberFormat="1" applyFont="1" applyFill="1" applyBorder="1" applyAlignment="1">
      <alignment horizontal="center" vertical="center"/>
    </xf>
    <xf numFmtId="0" fontId="24" fillId="2" borderId="8" xfId="0" applyFont="1" applyFill="1" applyBorder="1" applyAlignment="1">
      <alignment horizontal="center" vertical="center"/>
    </xf>
    <xf numFmtId="166" fontId="14" fillId="31" borderId="13" xfId="0" applyNumberFormat="1" applyFont="1" applyFill="1" applyBorder="1" applyAlignment="1">
      <alignment horizontal="center" vertical="center"/>
    </xf>
    <xf numFmtId="0" fontId="24" fillId="2" borderId="13" xfId="0" applyFont="1" applyFill="1" applyBorder="1" applyAlignment="1">
      <alignment horizontal="center" vertical="center"/>
    </xf>
    <xf numFmtId="164" fontId="23" fillId="31" borderId="13" xfId="0" applyNumberFormat="1" applyFont="1" applyFill="1" applyBorder="1" applyAlignment="1">
      <alignment horizontal="center" vertical="center"/>
    </xf>
    <xf numFmtId="0" fontId="0" fillId="4" borderId="31" xfId="0" applyFill="1" applyBorder="1" applyAlignment="1">
      <alignment horizontal="center"/>
    </xf>
    <xf numFmtId="44" fontId="0" fillId="4" borderId="31" xfId="0" applyNumberFormat="1" applyFill="1" applyBorder="1" applyAlignment="1">
      <alignment horizontal="center"/>
    </xf>
    <xf numFmtId="166" fontId="0" fillId="4" borderId="31" xfId="0" applyNumberFormat="1" applyFill="1" applyBorder="1" applyAlignment="1">
      <alignment horizontal="center"/>
    </xf>
    <xf numFmtId="44" fontId="3" fillId="4" borderId="31" xfId="2" applyFont="1" applyFill="1" applyBorder="1" applyAlignment="1">
      <alignment horizontal="center"/>
    </xf>
    <xf numFmtId="166" fontId="0" fillId="4" borderId="10" xfId="0" applyNumberFormat="1" applyFill="1" applyBorder="1"/>
    <xf numFmtId="43" fontId="0" fillId="4" borderId="0" xfId="1" applyFont="1" applyFill="1" applyAlignment="1">
      <alignment horizontal="center"/>
    </xf>
    <xf numFmtId="167" fontId="11" fillId="11" borderId="16" xfId="0" applyNumberFormat="1" applyFont="1" applyFill="1" applyBorder="1" applyAlignment="1">
      <alignment horizontal="center" vertical="center"/>
    </xf>
    <xf numFmtId="177" fontId="0" fillId="4" borderId="0" xfId="0" applyNumberFormat="1" applyFill="1"/>
    <xf numFmtId="0" fontId="7" fillId="3" borderId="1" xfId="8" applyFont="1" applyFill="1" applyBorder="1" applyAlignment="1">
      <alignment horizontal="center"/>
    </xf>
    <xf numFmtId="9" fontId="7" fillId="3" borderId="1" xfId="9" applyFont="1" applyFill="1" applyBorder="1" applyAlignment="1">
      <alignment horizontal="center"/>
    </xf>
    <xf numFmtId="10" fontId="7" fillId="3" borderId="1" xfId="9" applyNumberFormat="1" applyFont="1" applyFill="1" applyBorder="1" applyAlignment="1">
      <alignment horizontal="center"/>
    </xf>
    <xf numFmtId="10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3" fontId="0" fillId="3" borderId="1" xfId="1" applyFont="1" applyFill="1" applyBorder="1" applyAlignment="1">
      <alignment horizontal="center"/>
    </xf>
    <xf numFmtId="0" fontId="2" fillId="4" borderId="41" xfId="0" applyFont="1" applyFill="1" applyBorder="1"/>
    <xf numFmtId="0" fontId="2" fillId="4" borderId="47" xfId="0" applyFont="1" applyFill="1" applyBorder="1"/>
    <xf numFmtId="0" fontId="2" fillId="4" borderId="48" xfId="0" applyFont="1" applyFill="1" applyBorder="1" applyAlignment="1">
      <alignment horizontal="center"/>
    </xf>
    <xf numFmtId="187" fontId="0" fillId="4" borderId="0" xfId="0" applyNumberFormat="1" applyFill="1"/>
    <xf numFmtId="43" fontId="0" fillId="4" borderId="0" xfId="0" applyNumberFormat="1" applyFill="1"/>
    <xf numFmtId="9" fontId="4" fillId="7" borderId="13" xfId="0" applyNumberFormat="1" applyFont="1" applyFill="1" applyBorder="1" applyAlignment="1">
      <alignment horizontal="center" vertical="center"/>
    </xf>
    <xf numFmtId="9" fontId="0" fillId="4" borderId="10" xfId="0" applyNumberFormat="1" applyFill="1" applyBorder="1"/>
    <xf numFmtId="43" fontId="22" fillId="0" borderId="10" xfId="1" applyFont="1" applyBorder="1" applyAlignment="1">
      <alignment horizontal="center" vertical="center"/>
    </xf>
    <xf numFmtId="10" fontId="11" fillId="4" borderId="13" xfId="3" applyNumberFormat="1" applyFont="1" applyFill="1" applyBorder="1" applyAlignment="1" applyProtection="1">
      <alignment horizontal="center" vertical="center"/>
      <protection locked="0"/>
    </xf>
    <xf numFmtId="184" fontId="11" fillId="4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4" xfId="8" applyFill="1" applyBorder="1" applyAlignment="1">
      <alignment horizontal="center"/>
    </xf>
    <xf numFmtId="188" fontId="0" fillId="4" borderId="0" xfId="0" applyNumberFormat="1" applyFill="1"/>
    <xf numFmtId="14" fontId="0" fillId="4" borderId="0" xfId="0" applyNumberFormat="1" applyFill="1"/>
    <xf numFmtId="0" fontId="6" fillId="24" borderId="35" xfId="8" applyFill="1" applyBorder="1"/>
    <xf numFmtId="0" fontId="6" fillId="6" borderId="5" xfId="8" applyFill="1" applyBorder="1"/>
    <xf numFmtId="43" fontId="0" fillId="0" borderId="15" xfId="1" applyFont="1" applyBorder="1" applyAlignment="1">
      <alignment horizontal="center"/>
    </xf>
    <xf numFmtId="171" fontId="17" fillId="0" borderId="12" xfId="1" applyNumberFormat="1" applyFont="1" applyFill="1" applyBorder="1" applyAlignment="1">
      <alignment horizontal="center"/>
    </xf>
    <xf numFmtId="166" fontId="17" fillId="0" borderId="12" xfId="1" applyNumberFormat="1" applyFont="1" applyBorder="1" applyAlignment="1">
      <alignment horizontal="center"/>
    </xf>
    <xf numFmtId="4" fontId="0" fillId="4" borderId="0" xfId="0" applyNumberFormat="1" applyFill="1"/>
    <xf numFmtId="169" fontId="0" fillId="4" borderId="0" xfId="0" applyNumberFormat="1" applyFill="1"/>
    <xf numFmtId="186" fontId="0" fillId="4" borderId="9" xfId="0" applyNumberFormat="1" applyFill="1" applyBorder="1"/>
    <xf numFmtId="43" fontId="0" fillId="4" borderId="0" xfId="0" applyNumberFormat="1" applyFill="1" applyAlignment="1">
      <alignment horizontal="center"/>
    </xf>
    <xf numFmtId="183" fontId="22" fillId="0" borderId="0" xfId="0" applyNumberFormat="1" applyFont="1" applyAlignment="1">
      <alignment horizontal="center" vertical="center"/>
    </xf>
    <xf numFmtId="0" fontId="4" fillId="27" borderId="13" xfId="0" applyFont="1" applyFill="1" applyBorder="1" applyAlignment="1">
      <alignment horizontal="center" vertical="center"/>
    </xf>
    <xf numFmtId="0" fontId="4" fillId="27" borderId="13" xfId="0" applyFont="1" applyFill="1" applyBorder="1" applyAlignment="1">
      <alignment horizontal="center" vertical="center" wrapText="1"/>
    </xf>
    <xf numFmtId="0" fontId="4" fillId="27" borderId="7" xfId="0" applyFont="1" applyFill="1" applyBorder="1" applyAlignment="1">
      <alignment horizontal="center" vertical="center"/>
    </xf>
    <xf numFmtId="0" fontId="4" fillId="27" borderId="8" xfId="0" applyFont="1" applyFill="1" applyBorder="1" applyAlignment="1">
      <alignment horizontal="center" vertical="center"/>
    </xf>
    <xf numFmtId="0" fontId="4" fillId="27" borderId="15" xfId="0" applyFont="1" applyFill="1" applyBorder="1" applyAlignment="1">
      <alignment horizontal="center" vertical="center"/>
    </xf>
    <xf numFmtId="9" fontId="4" fillId="27" borderId="8" xfId="0" applyNumberFormat="1" applyFont="1" applyFill="1" applyBorder="1" applyAlignment="1">
      <alignment horizontal="center" vertical="center"/>
    </xf>
    <xf numFmtId="0" fontId="24" fillId="27" borderId="13" xfId="0" applyFont="1" applyFill="1" applyBorder="1" applyAlignment="1">
      <alignment horizontal="center" vertical="center"/>
    </xf>
    <xf numFmtId="0" fontId="24" fillId="27" borderId="8" xfId="0" applyFont="1" applyFill="1" applyBorder="1" applyAlignment="1">
      <alignment horizontal="center" vertical="center"/>
    </xf>
    <xf numFmtId="0" fontId="4" fillId="20" borderId="13" xfId="0" applyFont="1" applyFill="1" applyBorder="1" applyAlignment="1">
      <alignment horizontal="center" vertical="center"/>
    </xf>
    <xf numFmtId="9" fontId="4" fillId="20" borderId="13" xfId="0" applyNumberFormat="1" applyFont="1" applyFill="1" applyBorder="1" applyAlignment="1">
      <alignment horizontal="center" vertical="center"/>
    </xf>
    <xf numFmtId="186" fontId="0" fillId="4" borderId="0" xfId="0" applyNumberFormat="1" applyFill="1"/>
    <xf numFmtId="0" fontId="0" fillId="4" borderId="1" xfId="0" applyFill="1" applyBorder="1" applyAlignment="1">
      <alignment horizontal="center"/>
    </xf>
    <xf numFmtId="170" fontId="0" fillId="4" borderId="0" xfId="1" applyNumberFormat="1" applyFont="1" applyFill="1"/>
    <xf numFmtId="176" fontId="23" fillId="0" borderId="10" xfId="1" applyNumberFormat="1" applyFont="1" applyBorder="1" applyAlignment="1">
      <alignment horizontal="center" vertical="center"/>
    </xf>
    <xf numFmtId="171" fontId="14" fillId="22" borderId="13" xfId="0" applyNumberFormat="1" applyFont="1" applyFill="1" applyBorder="1" applyAlignment="1">
      <alignment horizontal="center" vertical="center"/>
    </xf>
    <xf numFmtId="43" fontId="11" fillId="4" borderId="12" xfId="1" applyFont="1" applyFill="1" applyBorder="1" applyAlignment="1" applyProtection="1">
      <alignment horizontal="center" vertical="center"/>
      <protection locked="0"/>
    </xf>
    <xf numFmtId="0" fontId="24" fillId="4" borderId="0" xfId="0" applyFont="1" applyFill="1" applyAlignment="1">
      <alignment horizontal="center"/>
    </xf>
    <xf numFmtId="182" fontId="0" fillId="4" borderId="0" xfId="0" applyNumberFormat="1" applyFill="1"/>
    <xf numFmtId="176" fontId="0" fillId="4" borderId="0" xfId="1" applyNumberFormat="1" applyFont="1" applyFill="1"/>
    <xf numFmtId="44" fontId="0" fillId="4" borderId="8" xfId="0" applyNumberFormat="1" applyFill="1" applyBorder="1"/>
    <xf numFmtId="0" fontId="0" fillId="4" borderId="22" xfId="0" applyFill="1" applyBorder="1"/>
    <xf numFmtId="10" fontId="0" fillId="4" borderId="49" xfId="0" applyNumberFormat="1" applyFill="1" applyBorder="1"/>
    <xf numFmtId="44" fontId="0" fillId="4" borderId="3" xfId="0" applyNumberFormat="1" applyFill="1" applyBorder="1"/>
    <xf numFmtId="0" fontId="0" fillId="4" borderId="20" xfId="0" applyFill="1" applyBorder="1"/>
    <xf numFmtId="10" fontId="0" fillId="4" borderId="50" xfId="0" applyNumberFormat="1" applyFill="1" applyBorder="1" applyProtection="1">
      <protection locked="0"/>
    </xf>
    <xf numFmtId="44" fontId="0" fillId="4" borderId="5" xfId="0" applyNumberFormat="1" applyFill="1" applyBorder="1"/>
    <xf numFmtId="173" fontId="22" fillId="0" borderId="10" xfId="1" applyNumberFormat="1" applyFont="1" applyBorder="1" applyAlignment="1">
      <alignment horizontal="center" vertical="center"/>
    </xf>
    <xf numFmtId="169" fontId="22" fillId="0" borderId="29" xfId="1" applyNumberFormat="1" applyFont="1" applyBorder="1" applyAlignment="1">
      <alignment horizontal="center" vertical="center"/>
    </xf>
    <xf numFmtId="176" fontId="0" fillId="4" borderId="0" xfId="0" applyNumberFormat="1" applyFill="1"/>
    <xf numFmtId="189" fontId="0" fillId="4" borderId="0" xfId="0" applyNumberFormat="1" applyFill="1"/>
    <xf numFmtId="167" fontId="5" fillId="4" borderId="0" xfId="0" applyNumberFormat="1" applyFont="1" applyFill="1"/>
    <xf numFmtId="9" fontId="5" fillId="4" borderId="0" xfId="3" applyFont="1" applyFill="1"/>
    <xf numFmtId="0" fontId="26" fillId="3" borderId="35" xfId="8" applyFont="1" applyFill="1" applyBorder="1"/>
    <xf numFmtId="0" fontId="27" fillId="7" borderId="1" xfId="8" applyFont="1" applyFill="1" applyBorder="1" applyAlignment="1">
      <alignment horizontal="center"/>
    </xf>
    <xf numFmtId="9" fontId="27" fillId="4" borderId="1" xfId="9" applyFont="1" applyFill="1" applyBorder="1" applyAlignment="1">
      <alignment horizontal="center"/>
    </xf>
    <xf numFmtId="10" fontId="27" fillId="4" borderId="1" xfId="9" applyNumberFormat="1" applyFont="1" applyFill="1" applyBorder="1" applyAlignment="1">
      <alignment horizontal="center"/>
    </xf>
    <xf numFmtId="0" fontId="26" fillId="4" borderId="0" xfId="8" applyFont="1" applyFill="1"/>
    <xf numFmtId="3" fontId="27" fillId="7" borderId="1" xfId="8" applyNumberFormat="1" applyFont="1" applyFill="1" applyBorder="1" applyAlignment="1">
      <alignment horizontal="center"/>
    </xf>
    <xf numFmtId="167" fontId="0" fillId="4" borderId="0" xfId="0" applyNumberFormat="1" applyFill="1"/>
    <xf numFmtId="166" fontId="14" fillId="22" borderId="7" xfId="0" applyNumberFormat="1" applyFont="1" applyFill="1" applyBorder="1" applyAlignment="1">
      <alignment horizontal="center" vertical="center"/>
    </xf>
    <xf numFmtId="166" fontId="14" fillId="22" borderId="8" xfId="0" applyNumberFormat="1" applyFont="1" applyFill="1" applyBorder="1" applyAlignment="1">
      <alignment horizontal="center" vertical="center"/>
    </xf>
    <xf numFmtId="166" fontId="13" fillId="22" borderId="7" xfId="0" applyNumberFormat="1" applyFont="1" applyFill="1" applyBorder="1" applyAlignment="1">
      <alignment horizontal="center" vertical="center"/>
    </xf>
    <xf numFmtId="166" fontId="13" fillId="22" borderId="8" xfId="0" applyNumberFormat="1" applyFont="1" applyFill="1" applyBorder="1" applyAlignment="1">
      <alignment horizontal="center" vertical="center"/>
    </xf>
    <xf numFmtId="0" fontId="15" fillId="23" borderId="7" xfId="0" applyFont="1" applyFill="1" applyBorder="1" applyAlignment="1">
      <alignment horizontal="center" vertical="center"/>
    </xf>
    <xf numFmtId="0" fontId="15" fillId="23" borderId="14" xfId="0" applyFont="1" applyFill="1" applyBorder="1" applyAlignment="1">
      <alignment horizontal="center" vertical="center"/>
    </xf>
    <xf numFmtId="0" fontId="15" fillId="23" borderId="8" xfId="0" applyFont="1" applyFill="1" applyBorder="1" applyAlignment="1">
      <alignment horizontal="center" vertical="center"/>
    </xf>
    <xf numFmtId="9" fontId="16" fillId="0" borderId="13" xfId="3" applyFont="1" applyBorder="1" applyAlignment="1">
      <alignment horizontal="center" vertical="center"/>
    </xf>
    <xf numFmtId="186" fontId="4" fillId="4" borderId="11" xfId="0" applyNumberFormat="1" applyFont="1" applyFill="1" applyBorder="1" applyAlignment="1">
      <alignment vertical="center"/>
    </xf>
    <xf numFmtId="186" fontId="4" fillId="4" borderId="25" xfId="0" applyNumberFormat="1" applyFont="1" applyFill="1" applyBorder="1" applyAlignment="1">
      <alignment vertical="center"/>
    </xf>
    <xf numFmtId="186" fontId="4" fillId="4" borderId="12" xfId="0" applyNumberFormat="1" applyFont="1" applyFill="1" applyBorder="1" applyAlignment="1">
      <alignment vertical="center"/>
    </xf>
    <xf numFmtId="0" fontId="4" fillId="4" borderId="9" xfId="0" applyFont="1" applyFill="1" applyBorder="1" applyAlignment="1">
      <alignment horizontal="center" vertical="center"/>
    </xf>
    <xf numFmtId="43" fontId="11" fillId="4" borderId="10" xfId="1" applyFont="1" applyFill="1" applyBorder="1" applyAlignment="1" applyProtection="1">
      <alignment horizontal="center" vertical="center"/>
      <protection locked="0"/>
    </xf>
    <xf numFmtId="190" fontId="0" fillId="4" borderId="25" xfId="3" applyNumberFormat="1" applyFont="1" applyFill="1" applyBorder="1"/>
    <xf numFmtId="43" fontId="4" fillId="4" borderId="25" xfId="1" applyFont="1" applyFill="1" applyBorder="1" applyAlignment="1">
      <alignment horizontal="center" vertical="center"/>
    </xf>
    <xf numFmtId="43" fontId="11" fillId="4" borderId="8" xfId="1" applyFont="1" applyFill="1" applyBorder="1" applyAlignment="1" applyProtection="1">
      <alignment horizontal="center" vertical="center"/>
      <protection locked="0"/>
    </xf>
    <xf numFmtId="0" fontId="4" fillId="5" borderId="15" xfId="0" applyFont="1" applyFill="1" applyBorder="1" applyAlignment="1">
      <alignment horizontal="center" vertical="center"/>
    </xf>
    <xf numFmtId="9" fontId="11" fillId="23" borderId="15" xfId="3" applyFont="1" applyFill="1" applyBorder="1" applyAlignment="1" applyProtection="1">
      <alignment horizontal="center" vertical="center"/>
      <protection locked="0"/>
    </xf>
    <xf numFmtId="166" fontId="22" fillId="0" borderId="8" xfId="0" applyNumberFormat="1" applyFont="1" applyBorder="1" applyAlignment="1">
      <alignment horizontal="center" vertical="center"/>
    </xf>
    <xf numFmtId="190" fontId="4" fillId="4" borderId="0" xfId="3" applyNumberFormat="1" applyFont="1" applyFill="1" applyAlignment="1">
      <alignment horizontal="center" vertical="center"/>
    </xf>
    <xf numFmtId="0" fontId="29" fillId="7" borderId="1" xfId="8" applyFont="1" applyFill="1" applyBorder="1" applyAlignment="1">
      <alignment horizontal="center"/>
    </xf>
    <xf numFmtId="10" fontId="29" fillId="4" borderId="1" xfId="9" applyNumberFormat="1" applyFont="1" applyFill="1" applyBorder="1" applyAlignment="1">
      <alignment horizontal="center"/>
    </xf>
    <xf numFmtId="0" fontId="28" fillId="3" borderId="35" xfId="8" applyFont="1" applyFill="1" applyBorder="1" applyAlignment="1">
      <alignment wrapText="1"/>
    </xf>
    <xf numFmtId="191" fontId="0" fillId="4" borderId="0" xfId="0" applyNumberFormat="1" applyFill="1"/>
    <xf numFmtId="166" fontId="14" fillId="22" borderId="14" xfId="0" applyNumberFormat="1" applyFont="1" applyFill="1" applyBorder="1" applyAlignment="1">
      <alignment horizontal="center" vertical="center"/>
    </xf>
    <xf numFmtId="167" fontId="11" fillId="11" borderId="10" xfId="0" applyNumberFormat="1" applyFont="1" applyFill="1" applyBorder="1" applyAlignment="1">
      <alignment horizontal="center" vertical="center"/>
    </xf>
    <xf numFmtId="0" fontId="28" fillId="3" borderId="35" xfId="8" applyFont="1" applyFill="1" applyBorder="1"/>
    <xf numFmtId="3" fontId="29" fillId="7" borderId="1" xfId="8" applyNumberFormat="1" applyFont="1" applyFill="1" applyBorder="1" applyAlignment="1">
      <alignment horizontal="center"/>
    </xf>
    <xf numFmtId="9" fontId="29" fillId="4" borderId="1" xfId="9" applyFont="1" applyFill="1" applyBorder="1" applyAlignment="1">
      <alignment horizontal="center"/>
    </xf>
    <xf numFmtId="0" fontId="28" fillId="4" borderId="0" xfId="8" applyFont="1" applyFill="1"/>
    <xf numFmtId="184" fontId="23" fillId="31" borderId="13" xfId="0" applyNumberFormat="1" applyFont="1" applyFill="1" applyBorder="1" applyAlignment="1">
      <alignment horizontal="center" vertical="center"/>
    </xf>
    <xf numFmtId="0" fontId="6" fillId="3" borderId="35" xfId="8" applyFill="1" applyBorder="1" applyAlignment="1">
      <alignment wrapText="1"/>
    </xf>
    <xf numFmtId="178" fontId="5" fillId="4" borderId="0" xfId="0" applyNumberFormat="1" applyFont="1" applyFill="1"/>
    <xf numFmtId="0" fontId="30" fillId="3" borderId="35" xfId="8" applyFont="1" applyFill="1" applyBorder="1" applyAlignment="1">
      <alignment wrapText="1"/>
    </xf>
    <xf numFmtId="0" fontId="31" fillId="7" borderId="1" xfId="8" applyFont="1" applyFill="1" applyBorder="1" applyAlignment="1">
      <alignment horizontal="center"/>
    </xf>
    <xf numFmtId="10" fontId="31" fillId="4" borderId="1" xfId="9" applyNumberFormat="1" applyFont="1" applyFill="1" applyBorder="1" applyAlignment="1">
      <alignment horizontal="center"/>
    </xf>
    <xf numFmtId="0" fontId="30" fillId="4" borderId="0" xfId="8" applyFont="1" applyFill="1"/>
    <xf numFmtId="186" fontId="5" fillId="4" borderId="0" xfId="0" applyNumberFormat="1" applyFont="1" applyFill="1"/>
    <xf numFmtId="9" fontId="31" fillId="4" borderId="1" xfId="9" applyFont="1" applyFill="1" applyBorder="1" applyAlignment="1">
      <alignment horizontal="center"/>
    </xf>
    <xf numFmtId="0" fontId="30" fillId="6" borderId="35" xfId="8" applyFont="1" applyFill="1" applyBorder="1"/>
    <xf numFmtId="185" fontId="4" fillId="4" borderId="11" xfId="0" applyNumberFormat="1" applyFont="1" applyFill="1" applyBorder="1" applyAlignment="1">
      <alignment horizontal="center" vertical="center"/>
    </xf>
    <xf numFmtId="43" fontId="23" fillId="0" borderId="0" xfId="1" applyFont="1" applyAlignment="1">
      <alignment horizontal="center" vertical="center"/>
    </xf>
    <xf numFmtId="190" fontId="0" fillId="4" borderId="0" xfId="3" applyNumberFormat="1" applyFont="1" applyFill="1"/>
    <xf numFmtId="10" fontId="20" fillId="3" borderId="26" xfId="0" applyNumberFormat="1" applyFont="1" applyFill="1" applyBorder="1"/>
    <xf numFmtId="44" fontId="20" fillId="3" borderId="13" xfId="0" applyNumberFormat="1" applyFont="1" applyFill="1" applyBorder="1"/>
    <xf numFmtId="9" fontId="20" fillId="3" borderId="15" xfId="3" applyFont="1" applyFill="1" applyBorder="1"/>
    <xf numFmtId="173" fontId="20" fillId="3" borderId="12" xfId="1" applyNumberFormat="1" applyFont="1" applyFill="1" applyBorder="1"/>
    <xf numFmtId="43" fontId="23" fillId="4" borderId="12" xfId="1" applyFont="1" applyFill="1" applyBorder="1" applyAlignment="1" applyProtection="1">
      <alignment horizontal="center" vertical="center"/>
      <protection locked="0"/>
    </xf>
    <xf numFmtId="0" fontId="32" fillId="7" borderId="1" xfId="8" applyFont="1" applyFill="1" applyBorder="1" applyAlignment="1">
      <alignment horizontal="center"/>
    </xf>
    <xf numFmtId="9" fontId="32" fillId="4" borderId="1" xfId="9" applyFont="1" applyFill="1" applyBorder="1" applyAlignment="1">
      <alignment horizontal="center"/>
    </xf>
    <xf numFmtId="10" fontId="32" fillId="4" borderId="1" xfId="9" applyNumberFormat="1" applyFont="1" applyFill="1" applyBorder="1" applyAlignment="1">
      <alignment horizontal="center"/>
    </xf>
    <xf numFmtId="0" fontId="33" fillId="4" borderId="0" xfId="8" applyFont="1" applyFill="1"/>
    <xf numFmtId="0" fontId="3" fillId="32" borderId="21" xfId="0" applyFont="1" applyFill="1" applyBorder="1"/>
    <xf numFmtId="0" fontId="3" fillId="32" borderId="1" xfId="0" applyFont="1" applyFill="1" applyBorder="1"/>
    <xf numFmtId="192" fontId="0" fillId="32" borderId="31" xfId="1" applyNumberFormat="1" applyFont="1" applyFill="1" applyBorder="1" applyAlignment="1" applyProtection="1">
      <alignment horizontal="center"/>
      <protection locked="0"/>
    </xf>
    <xf numFmtId="164" fontId="0" fillId="32" borderId="31" xfId="0" applyNumberFormat="1" applyFill="1" applyBorder="1" applyAlignment="1">
      <alignment horizontal="center"/>
    </xf>
    <xf numFmtId="166" fontId="0" fillId="32" borderId="31" xfId="0" applyNumberFormat="1" applyFill="1" applyBorder="1" applyAlignment="1" applyProtection="1">
      <alignment horizontal="center"/>
      <protection locked="0"/>
    </xf>
    <xf numFmtId="0" fontId="0" fillId="32" borderId="21" xfId="0" applyFill="1" applyBorder="1"/>
    <xf numFmtId="0" fontId="0" fillId="32" borderId="1" xfId="0" applyFill="1" applyBorder="1"/>
    <xf numFmtId="44" fontId="0" fillId="32" borderId="31" xfId="2" applyFont="1" applyFill="1" applyBorder="1" applyAlignment="1">
      <alignment horizontal="center"/>
    </xf>
    <xf numFmtId="164" fontId="0" fillId="32" borderId="1" xfId="2" applyNumberFormat="1" applyFont="1" applyFill="1" applyBorder="1" applyProtection="1">
      <protection locked="0"/>
    </xf>
    <xf numFmtId="9" fontId="0" fillId="32" borderId="1" xfId="0" applyNumberFormat="1" applyFill="1" applyBorder="1" applyProtection="1">
      <protection locked="0"/>
    </xf>
    <xf numFmtId="0" fontId="0" fillId="33" borderId="21" xfId="0" applyFill="1" applyBorder="1"/>
    <xf numFmtId="10" fontId="0" fillId="33" borderId="1" xfId="0" applyNumberFormat="1" applyFill="1" applyBorder="1"/>
    <xf numFmtId="44" fontId="0" fillId="33" borderId="31" xfId="0" applyNumberFormat="1" applyFill="1" applyBorder="1" applyAlignment="1">
      <alignment horizontal="center"/>
    </xf>
    <xf numFmtId="44" fontId="3" fillId="15" borderId="31" xfId="0" applyNumberFormat="1" applyFont="1" applyFill="1" applyBorder="1" applyAlignment="1">
      <alignment horizontal="center"/>
    </xf>
    <xf numFmtId="44" fontId="3" fillId="34" borderId="31" xfId="0" applyNumberFormat="1" applyFont="1" applyFill="1" applyBorder="1" applyAlignment="1">
      <alignment horizontal="center"/>
    </xf>
    <xf numFmtId="0" fontId="0" fillId="35" borderId="21" xfId="0" applyFill="1" applyBorder="1"/>
    <xf numFmtId="0" fontId="0" fillId="35" borderId="1" xfId="0" applyFill="1" applyBorder="1"/>
    <xf numFmtId="44" fontId="0" fillId="35" borderId="31" xfId="0" applyNumberFormat="1" applyFill="1" applyBorder="1" applyAlignment="1">
      <alignment horizontal="center"/>
    </xf>
    <xf numFmtId="10" fontId="0" fillId="35" borderId="1" xfId="0" applyNumberFormat="1" applyFill="1" applyBorder="1"/>
    <xf numFmtId="44" fontId="1" fillId="35" borderId="31" xfId="2" applyFont="1" applyFill="1" applyBorder="1" applyAlignment="1">
      <alignment horizontal="center"/>
    </xf>
    <xf numFmtId="44" fontId="0" fillId="35" borderId="31" xfId="2" applyFont="1" applyFill="1" applyBorder="1" applyAlignment="1" applyProtection="1">
      <alignment horizontal="center"/>
      <protection locked="0"/>
    </xf>
    <xf numFmtId="9" fontId="0" fillId="35" borderId="1" xfId="3" applyFont="1" applyFill="1" applyBorder="1"/>
    <xf numFmtId="8" fontId="0" fillId="35" borderId="31" xfId="2" applyNumberFormat="1" applyFont="1" applyFill="1" applyBorder="1" applyAlignment="1" applyProtection="1">
      <alignment horizontal="center"/>
      <protection locked="0"/>
    </xf>
    <xf numFmtId="167" fontId="0" fillId="35" borderId="1" xfId="0" applyNumberFormat="1" applyFill="1" applyBorder="1"/>
    <xf numFmtId="0" fontId="0" fillId="30" borderId="21" xfId="0" applyFill="1" applyBorder="1" applyProtection="1">
      <protection locked="0"/>
    </xf>
    <xf numFmtId="0" fontId="0" fillId="30" borderId="1" xfId="0" applyFill="1" applyBorder="1"/>
    <xf numFmtId="8" fontId="0" fillId="30" borderId="31" xfId="2" applyNumberFormat="1" applyFont="1" applyFill="1" applyBorder="1" applyAlignment="1" applyProtection="1">
      <alignment horizontal="center"/>
      <protection locked="0"/>
    </xf>
    <xf numFmtId="44" fontId="1" fillId="30" borderId="31" xfId="2" applyFont="1" applyFill="1" applyBorder="1" applyAlignment="1" applyProtection="1">
      <alignment horizontal="center"/>
      <protection locked="0"/>
    </xf>
    <xf numFmtId="10" fontId="0" fillId="30" borderId="1" xfId="0" applyNumberFormat="1" applyFill="1" applyBorder="1"/>
    <xf numFmtId="44" fontId="0" fillId="30" borderId="31" xfId="0" applyNumberFormat="1" applyFill="1" applyBorder="1" applyAlignment="1" applyProtection="1">
      <alignment horizontal="center"/>
      <protection locked="0"/>
    </xf>
    <xf numFmtId="44" fontId="3" fillId="12" borderId="31" xfId="0" applyNumberFormat="1" applyFont="1" applyFill="1" applyBorder="1" applyAlignment="1">
      <alignment horizontal="center"/>
    </xf>
    <xf numFmtId="44" fontId="3" fillId="36" borderId="31" xfId="0" applyNumberFormat="1" applyFont="1" applyFill="1" applyBorder="1" applyAlignment="1">
      <alignment horizontal="center"/>
    </xf>
    <xf numFmtId="0" fontId="3" fillId="3" borderId="21" xfId="0" applyFont="1" applyFill="1" applyBorder="1"/>
    <xf numFmtId="0" fontId="3" fillId="3" borderId="1" xfId="0" applyFont="1" applyFill="1" applyBorder="1"/>
    <xf numFmtId="0" fontId="3" fillId="3" borderId="59" xfId="0" applyFont="1" applyFill="1" applyBorder="1"/>
    <xf numFmtId="0" fontId="3" fillId="3" borderId="60" xfId="0" applyFont="1" applyFill="1" applyBorder="1"/>
    <xf numFmtId="44" fontId="3" fillId="3" borderId="2" xfId="0" applyNumberFormat="1" applyFont="1" applyFill="1" applyBorder="1" applyAlignment="1">
      <alignment horizontal="center"/>
    </xf>
    <xf numFmtId="0" fontId="3" fillId="37" borderId="20" xfId="0" applyFont="1" applyFill="1" applyBorder="1"/>
    <xf numFmtId="0" fontId="3" fillId="37" borderId="32" xfId="0" applyFont="1" applyFill="1" applyBorder="1"/>
    <xf numFmtId="44" fontId="3" fillId="37" borderId="33" xfId="0" applyNumberFormat="1" applyFont="1" applyFill="1" applyBorder="1" applyAlignment="1">
      <alignment horizontal="center"/>
    </xf>
    <xf numFmtId="0" fontId="3" fillId="37" borderId="21" xfId="0" applyFont="1" applyFill="1" applyBorder="1"/>
    <xf numFmtId="0" fontId="3" fillId="37" borderId="2" xfId="0" applyFont="1" applyFill="1" applyBorder="1"/>
    <xf numFmtId="44" fontId="3" fillId="37" borderId="4" xfId="2" applyFont="1" applyFill="1" applyBorder="1"/>
    <xf numFmtId="0" fontId="0" fillId="37" borderId="21" xfId="0" applyFill="1" applyBorder="1"/>
    <xf numFmtId="0" fontId="0" fillId="37" borderId="2" xfId="0" applyFill="1" applyBorder="1"/>
    <xf numFmtId="44" fontId="0" fillId="37" borderId="4" xfId="0" applyNumberFormat="1" applyFill="1" applyBorder="1"/>
    <xf numFmtId="10" fontId="0" fillId="37" borderId="2" xfId="0" applyNumberFormat="1" applyFill="1" applyBorder="1"/>
    <xf numFmtId="44" fontId="3" fillId="37" borderId="4" xfId="0" applyNumberFormat="1" applyFont="1" applyFill="1" applyBorder="1"/>
    <xf numFmtId="0" fontId="0" fillId="37" borderId="36" xfId="0" applyFill="1" applyBorder="1" applyProtection="1">
      <protection locked="0"/>
    </xf>
    <xf numFmtId="0" fontId="0" fillId="37" borderId="37" xfId="0" applyFill="1" applyBorder="1"/>
    <xf numFmtId="44" fontId="0" fillId="37" borderId="38" xfId="0" applyNumberFormat="1" applyFill="1" applyBorder="1" applyProtection="1">
      <protection locked="0"/>
    </xf>
    <xf numFmtId="0" fontId="0" fillId="37" borderId="43" xfId="0" applyFill="1" applyBorder="1" applyProtection="1">
      <protection locked="0"/>
    </xf>
    <xf numFmtId="9" fontId="0" fillId="37" borderId="44" xfId="0" applyNumberFormat="1" applyFill="1" applyBorder="1" applyProtection="1">
      <protection locked="0"/>
    </xf>
    <xf numFmtId="44" fontId="0" fillId="37" borderId="13" xfId="2" applyFont="1" applyFill="1" applyBorder="1"/>
    <xf numFmtId="0" fontId="0" fillId="37" borderId="41" xfId="0" applyFill="1" applyBorder="1" applyProtection="1">
      <protection locked="0"/>
    </xf>
    <xf numFmtId="44" fontId="0" fillId="37" borderId="42" xfId="2" applyFont="1" applyFill="1" applyBorder="1" applyProtection="1">
      <protection locked="0"/>
    </xf>
    <xf numFmtId="44" fontId="0" fillId="37" borderId="19" xfId="2" applyFont="1" applyFill="1" applyBorder="1"/>
    <xf numFmtId="0" fontId="0" fillId="37" borderId="21" xfId="0" applyFill="1" applyBorder="1" applyProtection="1">
      <protection locked="0"/>
    </xf>
    <xf numFmtId="44" fontId="0" fillId="37" borderId="2" xfId="2" applyFont="1" applyFill="1" applyBorder="1" applyProtection="1">
      <protection locked="0"/>
    </xf>
    <xf numFmtId="44" fontId="0" fillId="37" borderId="4" xfId="2" applyFont="1" applyFill="1" applyBorder="1"/>
    <xf numFmtId="169" fontId="0" fillId="37" borderId="4" xfId="1" applyNumberFormat="1" applyFont="1" applyFill="1" applyBorder="1"/>
    <xf numFmtId="0" fontId="3" fillId="13" borderId="45" xfId="0" applyFont="1" applyFill="1" applyBorder="1"/>
    <xf numFmtId="44" fontId="3" fillId="13" borderId="15" xfId="0" applyNumberFormat="1" applyFont="1" applyFill="1" applyBorder="1"/>
    <xf numFmtId="193" fontId="0" fillId="13" borderId="44" xfId="0" applyNumberFormat="1" applyFill="1" applyBorder="1" applyProtection="1">
      <protection locked="0"/>
    </xf>
    <xf numFmtId="10" fontId="0" fillId="38" borderId="44" xfId="0" applyNumberFormat="1" applyFill="1" applyBorder="1" applyProtection="1">
      <protection locked="0"/>
    </xf>
    <xf numFmtId="0" fontId="0" fillId="38" borderId="39" xfId="0" applyFill="1" applyBorder="1"/>
    <xf numFmtId="44" fontId="0" fillId="38" borderId="16" xfId="2" applyFont="1" applyFill="1" applyBorder="1"/>
    <xf numFmtId="0" fontId="0" fillId="38" borderId="43" xfId="0" applyFill="1" applyBorder="1"/>
    <xf numFmtId="44" fontId="0" fillId="38" borderId="13" xfId="2" applyFont="1" applyFill="1" applyBorder="1"/>
    <xf numFmtId="0" fontId="0" fillId="38" borderId="45" xfId="0" applyFill="1" applyBorder="1"/>
    <xf numFmtId="44" fontId="0" fillId="38" borderId="15" xfId="2" applyFont="1" applyFill="1" applyBorder="1"/>
    <xf numFmtId="44" fontId="0" fillId="38" borderId="13" xfId="0" applyNumberFormat="1" applyFill="1" applyBorder="1"/>
    <xf numFmtId="0" fontId="0" fillId="38" borderId="22" xfId="0" applyFill="1" applyBorder="1"/>
    <xf numFmtId="44" fontId="0" fillId="38" borderId="3" xfId="0" applyNumberFormat="1" applyFill="1" applyBorder="1"/>
    <xf numFmtId="0" fontId="0" fillId="38" borderId="20" xfId="0" applyFill="1" applyBorder="1"/>
    <xf numFmtId="0" fontId="0" fillId="38" borderId="7" xfId="0" applyFill="1" applyBorder="1"/>
    <xf numFmtId="0" fontId="0" fillId="38" borderId="14" xfId="0" applyFill="1" applyBorder="1"/>
    <xf numFmtId="44" fontId="0" fillId="38" borderId="8" xfId="0" applyNumberFormat="1" applyFill="1" applyBorder="1"/>
    <xf numFmtId="10" fontId="0" fillId="38" borderId="40" xfId="0" applyNumberFormat="1" applyFill="1" applyBorder="1"/>
    <xf numFmtId="9" fontId="0" fillId="38" borderId="15" xfId="3" applyFont="1" applyFill="1" applyBorder="1"/>
    <xf numFmtId="0" fontId="12" fillId="4" borderId="0" xfId="0" applyFont="1" applyFill="1" applyAlignment="1">
      <alignment horizontal="center" vertical="center"/>
    </xf>
    <xf numFmtId="0" fontId="0" fillId="4" borderId="7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3" fillId="6" borderId="39" xfId="0" applyFont="1" applyFill="1" applyBorder="1"/>
    <xf numFmtId="0" fontId="3" fillId="6" borderId="40" xfId="0" applyFont="1" applyFill="1" applyBorder="1"/>
    <xf numFmtId="164" fontId="3" fillId="6" borderId="16" xfId="0" applyNumberFormat="1" applyFont="1" applyFill="1" applyBorder="1"/>
    <xf numFmtId="0" fontId="3" fillId="6" borderId="43" xfId="0" applyFont="1" applyFill="1" applyBorder="1"/>
    <xf numFmtId="10" fontId="0" fillId="6" borderId="44" xfId="0" applyNumberFormat="1" applyFill="1" applyBorder="1" applyProtection="1">
      <protection locked="0"/>
    </xf>
    <xf numFmtId="44" fontId="3" fillId="6" borderId="13" xfId="0" applyNumberFormat="1" applyFont="1" applyFill="1" applyBorder="1"/>
    <xf numFmtId="179" fontId="22" fillId="0" borderId="0" xfId="1" applyNumberFormat="1" applyFont="1" applyAlignment="1">
      <alignment horizontal="center" vertical="center"/>
    </xf>
    <xf numFmtId="43" fontId="0" fillId="4" borderId="0" xfId="1" applyFont="1" applyFill="1" applyProtection="1">
      <protection locked="0"/>
    </xf>
    <xf numFmtId="172" fontId="0" fillId="4" borderId="0" xfId="3" applyNumberFormat="1" applyFont="1" applyFill="1"/>
    <xf numFmtId="165" fontId="0" fillId="4" borderId="31" xfId="1" applyNumberFormat="1" applyFont="1" applyFill="1" applyBorder="1" applyProtection="1">
      <protection locked="0"/>
    </xf>
    <xf numFmtId="165" fontId="0" fillId="32" borderId="31" xfId="1" applyNumberFormat="1" applyFont="1" applyFill="1" applyBorder="1" applyAlignment="1" applyProtection="1">
      <alignment horizontal="center"/>
      <protection locked="0"/>
    </xf>
    <xf numFmtId="43" fontId="0" fillId="3" borderId="0" xfId="1" applyFont="1" applyFill="1" applyProtection="1">
      <protection locked="0"/>
    </xf>
    <xf numFmtId="43" fontId="5" fillId="3" borderId="0" xfId="1" applyFont="1" applyFill="1" applyProtection="1">
      <protection locked="0"/>
    </xf>
    <xf numFmtId="43" fontId="4" fillId="2" borderId="8" xfId="1" applyFont="1" applyFill="1" applyBorder="1" applyAlignment="1">
      <alignment horizontal="center" vertical="center"/>
    </xf>
    <xf numFmtId="186" fontId="0" fillId="4" borderId="0" xfId="0" applyNumberFormat="1" applyFill="1" applyAlignment="1">
      <alignment horizontal="center"/>
    </xf>
    <xf numFmtId="171" fontId="0" fillId="4" borderId="0" xfId="0" applyNumberFormat="1" applyFill="1"/>
    <xf numFmtId="0" fontId="33" fillId="24" borderId="35" xfId="8" applyFont="1" applyFill="1" applyBorder="1"/>
    <xf numFmtId="9" fontId="34" fillId="8" borderId="1" xfId="9" applyFont="1" applyFill="1" applyBorder="1" applyAlignment="1">
      <alignment horizontal="center"/>
    </xf>
    <xf numFmtId="0" fontId="33" fillId="6" borderId="35" xfId="8" applyFont="1" applyFill="1" applyBorder="1"/>
    <xf numFmtId="0" fontId="35" fillId="3" borderId="27" xfId="0" applyFont="1" applyFill="1" applyBorder="1"/>
    <xf numFmtId="0" fontId="35" fillId="3" borderId="7" xfId="0" applyFont="1" applyFill="1" applyBorder="1"/>
    <xf numFmtId="44" fontId="35" fillId="3" borderId="26" xfId="2" applyFont="1" applyFill="1" applyBorder="1"/>
    <xf numFmtId="43" fontId="35" fillId="3" borderId="29" xfId="1" applyFont="1" applyFill="1" applyBorder="1"/>
    <xf numFmtId="10" fontId="35" fillId="3" borderId="13" xfId="0" applyNumberFormat="1" applyFont="1" applyFill="1" applyBorder="1" applyProtection="1">
      <protection locked="0"/>
    </xf>
    <xf numFmtId="44" fontId="35" fillId="3" borderId="8" xfId="0" applyNumberFormat="1" applyFont="1" applyFill="1" applyBorder="1"/>
    <xf numFmtId="173" fontId="35" fillId="3" borderId="12" xfId="1" applyNumberFormat="1" applyFont="1" applyFill="1" applyBorder="1"/>
    <xf numFmtId="0" fontId="35" fillId="3" borderId="0" xfId="0" applyFont="1" applyFill="1"/>
    <xf numFmtId="44" fontId="0" fillId="13" borderId="60" xfId="2" applyFont="1" applyFill="1" applyBorder="1"/>
    <xf numFmtId="44" fontId="0" fillId="4" borderId="12" xfId="0" applyNumberFormat="1" applyFill="1" applyBorder="1"/>
    <xf numFmtId="44" fontId="0" fillId="13" borderId="12" xfId="0" applyNumberFormat="1" applyFill="1" applyBorder="1"/>
    <xf numFmtId="0" fontId="3" fillId="37" borderId="22" xfId="0" applyFont="1" applyFill="1" applyBorder="1"/>
    <xf numFmtId="0" fontId="3" fillId="37" borderId="49" xfId="0" applyFont="1" applyFill="1" applyBorder="1"/>
    <xf numFmtId="44" fontId="3" fillId="37" borderId="3" xfId="0" applyNumberFormat="1" applyFont="1" applyFill="1" applyBorder="1"/>
    <xf numFmtId="13" fontId="16" fillId="0" borderId="13" xfId="1" applyNumberFormat="1" applyFont="1" applyBorder="1" applyAlignment="1">
      <alignment horizontal="center" vertical="center"/>
    </xf>
    <xf numFmtId="10" fontId="4" fillId="4" borderId="0" xfId="3" applyNumberFormat="1" applyFont="1" applyFill="1" applyAlignment="1">
      <alignment horizontal="center" vertical="center"/>
    </xf>
    <xf numFmtId="43" fontId="0" fillId="4" borderId="0" xfId="3" applyNumberFormat="1" applyFont="1" applyFill="1"/>
    <xf numFmtId="0" fontId="11" fillId="9" borderId="15" xfId="0" applyFont="1" applyFill="1" applyBorder="1" applyAlignment="1" applyProtection="1">
      <alignment horizontal="center" vertical="center"/>
      <protection locked="0"/>
    </xf>
    <xf numFmtId="43" fontId="11" fillId="9" borderId="13" xfId="1" applyFont="1" applyFill="1" applyBorder="1" applyAlignment="1" applyProtection="1">
      <alignment horizontal="center" vertical="center"/>
      <protection locked="0"/>
    </xf>
    <xf numFmtId="184" fontId="11" fillId="9" borderId="13" xfId="0" applyNumberFormat="1" applyFont="1" applyFill="1" applyBorder="1" applyAlignment="1" applyProtection="1">
      <alignment horizontal="center" vertical="center"/>
      <protection locked="0"/>
    </xf>
    <xf numFmtId="167" fontId="11" fillId="9" borderId="13" xfId="0" applyNumberFormat="1" applyFont="1" applyFill="1" applyBorder="1" applyAlignment="1" applyProtection="1">
      <alignment horizontal="center" vertical="center"/>
      <protection locked="0"/>
    </xf>
    <xf numFmtId="10" fontId="11" fillId="9" borderId="13" xfId="3" applyNumberFormat="1" applyFont="1" applyFill="1" applyBorder="1" applyAlignment="1" applyProtection="1">
      <alignment horizontal="center" vertical="center"/>
      <protection locked="0"/>
    </xf>
    <xf numFmtId="171" fontId="11" fillId="9" borderId="13" xfId="0" applyNumberFormat="1" applyFont="1" applyFill="1" applyBorder="1" applyAlignment="1" applyProtection="1">
      <alignment horizontal="center" vertical="center"/>
      <protection locked="0"/>
    </xf>
    <xf numFmtId="43" fontId="19" fillId="39" borderId="13" xfId="1" applyFont="1" applyFill="1" applyBorder="1" applyAlignment="1" applyProtection="1">
      <alignment horizontal="center" vertical="center"/>
      <protection locked="0"/>
    </xf>
    <xf numFmtId="194" fontId="11" fillId="4" borderId="25" xfId="3" applyNumberFormat="1" applyFont="1" applyFill="1" applyBorder="1" applyAlignment="1" applyProtection="1">
      <alignment horizontal="center" vertical="center"/>
      <protection locked="0"/>
    </xf>
    <xf numFmtId="0" fontId="6" fillId="40" borderId="35" xfId="0" applyFont="1" applyFill="1" applyBorder="1"/>
    <xf numFmtId="0" fontId="7" fillId="41" borderId="1" xfId="0" applyFont="1" applyFill="1" applyBorder="1" applyAlignment="1">
      <alignment horizontal="center"/>
    </xf>
    <xf numFmtId="9" fontId="36" fillId="42" borderId="62" xfId="0" applyNumberFormat="1" applyFont="1" applyFill="1" applyBorder="1" applyAlignment="1">
      <alignment horizontal="center"/>
    </xf>
    <xf numFmtId="9" fontId="7" fillId="43" borderId="62" xfId="0" applyNumberFormat="1" applyFont="1" applyFill="1" applyBorder="1" applyAlignment="1">
      <alignment horizontal="center"/>
    </xf>
    <xf numFmtId="10" fontId="7" fillId="43" borderId="62" xfId="0" applyNumberFormat="1" applyFont="1" applyFill="1" applyBorder="1" applyAlignment="1">
      <alignment horizontal="center"/>
    </xf>
    <xf numFmtId="10" fontId="37" fillId="0" borderId="62" xfId="0" applyNumberFormat="1" applyFont="1" applyBorder="1" applyAlignment="1">
      <alignment horizontal="center"/>
    </xf>
    <xf numFmtId="0" fontId="37" fillId="0" borderId="62" xfId="0" applyFont="1" applyBorder="1" applyAlignment="1">
      <alignment horizontal="center"/>
    </xf>
    <xf numFmtId="43" fontId="37" fillId="0" borderId="62" xfId="0" applyNumberFormat="1" applyFont="1" applyBorder="1" applyAlignment="1">
      <alignment horizontal="center"/>
    </xf>
    <xf numFmtId="0" fontId="6" fillId="40" borderId="63" xfId="0" applyFont="1" applyFill="1" applyBorder="1"/>
    <xf numFmtId="0" fontId="7" fillId="41" borderId="47" xfId="0" applyFont="1" applyFill="1" applyBorder="1" applyAlignment="1">
      <alignment horizontal="center"/>
    </xf>
    <xf numFmtId="9" fontId="36" fillId="42" borderId="64" xfId="0" applyNumberFormat="1" applyFont="1" applyFill="1" applyBorder="1" applyAlignment="1">
      <alignment horizontal="center"/>
    </xf>
    <xf numFmtId="9" fontId="7" fillId="43" borderId="64" xfId="0" applyNumberFormat="1" applyFont="1" applyFill="1" applyBorder="1" applyAlignment="1">
      <alignment horizontal="center"/>
    </xf>
    <xf numFmtId="10" fontId="7" fillId="43" borderId="64" xfId="0" applyNumberFormat="1" applyFont="1" applyFill="1" applyBorder="1" applyAlignment="1">
      <alignment horizontal="center"/>
    </xf>
    <xf numFmtId="10" fontId="37" fillId="0" borderId="64" xfId="0" applyNumberFormat="1" applyFont="1" applyBorder="1" applyAlignment="1">
      <alignment horizontal="center"/>
    </xf>
    <xf numFmtId="0" fontId="37" fillId="0" borderId="64" xfId="0" applyFont="1" applyBorder="1" applyAlignment="1">
      <alignment horizontal="center"/>
    </xf>
    <xf numFmtId="43" fontId="37" fillId="0" borderId="64" xfId="0" applyNumberFormat="1" applyFont="1" applyBorder="1" applyAlignment="1">
      <alignment horizontal="center"/>
    </xf>
    <xf numFmtId="43" fontId="0" fillId="38" borderId="61" xfId="1" applyFont="1" applyFill="1" applyBorder="1" applyProtection="1">
      <protection locked="0"/>
    </xf>
    <xf numFmtId="0" fontId="24" fillId="3" borderId="0" xfId="0" applyFont="1" applyFill="1" applyAlignment="1">
      <alignment horizontal="center"/>
    </xf>
    <xf numFmtId="43" fontId="23" fillId="4" borderId="13" xfId="1" applyFont="1" applyFill="1" applyBorder="1" applyAlignment="1" applyProtection="1">
      <alignment horizontal="center" vertical="center"/>
      <protection locked="0"/>
    </xf>
    <xf numFmtId="0" fontId="4" fillId="2" borderId="26" xfId="0" applyFont="1" applyFill="1" applyBorder="1" applyAlignment="1">
      <alignment horizontal="center" vertical="center"/>
    </xf>
    <xf numFmtId="166" fontId="14" fillId="22" borderId="27" xfId="0" applyNumberFormat="1" applyFont="1" applyFill="1" applyBorder="1" applyAlignment="1">
      <alignment horizontal="center" vertical="center"/>
    </xf>
    <xf numFmtId="190" fontId="0" fillId="4" borderId="0" xfId="3" applyNumberFormat="1" applyFont="1" applyFill="1" applyBorder="1"/>
    <xf numFmtId="166" fontId="16" fillId="3" borderId="26" xfId="0" applyNumberFormat="1" applyFont="1" applyFill="1" applyBorder="1" applyAlignment="1">
      <alignment horizontal="center" vertical="center"/>
    </xf>
    <xf numFmtId="43" fontId="4" fillId="4" borderId="0" xfId="1" applyFont="1" applyFill="1" applyBorder="1" applyAlignment="1">
      <alignment horizontal="center" vertical="center"/>
    </xf>
    <xf numFmtId="43" fontId="11" fillId="4" borderId="29" xfId="1" applyFont="1" applyFill="1" applyBorder="1" applyAlignment="1" applyProtection="1">
      <alignment horizontal="center" vertical="center"/>
      <protection locked="0"/>
    </xf>
    <xf numFmtId="0" fontId="4" fillId="4" borderId="0" xfId="0" applyFont="1" applyFill="1" applyAlignment="1">
      <alignment horizontal="center" vertical="center"/>
    </xf>
    <xf numFmtId="190" fontId="4" fillId="4" borderId="0" xfId="3" applyNumberFormat="1" applyFont="1" applyFill="1" applyBorder="1" applyAlignment="1">
      <alignment horizontal="center" vertical="center"/>
    </xf>
    <xf numFmtId="43" fontId="19" fillId="4" borderId="0" xfId="1" applyFont="1" applyFill="1" applyBorder="1" applyAlignment="1" applyProtection="1">
      <alignment horizontal="center" vertical="center"/>
      <protection locked="0"/>
    </xf>
    <xf numFmtId="10" fontId="4" fillId="4" borderId="0" xfId="3" applyNumberFormat="1" applyFont="1" applyFill="1" applyBorder="1" applyAlignment="1">
      <alignment horizontal="center" vertical="center"/>
    </xf>
    <xf numFmtId="43" fontId="11" fillId="4" borderId="0" xfId="1" applyFont="1" applyFill="1" applyBorder="1" applyAlignment="1" applyProtection="1">
      <alignment horizontal="center" vertical="center"/>
      <protection locked="0"/>
    </xf>
    <xf numFmtId="166" fontId="14" fillId="4" borderId="0" xfId="0" applyNumberFormat="1" applyFont="1" applyFill="1" applyAlignment="1">
      <alignment horizontal="center" vertical="center"/>
    </xf>
    <xf numFmtId="169" fontId="22" fillId="4" borderId="0" xfId="1" applyNumberFormat="1" applyFont="1" applyFill="1" applyBorder="1" applyAlignment="1">
      <alignment horizontal="center" vertical="center"/>
    </xf>
    <xf numFmtId="0" fontId="11" fillId="4" borderId="0" xfId="0" applyFont="1" applyFill="1" applyAlignment="1" applyProtection="1">
      <alignment horizontal="center" vertical="center"/>
      <protection locked="0"/>
    </xf>
    <xf numFmtId="9" fontId="11" fillId="4" borderId="0" xfId="3" applyFont="1" applyFill="1" applyBorder="1" applyAlignment="1" applyProtection="1">
      <alignment horizontal="center" vertical="center"/>
      <protection locked="0"/>
    </xf>
    <xf numFmtId="183" fontId="22" fillId="4" borderId="0" xfId="0" applyNumberFormat="1" applyFont="1" applyFill="1" applyAlignment="1">
      <alignment horizontal="center" vertical="center"/>
    </xf>
    <xf numFmtId="43" fontId="22" fillId="4" borderId="0" xfId="1" applyFont="1" applyFill="1" applyBorder="1" applyAlignment="1">
      <alignment horizontal="center" vertical="center"/>
    </xf>
    <xf numFmtId="43" fontId="23" fillId="4" borderId="0" xfId="1" applyFont="1" applyFill="1" applyBorder="1" applyAlignment="1">
      <alignment horizontal="center" vertical="center"/>
    </xf>
    <xf numFmtId="176" fontId="23" fillId="4" borderId="0" xfId="1" applyNumberFormat="1" applyFont="1" applyFill="1" applyBorder="1" applyAlignment="1">
      <alignment horizontal="center" vertical="center"/>
    </xf>
    <xf numFmtId="164" fontId="14" fillId="4" borderId="0" xfId="0" applyNumberFormat="1" applyFont="1" applyFill="1" applyAlignment="1">
      <alignment horizontal="center" vertical="center"/>
    </xf>
    <xf numFmtId="171" fontId="19" fillId="4" borderId="0" xfId="0" applyNumberFormat="1" applyFont="1" applyFill="1" applyAlignment="1">
      <alignment horizontal="center" vertical="center"/>
    </xf>
    <xf numFmtId="164" fontId="13" fillId="4" borderId="0" xfId="0" applyNumberFormat="1" applyFont="1" applyFill="1" applyAlignment="1">
      <alignment horizontal="center" vertical="center"/>
    </xf>
    <xf numFmtId="9" fontId="4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24" fillId="4" borderId="0" xfId="0" applyFont="1" applyFill="1" applyAlignment="1">
      <alignment horizontal="center" vertical="center"/>
    </xf>
    <xf numFmtId="166" fontId="13" fillId="4" borderId="0" xfId="0" applyNumberFormat="1" applyFont="1" applyFill="1" applyAlignment="1">
      <alignment horizontal="center" vertical="center"/>
    </xf>
    <xf numFmtId="164" fontId="23" fillId="4" borderId="0" xfId="0" applyNumberFormat="1" applyFont="1" applyFill="1" applyAlignment="1">
      <alignment horizontal="center" vertical="center"/>
    </xf>
    <xf numFmtId="166" fontId="23" fillId="4" borderId="0" xfId="0" applyNumberFormat="1" applyFont="1" applyFill="1" applyAlignment="1">
      <alignment horizontal="center" vertical="center"/>
    </xf>
    <xf numFmtId="184" fontId="11" fillId="4" borderId="0" xfId="0" applyNumberFormat="1" applyFont="1" applyFill="1" applyAlignment="1" applyProtection="1">
      <alignment horizontal="center" vertical="center"/>
      <protection locked="0"/>
    </xf>
    <xf numFmtId="184" fontId="14" fillId="4" borderId="0" xfId="0" applyNumberFormat="1" applyFont="1" applyFill="1" applyAlignment="1">
      <alignment horizontal="center" vertical="center"/>
    </xf>
    <xf numFmtId="167" fontId="11" fillId="4" borderId="0" xfId="0" applyNumberFormat="1" applyFont="1" applyFill="1" applyAlignment="1">
      <alignment horizontal="center" vertical="center"/>
    </xf>
    <xf numFmtId="10" fontId="14" fillId="4" borderId="0" xfId="0" applyNumberFormat="1" applyFont="1" applyFill="1" applyAlignment="1">
      <alignment horizontal="center" vertical="center"/>
    </xf>
    <xf numFmtId="166" fontId="16" fillId="4" borderId="0" xfId="0" applyNumberFormat="1" applyFont="1" applyFill="1" applyAlignment="1">
      <alignment horizontal="center" vertical="center"/>
    </xf>
    <xf numFmtId="166" fontId="4" fillId="4" borderId="0" xfId="0" applyNumberFormat="1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166" fontId="16" fillId="4" borderId="0" xfId="0" applyNumberFormat="1" applyFont="1" applyFill="1" applyAlignment="1">
      <alignment vertical="center"/>
    </xf>
    <xf numFmtId="0" fontId="0" fillId="4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7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12" fillId="4" borderId="27" xfId="0" applyFont="1" applyFill="1" applyBorder="1" applyAlignment="1">
      <alignment horizontal="center" vertical="center"/>
    </xf>
    <xf numFmtId="0" fontId="12" fillId="4" borderId="28" xfId="0" applyFont="1" applyFill="1" applyBorder="1" applyAlignment="1">
      <alignment horizontal="center" vertical="center"/>
    </xf>
    <xf numFmtId="0" fontId="12" fillId="4" borderId="29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0" fontId="12" fillId="4" borderId="25" xfId="0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/>
    </xf>
    <xf numFmtId="0" fontId="11" fillId="5" borderId="51" xfId="0" applyFont="1" applyFill="1" applyBorder="1" applyAlignment="1">
      <alignment horizontal="center" vertical="center"/>
    </xf>
    <xf numFmtId="0" fontId="11" fillId="5" borderId="52" xfId="0" applyFont="1" applyFill="1" applyBorder="1" applyAlignment="1">
      <alignment horizontal="center" vertical="center"/>
    </xf>
    <xf numFmtId="0" fontId="11" fillId="5" borderId="53" xfId="0" applyFont="1" applyFill="1" applyBorder="1" applyAlignment="1">
      <alignment horizontal="center" vertical="center"/>
    </xf>
    <xf numFmtId="0" fontId="11" fillId="5" borderId="54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5" borderId="55" xfId="0" applyFont="1" applyFill="1" applyBorder="1" applyAlignment="1">
      <alignment horizontal="center" vertical="center"/>
    </xf>
    <xf numFmtId="0" fontId="11" fillId="5" borderId="56" xfId="0" applyFont="1" applyFill="1" applyBorder="1" applyAlignment="1">
      <alignment horizontal="center" vertical="center"/>
    </xf>
    <xf numFmtId="0" fontId="11" fillId="5" borderId="57" xfId="0" applyFont="1" applyFill="1" applyBorder="1" applyAlignment="1">
      <alignment horizontal="center" vertical="center"/>
    </xf>
    <xf numFmtId="0" fontId="11" fillId="5" borderId="58" xfId="0" applyFont="1" applyFill="1" applyBorder="1" applyAlignment="1">
      <alignment horizontal="center" vertical="center"/>
    </xf>
    <xf numFmtId="0" fontId="11" fillId="27" borderId="27" xfId="0" applyFont="1" applyFill="1" applyBorder="1" applyAlignment="1">
      <alignment horizontal="center" vertical="center"/>
    </xf>
    <xf numFmtId="0" fontId="11" fillId="27" borderId="28" xfId="0" applyFont="1" applyFill="1" applyBorder="1" applyAlignment="1">
      <alignment horizontal="center" vertical="center"/>
    </xf>
    <xf numFmtId="0" fontId="11" fillId="27" borderId="29" xfId="0" applyFont="1" applyFill="1" applyBorder="1" applyAlignment="1">
      <alignment horizontal="center" vertical="center"/>
    </xf>
    <xf numFmtId="0" fontId="11" fillId="27" borderId="9" xfId="0" applyFont="1" applyFill="1" applyBorder="1" applyAlignment="1">
      <alignment horizontal="center" vertical="center"/>
    </xf>
    <xf numFmtId="0" fontId="11" fillId="27" borderId="0" xfId="0" applyFont="1" applyFill="1" applyAlignment="1">
      <alignment horizontal="center" vertical="center"/>
    </xf>
    <xf numFmtId="0" fontId="11" fillId="27" borderId="10" xfId="0" applyFont="1" applyFill="1" applyBorder="1" applyAlignment="1">
      <alignment horizontal="center" vertical="center"/>
    </xf>
    <xf numFmtId="0" fontId="15" fillId="9" borderId="27" xfId="0" applyFont="1" applyFill="1" applyBorder="1" applyAlignment="1">
      <alignment horizontal="center" vertical="center"/>
    </xf>
    <xf numFmtId="0" fontId="15" fillId="9" borderId="28" xfId="0" applyFont="1" applyFill="1" applyBorder="1" applyAlignment="1">
      <alignment horizontal="center" vertical="center"/>
    </xf>
    <xf numFmtId="0" fontId="15" fillId="9" borderId="29" xfId="0" applyFont="1" applyFill="1" applyBorder="1" applyAlignment="1">
      <alignment horizontal="center" vertical="center"/>
    </xf>
    <xf numFmtId="0" fontId="15" fillId="9" borderId="9" xfId="0" applyFont="1" applyFill="1" applyBorder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15" fillId="9" borderId="10" xfId="0" applyFont="1" applyFill="1" applyBorder="1" applyAlignment="1">
      <alignment horizontal="center" vertical="center"/>
    </xf>
    <xf numFmtId="0" fontId="15" fillId="9" borderId="11" xfId="0" applyFont="1" applyFill="1" applyBorder="1" applyAlignment="1">
      <alignment horizontal="center" vertical="center"/>
    </xf>
    <xf numFmtId="0" fontId="15" fillId="9" borderId="25" xfId="0" applyFont="1" applyFill="1" applyBorder="1" applyAlignment="1">
      <alignment horizontal="center" vertical="center"/>
    </xf>
    <xf numFmtId="0" fontId="15" fillId="9" borderId="12" xfId="0" applyFont="1" applyFill="1" applyBorder="1" applyAlignment="1">
      <alignment horizontal="center" vertical="center"/>
    </xf>
    <xf numFmtId="10" fontId="0" fillId="4" borderId="7" xfId="0" applyNumberFormat="1" applyFill="1" applyBorder="1" applyAlignment="1">
      <alignment horizontal="center"/>
    </xf>
    <xf numFmtId="10" fontId="0" fillId="4" borderId="14" xfId="0" applyNumberFormat="1" applyFill="1" applyBorder="1" applyAlignment="1">
      <alignment horizontal="center"/>
    </xf>
    <xf numFmtId="10" fontId="0" fillId="4" borderId="8" xfId="0" applyNumberFormat="1" applyFill="1" applyBorder="1" applyAlignment="1">
      <alignment horizontal="center"/>
    </xf>
    <xf numFmtId="4" fontId="11" fillId="9" borderId="7" xfId="0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" fontId="11" fillId="9" borderId="8" xfId="0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43" fontId="4" fillId="2" borderId="7" xfId="0" applyNumberFormat="1" applyFont="1" applyFill="1" applyBorder="1" applyAlignment="1">
      <alignment horizontal="center" vertical="center"/>
    </xf>
    <xf numFmtId="4" fontId="11" fillId="4" borderId="0" xfId="0" applyNumberFormat="1" applyFont="1" applyFill="1" applyAlignment="1" applyProtection="1">
      <alignment horizontal="center" vertical="center"/>
      <protection locked="0"/>
    </xf>
    <xf numFmtId="0" fontId="4" fillId="27" borderId="7" xfId="0" applyFont="1" applyFill="1" applyBorder="1" applyAlignment="1">
      <alignment horizontal="center" vertical="center"/>
    </xf>
    <xf numFmtId="0" fontId="4" fillId="27" borderId="8" xfId="0" applyFont="1" applyFill="1" applyBorder="1" applyAlignment="1">
      <alignment horizontal="center" vertical="center"/>
    </xf>
    <xf numFmtId="4" fontId="11" fillId="9" borderId="7" xfId="0" applyNumberFormat="1" applyFont="1" applyFill="1" applyBorder="1" applyAlignment="1" applyProtection="1">
      <alignment horizontal="center" vertical="center"/>
      <protection locked="0"/>
    </xf>
    <xf numFmtId="4" fontId="11" fillId="9" borderId="8" xfId="0" applyNumberFormat="1" applyFont="1" applyFill="1" applyBorder="1" applyAlignment="1" applyProtection="1">
      <alignment horizontal="center" vertical="center"/>
      <protection locked="0"/>
    </xf>
    <xf numFmtId="0" fontId="6" fillId="4" borderId="0" xfId="8" applyFill="1" applyAlignment="1">
      <alignment horizontal="center" vertical="center" wrapText="1"/>
    </xf>
    <xf numFmtId="0" fontId="6" fillId="4" borderId="0" xfId="8" applyFill="1" applyAlignment="1">
      <alignment horizontal="center" vertical="center"/>
    </xf>
    <xf numFmtId="0" fontId="18" fillId="4" borderId="0" xfId="8" applyFont="1" applyFill="1" applyAlignment="1">
      <alignment horizontal="center" vertical="center"/>
    </xf>
    <xf numFmtId="0" fontId="25" fillId="3" borderId="0" xfId="8" applyFont="1" applyFill="1" applyAlignment="1">
      <alignment horizontal="center" vertical="center"/>
    </xf>
    <xf numFmtId="44" fontId="3" fillId="0" borderId="4" xfId="0" applyNumberFormat="1" applyFont="1" applyBorder="1"/>
    <xf numFmtId="10" fontId="11" fillId="4" borderId="25" xfId="3" applyNumberFormat="1" applyFont="1" applyFill="1" applyBorder="1" applyAlignment="1" applyProtection="1">
      <alignment horizontal="center" vertical="center"/>
      <protection locked="0"/>
    </xf>
    <xf numFmtId="10" fontId="22" fillId="3" borderId="0" xfId="3" applyNumberFormat="1" applyFont="1" applyFill="1" applyAlignment="1">
      <alignment horizontal="center" vertical="center"/>
    </xf>
  </cellXfs>
  <cellStyles count="10">
    <cellStyle name="Moeda" xfId="2" builtinId="4"/>
    <cellStyle name="Moeda 2" xfId="6" xr:uid="{28CC006A-662D-4EFB-A28A-26066CB18D12}"/>
    <cellStyle name="Normal" xfId="0" builtinId="0"/>
    <cellStyle name="Normal 2" xfId="4" xr:uid="{C1F8B056-37EB-4610-B35A-0CB1A1BA0090}"/>
    <cellStyle name="Normal 3" xfId="8" xr:uid="{DDFF299F-9A6E-4D33-B347-4F5304D6D069}"/>
    <cellStyle name="Porcentagem" xfId="3" builtinId="5"/>
    <cellStyle name="Porcentagem 2" xfId="7" xr:uid="{227FAC69-1046-48F9-94D6-E49C3E00C31D}"/>
    <cellStyle name="Porcentagem 3" xfId="9" xr:uid="{42C983B5-6A96-4997-9AC1-5022A2CFBBA4}"/>
    <cellStyle name="Vírgula" xfId="1" builtinId="3"/>
    <cellStyle name="Vírgula 2" xfId="5" xr:uid="{8EF8F1BB-68A8-4971-904B-49D634F73E95}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6AFCF9"/>
      <color rgb="FF000000"/>
      <color rgb="FFCCFFCC"/>
      <color rgb="FF66FFCC"/>
      <color rgb="FF0000FF"/>
      <color rgb="FF6EFCF5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402346</xdr:colOff>
      <xdr:row>4</xdr:row>
      <xdr:rowOff>269082</xdr:rowOff>
    </xdr:from>
    <xdr:to>
      <xdr:col>2</xdr:col>
      <xdr:colOff>285983</xdr:colOff>
      <xdr:row>6</xdr:row>
      <xdr:rowOff>113296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701" y="1238293"/>
          <a:ext cx="1760187" cy="454148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304800</xdr:colOff>
      <xdr:row>71</xdr:row>
      <xdr:rowOff>114013</xdr:rowOff>
    </xdr:to>
    <xdr:sp macro="" textlink="">
      <xdr:nvSpPr>
        <xdr:cNvPr id="1035" name="AutoShape 11">
          <a:extLst>
            <a:ext uri="{FF2B5EF4-FFF2-40B4-BE49-F238E27FC236}">
              <a16:creationId xmlns:a16="http://schemas.microsoft.com/office/drawing/2014/main" id="{B6A58FE6-D478-E1C5-C124-FF5CA25B16CF}"/>
            </a:ext>
          </a:extLst>
        </xdr:cNvPr>
        <xdr:cNvSpPr>
          <a:spLocks noChangeAspect="1" noChangeArrowheads="1"/>
        </xdr:cNvSpPr>
      </xdr:nvSpPr>
      <xdr:spPr bwMode="auto">
        <a:xfrm>
          <a:off x="8864600" y="2285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402346</xdr:colOff>
      <xdr:row>4</xdr:row>
      <xdr:rowOff>269082</xdr:rowOff>
    </xdr:from>
    <xdr:to>
      <xdr:col>2</xdr:col>
      <xdr:colOff>285983</xdr:colOff>
      <xdr:row>6</xdr:row>
      <xdr:rowOff>113296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DEABD65-259A-514E-880A-E90C3CB19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4746" y="1259682"/>
          <a:ext cx="1902937" cy="453814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304800</xdr:colOff>
      <xdr:row>71</xdr:row>
      <xdr:rowOff>114013</xdr:rowOff>
    </xdr:to>
    <xdr:sp macro="" textlink="">
      <xdr:nvSpPr>
        <xdr:cNvPr id="3" name="AutoShape 11">
          <a:extLst>
            <a:ext uri="{FF2B5EF4-FFF2-40B4-BE49-F238E27FC236}">
              <a16:creationId xmlns:a16="http://schemas.microsoft.com/office/drawing/2014/main" id="{8A5DFCED-E851-6641-8A85-C1F68105419F}"/>
            </a:ext>
          </a:extLst>
        </xdr:cNvPr>
        <xdr:cNvSpPr>
          <a:spLocks noChangeAspect="1" noChangeArrowheads="1"/>
        </xdr:cNvSpPr>
      </xdr:nvSpPr>
      <xdr:spPr bwMode="auto">
        <a:xfrm>
          <a:off x="11988800" y="21056600"/>
          <a:ext cx="304800" cy="3045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2447686</xdr:colOff>
      <xdr:row>1</xdr:row>
      <xdr:rowOff>97844</xdr:rowOff>
    </xdr:from>
    <xdr:to>
      <xdr:col>3</xdr:col>
      <xdr:colOff>1140223</xdr:colOff>
      <xdr:row>5</xdr:row>
      <xdr:rowOff>49711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421" y="277138"/>
          <a:ext cx="2827508" cy="665869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DE7B4-0F65-409C-A754-52C5DA351C7E}">
  <sheetPr codeName="Planilha1"/>
  <dimension ref="A1:AP202"/>
  <sheetViews>
    <sheetView showGridLines="0" topLeftCell="B11" zoomScale="81" zoomScaleNormal="100" zoomScaleSheetLayoutView="115" workbookViewId="0">
      <selection activeCell="E25" sqref="E25"/>
    </sheetView>
  </sheetViews>
  <sheetFormatPr baseColWidth="10" defaultColWidth="9.1640625" defaultRowHeight="15" x14ac:dyDescent="0.2"/>
  <cols>
    <col min="1" max="1" width="18.6640625" style="11" bestFit="1" customWidth="1"/>
    <col min="2" max="2" width="26.5" style="11" bestFit="1" customWidth="1"/>
    <col min="3" max="3" width="47.5" style="11" customWidth="1"/>
    <col min="4" max="4" width="37.33203125" style="11" customWidth="1"/>
    <col min="5" max="5" width="27.33203125" style="11" customWidth="1"/>
    <col min="6" max="6" width="25.5" style="11" customWidth="1"/>
    <col min="7" max="7" width="25.83203125" style="11" customWidth="1"/>
    <col min="8" max="8" width="5" style="11" customWidth="1"/>
    <col min="9" max="9" width="27" style="11" customWidth="1"/>
    <col min="10" max="10" width="13.1640625" style="11" customWidth="1"/>
    <col min="11" max="11" width="22.5" style="190" customWidth="1"/>
    <col min="12" max="12" width="4.1640625" style="11" customWidth="1"/>
    <col min="13" max="13" width="36.5" style="11" bestFit="1" customWidth="1"/>
    <col min="14" max="14" width="8.6640625" style="11" bestFit="1" customWidth="1"/>
    <col min="15" max="15" width="16" style="11" customWidth="1"/>
    <col min="16" max="16" width="16.83203125" style="11" customWidth="1"/>
    <col min="17" max="17" width="4.83203125" style="11" customWidth="1"/>
    <col min="18" max="18" width="27" style="11" customWidth="1"/>
    <col min="19" max="19" width="13.1640625" style="11" customWidth="1"/>
    <col min="20" max="20" width="22.5" style="11" customWidth="1"/>
    <col min="21" max="21" width="9.33203125" style="11" customWidth="1"/>
    <col min="22" max="22" width="28.83203125" style="11" customWidth="1"/>
    <col min="23" max="23" width="12.5" style="11" customWidth="1"/>
    <col min="24" max="24" width="15.83203125" style="11" customWidth="1"/>
    <col min="25" max="25" width="17.1640625" style="11" customWidth="1"/>
    <col min="26" max="26" width="9.33203125" style="11" customWidth="1"/>
    <col min="27" max="27" width="11.33203125" style="11" customWidth="1"/>
    <col min="28" max="28" width="35.83203125" style="11" customWidth="1"/>
    <col min="29" max="30" width="14.83203125" style="11" customWidth="1"/>
    <col min="31" max="31" width="15.1640625" style="11" customWidth="1"/>
    <col min="32" max="32" width="9.83203125" style="11" customWidth="1"/>
    <col min="33" max="33" width="17.5" style="11" customWidth="1"/>
    <col min="34" max="34" width="25.83203125" style="11" customWidth="1"/>
    <col min="35" max="35" width="21.33203125" style="11" customWidth="1"/>
    <col min="36" max="36" width="22.1640625" style="11" customWidth="1"/>
    <col min="37" max="37" width="20.1640625" style="11" customWidth="1"/>
    <col min="38" max="38" width="13.5" style="11" bestFit="1" customWidth="1"/>
    <col min="39" max="16384" width="9.1640625" style="11"/>
  </cols>
  <sheetData>
    <row r="1" spans="1:42" x14ac:dyDescent="0.2">
      <c r="A1" s="67"/>
      <c r="B1" s="12"/>
      <c r="C1" s="12"/>
      <c r="D1" s="12"/>
      <c r="E1" s="12"/>
      <c r="F1" s="12"/>
      <c r="G1" s="12"/>
    </row>
    <row r="2" spans="1:42" x14ac:dyDescent="0.2">
      <c r="B2" s="12"/>
      <c r="C2" s="185"/>
      <c r="D2" s="185"/>
      <c r="E2" s="310"/>
      <c r="F2" s="12"/>
      <c r="G2" s="12"/>
    </row>
    <row r="3" spans="1:42" x14ac:dyDescent="0.2">
      <c r="B3" s="12"/>
      <c r="C3" s="102">
        <v>7.968</v>
      </c>
      <c r="D3" s="309">
        <f>C3/2500</f>
        <v>3.1871999999999998E-3</v>
      </c>
      <c r="E3" s="12"/>
      <c r="F3" s="12">
        <f>1.82</f>
        <v>1.82</v>
      </c>
      <c r="G3" s="350"/>
      <c r="J3" s="11">
        <f>D23/C20</f>
        <v>8.0049385088393539</v>
      </c>
      <c r="K3" s="469">
        <f>J3/C11</f>
        <v>1.5949269792467331</v>
      </c>
    </row>
    <row r="4" spans="1:42" ht="33" customHeight="1" thickBot="1" x14ac:dyDescent="0.25">
      <c r="A4" s="260"/>
      <c r="B4" s="12"/>
      <c r="C4" s="12"/>
      <c r="D4" s="355"/>
      <c r="E4" s="12"/>
      <c r="F4" s="12">
        <v>2.1800000000000002</v>
      </c>
      <c r="G4" s="151">
        <f>F4/F3-1</f>
        <v>0.19780219780219777</v>
      </c>
      <c r="H4" s="67"/>
      <c r="I4" s="67"/>
      <c r="J4" s="67"/>
      <c r="K4" s="470">
        <f>G10*K3</f>
        <v>10048.039969254418</v>
      </c>
      <c r="L4" s="295"/>
      <c r="M4" s="67"/>
      <c r="O4" s="67"/>
      <c r="P4" s="128"/>
      <c r="Q4" s="128"/>
      <c r="R4" s="67"/>
      <c r="S4" s="67"/>
      <c r="T4" s="67"/>
      <c r="U4" s="67"/>
      <c r="V4" s="67"/>
      <c r="W4" s="67"/>
      <c r="X4" s="67"/>
      <c r="Y4" s="128"/>
      <c r="Z4" s="128"/>
    </row>
    <row r="5" spans="1:42" ht="33" customHeight="1" x14ac:dyDescent="0.2">
      <c r="A5" s="11">
        <f>23841.99/25500</f>
        <v>0.93498000000000003</v>
      </c>
      <c r="B5" s="567" t="s">
        <v>0</v>
      </c>
      <c r="C5" s="568"/>
      <c r="D5" s="568"/>
      <c r="E5" s="568"/>
      <c r="F5" s="568"/>
      <c r="G5" s="569"/>
      <c r="H5" s="67"/>
      <c r="I5" s="576" t="s">
        <v>1</v>
      </c>
      <c r="J5" s="577"/>
      <c r="K5" s="578"/>
      <c r="L5" s="295"/>
      <c r="M5" s="516">
        <f>25315.76-27845.34</f>
        <v>-2529.5800000000017</v>
      </c>
      <c r="O5" s="67"/>
      <c r="P5" s="128"/>
      <c r="Q5" s="128"/>
      <c r="R5" s="585" t="s">
        <v>2</v>
      </c>
      <c r="S5" s="586"/>
      <c r="T5" s="586"/>
      <c r="U5" s="586"/>
      <c r="V5" s="586"/>
      <c r="W5" s="586"/>
      <c r="X5" s="587"/>
      <c r="Y5" s="128"/>
      <c r="Z5" s="128"/>
      <c r="AA5" s="591" t="s">
        <v>3</v>
      </c>
      <c r="AB5" s="592"/>
      <c r="AC5" s="592"/>
      <c r="AD5" s="592"/>
      <c r="AE5" s="593"/>
      <c r="AG5" s="554" t="s">
        <v>4</v>
      </c>
      <c r="AH5" s="555"/>
      <c r="AI5" s="555"/>
      <c r="AJ5" s="555"/>
      <c r="AK5" s="556"/>
    </row>
    <row r="6" spans="1:42" ht="15" customHeight="1" x14ac:dyDescent="0.2">
      <c r="B6" s="570"/>
      <c r="C6" s="571"/>
      <c r="D6" s="571"/>
      <c r="E6" s="571"/>
      <c r="F6" s="571"/>
      <c r="G6" s="572"/>
      <c r="H6" s="67"/>
      <c r="I6" s="579"/>
      <c r="J6" s="580"/>
      <c r="K6" s="581"/>
      <c r="L6" s="295"/>
      <c r="M6" s="67"/>
      <c r="O6" s="67"/>
      <c r="P6" s="128"/>
      <c r="Q6" s="128"/>
      <c r="R6" s="588"/>
      <c r="S6" s="589"/>
      <c r="T6" s="589"/>
      <c r="U6" s="589"/>
      <c r="V6" s="589"/>
      <c r="W6" s="589"/>
      <c r="X6" s="590"/>
      <c r="Y6" s="128"/>
      <c r="Z6" s="128"/>
      <c r="AA6" s="594"/>
      <c r="AB6" s="595"/>
      <c r="AC6" s="595"/>
      <c r="AD6" s="595"/>
      <c r="AE6" s="596"/>
      <c r="AG6" s="557"/>
      <c r="AH6" s="558"/>
      <c r="AI6" s="558"/>
      <c r="AJ6" s="558"/>
      <c r="AK6" s="559"/>
    </row>
    <row r="7" spans="1:42" ht="15" customHeight="1" thickBot="1" x14ac:dyDescent="0.25">
      <c r="B7" s="570"/>
      <c r="C7" s="571"/>
      <c r="D7" s="571"/>
      <c r="E7" s="571"/>
      <c r="F7" s="571"/>
      <c r="G7" s="572"/>
      <c r="H7" s="67"/>
      <c r="I7" s="582"/>
      <c r="J7" s="583"/>
      <c r="K7" s="584"/>
      <c r="L7" s="295"/>
      <c r="M7" s="67"/>
      <c r="O7" s="67"/>
      <c r="P7" s="128"/>
      <c r="Q7" s="128"/>
      <c r="R7" s="588"/>
      <c r="S7" s="589"/>
      <c r="T7" s="589"/>
      <c r="U7" s="589"/>
      <c r="V7" s="589"/>
      <c r="W7" s="589"/>
      <c r="X7" s="590"/>
      <c r="Y7" s="128"/>
      <c r="Z7" s="128"/>
      <c r="AA7" s="597"/>
      <c r="AB7" s="598"/>
      <c r="AC7" s="598"/>
      <c r="AD7" s="598"/>
      <c r="AE7" s="599"/>
      <c r="AG7" s="560"/>
      <c r="AH7" s="561"/>
      <c r="AI7" s="561"/>
      <c r="AJ7" s="561"/>
      <c r="AK7" s="562"/>
    </row>
    <row r="8" spans="1:42" ht="15.75" customHeight="1" thickBot="1" x14ac:dyDescent="0.25">
      <c r="B8" s="573"/>
      <c r="C8" s="574"/>
      <c r="D8" s="574"/>
      <c r="E8" s="574"/>
      <c r="F8" s="574"/>
      <c r="G8" s="575"/>
      <c r="H8" s="67"/>
      <c r="I8" s="256" t="s">
        <v>5</v>
      </c>
      <c r="J8" s="257"/>
      <c r="K8" s="258"/>
      <c r="L8" s="295"/>
      <c r="M8" s="67"/>
      <c r="O8" s="67"/>
      <c r="Q8" s="128"/>
      <c r="R8" s="129" t="s">
        <v>5</v>
      </c>
      <c r="S8" s="130"/>
      <c r="T8" s="131"/>
      <c r="V8" s="129" t="s">
        <v>6</v>
      </c>
      <c r="W8" s="130"/>
      <c r="X8" s="132"/>
      <c r="Y8" s="128"/>
      <c r="Z8" s="128"/>
      <c r="AA8" s="70"/>
      <c r="AE8" s="74"/>
      <c r="AG8" s="13" t="s">
        <v>7</v>
      </c>
      <c r="AH8" s="13" t="s">
        <v>8</v>
      </c>
      <c r="AI8" s="13" t="s">
        <v>9</v>
      </c>
      <c r="AJ8" s="13" t="s">
        <v>10</v>
      </c>
      <c r="AK8" s="13" t="s">
        <v>11</v>
      </c>
    </row>
    <row r="9" spans="1:42" ht="28.5" customHeight="1" thickBot="1" x14ac:dyDescent="0.25">
      <c r="B9" s="101"/>
      <c r="C9" s="450"/>
      <c r="D9" s="450"/>
      <c r="E9" s="450"/>
      <c r="F9" s="450"/>
      <c r="G9" s="450"/>
      <c r="H9" s="67"/>
      <c r="I9" s="21" t="s">
        <v>12</v>
      </c>
      <c r="J9" s="14"/>
      <c r="K9" s="77"/>
      <c r="L9" s="295"/>
      <c r="M9" s="485" t="s">
        <v>24</v>
      </c>
      <c r="N9" s="486"/>
      <c r="O9" s="487">
        <f>K41</f>
        <v>3.8174619777999999</v>
      </c>
      <c r="R9" s="21" t="s">
        <v>12</v>
      </c>
      <c r="S9" s="14" t="s">
        <v>13</v>
      </c>
      <c r="T9" s="77"/>
      <c r="V9" s="15"/>
      <c r="W9" s="22"/>
      <c r="X9" s="16"/>
      <c r="AA9" s="70"/>
      <c r="AC9" s="11" t="s">
        <v>15</v>
      </c>
      <c r="AD9" s="11" t="s">
        <v>16</v>
      </c>
      <c r="AE9" s="74"/>
      <c r="AG9" s="17">
        <f>(5.4571*0.2)+(5.2137*0.8)</f>
        <v>5.2623800000000003</v>
      </c>
      <c r="AH9" s="18">
        <f>C22</f>
        <v>0.83</v>
      </c>
      <c r="AI9" s="19">
        <f>AG9*AH9</f>
        <v>4.3677754000000002</v>
      </c>
      <c r="AJ9" s="19" t="s">
        <v>17</v>
      </c>
      <c r="AK9" s="20">
        <f>AI9*K12</f>
        <v>1091943.8500000001</v>
      </c>
    </row>
    <row r="10" spans="1:42" ht="28.5" customHeight="1" thickBot="1" x14ac:dyDescent="0.25">
      <c r="B10" s="220" t="s">
        <v>18</v>
      </c>
      <c r="C10" s="133" t="s">
        <v>19</v>
      </c>
      <c r="D10" s="220" t="s">
        <v>20</v>
      </c>
      <c r="E10" s="133" t="s">
        <v>21</v>
      </c>
      <c r="F10" s="221" t="s">
        <v>22</v>
      </c>
      <c r="G10" s="496">
        <v>6300</v>
      </c>
      <c r="H10" s="67"/>
      <c r="I10" s="21" t="s">
        <v>23</v>
      </c>
      <c r="J10" s="14"/>
      <c r="K10" s="242" t="str">
        <f>F14</f>
        <v>5407.52.10</v>
      </c>
      <c r="M10" s="410" t="s">
        <v>31</v>
      </c>
      <c r="N10" s="411"/>
      <c r="O10" s="412">
        <f>SUM(O11:O14)</f>
        <v>0.32779189380000001</v>
      </c>
      <c r="P10" s="128"/>
      <c r="R10" s="21" t="s">
        <v>23</v>
      </c>
      <c r="S10" s="14"/>
      <c r="T10" s="134" t="str">
        <f>F29</f>
        <v>5407.52.10</v>
      </c>
      <c r="V10" s="21" t="s">
        <v>24</v>
      </c>
      <c r="W10" s="22"/>
      <c r="X10" s="23">
        <f>T41</f>
        <v>4.4946329752173924</v>
      </c>
      <c r="AA10" s="94"/>
      <c r="AB10" s="92" t="s">
        <v>25</v>
      </c>
      <c r="AC10" s="467">
        <v>80</v>
      </c>
      <c r="AD10" s="467">
        <v>80</v>
      </c>
      <c r="AE10" s="74"/>
      <c r="AG10" s="563" t="s">
        <v>26</v>
      </c>
      <c r="AH10" s="564"/>
      <c r="AI10" s="564"/>
      <c r="AJ10" s="564"/>
      <c r="AK10" s="565"/>
    </row>
    <row r="11" spans="1:42" ht="28.5" customHeight="1" thickBot="1" x14ac:dyDescent="0.25">
      <c r="A11" s="289">
        <f>C11+0.15</f>
        <v>5.1690000000000005</v>
      </c>
      <c r="B11" s="220" t="s">
        <v>27</v>
      </c>
      <c r="C11" s="494">
        <v>5.0190000000000001</v>
      </c>
      <c r="D11" s="220" t="s">
        <v>28</v>
      </c>
      <c r="E11" s="495">
        <v>0.02</v>
      </c>
      <c r="F11" s="220" t="s">
        <v>29</v>
      </c>
      <c r="G11" s="65">
        <v>1</v>
      </c>
      <c r="H11" s="67"/>
      <c r="I11" s="370" t="s">
        <v>30</v>
      </c>
      <c r="J11" s="371"/>
      <c r="K11" s="372">
        <f>C17</f>
        <v>0.47</v>
      </c>
      <c r="M11" s="413" t="s">
        <v>34</v>
      </c>
      <c r="N11" s="414"/>
      <c r="O11" s="415">
        <f>K43/$K$12</f>
        <v>0</v>
      </c>
      <c r="R11" s="21" t="s">
        <v>30</v>
      </c>
      <c r="S11" s="14"/>
      <c r="T11" s="78">
        <f>C32</f>
        <v>0.56000000000000005</v>
      </c>
      <c r="V11" s="21" t="s">
        <v>31</v>
      </c>
      <c r="W11" s="22"/>
      <c r="X11" s="24">
        <f>SUM(X12:X15)</f>
        <v>0</v>
      </c>
      <c r="AA11" s="70"/>
      <c r="AB11" s="92" t="s">
        <v>32</v>
      </c>
      <c r="AC11" s="466">
        <v>2</v>
      </c>
      <c r="AE11" s="74"/>
      <c r="AG11" s="451"/>
      <c r="AH11" s="452"/>
      <c r="AI11" s="452"/>
      <c r="AJ11" s="452"/>
      <c r="AK11" s="453"/>
    </row>
    <row r="12" spans="1:42" ht="28.5" customHeight="1" thickBot="1" x14ac:dyDescent="0.25">
      <c r="A12" s="289"/>
      <c r="B12" s="220" t="s">
        <v>534</v>
      </c>
      <c r="C12" s="488">
        <v>5</v>
      </c>
      <c r="D12" s="220" t="s">
        <v>535</v>
      </c>
      <c r="E12" s="264">
        <f>G12/12</f>
        <v>1.2083333333333333E-2</v>
      </c>
      <c r="F12" s="220" t="s">
        <v>536</v>
      </c>
      <c r="G12" s="325">
        <v>0.14499999999999999</v>
      </c>
      <c r="I12" s="370" t="s">
        <v>33</v>
      </c>
      <c r="J12" s="371"/>
      <c r="K12" s="465">
        <f>C16</f>
        <v>250000</v>
      </c>
      <c r="M12" s="413" t="s">
        <v>38</v>
      </c>
      <c r="N12" s="416"/>
      <c r="O12" s="415">
        <f>K44/$K$12</f>
        <v>5.48496396E-2</v>
      </c>
      <c r="R12" s="21" t="s">
        <v>33</v>
      </c>
      <c r="S12" s="14"/>
      <c r="T12" s="464">
        <f>C31</f>
        <v>115000</v>
      </c>
      <c r="V12" s="25" t="s">
        <v>34</v>
      </c>
      <c r="W12" s="26"/>
      <c r="X12" s="27">
        <f>T43/$T$12</f>
        <v>0</v>
      </c>
      <c r="AA12" s="70">
        <v>1</v>
      </c>
      <c r="AB12" s="11" t="s">
        <v>14</v>
      </c>
      <c r="AC12" s="152">
        <v>0.14000000000000001</v>
      </c>
      <c r="AD12" s="11" t="s">
        <v>35</v>
      </c>
      <c r="AE12" s="262">
        <v>0.14000000000000001</v>
      </c>
      <c r="AG12" s="600" t="s">
        <v>36</v>
      </c>
      <c r="AH12" s="601"/>
      <c r="AI12" s="601"/>
      <c r="AJ12" s="601"/>
      <c r="AK12" s="602"/>
      <c r="AN12" s="11">
        <v>8308.42</v>
      </c>
      <c r="AO12" s="11">
        <f>AO14/AN14*AN12</f>
        <v>8420.5821678856701</v>
      </c>
      <c r="AP12" s="11">
        <f>AO12-AN12</f>
        <v>112.16216788566999</v>
      </c>
    </row>
    <row r="13" spans="1:42" ht="28.5" customHeight="1" thickBot="1" x14ac:dyDescent="0.25">
      <c r="A13" s="151"/>
      <c r="B13" s="326"/>
      <c r="C13" s="327"/>
      <c r="D13" s="327"/>
      <c r="E13" s="327"/>
      <c r="F13" s="327"/>
      <c r="G13" s="328"/>
      <c r="I13" s="370" t="s">
        <v>37</v>
      </c>
      <c r="J13" s="371"/>
      <c r="K13" s="373">
        <f>K12*K11</f>
        <v>117500</v>
      </c>
      <c r="M13" s="413" t="s">
        <v>42</v>
      </c>
      <c r="N13" s="416"/>
      <c r="O13" s="415">
        <f>K45/$K$12</f>
        <v>0.27294225420000001</v>
      </c>
      <c r="P13" s="29"/>
      <c r="Q13" s="29"/>
      <c r="R13" s="21" t="s">
        <v>37</v>
      </c>
      <c r="S13" s="14"/>
      <c r="T13" s="135">
        <f>T12*T11</f>
        <v>64400.000000000007</v>
      </c>
      <c r="V13" s="25" t="s">
        <v>38</v>
      </c>
      <c r="W13" s="28"/>
      <c r="X13" s="27">
        <f>T44/$T$12</f>
        <v>0</v>
      </c>
      <c r="Y13" s="29"/>
      <c r="Z13" s="29"/>
      <c r="AA13" s="70">
        <v>2</v>
      </c>
      <c r="AB13" s="11" t="s">
        <v>19</v>
      </c>
      <c r="AC13" s="463">
        <v>1.4999999999999999E-2</v>
      </c>
      <c r="AD13" s="11" t="s">
        <v>21</v>
      </c>
      <c r="AE13" s="91">
        <v>1.4999999999999999E-2</v>
      </c>
      <c r="AK13" s="66"/>
      <c r="AN13" s="11">
        <v>4579.16</v>
      </c>
      <c r="AO13" s="11">
        <f>AO14/AN14*AN13</f>
        <v>4640.9778321143303</v>
      </c>
      <c r="AP13" s="11">
        <f>AO13-AN13</f>
        <v>61.817832114330486</v>
      </c>
    </row>
    <row r="14" spans="1:42" ht="28.5" customHeight="1" thickBot="1" x14ac:dyDescent="0.25">
      <c r="A14" s="260" t="s">
        <v>598</v>
      </c>
      <c r="B14" s="454" t="s">
        <v>39</v>
      </c>
      <c r="C14" s="603" t="s">
        <v>352</v>
      </c>
      <c r="D14" s="604"/>
      <c r="E14" s="208" t="s">
        <v>23</v>
      </c>
      <c r="F14" s="209" t="str">
        <f>VLOOKUP(C14,'NCMS E ALÍQUOTAS'!B2:C2225,2,FALSE)</f>
        <v>5407.52.10</v>
      </c>
      <c r="G14" s="336"/>
      <c r="I14" s="370" t="s">
        <v>41</v>
      </c>
      <c r="J14" s="371"/>
      <c r="K14" s="374">
        <f>C11</f>
        <v>5.0190000000000001</v>
      </c>
      <c r="M14" s="413" t="s">
        <v>46</v>
      </c>
      <c r="N14" s="414"/>
      <c r="O14" s="415">
        <f>K46/$K$12</f>
        <v>0</v>
      </c>
      <c r="R14" s="21" t="s">
        <v>41</v>
      </c>
      <c r="S14" s="14"/>
      <c r="T14" s="136">
        <f>C11</f>
        <v>5.0190000000000001</v>
      </c>
      <c r="V14" s="25" t="s">
        <v>42</v>
      </c>
      <c r="W14" s="28"/>
      <c r="X14" s="27">
        <f>T45/$T$12</f>
        <v>0</v>
      </c>
      <c r="AA14" s="70">
        <v>3</v>
      </c>
      <c r="AB14" s="11" t="s">
        <v>43</v>
      </c>
      <c r="AC14" s="462">
        <v>1</v>
      </c>
      <c r="AE14" s="74"/>
      <c r="AN14" s="11">
        <v>12887.58</v>
      </c>
      <c r="AO14" s="11">
        <v>13061.56</v>
      </c>
    </row>
    <row r="15" spans="1:42" ht="28.5" customHeight="1" thickBot="1" x14ac:dyDescent="0.25">
      <c r="A15" s="151"/>
      <c r="B15" s="334" t="s">
        <v>44</v>
      </c>
      <c r="C15" s="491">
        <v>2</v>
      </c>
      <c r="D15" s="335">
        <f>$C$15/$G$11</f>
        <v>2</v>
      </c>
      <c r="E15" s="235"/>
      <c r="F15" s="461"/>
      <c r="G15" s="305">
        <f>158*65*146/1000000</f>
        <v>1.49942</v>
      </c>
      <c r="H15" s="55"/>
      <c r="I15" s="375" t="s">
        <v>45</v>
      </c>
      <c r="J15" s="376"/>
      <c r="K15" s="377">
        <f>K13*K14</f>
        <v>589732.5</v>
      </c>
      <c r="M15" s="410" t="s">
        <v>49</v>
      </c>
      <c r="N15" s="411"/>
      <c r="O15" s="417">
        <f>O9-O10</f>
        <v>3.4896700839999997</v>
      </c>
      <c r="P15" s="29">
        <f>P16-K16</f>
        <v>1580.9849999999933</v>
      </c>
      <c r="R15" s="25" t="s">
        <v>45</v>
      </c>
      <c r="S15" s="30"/>
      <c r="T15" s="79">
        <f>T13*T14</f>
        <v>323223.60000000003</v>
      </c>
      <c r="V15" s="25" t="s">
        <v>46</v>
      </c>
      <c r="W15" s="26"/>
      <c r="X15" s="27">
        <f>T46/$T$12</f>
        <v>0</v>
      </c>
      <c r="AA15" s="70"/>
      <c r="AB15" s="96" t="s">
        <v>14</v>
      </c>
      <c r="AC15" s="97"/>
      <c r="AD15" s="96"/>
      <c r="AE15" s="98"/>
    </row>
    <row r="16" spans="1:42" ht="28.5" customHeight="1" thickBot="1" x14ac:dyDescent="0.25">
      <c r="A16" s="151">
        <f>C16</f>
        <v>250000</v>
      </c>
      <c r="B16" s="208" t="s">
        <v>47</v>
      </c>
      <c r="C16" s="492">
        <v>250000</v>
      </c>
      <c r="D16" s="211" t="s">
        <v>95</v>
      </c>
      <c r="E16" s="209">
        <v>125000</v>
      </c>
      <c r="F16" s="461">
        <f>C16*0.8*0.255</f>
        <v>51000</v>
      </c>
      <c r="G16" s="305">
        <f>G15*50</f>
        <v>74.971000000000004</v>
      </c>
      <c r="I16" s="375" t="s">
        <v>48</v>
      </c>
      <c r="J16" s="378">
        <f>C19</f>
        <v>12600</v>
      </c>
      <c r="K16" s="377">
        <f>J16*K14</f>
        <v>63239.4</v>
      </c>
      <c r="M16" s="410" t="s">
        <v>55</v>
      </c>
      <c r="N16" s="411"/>
      <c r="O16" s="417">
        <f>SUM(O17:O23)</f>
        <v>8.3315400000000012E-2</v>
      </c>
      <c r="P16" s="29">
        <f>K16*1.025</f>
        <v>64820.384999999995</v>
      </c>
      <c r="Q16" s="29"/>
      <c r="R16" s="25" t="s">
        <v>48</v>
      </c>
      <c r="S16" s="31">
        <f>C34</f>
        <v>6300</v>
      </c>
      <c r="T16" s="79">
        <f>S16*T14</f>
        <v>31619.7</v>
      </c>
      <c r="V16" s="21" t="s">
        <v>49</v>
      </c>
      <c r="W16" s="22"/>
      <c r="X16" s="32">
        <f>X10-X11</f>
        <v>4.4946329752173924</v>
      </c>
      <c r="Y16" s="29"/>
      <c r="Z16" s="29"/>
      <c r="AA16" s="70"/>
      <c r="AB16" s="72" t="s">
        <v>50</v>
      </c>
      <c r="AC16" s="68"/>
      <c r="AD16" s="69"/>
      <c r="AE16" s="40" t="s">
        <v>14</v>
      </c>
    </row>
    <row r="17" spans="1:42" ht="28.5" customHeight="1" thickBot="1" x14ac:dyDescent="0.25">
      <c r="A17" s="151">
        <f>C17</f>
        <v>0.47</v>
      </c>
      <c r="B17" s="208" t="s">
        <v>51</v>
      </c>
      <c r="C17" s="492">
        <v>0.47</v>
      </c>
      <c r="D17" s="208" t="s">
        <v>52</v>
      </c>
      <c r="E17" s="293">
        <f>VLOOKUP(C14,'TABELA MATRIZ MG'!$A$2:$Y$329,25,FALSE)</f>
        <v>0.51900000000000002</v>
      </c>
      <c r="F17" s="208" t="s">
        <v>574</v>
      </c>
      <c r="G17" s="149">
        <f>VLOOKUP(C14,'TABELA MATRIZ MG'!$A$2:$Y$438,24,FALSE)</f>
        <v>0.48</v>
      </c>
      <c r="I17" s="375" t="s">
        <v>54</v>
      </c>
      <c r="J17" s="379"/>
      <c r="K17" s="377"/>
      <c r="M17" s="418"/>
      <c r="N17" s="419">
        <v>0</v>
      </c>
      <c r="O17" s="420">
        <f>N17/K12</f>
        <v>0</v>
      </c>
      <c r="R17" s="25" t="s">
        <v>54</v>
      </c>
      <c r="S17" s="33"/>
      <c r="T17" s="79">
        <v>0</v>
      </c>
      <c r="V17" s="21" t="s">
        <v>55</v>
      </c>
      <c r="W17" s="22"/>
      <c r="X17" s="32">
        <f>SUM(X18:X33)</f>
        <v>9.8372399999999999E-2</v>
      </c>
      <c r="AA17" s="70"/>
      <c r="AB17" s="41" t="s">
        <v>56</v>
      </c>
      <c r="AC17" s="42">
        <v>2966</v>
      </c>
      <c r="AD17" s="43">
        <f>AC17</f>
        <v>2966</v>
      </c>
      <c r="AE17" s="44">
        <v>15000</v>
      </c>
    </row>
    <row r="18" spans="1:42" ht="28.5" customHeight="1" thickBot="1" x14ac:dyDescent="0.25">
      <c r="A18" s="260">
        <f>C17</f>
        <v>0.47</v>
      </c>
      <c r="B18" s="208" t="s">
        <v>57</v>
      </c>
      <c r="C18" s="213">
        <f>C16*C17</f>
        <v>117500</v>
      </c>
      <c r="D18" s="208" t="s">
        <v>58</v>
      </c>
      <c r="E18" s="209">
        <f>C18*C11</f>
        <v>589732.5</v>
      </c>
      <c r="F18" s="236">
        <v>0.2</v>
      </c>
      <c r="G18" s="239">
        <f>E18*0.2</f>
        <v>117946.5</v>
      </c>
      <c r="I18" s="21" t="s">
        <v>581</v>
      </c>
      <c r="J18" s="39"/>
      <c r="K18" s="384">
        <f>SUM(K15:K17)</f>
        <v>652971.9</v>
      </c>
      <c r="M18" s="421" t="s">
        <v>64</v>
      </c>
      <c r="N18" s="422">
        <f>E11</f>
        <v>0.02</v>
      </c>
      <c r="O18" s="423">
        <f>N18*G22</f>
        <v>8.3315400000000012E-2</v>
      </c>
      <c r="P18" s="298">
        <f>O18*K12</f>
        <v>20828.850000000002</v>
      </c>
      <c r="Q18" s="34"/>
      <c r="R18" s="21" t="s">
        <v>59</v>
      </c>
      <c r="S18" s="14"/>
      <c r="T18" s="80">
        <f>SUM(T15:T17)</f>
        <v>354843.30000000005</v>
      </c>
      <c r="V18" s="177"/>
      <c r="W18" s="178">
        <v>0</v>
      </c>
      <c r="X18" s="179">
        <f>W18/T12</f>
        <v>0</v>
      </c>
      <c r="Y18" s="34"/>
      <c r="Z18" s="34"/>
      <c r="AA18" s="70"/>
      <c r="AB18" s="45" t="s">
        <v>60</v>
      </c>
      <c r="AC18" s="46">
        <v>61.8</v>
      </c>
      <c r="AD18" s="47">
        <f>AC18</f>
        <v>61.8</v>
      </c>
      <c r="AE18" s="74"/>
    </row>
    <row r="19" spans="1:42" ht="28.5" customHeight="1" thickBot="1" x14ac:dyDescent="0.25">
      <c r="A19" s="307">
        <f>A16*A17</f>
        <v>117500</v>
      </c>
      <c r="B19" s="214" t="s">
        <v>61</v>
      </c>
      <c r="C19" s="213">
        <f>G10*D15</f>
        <v>12600</v>
      </c>
      <c r="D19" s="214" t="s">
        <v>589</v>
      </c>
      <c r="E19" s="209">
        <f>C19*C11</f>
        <v>63239.4</v>
      </c>
      <c r="F19" s="261">
        <v>0.8</v>
      </c>
      <c r="G19" s="239">
        <f>E18*0.8</f>
        <v>471786</v>
      </c>
      <c r="H19" s="95"/>
      <c r="I19" s="380" t="s">
        <v>63</v>
      </c>
      <c r="J19" s="381">
        <f>VLOOKUP($C$14,'NCMS E ALÍQUOTAS'!$B$2:$O$2225,3,FALSE)</f>
        <v>0.26</v>
      </c>
      <c r="K19" s="382">
        <f>$K$18*$J$19</f>
        <v>169772.69400000002</v>
      </c>
      <c r="L19" s="29"/>
      <c r="M19" s="424"/>
      <c r="N19" s="425"/>
      <c r="O19" s="426">
        <f>N19/K12</f>
        <v>0</v>
      </c>
      <c r="P19" s="29"/>
      <c r="Q19" s="55"/>
      <c r="R19" s="25" t="s">
        <v>63</v>
      </c>
      <c r="S19" s="35">
        <f>VLOOKUP($C$29,'NCMS E ALÍQUOTAS'!$B$2:$O$2225,3,FALSE)</f>
        <v>0.26</v>
      </c>
      <c r="T19" s="81">
        <f>S19*T18</f>
        <v>92259.258000000016</v>
      </c>
      <c r="V19" s="183" t="s">
        <v>64</v>
      </c>
      <c r="W19" s="184">
        <f>E11</f>
        <v>0.02</v>
      </c>
      <c r="X19" s="175">
        <f>W19*G37</f>
        <v>9.8372399999999999E-2</v>
      </c>
      <c r="Y19" s="153">
        <f>X19*$T$12</f>
        <v>11312.825999999999</v>
      </c>
      <c r="Z19" s="55"/>
      <c r="AA19" s="70"/>
      <c r="AB19" s="45" t="s">
        <v>65</v>
      </c>
      <c r="AC19" s="49"/>
      <c r="AD19" s="47">
        <f>AC19*K24</f>
        <v>0</v>
      </c>
      <c r="AE19" s="74"/>
    </row>
    <row r="20" spans="1:42" ht="28.5" customHeight="1" thickBot="1" x14ac:dyDescent="0.25">
      <c r="A20" s="307">
        <f>A16*A18</f>
        <v>117500</v>
      </c>
      <c r="B20" s="208" t="s">
        <v>66</v>
      </c>
      <c r="C20" s="213">
        <f>C19+C18</f>
        <v>130100</v>
      </c>
      <c r="D20" s="208" t="s">
        <v>67</v>
      </c>
      <c r="E20" s="209">
        <f>C20*C11</f>
        <v>652971.9</v>
      </c>
      <c r="F20" s="240" t="s">
        <v>68</v>
      </c>
      <c r="G20" s="238" t="s">
        <v>69</v>
      </c>
      <c r="I20" s="380" t="s">
        <v>70</v>
      </c>
      <c r="J20" s="381">
        <f>VLOOKUP($C$14,'NCMS E ALÍQUOTAS'!$B$2:$O$2225,4,FALSE)</f>
        <v>0</v>
      </c>
      <c r="K20" s="382">
        <f>$K$18*$J$20</f>
        <v>0</v>
      </c>
      <c r="M20" s="427" t="s">
        <v>75</v>
      </c>
      <c r="N20" s="428">
        <v>0</v>
      </c>
      <c r="O20" s="429">
        <f>N20/K12</f>
        <v>0</v>
      </c>
      <c r="P20" s="29">
        <f>15152.3+4237.51+19518.22+4079.56+2572.48</f>
        <v>45560.07</v>
      </c>
      <c r="Q20" s="29"/>
      <c r="R20" s="25" t="s">
        <v>70</v>
      </c>
      <c r="S20" s="35">
        <f>VLOOKUP($C$29,'NCMS E ALÍQUOTAS'!$B$2:$O$2225,4,FALSE)</f>
        <v>0</v>
      </c>
      <c r="T20" s="81">
        <f>S20*$T$18</f>
        <v>0</v>
      </c>
      <c r="V20" s="180" t="s">
        <v>71</v>
      </c>
      <c r="W20" s="181"/>
      <c r="X20" s="182">
        <f>W20/T12</f>
        <v>0</v>
      </c>
      <c r="Y20" s="29"/>
      <c r="Z20" s="29"/>
      <c r="AA20" s="70"/>
      <c r="AB20" s="45" t="s">
        <v>72</v>
      </c>
      <c r="AC20" s="50">
        <v>0.15</v>
      </c>
      <c r="AD20" s="47">
        <f>AC17*AC20</f>
        <v>444.9</v>
      </c>
      <c r="AE20" s="74"/>
      <c r="AL20" s="11">
        <f>2.18*25000</f>
        <v>54500.000000000007</v>
      </c>
    </row>
    <row r="21" spans="1:42" ht="28.5" customHeight="1" thickBot="1" x14ac:dyDescent="0.25">
      <c r="A21" s="152">
        <f>A19/A20-1</f>
        <v>0</v>
      </c>
      <c r="B21" s="605" t="s">
        <v>73</v>
      </c>
      <c r="C21" s="606"/>
      <c r="D21" s="320">
        <f>K40+P28+P29+P31+P18+P33+P36+P37+P38-K42</f>
        <v>1013140.67489516</v>
      </c>
      <c r="E21" s="321"/>
      <c r="F21" s="348">
        <f>G21/$C$11</f>
        <v>0.80744425175944201</v>
      </c>
      <c r="G21" s="237">
        <f>D21/C16</f>
        <v>4.0525626995806396</v>
      </c>
      <c r="I21" s="380" t="s">
        <v>74</v>
      </c>
      <c r="J21" s="381">
        <f>VLOOKUP($C$14,'NCMS E ALÍQUOTAS'!$B$2:$O$2225,5,FALSE)</f>
        <v>2.1000000000000001E-2</v>
      </c>
      <c r="K21" s="382">
        <f>$K$18*$J$21</f>
        <v>13712.409900000001</v>
      </c>
      <c r="L21" s="29"/>
      <c r="M21" s="427" t="s">
        <v>81</v>
      </c>
      <c r="N21" s="428">
        <v>0</v>
      </c>
      <c r="O21" s="430">
        <f>N21/K12</f>
        <v>0</v>
      </c>
      <c r="P21" s="29">
        <f>P20+K47</f>
        <v>917977.5909999999</v>
      </c>
      <c r="Q21" s="29"/>
      <c r="R21" s="25" t="s">
        <v>74</v>
      </c>
      <c r="S21" s="35">
        <f>VLOOKUP($C$29,'NCMS E ALÍQUOTAS'!$B$2:$O$2225,5,FALSE)</f>
        <v>2.1000000000000001E-2</v>
      </c>
      <c r="T21" s="81">
        <f>S21*$T$18</f>
        <v>7451.7093000000013</v>
      </c>
      <c r="V21" s="75" t="s">
        <v>75</v>
      </c>
      <c r="W21" s="37">
        <v>0</v>
      </c>
      <c r="X21" s="36">
        <f>W21/T12</f>
        <v>0</v>
      </c>
      <c r="Y21" s="29"/>
      <c r="Z21" s="29"/>
      <c r="AA21" s="70"/>
      <c r="AB21" s="51" t="s">
        <v>76</v>
      </c>
      <c r="AC21" s="52">
        <v>0.12</v>
      </c>
      <c r="AD21" s="53">
        <f>SUM(AD17:AD20)*AC21/0.88</f>
        <v>473.55</v>
      </c>
      <c r="AE21" s="74"/>
      <c r="AL21" s="102">
        <f>AL20*C11</f>
        <v>273535.50000000006</v>
      </c>
      <c r="AN21" s="11">
        <f>22</f>
        <v>22</v>
      </c>
    </row>
    <row r="22" spans="1:42" ht="30" customHeight="1" thickBot="1" x14ac:dyDescent="0.25">
      <c r="A22" s="490">
        <f>A19-A20</f>
        <v>0</v>
      </c>
      <c r="B22" s="208" t="s">
        <v>77</v>
      </c>
      <c r="C22" s="493">
        <v>0.83</v>
      </c>
      <c r="D22" s="212" t="s">
        <v>78</v>
      </c>
      <c r="E22" s="234">
        <f>C22*C16</f>
        <v>207500</v>
      </c>
      <c r="F22" s="211" t="s">
        <v>79</v>
      </c>
      <c r="G22" s="248">
        <f>$C$22*$C$11</f>
        <v>4.1657700000000002</v>
      </c>
      <c r="I22" s="380" t="s">
        <v>80</v>
      </c>
      <c r="J22" s="381">
        <f>VLOOKUP($C$14,'NCMS E ALÍQUOTAS'!$B$2:$O$2225,6,FALSE)</f>
        <v>0.1045</v>
      </c>
      <c r="K22" s="382">
        <f>$K$18*$J$22</f>
        <v>68235.563550000006</v>
      </c>
      <c r="L22" s="29"/>
      <c r="M22" s="75"/>
      <c r="N22" s="37"/>
      <c r="O22" s="36">
        <f>N22/K13</f>
        <v>0</v>
      </c>
      <c r="P22" s="29">
        <f>271970.98</f>
        <v>271970.98</v>
      </c>
      <c r="Q22" s="29"/>
      <c r="R22" s="25" t="s">
        <v>80</v>
      </c>
      <c r="S22" s="35">
        <f>VLOOKUP($C$29,'NCMS E ALÍQUOTAS'!$B$2:$O$2225,6,FALSE)</f>
        <v>0.1045</v>
      </c>
      <c r="T22" s="81">
        <f>S22*$T$18</f>
        <v>37081.12485</v>
      </c>
      <c r="V22" s="75" t="s">
        <v>81</v>
      </c>
      <c r="W22" s="37"/>
      <c r="X22" s="38">
        <f>W22/T12</f>
        <v>0</v>
      </c>
      <c r="Y22" s="29"/>
      <c r="Z22" s="29"/>
      <c r="AA22" s="70"/>
      <c r="AB22" s="72" t="s">
        <v>82</v>
      </c>
      <c r="AC22" s="69"/>
      <c r="AD22" s="54">
        <f>SUM(AD17:AD20)/0.88</f>
        <v>3946.2500000000005</v>
      </c>
      <c r="AE22" s="74"/>
      <c r="AN22" s="11">
        <f>AN21-2.2</f>
        <v>19.8</v>
      </c>
      <c r="AP22" s="11">
        <v>60</v>
      </c>
    </row>
    <row r="23" spans="1:42" ht="30" customHeight="1" thickBot="1" x14ac:dyDescent="0.25">
      <c r="A23" s="55">
        <f>A22*A11</f>
        <v>0</v>
      </c>
      <c r="B23" s="607">
        <v>0.84</v>
      </c>
      <c r="C23" s="606"/>
      <c r="D23" s="318">
        <f>G22*C16</f>
        <v>1041442.5</v>
      </c>
      <c r="E23" s="319"/>
      <c r="F23" s="468">
        <f>G23/C11</f>
        <v>62250</v>
      </c>
      <c r="G23" s="239">
        <f>D23*0.3</f>
        <v>312432.75</v>
      </c>
      <c r="I23" s="21" t="s">
        <v>83</v>
      </c>
      <c r="J23" s="39"/>
      <c r="K23" s="383">
        <f>SUM(K18:K22)</f>
        <v>904692.56744999997</v>
      </c>
      <c r="M23" s="154"/>
      <c r="N23" s="155"/>
      <c r="O23" s="156">
        <v>0</v>
      </c>
      <c r="P23" s="29">
        <f>P22-P21</f>
        <v>-646006.61099999992</v>
      </c>
      <c r="Q23" s="29"/>
      <c r="R23" s="21" t="s">
        <v>83</v>
      </c>
      <c r="S23" s="39"/>
      <c r="T23" s="80">
        <f>SUM(T18:T22)</f>
        <v>491635.39215000009</v>
      </c>
      <c r="V23" s="75" t="s">
        <v>84</v>
      </c>
      <c r="W23" s="37"/>
      <c r="X23" s="36">
        <f>W23/T13</f>
        <v>0</v>
      </c>
      <c r="Y23" s="29"/>
      <c r="Z23" s="29"/>
      <c r="AA23" s="70"/>
      <c r="AB23" s="96" t="s">
        <v>19</v>
      </c>
      <c r="AC23" s="96"/>
      <c r="AD23" s="96"/>
      <c r="AE23" s="74"/>
      <c r="AN23" s="152">
        <f>G22/AN21</f>
        <v>0.18935318181818184</v>
      </c>
      <c r="AP23" s="11">
        <v>25000</v>
      </c>
    </row>
    <row r="24" spans="1:42" ht="30" customHeight="1" thickBot="1" x14ac:dyDescent="0.25">
      <c r="A24" s="152">
        <f>A23/D23</f>
        <v>0</v>
      </c>
      <c r="B24" s="208" t="s">
        <v>85</v>
      </c>
      <c r="C24" s="216">
        <f>E24/D23</f>
        <v>2.7175600289828756E-2</v>
      </c>
      <c r="D24" s="318"/>
      <c r="E24" s="217">
        <f>D23-D21-A23</f>
        <v>28301.825104839983</v>
      </c>
      <c r="F24" s="261">
        <v>0.8</v>
      </c>
      <c r="G24" s="239">
        <f>D23*0.7</f>
        <v>729009.75</v>
      </c>
      <c r="I24" s="385" t="s">
        <v>87</v>
      </c>
      <c r="J24" s="386"/>
      <c r="K24" s="387">
        <f>(SUM($K$18:$K$22)+$K$26+$K$27)/(1-$J$25)</f>
        <v>909964.50945000001</v>
      </c>
      <c r="M24" s="163" t="s">
        <v>585</v>
      </c>
      <c r="N24" s="164"/>
      <c r="O24" s="165">
        <f>O15+O16+O28+O29+O31+O33+O20+O21</f>
        <v>4.0150257531249993</v>
      </c>
      <c r="P24" s="482">
        <f>O24*K12</f>
        <v>1003756.4382812498</v>
      </c>
      <c r="Q24" s="29"/>
      <c r="R24" s="25" t="s">
        <v>87</v>
      </c>
      <c r="S24" s="30"/>
      <c r="T24" s="81">
        <f>(SUM($T$18:$T$22)+$T$26+$T$27)/(1-$S$25)</f>
        <v>494340.39815000008</v>
      </c>
      <c r="V24" s="75" t="s">
        <v>88</v>
      </c>
      <c r="W24" s="138">
        <v>0</v>
      </c>
      <c r="X24" s="36">
        <f>W24/T14</f>
        <v>0</v>
      </c>
      <c r="Y24" s="29"/>
      <c r="Z24" s="29"/>
      <c r="AA24" s="70"/>
      <c r="AB24" s="72" t="s">
        <v>89</v>
      </c>
      <c r="AC24" s="68"/>
      <c r="AD24" s="69"/>
      <c r="AE24" s="91"/>
      <c r="AP24" s="11">
        <f>AP23</f>
        <v>25000</v>
      </c>
    </row>
    <row r="25" spans="1:42" ht="30" customHeight="1" thickBot="1" x14ac:dyDescent="0.25">
      <c r="A25" s="341"/>
      <c r="B25" s="358"/>
      <c r="C25" s="498"/>
      <c r="D25" s="332"/>
      <c r="E25" s="517"/>
      <c r="F25" s="55"/>
      <c r="G25" s="365"/>
      <c r="I25" s="385" t="s">
        <v>76</v>
      </c>
      <c r="J25" s="388">
        <v>0</v>
      </c>
      <c r="K25" s="389">
        <f>K24*J25</f>
        <v>0</v>
      </c>
      <c r="M25" s="455" t="s">
        <v>102</v>
      </c>
      <c r="N25" s="456"/>
      <c r="O25" s="457">
        <f>O24/K14</f>
        <v>0.79996528255130483</v>
      </c>
      <c r="P25" s="61">
        <f>O25*K12</f>
        <v>199991.3206378262</v>
      </c>
      <c r="Q25" s="29"/>
      <c r="R25" s="25" t="s">
        <v>76</v>
      </c>
      <c r="S25" s="35">
        <v>0</v>
      </c>
      <c r="T25" s="82">
        <f>T24*S25</f>
        <v>0</v>
      </c>
      <c r="V25" s="75" t="s">
        <v>88</v>
      </c>
      <c r="W25" s="138"/>
      <c r="X25" s="137">
        <v>0</v>
      </c>
      <c r="Y25" s="29"/>
      <c r="Z25" s="29"/>
      <c r="AA25" s="70"/>
      <c r="AB25" s="41" t="s">
        <v>56</v>
      </c>
      <c r="AC25" s="57">
        <v>2966</v>
      </c>
      <c r="AD25" s="58">
        <f>AC25/1.3</f>
        <v>2281.5384615384614</v>
      </c>
      <c r="AE25" s="74"/>
    </row>
    <row r="26" spans="1:42" ht="35.5" customHeight="1" thickBot="1" x14ac:dyDescent="0.25">
      <c r="A26" s="235"/>
      <c r="B26" s="208" t="s">
        <v>77</v>
      </c>
      <c r="C26" s="265">
        <f>(C27+G23)/C16/C11</f>
        <v>0.86596069605494952</v>
      </c>
      <c r="D26" s="318">
        <f>G26*C16</f>
        <v>1086564.1833749479</v>
      </c>
      <c r="E26" s="342"/>
      <c r="F26" s="208" t="s">
        <v>79</v>
      </c>
      <c r="G26" s="343">
        <f>$C$26*$C$11</f>
        <v>4.3462567334997919</v>
      </c>
      <c r="I26" s="385" t="s">
        <v>90</v>
      </c>
      <c r="J26" s="386"/>
      <c r="K26" s="390">
        <f>115.67+38.56*2</f>
        <v>192.79000000000002</v>
      </c>
      <c r="M26" s="458" t="s">
        <v>104</v>
      </c>
      <c r="N26" s="459">
        <f>O26/O24</f>
        <v>3.7545026145267613E-2</v>
      </c>
      <c r="O26" s="460">
        <f>O39-O24</f>
        <v>0.15074424687500088</v>
      </c>
      <c r="P26" s="298">
        <f>N26*P39</f>
        <v>39100.985891292868</v>
      </c>
      <c r="Q26" s="29"/>
      <c r="R26" s="25" t="s">
        <v>90</v>
      </c>
      <c r="S26" s="30"/>
      <c r="T26" s="83">
        <f>115.67+38.56</f>
        <v>154.23000000000002</v>
      </c>
      <c r="V26" s="75" t="s">
        <v>88</v>
      </c>
      <c r="W26" s="138"/>
      <c r="X26" s="137">
        <v>0</v>
      </c>
      <c r="Y26" s="29"/>
      <c r="Z26" s="29"/>
      <c r="AA26" s="70"/>
      <c r="AB26" s="45" t="s">
        <v>60</v>
      </c>
      <c r="AC26" s="59">
        <v>197</v>
      </c>
      <c r="AD26" s="47">
        <f>AC26</f>
        <v>197</v>
      </c>
      <c r="AE26" s="74"/>
      <c r="AG26" s="11">
        <f>670000</f>
        <v>670000</v>
      </c>
    </row>
    <row r="27" spans="1:42" ht="30" customHeight="1" thickBot="1" x14ac:dyDescent="0.25">
      <c r="B27" s="208"/>
      <c r="C27" s="318">
        <f>FV(E12,C12,,G24)*-1</f>
        <v>774131.43337494798</v>
      </c>
      <c r="D27" s="331"/>
      <c r="E27" s="217">
        <f>D26-D21-A23</f>
        <v>73423.508479787852</v>
      </c>
      <c r="F27" s="332">
        <f>29211.53</f>
        <v>29211.53</v>
      </c>
      <c r="G27" s="333">
        <f>F27-E24</f>
        <v>909.70489516001544</v>
      </c>
      <c r="I27" s="385" t="s">
        <v>93</v>
      </c>
      <c r="J27" s="391">
        <v>0.08</v>
      </c>
      <c r="K27" s="392">
        <f>(K16)*J27+20</f>
        <v>5079.152</v>
      </c>
      <c r="M27" s="435" t="s">
        <v>108</v>
      </c>
      <c r="N27" s="434"/>
      <c r="O27" s="436">
        <f>G22-O33-O31</f>
        <v>4.1032834500000002</v>
      </c>
      <c r="P27" s="61">
        <f>P24*N29</f>
        <v>76285.489309374985</v>
      </c>
      <c r="Q27" s="29"/>
      <c r="R27" s="25" t="s">
        <v>93</v>
      </c>
      <c r="S27" s="139">
        <v>0.08</v>
      </c>
      <c r="T27" s="84">
        <f>(T16+T17)*S27+21.2</f>
        <v>2550.7759999999998</v>
      </c>
      <c r="V27" s="75" t="s">
        <v>88</v>
      </c>
      <c r="W27" s="138"/>
      <c r="X27" s="137">
        <v>0</v>
      </c>
      <c r="Y27" s="29"/>
      <c r="Z27" s="29"/>
      <c r="AA27" s="70"/>
      <c r="AB27" s="45" t="s">
        <v>65</v>
      </c>
      <c r="AC27" s="60">
        <v>1E-3</v>
      </c>
      <c r="AD27" s="47">
        <f>AC27*K24</f>
        <v>909.96450945000004</v>
      </c>
      <c r="AE27" s="74"/>
      <c r="AG27" s="11">
        <f>AG26*0.001</f>
        <v>670</v>
      </c>
      <c r="AH27" s="11">
        <v>570000</v>
      </c>
    </row>
    <row r="28" spans="1:42" ht="30" customHeight="1" thickBot="1" x14ac:dyDescent="0.25">
      <c r="B28" s="329"/>
      <c r="C28" s="289">
        <f>20000*8</f>
        <v>160000</v>
      </c>
      <c r="D28" s="337"/>
      <c r="E28" s="497"/>
      <c r="F28" s="489"/>
      <c r="G28" s="330">
        <f>G27/2</f>
        <v>454.85244758000772</v>
      </c>
      <c r="I28" s="385" t="s">
        <v>94</v>
      </c>
      <c r="J28" s="386"/>
      <c r="K28" s="392">
        <f>AD43*$D$15</f>
        <v>5000</v>
      </c>
      <c r="M28" s="437" t="s">
        <v>74</v>
      </c>
      <c r="N28" s="434">
        <v>1.6500000000000001E-2</v>
      </c>
      <c r="O28" s="438">
        <f>$O$27*N28</f>
        <v>6.7704176925000012E-2</v>
      </c>
      <c r="P28" s="298">
        <f>O28*$K$12</f>
        <v>16926.044231250002</v>
      </c>
      <c r="Q28" s="29"/>
      <c r="R28" s="25" t="s">
        <v>94</v>
      </c>
      <c r="S28" s="30"/>
      <c r="T28" s="85">
        <f>AD43*$D$30</f>
        <v>2500</v>
      </c>
      <c r="V28" s="75" t="s">
        <v>88</v>
      </c>
      <c r="W28" s="138"/>
      <c r="X28" s="137">
        <v>0</v>
      </c>
      <c r="Y28" s="29"/>
      <c r="Z28" s="29"/>
      <c r="AA28" s="70"/>
      <c r="AB28" s="45" t="s">
        <v>72</v>
      </c>
      <c r="AC28" s="62">
        <v>0.15</v>
      </c>
      <c r="AD28" s="47">
        <f>AC25*AC28</f>
        <v>444.9</v>
      </c>
      <c r="AE28" s="74"/>
      <c r="AH28" s="11">
        <f>AH27*0.001</f>
        <v>570</v>
      </c>
    </row>
    <row r="29" spans="1:42" ht="30" customHeight="1" thickBot="1" x14ac:dyDescent="0.25">
      <c r="A29" s="151"/>
      <c r="B29" s="281" t="s">
        <v>91</v>
      </c>
      <c r="C29" s="611" t="s">
        <v>354</v>
      </c>
      <c r="D29" s="612"/>
      <c r="E29" s="279" t="s">
        <v>23</v>
      </c>
      <c r="F29" s="209" t="str">
        <f>VLOOKUP(C29,'NCMS E ALÍQUOTAS'!$B$3:$C$254,2,FALSE)</f>
        <v>5407.52.10</v>
      </c>
      <c r="G29" s="306"/>
      <c r="I29" s="385" t="s">
        <v>96</v>
      </c>
      <c r="J29" s="393">
        <f>K14*1.025</f>
        <v>5.1444749999999999</v>
      </c>
      <c r="K29" s="392">
        <f>(J16*J29)-K16</f>
        <v>1580.9850000000006</v>
      </c>
      <c r="M29" s="439" t="s">
        <v>80</v>
      </c>
      <c r="N29" s="434">
        <v>7.5999999999999998E-2</v>
      </c>
      <c r="O29" s="440">
        <f>$O$27*N29</f>
        <v>0.3118495422</v>
      </c>
      <c r="P29" s="483">
        <f>O29*$K$12</f>
        <v>77962.385549999992</v>
      </c>
      <c r="Q29" s="29"/>
      <c r="R29" s="25" t="s">
        <v>96</v>
      </c>
      <c r="S29" s="48">
        <f>T14*1.02</f>
        <v>5.1193800000000005</v>
      </c>
      <c r="T29" s="85">
        <f>(S16*S29)-T16</f>
        <v>632.39400000000387</v>
      </c>
      <c r="V29" s="75" t="s">
        <v>88</v>
      </c>
      <c r="W29" s="138"/>
      <c r="X29" s="137">
        <v>0</v>
      </c>
      <c r="Y29" s="29"/>
      <c r="Z29" s="29"/>
      <c r="AA29" s="70"/>
      <c r="AB29" s="51" t="s">
        <v>76</v>
      </c>
      <c r="AC29" s="52">
        <v>0.12</v>
      </c>
      <c r="AD29" s="53">
        <f>SUM(AD25:AD28)*AC29/0.88</f>
        <v>522.73676877115383</v>
      </c>
      <c r="AE29" s="74"/>
    </row>
    <row r="30" spans="1:42" ht="34" customHeight="1" thickBot="1" x14ac:dyDescent="0.25">
      <c r="A30" s="151">
        <f>C30</f>
        <v>1</v>
      </c>
      <c r="B30" s="287" t="s">
        <v>44</v>
      </c>
      <c r="C30" s="491">
        <v>1</v>
      </c>
      <c r="D30" s="210">
        <f>$C$30/$G$11</f>
        <v>1</v>
      </c>
      <c r="E30" s="235"/>
      <c r="F30" s="278"/>
      <c r="G30" s="263"/>
      <c r="I30" s="385" t="s">
        <v>97</v>
      </c>
      <c r="J30" s="386"/>
      <c r="K30" s="392">
        <f>AD45*$D$15</f>
        <v>3600</v>
      </c>
      <c r="M30" s="435" t="s">
        <v>112</v>
      </c>
      <c r="N30" s="434"/>
      <c r="O30" s="436">
        <f>G22-O33</f>
        <v>4.1657700000000002</v>
      </c>
      <c r="P30" s="61">
        <f>P24*N31</f>
        <v>15056.346574218747</v>
      </c>
      <c r="Q30" s="29"/>
      <c r="R30" s="25" t="s">
        <v>97</v>
      </c>
      <c r="S30" s="30"/>
      <c r="T30" s="85">
        <f>AD45*$D$30</f>
        <v>1800</v>
      </c>
      <c r="V30" s="75" t="s">
        <v>88</v>
      </c>
      <c r="W30" s="138"/>
      <c r="X30" s="137">
        <v>0</v>
      </c>
      <c r="Y30" s="29"/>
      <c r="Z30" s="29"/>
      <c r="AA30" s="70"/>
      <c r="AB30" s="72" t="s">
        <v>82</v>
      </c>
      <c r="AC30" s="69"/>
      <c r="AD30" s="54">
        <f>SUM(AD25:AD28)/0.88</f>
        <v>4356.1397397596156</v>
      </c>
      <c r="AE30" s="74"/>
    </row>
    <row r="31" spans="1:42" ht="35.25" customHeight="1" thickBot="1" x14ac:dyDescent="0.25">
      <c r="A31" s="151">
        <f>C31</f>
        <v>115000</v>
      </c>
      <c r="B31" s="279" t="s">
        <v>47</v>
      </c>
      <c r="C31" s="492">
        <v>115000</v>
      </c>
      <c r="D31" s="283" t="s">
        <v>95</v>
      </c>
      <c r="E31" s="209">
        <f>VLOOKUP(C29,'TABELA MATRIZ MG'!$A$2:$Y$329,14,FALSE)</f>
        <v>120000</v>
      </c>
      <c r="F31" s="359">
        <f>C31*0.85*0.28</f>
        <v>27370.000000000004</v>
      </c>
      <c r="G31" s="292"/>
      <c r="I31" s="385" t="s">
        <v>98</v>
      </c>
      <c r="J31" s="386"/>
      <c r="K31" s="392">
        <f>AD46*$D$15</f>
        <v>5200</v>
      </c>
      <c r="M31" s="437" t="s">
        <v>76</v>
      </c>
      <c r="N31" s="434">
        <v>1.4999999999999999E-2</v>
      </c>
      <c r="O31" s="441">
        <f>$G$22*$N$31</f>
        <v>6.2486550000000002E-2</v>
      </c>
      <c r="P31" s="298">
        <f>O31*$K$12</f>
        <v>15621.637500000001</v>
      </c>
      <c r="Q31" s="29"/>
      <c r="R31" s="25" t="s">
        <v>98</v>
      </c>
      <c r="S31" s="30"/>
      <c r="T31" s="85">
        <f>AD46*$D$30</f>
        <v>2600</v>
      </c>
      <c r="V31" s="75" t="s">
        <v>88</v>
      </c>
      <c r="W31" s="138"/>
      <c r="X31" s="137">
        <v>0</v>
      </c>
      <c r="Y31" s="29"/>
      <c r="Z31" s="29"/>
      <c r="AA31" s="70"/>
      <c r="AB31"/>
      <c r="AC31"/>
      <c r="AD31"/>
      <c r="AE31" s="74"/>
    </row>
    <row r="32" spans="1:42" ht="30" customHeight="1" thickBot="1" x14ac:dyDescent="0.25">
      <c r="A32" s="151">
        <f>C32</f>
        <v>0.56000000000000005</v>
      </c>
      <c r="B32" s="279" t="s">
        <v>51</v>
      </c>
      <c r="C32" s="492">
        <v>0.56000000000000005</v>
      </c>
      <c r="D32" s="279" t="s">
        <v>52</v>
      </c>
      <c r="E32" s="215">
        <f>VLOOKUP(C29,'TABELA MATRIZ MG'!$A$2:$Y$329,25,FALSE)</f>
        <v>0.48937500000000006</v>
      </c>
      <c r="F32" s="282" t="s">
        <v>53</v>
      </c>
      <c r="G32" s="149">
        <f>VLOOKUP(C29,'TABELA MATRIZ MG'!$A$2:$BN$329,24,FALSE)</f>
        <v>0.45500000000000002</v>
      </c>
      <c r="I32" s="385" t="s">
        <v>54</v>
      </c>
      <c r="J32" s="386"/>
      <c r="K32" s="392">
        <f>AD47*$D$15</f>
        <v>2020</v>
      </c>
      <c r="M32" s="442" t="s">
        <v>115</v>
      </c>
      <c r="N32" s="434">
        <v>0.04</v>
      </c>
      <c r="O32" s="443">
        <f>G22/(1+N33)</f>
        <v>4.1657700000000002</v>
      </c>
      <c r="P32" s="29"/>
      <c r="Q32" s="29"/>
      <c r="R32" s="25" t="s">
        <v>54</v>
      </c>
      <c r="S32" s="30"/>
      <c r="T32" s="84">
        <f>AD47*$D$30</f>
        <v>1010</v>
      </c>
      <c r="V32" s="75" t="s">
        <v>88</v>
      </c>
      <c r="W32" s="138"/>
      <c r="X32" s="137">
        <v>0</v>
      </c>
      <c r="Y32" s="29"/>
      <c r="Z32" s="29"/>
      <c r="AA32" s="70"/>
      <c r="AB32" s="140" t="s">
        <v>99</v>
      </c>
      <c r="AC32" s="99"/>
      <c r="AD32" s="100"/>
      <c r="AE32" s="74"/>
    </row>
    <row r="33" spans="1:31" ht="22" thickBot="1" x14ac:dyDescent="0.25">
      <c r="A33" s="260">
        <f>C32</f>
        <v>0.56000000000000005</v>
      </c>
      <c r="B33" s="279" t="s">
        <v>57</v>
      </c>
      <c r="C33" s="213">
        <f>C31*C32</f>
        <v>64400.000000000007</v>
      </c>
      <c r="D33" s="279" t="s">
        <v>58</v>
      </c>
      <c r="E33" s="209">
        <f>C33*C11</f>
        <v>323223.60000000003</v>
      </c>
      <c r="F33" s="284">
        <v>0.2</v>
      </c>
      <c r="G33" s="239">
        <f>E33*0.2</f>
        <v>64644.720000000008</v>
      </c>
      <c r="I33" s="21" t="s">
        <v>100</v>
      </c>
      <c r="J33" s="14"/>
      <c r="K33" s="401">
        <f>K23+SUM(K25:K32)</f>
        <v>927365.49445</v>
      </c>
      <c r="M33" s="444" t="s">
        <v>70</v>
      </c>
      <c r="N33" s="434">
        <f>J20</f>
        <v>0</v>
      </c>
      <c r="O33" s="515">
        <f>N33*O32</f>
        <v>0</v>
      </c>
      <c r="P33" s="298">
        <f>O33*$K$12</f>
        <v>0</v>
      </c>
      <c r="Q33" s="29"/>
      <c r="R33" s="21" t="s">
        <v>100</v>
      </c>
      <c r="S33" s="14"/>
      <c r="T33" s="80">
        <f>T23+SUM(T25:T32)</f>
        <v>502882.79215000011</v>
      </c>
      <c r="V33" s="154" t="s">
        <v>88</v>
      </c>
      <c r="W33" s="155"/>
      <c r="X33" s="156">
        <v>0</v>
      </c>
      <c r="Y33" s="29"/>
      <c r="Z33" s="29"/>
      <c r="AA33" s="70"/>
      <c r="AB33" s="41" t="s">
        <v>56</v>
      </c>
      <c r="AC33" s="57">
        <v>6316</v>
      </c>
      <c r="AD33" s="58">
        <f>AC33</f>
        <v>6316</v>
      </c>
      <c r="AE33" s="74"/>
    </row>
    <row r="34" spans="1:31" ht="28.5" customHeight="1" thickBot="1" x14ac:dyDescent="0.25">
      <c r="A34" s="307">
        <f>A31*A32</f>
        <v>64400.000000000007</v>
      </c>
      <c r="B34" s="280" t="s">
        <v>61</v>
      </c>
      <c r="C34" s="213">
        <f>G10*D30</f>
        <v>6300</v>
      </c>
      <c r="D34" s="280" t="s">
        <v>62</v>
      </c>
      <c r="E34" s="209">
        <f>C34*C11</f>
        <v>31619.7</v>
      </c>
      <c r="F34" s="288">
        <v>0.8</v>
      </c>
      <c r="G34" s="239"/>
      <c r="I34" s="394" t="s">
        <v>588</v>
      </c>
      <c r="J34" s="395"/>
      <c r="K34" s="84">
        <f>AD49*$D$15</f>
        <v>26000</v>
      </c>
      <c r="M34" s="445"/>
      <c r="N34" s="446"/>
      <c r="O34" s="447">
        <f>O24+O28+O29+O31</f>
        <v>4.4570660222499994</v>
      </c>
      <c r="P34" s="298">
        <v>0</v>
      </c>
      <c r="Q34" s="29"/>
      <c r="R34" s="75" t="s">
        <v>101</v>
      </c>
      <c r="S34" s="30"/>
      <c r="T34" s="84">
        <f>AD49*$D$30</f>
        <v>13000</v>
      </c>
      <c r="V34" s="163" t="s">
        <v>24</v>
      </c>
      <c r="W34" s="164"/>
      <c r="X34" s="165">
        <f>X16+X17+X39+X40+X42+X44+X47+X48+X49</f>
        <v>4.9380588647673926</v>
      </c>
      <c r="Y34" s="153">
        <f>X34*T12</f>
        <v>567876.76944825018</v>
      </c>
      <c r="Z34" s="29"/>
      <c r="AA34" s="70"/>
      <c r="AB34" s="45" t="s">
        <v>60</v>
      </c>
      <c r="AC34" s="59">
        <v>866.8</v>
      </c>
      <c r="AD34" s="47">
        <f>AC34</f>
        <v>866.8</v>
      </c>
      <c r="AE34" s="74"/>
    </row>
    <row r="35" spans="1:31" ht="28.5" customHeight="1" thickBot="1" x14ac:dyDescent="0.25">
      <c r="A35" s="307">
        <f>A31*A33</f>
        <v>64400.000000000007</v>
      </c>
      <c r="B35" s="279" t="s">
        <v>66</v>
      </c>
      <c r="C35" s="213">
        <f>C34+C33</f>
        <v>70700</v>
      </c>
      <c r="D35" s="279" t="s">
        <v>67</v>
      </c>
      <c r="E35" s="209">
        <f>C35*C11</f>
        <v>354843.3</v>
      </c>
      <c r="F35" s="285" t="s">
        <v>68</v>
      </c>
      <c r="G35" s="286" t="s">
        <v>69</v>
      </c>
      <c r="I35" s="394"/>
      <c r="J35" s="395"/>
      <c r="K35" s="397"/>
      <c r="M35" s="435" t="s">
        <v>116</v>
      </c>
      <c r="N35" s="448"/>
      <c r="O35" s="436">
        <f>P26</f>
        <v>39100.985891292868</v>
      </c>
      <c r="P35" s="55">
        <v>59999.99</v>
      </c>
      <c r="Q35" s="29"/>
      <c r="R35" s="75"/>
      <c r="S35" s="30"/>
      <c r="T35" s="86"/>
      <c r="V35" s="157" t="s">
        <v>102</v>
      </c>
      <c r="W35" s="158"/>
      <c r="X35" s="159">
        <f>X34/T14</f>
        <v>0.98387305534317449</v>
      </c>
      <c r="Y35" s="29"/>
      <c r="Z35" s="29"/>
      <c r="AA35" s="70"/>
      <c r="AB35" s="45" t="s">
        <v>65</v>
      </c>
      <c r="AC35" s="60">
        <v>1E-3</v>
      </c>
      <c r="AD35" s="47">
        <f>AC35*(K33+T33)</f>
        <v>1430.2482866000003</v>
      </c>
      <c r="AE35" s="74"/>
    </row>
    <row r="36" spans="1:31" ht="31.5" customHeight="1" thickBot="1" x14ac:dyDescent="0.25">
      <c r="A36" s="152">
        <f>A35/A34-1</f>
        <v>0</v>
      </c>
      <c r="B36" s="609" t="s">
        <v>73</v>
      </c>
      <c r="C36" s="610"/>
      <c r="D36" s="320">
        <f>T47+Y19+Y39+Y40+Y42+Y44+Y47+Y48+Y49-T43+Y57</f>
        <v>567876.76944825007</v>
      </c>
      <c r="E36" s="321"/>
      <c r="F36" s="241">
        <f>G36/$C$11</f>
        <v>0.98387305534317426</v>
      </c>
      <c r="G36" s="237">
        <f>D36/C31</f>
        <v>4.9380588647673918</v>
      </c>
      <c r="I36" s="394" t="s">
        <v>75</v>
      </c>
      <c r="J36" s="395"/>
      <c r="K36" s="396">
        <v>1000</v>
      </c>
      <c r="M36" s="437" t="s">
        <v>118</v>
      </c>
      <c r="N36" s="434">
        <v>0.09</v>
      </c>
      <c r="O36" s="441">
        <f>P36/$K$12</f>
        <v>1.4076354920865432E-2</v>
      </c>
      <c r="P36" s="298">
        <f>O35*N36</f>
        <v>3519.0887302163578</v>
      </c>
      <c r="Q36" s="29"/>
      <c r="R36" s="75" t="s">
        <v>75</v>
      </c>
      <c r="S36" s="30"/>
      <c r="T36" s="84">
        <v>1000</v>
      </c>
      <c r="V36" s="163" t="s">
        <v>104</v>
      </c>
      <c r="W36" s="176">
        <f>X36/X34</f>
        <v>-3.9365397010731138E-3</v>
      </c>
      <c r="X36" s="165">
        <f>X37-X34</f>
        <v>-1.9438864767392872E-2</v>
      </c>
      <c r="Y36" s="153">
        <f>W36*Y37</f>
        <v>-2226.6694340166073</v>
      </c>
      <c r="Z36" s="29"/>
      <c r="AA36" s="70"/>
      <c r="AB36" s="45" t="s">
        <v>72</v>
      </c>
      <c r="AC36" s="62">
        <v>0.15</v>
      </c>
      <c r="AD36" s="47">
        <f>AC33*AC36</f>
        <v>947.4</v>
      </c>
      <c r="AE36" s="74"/>
    </row>
    <row r="37" spans="1:31" ht="28.5" customHeight="1" thickBot="1" x14ac:dyDescent="0.25">
      <c r="A37" s="490">
        <f>A34-A35</f>
        <v>0</v>
      </c>
      <c r="B37" s="279" t="s">
        <v>77</v>
      </c>
      <c r="C37" s="493">
        <v>0.98</v>
      </c>
      <c r="D37" s="282" t="s">
        <v>78</v>
      </c>
      <c r="E37" s="234">
        <f>VLOOKUP(C29,'TABELA MATRIZ MG'!$A$2:$BN$329,66,FALSE)</f>
        <v>0.87</v>
      </c>
      <c r="F37" s="283" t="s">
        <v>79</v>
      </c>
      <c r="G37" s="248">
        <f>$C$37*$C$11</f>
        <v>4.9186199999999998</v>
      </c>
      <c r="I37" s="394" t="s">
        <v>105</v>
      </c>
      <c r="J37" s="398"/>
      <c r="K37" s="396">
        <v>0</v>
      </c>
      <c r="M37" s="437" t="s">
        <v>120</v>
      </c>
      <c r="N37" s="434">
        <v>0.15</v>
      </c>
      <c r="O37" s="441">
        <f>P37/$K$12</f>
        <v>2.3460591534775723E-2</v>
      </c>
      <c r="P37" s="298">
        <f>N37*O35</f>
        <v>5865.1478836939305</v>
      </c>
      <c r="Q37" s="29"/>
      <c r="R37" s="75" t="s">
        <v>105</v>
      </c>
      <c r="S37" s="35"/>
      <c r="T37" s="85"/>
      <c r="V37" s="171" t="s">
        <v>106</v>
      </c>
      <c r="W37" s="172"/>
      <c r="X37" s="173">
        <f>G37</f>
        <v>4.9186199999999998</v>
      </c>
      <c r="Y37" s="170">
        <f>X37*T12</f>
        <v>565641.29999999993</v>
      </c>
      <c r="Z37" s="29"/>
      <c r="AA37" s="70"/>
      <c r="AB37" s="51" t="s">
        <v>76</v>
      </c>
      <c r="AC37" s="52">
        <v>0.12</v>
      </c>
      <c r="AD37" s="53">
        <f>SUM(AD33:AD36)*AC37/0.88</f>
        <v>1303.6974936272727</v>
      </c>
      <c r="AE37" s="74"/>
    </row>
    <row r="38" spans="1:31" ht="28.5" customHeight="1" thickBot="1" x14ac:dyDescent="0.25">
      <c r="A38" s="55">
        <f>A37*A26</f>
        <v>0</v>
      </c>
      <c r="B38" s="281" t="s">
        <v>103</v>
      </c>
      <c r="C38" s="282"/>
      <c r="D38" s="318">
        <f>G37*C31</f>
        <v>565641.29999999993</v>
      </c>
      <c r="E38" s="319"/>
      <c r="F38" s="284">
        <v>0.2</v>
      </c>
      <c r="G38" s="239">
        <f>D38*0.2</f>
        <v>113128.26</v>
      </c>
      <c r="I38" s="394" t="s">
        <v>107</v>
      </c>
      <c r="J38" s="398"/>
      <c r="K38" s="396">
        <v>0</v>
      </c>
      <c r="M38" s="445" t="s">
        <v>121</v>
      </c>
      <c r="N38" s="449">
        <v>0.1</v>
      </c>
      <c r="O38" s="441">
        <f>P38/$K$12</f>
        <v>0</v>
      </c>
      <c r="P38" s="104">
        <f>IF(O35&gt;=P35,(O35-P35)*N38,IF(O35&lt;P35,P34*N38))</f>
        <v>0</v>
      </c>
      <c r="Q38" s="61"/>
      <c r="R38" s="75" t="s">
        <v>107</v>
      </c>
      <c r="S38" s="35"/>
      <c r="T38" s="85"/>
      <c r="V38" s="160" t="s">
        <v>108</v>
      </c>
      <c r="W38" s="161"/>
      <c r="X38" s="162">
        <f>G37-X44-X42</f>
        <v>4.8448406999999998</v>
      </c>
      <c r="Y38" s="61"/>
      <c r="Z38" s="61"/>
      <c r="AA38" s="70"/>
      <c r="AB38" s="72" t="s">
        <v>82</v>
      </c>
      <c r="AC38" s="69"/>
      <c r="AD38" s="54">
        <f>SUM(AD33:AD36)+AD22</f>
        <v>13506.6982866</v>
      </c>
      <c r="AE38" s="74"/>
    </row>
    <row r="39" spans="1:31" ht="28.5" customHeight="1" thickBot="1" x14ac:dyDescent="0.25">
      <c r="B39" s="279" t="s">
        <v>85</v>
      </c>
      <c r="C39" s="216">
        <f>E39/D38</f>
        <v>-3.952097288953506E-3</v>
      </c>
      <c r="D39" s="279" t="s">
        <v>86</v>
      </c>
      <c r="E39" s="217">
        <f>D38-D36</f>
        <v>-2235.4694482501363</v>
      </c>
      <c r="F39" s="288">
        <v>0.8</v>
      </c>
      <c r="G39" s="239">
        <f>D38*0.8</f>
        <v>452513.04</v>
      </c>
      <c r="I39" s="394" t="s">
        <v>14</v>
      </c>
      <c r="J39" s="395"/>
      <c r="K39" s="399">
        <v>0</v>
      </c>
      <c r="M39" s="431" t="s">
        <v>586</v>
      </c>
      <c r="N39" s="433">
        <f>O39/5.45</f>
        <v>0.76436146788990822</v>
      </c>
      <c r="O39" s="432">
        <f>G22</f>
        <v>4.1657700000000002</v>
      </c>
      <c r="P39" s="484">
        <f>O39*K12</f>
        <v>1041442.5</v>
      </c>
      <c r="R39" s="75" t="s">
        <v>14</v>
      </c>
      <c r="S39" s="30"/>
      <c r="T39" s="87">
        <f>IF(C10="CABOTAGEM",AE17,IF(C10="IBITINGA",AE32,IF(C10="MINAS",AE22)))*$D$30</f>
        <v>0</v>
      </c>
      <c r="V39" s="166" t="s">
        <v>74</v>
      </c>
      <c r="W39" s="174">
        <f>VLOOKUP($C$29,'NCMS E ALÍQUOTAS'!$B$2:$O$2225,7,FALSE)</f>
        <v>6.4999999999999997E-3</v>
      </c>
      <c r="X39" s="175">
        <f>$X$38*W39</f>
        <v>3.1491464549999994E-2</v>
      </c>
      <c r="Y39" s="153">
        <f>X39*$T$12</f>
        <v>3621.5184232499992</v>
      </c>
      <c r="AA39" s="70"/>
      <c r="AE39" s="74"/>
    </row>
    <row r="40" spans="1:31" ht="28.5" customHeight="1" thickBot="1" x14ac:dyDescent="0.25">
      <c r="B40" s="70"/>
      <c r="D40" s="230"/>
      <c r="E40" s="497">
        <f>E39-A35</f>
        <v>-66635.469448250136</v>
      </c>
      <c r="F40" s="294"/>
      <c r="G40" s="294"/>
      <c r="I40" s="21" t="s">
        <v>110</v>
      </c>
      <c r="J40" s="14"/>
      <c r="K40" s="400">
        <f>SUM(K33:K39)</f>
        <v>954365.49445</v>
      </c>
      <c r="M40" s="474" t="s">
        <v>575</v>
      </c>
      <c r="N40" s="361"/>
      <c r="O40" s="476">
        <f>D23+P33</f>
        <v>1041442.5</v>
      </c>
      <c r="P40" s="477">
        <f>O40/0.82</f>
        <v>1270051.8292682928</v>
      </c>
      <c r="R40" s="21" t="s">
        <v>110</v>
      </c>
      <c r="S40" s="14"/>
      <c r="T40" s="80">
        <f>SUM(T33:T39)</f>
        <v>516882.79215000011</v>
      </c>
      <c r="V40" s="167" t="s">
        <v>80</v>
      </c>
      <c r="W40" s="168">
        <f>VLOOKUP($C$29,'NCMS E ALÍQUOTAS'!$B$2:$O$2225,8,FALSE)</f>
        <v>0.03</v>
      </c>
      <c r="X40" s="169">
        <f>$X$38*W40</f>
        <v>0.145345221</v>
      </c>
      <c r="Y40" s="170">
        <f>X40*$T$12</f>
        <v>16714.700414999999</v>
      </c>
      <c r="AA40" s="70"/>
      <c r="AE40" s="74"/>
    </row>
    <row r="41" spans="1:31" ht="28.5" customHeight="1" thickBot="1" x14ac:dyDescent="0.25">
      <c r="B41" s="322" t="s">
        <v>103</v>
      </c>
      <c r="C41" s="323"/>
      <c r="D41" s="324"/>
      <c r="E41" s="218">
        <f>D38+D23</f>
        <v>1607083.7999999998</v>
      </c>
      <c r="G41" s="246"/>
      <c r="I41" s="25" t="s">
        <v>111</v>
      </c>
      <c r="J41" s="30"/>
      <c r="K41" s="244">
        <f>K40/K12</f>
        <v>3.8174619777999999</v>
      </c>
      <c r="M41" s="475" t="s">
        <v>576</v>
      </c>
      <c r="N41" s="478">
        <v>0.18</v>
      </c>
      <c r="O41" s="362"/>
      <c r="P41" s="479">
        <f>P40*N41</f>
        <v>228609.3292682927</v>
      </c>
      <c r="Q41" s="56"/>
      <c r="R41" s="25" t="s">
        <v>111</v>
      </c>
      <c r="S41" s="30"/>
      <c r="T41" s="141">
        <f>T40/T12</f>
        <v>4.4946329752173924</v>
      </c>
      <c r="V41" s="160" t="s">
        <v>112</v>
      </c>
      <c r="W41" s="161"/>
      <c r="X41" s="162">
        <f>P21-X44</f>
        <v>917977.5909999999</v>
      </c>
      <c r="Y41" s="56"/>
      <c r="Z41" s="56"/>
      <c r="AA41" s="70"/>
      <c r="AE41" s="74"/>
    </row>
    <row r="42" spans="1:31" ht="28.5" customHeight="1" thickBot="1" x14ac:dyDescent="0.25">
      <c r="B42" s="322" t="s">
        <v>109</v>
      </c>
      <c r="C42" s="323"/>
      <c r="D42" s="324"/>
      <c r="E42" s="219">
        <f>E39+E24</f>
        <v>26066.355656589847</v>
      </c>
      <c r="F42" s="294">
        <f>E42/2</f>
        <v>13033.177828294924</v>
      </c>
      <c r="G42" s="246"/>
      <c r="I42" s="21" t="s">
        <v>113</v>
      </c>
      <c r="J42" s="14"/>
      <c r="K42" s="245">
        <f>SUM(K43:K46)</f>
        <v>81947.973450000005</v>
      </c>
      <c r="M42" s="475" t="s">
        <v>577</v>
      </c>
      <c r="N42" s="478">
        <v>0.04</v>
      </c>
      <c r="O42" s="362"/>
      <c r="P42" s="479">
        <f>N42*P40</f>
        <v>50802.07317073171</v>
      </c>
      <c r="R42" s="21" t="s">
        <v>113</v>
      </c>
      <c r="S42" s="14"/>
      <c r="T42" s="88">
        <f>SUM(T43:T46)</f>
        <v>0</v>
      </c>
      <c r="V42" s="166" t="s">
        <v>76</v>
      </c>
      <c r="W42" s="174">
        <f>VLOOKUP($E$10,$AD$12:$AE$13,2,FALSE)</f>
        <v>1.4999999999999999E-2</v>
      </c>
      <c r="X42" s="153">
        <f>$G$37*$W$42</f>
        <v>7.3779299999999992E-2</v>
      </c>
      <c r="Y42" s="153">
        <f>X42*$T$12</f>
        <v>8484.6194999999989</v>
      </c>
      <c r="AA42" s="70"/>
      <c r="AB42" s="92" t="s">
        <v>114</v>
      </c>
      <c r="AC42" s="92"/>
      <c r="AD42" s="92"/>
      <c r="AE42" s="74"/>
    </row>
    <row r="43" spans="1:31" ht="28.5" customHeight="1" thickBot="1" x14ac:dyDescent="0.25">
      <c r="D43" s="260"/>
      <c r="E43" s="317"/>
      <c r="F43" s="102"/>
      <c r="I43" s="25" t="s">
        <v>34</v>
      </c>
      <c r="J43" s="35">
        <f>J20</f>
        <v>0</v>
      </c>
      <c r="K43" s="243">
        <f>K20</f>
        <v>0</v>
      </c>
      <c r="M43" s="475" t="s">
        <v>587</v>
      </c>
      <c r="N43" s="363"/>
      <c r="O43" s="362"/>
      <c r="P43" s="364"/>
      <c r="Q43" s="29"/>
      <c r="R43" s="25" t="s">
        <v>34</v>
      </c>
      <c r="S43" s="30"/>
      <c r="T43" s="81">
        <f>T20</f>
        <v>0</v>
      </c>
      <c r="V43" s="299" t="s">
        <v>115</v>
      </c>
      <c r="W43" s="300"/>
      <c r="X43" s="301">
        <f>P21/(1+W44)</f>
        <v>917977.5909999999</v>
      </c>
      <c r="Y43" s="29"/>
      <c r="Z43" s="29"/>
      <c r="AA43" s="70"/>
      <c r="AB43" s="41" t="s">
        <v>94</v>
      </c>
      <c r="AC43" s="57"/>
      <c r="AD43" s="58">
        <v>2500</v>
      </c>
      <c r="AE43" s="74"/>
    </row>
    <row r="44" spans="1:31" ht="28.5" customHeight="1" thickBot="1" x14ac:dyDescent="0.25">
      <c r="B44" s="260"/>
      <c r="C44" s="260">
        <f>280/250</f>
        <v>1.1200000000000001</v>
      </c>
      <c r="D44" s="260">
        <f>C32*C44</f>
        <v>0.62720000000000009</v>
      </c>
      <c r="E44" s="260">
        <v>0.98</v>
      </c>
      <c r="F44" s="102"/>
      <c r="G44" s="152"/>
      <c r="I44" s="25" t="s">
        <v>38</v>
      </c>
      <c r="J44" s="35">
        <f t="shared" ref="J44:J45" si="0">J21</f>
        <v>2.1000000000000001E-2</v>
      </c>
      <c r="K44" s="243">
        <f>$J$44*K18</f>
        <v>13712.409900000001</v>
      </c>
      <c r="Q44" s="29"/>
      <c r="R44" s="25" t="s">
        <v>38</v>
      </c>
      <c r="S44" s="35">
        <v>0</v>
      </c>
      <c r="T44" s="81">
        <f>$S$44*T18</f>
        <v>0</v>
      </c>
      <c r="V44" s="302" t="s">
        <v>70</v>
      </c>
      <c r="W44" s="303">
        <f>VLOOKUP($C$29,'NCMS E ALÍQUOTAS'!$B$2:$O$2225,4,FALSE)</f>
        <v>0</v>
      </c>
      <c r="X44" s="304">
        <f>W44*X43</f>
        <v>0</v>
      </c>
      <c r="Y44" s="153">
        <f>X44*$T$12</f>
        <v>0</v>
      </c>
      <c r="Z44" s="29"/>
      <c r="AA44" s="70"/>
      <c r="AB44" s="41"/>
      <c r="AC44" s="57"/>
      <c r="AD44" s="58"/>
      <c r="AE44" s="74"/>
    </row>
    <row r="45" spans="1:31" ht="28.5" customHeight="1" thickBot="1" x14ac:dyDescent="0.25">
      <c r="C45" s="297"/>
      <c r="D45" s="260"/>
      <c r="E45" s="291"/>
      <c r="F45" s="102"/>
      <c r="I45" s="25" t="s">
        <v>42</v>
      </c>
      <c r="J45" s="35">
        <f t="shared" si="0"/>
        <v>0.1045</v>
      </c>
      <c r="K45" s="243">
        <f>K18*$J$45</f>
        <v>68235.563550000006</v>
      </c>
      <c r="M45" s="11">
        <f>878417.52-872137.52</f>
        <v>6280</v>
      </c>
      <c r="Q45" s="29"/>
      <c r="R45" s="25" t="s">
        <v>42</v>
      </c>
      <c r="S45" s="35">
        <v>0</v>
      </c>
      <c r="T45" s="81">
        <f>T18*$S$45</f>
        <v>0</v>
      </c>
      <c r="V45" s="72"/>
      <c r="W45" s="68"/>
      <c r="X45" s="298">
        <f>X34+X39+X40+X42</f>
        <v>5.1886748503173932</v>
      </c>
      <c r="Y45" s="153">
        <v>0</v>
      </c>
      <c r="Z45" s="29"/>
      <c r="AA45" s="70"/>
      <c r="AB45" s="41" t="s">
        <v>97</v>
      </c>
      <c r="AC45" s="57"/>
      <c r="AD45" s="58">
        <v>1800</v>
      </c>
      <c r="AE45" s="74"/>
    </row>
    <row r="46" spans="1:31" ht="28.5" customHeight="1" thickBot="1" x14ac:dyDescent="0.25">
      <c r="A46" s="11">
        <f>B46*C46</f>
        <v>18270</v>
      </c>
      <c r="B46" s="11">
        <v>0.435</v>
      </c>
      <c r="C46" s="11">
        <v>42000</v>
      </c>
      <c r="D46" s="102">
        <v>0.78500000000000003</v>
      </c>
      <c r="E46" s="308">
        <f>C46*D46</f>
        <v>32970</v>
      </c>
      <c r="F46" s="102"/>
      <c r="G46" s="11">
        <f>96000*0.32</f>
        <v>30720</v>
      </c>
      <c r="I46" s="25" t="s">
        <v>46</v>
      </c>
      <c r="J46" s="30"/>
      <c r="K46" s="243">
        <f>K25</f>
        <v>0</v>
      </c>
      <c r="Q46" s="63"/>
      <c r="R46" s="25" t="s">
        <v>46</v>
      </c>
      <c r="S46" s="142"/>
      <c r="T46" s="81">
        <f>T25</f>
        <v>0</v>
      </c>
      <c r="V46" s="192" t="s">
        <v>116</v>
      </c>
      <c r="W46" s="193">
        <v>0.08</v>
      </c>
      <c r="X46" s="194">
        <f>Y37*W46</f>
        <v>45251.303999999996</v>
      </c>
      <c r="Y46" s="201">
        <v>59999.99</v>
      </c>
      <c r="Z46" s="63"/>
      <c r="AA46" s="70"/>
      <c r="AB46" s="41" t="s">
        <v>98</v>
      </c>
      <c r="AC46" s="57"/>
      <c r="AD46" s="58">
        <v>2600</v>
      </c>
      <c r="AE46" s="74"/>
    </row>
    <row r="47" spans="1:31" ht="28.5" customHeight="1" thickBot="1" x14ac:dyDescent="0.25">
      <c r="A47" s="11">
        <f>B47*C47</f>
        <v>4350</v>
      </c>
      <c r="B47" s="260">
        <v>0.435</v>
      </c>
      <c r="C47" s="11">
        <v>10000</v>
      </c>
      <c r="D47" s="102">
        <v>0.77500000000000002</v>
      </c>
      <c r="E47" s="308">
        <f>C47*D47</f>
        <v>7750</v>
      </c>
      <c r="F47" s="102"/>
      <c r="I47" s="402" t="s">
        <v>583</v>
      </c>
      <c r="J47" s="403"/>
      <c r="K47" s="406">
        <f>K40-K42</f>
        <v>872417.52099999995</v>
      </c>
      <c r="L47" s="404" t="s">
        <v>582</v>
      </c>
      <c r="M47" s="405"/>
      <c r="Q47" s="63"/>
      <c r="R47" s="21" t="s">
        <v>117</v>
      </c>
      <c r="S47" s="14"/>
      <c r="T47" s="80">
        <f>T40-T42</f>
        <v>516882.79215000011</v>
      </c>
      <c r="V47" s="195" t="s">
        <v>118</v>
      </c>
      <c r="W47" s="196">
        <v>0.09</v>
      </c>
      <c r="X47" s="197">
        <f>Y47/$T$12</f>
        <v>3.5414063999999995E-2</v>
      </c>
      <c r="Y47" s="197">
        <f>X46*W47</f>
        <v>4072.6173599999997</v>
      </c>
      <c r="Z47" s="63"/>
      <c r="AA47" s="70"/>
      <c r="AB47" s="41" t="s">
        <v>54</v>
      </c>
      <c r="AC47" s="57"/>
      <c r="AD47" s="58">
        <v>1010</v>
      </c>
      <c r="AE47" s="74"/>
    </row>
    <row r="48" spans="1:31" ht="28.5" customHeight="1" thickBot="1" x14ac:dyDescent="0.25">
      <c r="A48" s="11">
        <f>B48*C48</f>
        <v>12450</v>
      </c>
      <c r="B48" s="11">
        <v>0.41499999999999998</v>
      </c>
      <c r="C48" s="11">
        <v>30000</v>
      </c>
      <c r="D48" s="102">
        <v>0.73499999999999999</v>
      </c>
      <c r="E48" s="308">
        <f>C48*D48</f>
        <v>22050</v>
      </c>
      <c r="F48" s="102"/>
      <c r="G48" s="102"/>
      <c r="I48" s="407" t="s">
        <v>584</v>
      </c>
      <c r="J48" s="408"/>
      <c r="K48" s="409">
        <f>K47/K12</f>
        <v>3.4896700839999997</v>
      </c>
      <c r="M48" s="29">
        <f>870917.52-K47</f>
        <v>-1500.0009999999311</v>
      </c>
      <c r="R48" s="73" t="s">
        <v>119</v>
      </c>
      <c r="S48" s="89"/>
      <c r="T48" s="90">
        <f>T47/T12</f>
        <v>4.4946329752173924</v>
      </c>
      <c r="V48" s="195" t="s">
        <v>120</v>
      </c>
      <c r="W48" s="196">
        <v>0.15</v>
      </c>
      <c r="X48" s="197">
        <f>Y48/$T$12</f>
        <v>5.902343999999999E-2</v>
      </c>
      <c r="Y48" s="197">
        <f>W48*X46</f>
        <v>6787.6955999999991</v>
      </c>
      <c r="AA48" s="70"/>
      <c r="AB48" s="41"/>
      <c r="AC48" s="57"/>
      <c r="AD48" s="58"/>
      <c r="AE48" s="74"/>
    </row>
    <row r="49" spans="1:31" ht="28.5" customHeight="1" thickBot="1" x14ac:dyDescent="0.25">
      <c r="A49" s="11">
        <f>B49*C49</f>
        <v>16600</v>
      </c>
      <c r="B49" s="11">
        <v>0.41499999999999998</v>
      </c>
      <c r="C49" s="11">
        <v>40000</v>
      </c>
      <c r="D49" s="102">
        <v>0.72499999999999998</v>
      </c>
      <c r="E49" s="308">
        <f>C49*D49</f>
        <v>29000</v>
      </c>
      <c r="F49" s="102"/>
      <c r="R49" s="70"/>
      <c r="T49" s="102"/>
      <c r="V49" s="198" t="s">
        <v>121</v>
      </c>
      <c r="W49" s="200">
        <v>0.1</v>
      </c>
      <c r="X49" s="197">
        <f>Y49/$T$12</f>
        <v>0</v>
      </c>
      <c r="Y49" s="199">
        <f>IF(X46&gt;=Y46,(X46-Y46)*W49,IF(X46&lt;Y46,Y45*W49))</f>
        <v>0</v>
      </c>
      <c r="Z49" s="55"/>
      <c r="AA49" s="70"/>
      <c r="AB49" s="41" t="s">
        <v>597</v>
      </c>
      <c r="AC49" s="57"/>
      <c r="AD49" s="58">
        <v>13000</v>
      </c>
      <c r="AE49" s="74"/>
    </row>
    <row r="50" spans="1:31" ht="16" thickBot="1" x14ac:dyDescent="0.25">
      <c r="A50" s="11">
        <f>B50*C50</f>
        <v>53120</v>
      </c>
      <c r="B50" s="11">
        <v>0.41499999999999998</v>
      </c>
      <c r="C50" s="11">
        <v>128000</v>
      </c>
      <c r="D50" s="102">
        <v>0.72499999999999998</v>
      </c>
      <c r="E50" s="308">
        <f>C50*D50</f>
        <v>92800</v>
      </c>
      <c r="F50" s="102"/>
      <c r="G50" s="55"/>
      <c r="R50" s="70"/>
      <c r="T50" s="102"/>
      <c r="V50" s="72"/>
      <c r="W50" s="71"/>
      <c r="X50" s="104"/>
      <c r="AA50" s="70"/>
      <c r="AB50" s="41"/>
      <c r="AC50" s="57"/>
      <c r="AD50" s="58"/>
      <c r="AE50" s="74"/>
    </row>
    <row r="51" spans="1:31" ht="16" thickBot="1" x14ac:dyDescent="0.25">
      <c r="D51" s="297"/>
      <c r="E51" s="102"/>
      <c r="F51" s="102"/>
      <c r="R51" s="70"/>
      <c r="V51" s="474" t="s">
        <v>575</v>
      </c>
      <c r="W51" s="361"/>
      <c r="X51" s="476">
        <f>D38+Y44</f>
        <v>565641.29999999993</v>
      </c>
      <c r="Y51" s="477">
        <f>X51/0.82</f>
        <v>689806.46341463411</v>
      </c>
      <c r="AA51" s="70"/>
      <c r="AB51" s="41" t="s">
        <v>75</v>
      </c>
      <c r="AC51" s="57"/>
      <c r="AD51" s="58">
        <v>1000</v>
      </c>
      <c r="AE51" s="74"/>
    </row>
    <row r="52" spans="1:31" ht="16" thickBot="1" x14ac:dyDescent="0.25">
      <c r="A52" s="55">
        <f>SUM(A46:A50)</f>
        <v>104790</v>
      </c>
      <c r="B52" s="34"/>
      <c r="C52" s="55"/>
      <c r="D52" s="55"/>
      <c r="E52" s="55">
        <f>SUM(E46:E50)</f>
        <v>184570</v>
      </c>
      <c r="F52" s="102"/>
      <c r="G52" s="55"/>
      <c r="R52" s="276"/>
      <c r="V52" s="475" t="s">
        <v>576</v>
      </c>
      <c r="W52" s="478">
        <v>0.18</v>
      </c>
      <c r="X52" s="362"/>
      <c r="Y52" s="479">
        <f>Y51*W52</f>
        <v>124165.16341463414</v>
      </c>
      <c r="AA52" s="70"/>
      <c r="AB52" s="41" t="s">
        <v>105</v>
      </c>
      <c r="AC52" s="57"/>
      <c r="AD52" s="58"/>
      <c r="AE52" s="74"/>
    </row>
    <row r="53" spans="1:31" ht="16" thickBot="1" x14ac:dyDescent="0.25">
      <c r="B53" s="11">
        <f>A52/C53</f>
        <v>0.41915999999999998</v>
      </c>
      <c r="C53" s="55">
        <f>SUM(C46:C51)</f>
        <v>250000</v>
      </c>
      <c r="D53" s="259">
        <f>E52/C53</f>
        <v>0.73828000000000005</v>
      </c>
      <c r="E53" s="259"/>
      <c r="G53" s="55"/>
      <c r="I53" s="11">
        <v>100000</v>
      </c>
      <c r="J53" s="11">
        <f>I53*0.021</f>
        <v>2100</v>
      </c>
      <c r="K53" s="190">
        <f>J53+J55</f>
        <v>3725</v>
      </c>
      <c r="R53" s="70"/>
      <c r="V53" s="475" t="s">
        <v>577</v>
      </c>
      <c r="W53" s="478">
        <v>0.04</v>
      </c>
      <c r="X53" s="362"/>
      <c r="Y53" s="479">
        <f>W53*Y51</f>
        <v>27592.258536585367</v>
      </c>
      <c r="AA53" s="70"/>
      <c r="AB53" s="41" t="s">
        <v>107</v>
      </c>
      <c r="AC53" s="57"/>
      <c r="AD53" s="58"/>
      <c r="AE53" s="74"/>
    </row>
    <row r="54" spans="1:31" ht="16" thickBot="1" x14ac:dyDescent="0.25">
      <c r="C54" s="259"/>
      <c r="E54" s="113"/>
      <c r="G54" s="55"/>
      <c r="I54" s="11">
        <v>100000</v>
      </c>
      <c r="J54" s="11">
        <f>I54*0.0965</f>
        <v>9650</v>
      </c>
      <c r="K54" s="190">
        <f>J54+J56</f>
        <v>17150</v>
      </c>
      <c r="R54" s="70"/>
      <c r="T54" s="102"/>
      <c r="V54" s="475" t="s">
        <v>121</v>
      </c>
      <c r="W54" s="363"/>
      <c r="X54" s="362"/>
      <c r="Y54" s="480">
        <f>Y52-Y53</f>
        <v>96572.904878048779</v>
      </c>
      <c r="AA54" s="70"/>
      <c r="AB54" s="41" t="s">
        <v>14</v>
      </c>
      <c r="AC54" s="57"/>
      <c r="AD54" s="58">
        <f>IF(C10="CABOTAGEM",AE17,IF(C10="IBITINGA",AE32,IF(C10="MINAS",AE22)))</f>
        <v>0</v>
      </c>
      <c r="AE54" s="74"/>
    </row>
    <row r="55" spans="1:31" x14ac:dyDescent="0.2">
      <c r="B55" s="102"/>
      <c r="D55" s="259"/>
      <c r="E55" s="275"/>
      <c r="F55" s="259"/>
      <c r="G55" s="260"/>
      <c r="I55" s="11">
        <v>250000</v>
      </c>
      <c r="J55" s="11">
        <f>I55*0.0065</f>
        <v>1625</v>
      </c>
      <c r="R55" s="70"/>
      <c r="T55" s="29"/>
      <c r="X55" s="74"/>
      <c r="AA55" s="70"/>
      <c r="AE55" s="74"/>
    </row>
    <row r="56" spans="1:31" x14ac:dyDescent="0.2">
      <c r="B56" s="102"/>
      <c r="E56" s="260"/>
      <c r="F56" s="55"/>
      <c r="G56" s="102"/>
      <c r="I56" s="11">
        <v>250000</v>
      </c>
      <c r="J56" s="11">
        <f>I56*0.03</f>
        <v>7500</v>
      </c>
      <c r="R56" s="70"/>
      <c r="X56" s="74"/>
      <c r="AA56" s="70"/>
      <c r="AE56" s="74"/>
    </row>
    <row r="57" spans="1:31" x14ac:dyDescent="0.2">
      <c r="E57" s="260"/>
      <c r="F57" s="260"/>
      <c r="G57" s="55"/>
      <c r="I57" s="11">
        <v>100000</v>
      </c>
      <c r="J57" s="11">
        <f>I57*0.0165</f>
        <v>1650</v>
      </c>
      <c r="R57" s="70"/>
      <c r="X57" s="74"/>
      <c r="AA57" s="70"/>
      <c r="AE57" s="74"/>
    </row>
    <row r="58" spans="1:31" x14ac:dyDescent="0.2">
      <c r="C58" s="259"/>
      <c r="D58" s="274"/>
      <c r="F58" s="260"/>
      <c r="G58" s="204"/>
      <c r="I58" s="11">
        <v>100000</v>
      </c>
      <c r="J58" s="11">
        <f>I58*0.0765</f>
        <v>7650</v>
      </c>
      <c r="R58" s="70"/>
      <c r="X58" s="74"/>
      <c r="AA58" s="70"/>
      <c r="AE58" s="74"/>
    </row>
    <row r="59" spans="1:31" ht="16" thickBot="1" x14ac:dyDescent="0.25">
      <c r="C59" s="55"/>
      <c r="D59" s="55"/>
      <c r="F59" s="247"/>
      <c r="G59" s="203"/>
      <c r="I59" s="11">
        <v>250000</v>
      </c>
      <c r="J59" s="11">
        <f>I59*0.0165</f>
        <v>4125</v>
      </c>
      <c r="K59" s="190">
        <f>J59-J57</f>
        <v>2475</v>
      </c>
      <c r="R59" s="64"/>
      <c r="S59" s="76"/>
      <c r="T59" s="76"/>
      <c r="U59" s="76"/>
      <c r="V59" s="76"/>
      <c r="W59" s="76"/>
      <c r="X59" s="93"/>
      <c r="AA59" s="64"/>
      <c r="AB59" s="76"/>
      <c r="AC59" s="76"/>
      <c r="AD59" s="76"/>
      <c r="AE59" s="93"/>
    </row>
    <row r="60" spans="1:31" x14ac:dyDescent="0.2">
      <c r="C60" s="55"/>
      <c r="D60" s="55">
        <v>5150</v>
      </c>
      <c r="E60" s="259"/>
      <c r="F60" s="247"/>
      <c r="G60" s="203"/>
      <c r="I60" s="11">
        <v>250000</v>
      </c>
      <c r="J60" s="11">
        <f>I60*0.0765</f>
        <v>19125</v>
      </c>
      <c r="K60" s="190">
        <f>J60-J58</f>
        <v>11475</v>
      </c>
      <c r="N60" s="102"/>
      <c r="O60" s="102"/>
    </row>
    <row r="61" spans="1:31" x14ac:dyDescent="0.2">
      <c r="C61" s="267"/>
      <c r="D61" s="55">
        <f>D60*7</f>
        <v>36050</v>
      </c>
      <c r="G61" s="247"/>
      <c r="M61" s="103"/>
      <c r="N61" s="102"/>
      <c r="O61" s="102"/>
    </row>
    <row r="62" spans="1:31" x14ac:dyDescent="0.2">
      <c r="C62" s="267"/>
      <c r="D62" s="152"/>
      <c r="E62" s="360"/>
      <c r="F62" s="247"/>
      <c r="G62" s="203"/>
    </row>
    <row r="63" spans="1:31" x14ac:dyDescent="0.2">
      <c r="C63" s="267"/>
      <c r="E63" s="360"/>
      <c r="F63" s="202"/>
      <c r="G63" s="203"/>
    </row>
    <row r="64" spans="1:31" x14ac:dyDescent="0.2">
      <c r="C64" s="267"/>
      <c r="D64" s="151"/>
      <c r="F64" s="151"/>
      <c r="G64" s="55"/>
    </row>
    <row r="65" spans="3:15" x14ac:dyDescent="0.2">
      <c r="C65" s="267"/>
      <c r="D65" s="151"/>
      <c r="F65" s="202">
        <v>10.5</v>
      </c>
      <c r="G65" s="203"/>
    </row>
    <row r="66" spans="3:15" x14ac:dyDescent="0.2">
      <c r="E66" s="260"/>
      <c r="G66" s="34"/>
    </row>
    <row r="68" spans="3:15" x14ac:dyDescent="0.2">
      <c r="M68" s="29"/>
    </row>
    <row r="69" spans="3:15" x14ac:dyDescent="0.2">
      <c r="D69" s="249"/>
      <c r="F69" s="11">
        <f>46.8</f>
        <v>46.8</v>
      </c>
      <c r="G69" s="11">
        <f>F69/4</f>
        <v>11.7</v>
      </c>
    </row>
    <row r="70" spans="3:15" x14ac:dyDescent="0.2">
      <c r="D70" s="249"/>
      <c r="F70" s="11">
        <v>62.1</v>
      </c>
      <c r="G70" s="55">
        <f>F70/4</f>
        <v>15.525</v>
      </c>
      <c r="M70" s="268"/>
      <c r="N70" s="268"/>
    </row>
    <row r="71" spans="3:15" x14ac:dyDescent="0.2">
      <c r="D71" s="249"/>
      <c r="F71"/>
    </row>
    <row r="74" spans="3:15" x14ac:dyDescent="0.2">
      <c r="C74" s="267">
        <f>30720</f>
        <v>30720</v>
      </c>
      <c r="D74" s="260">
        <f>C74*4</f>
        <v>122880</v>
      </c>
      <c r="E74" s="260">
        <f>8.97</f>
        <v>8.9700000000000006</v>
      </c>
      <c r="F74" s="260">
        <f>E74*4</f>
        <v>35.880000000000003</v>
      </c>
      <c r="G74" s="260"/>
      <c r="M74" s="260"/>
      <c r="N74" s="260"/>
      <c r="O74" s="260"/>
    </row>
    <row r="75" spans="3:15" x14ac:dyDescent="0.2">
      <c r="E75" s="260"/>
      <c r="G75" s="260"/>
      <c r="M75" s="260"/>
      <c r="N75" s="260"/>
      <c r="O75" s="260"/>
    </row>
    <row r="76" spans="3:15" x14ac:dyDescent="0.2">
      <c r="E76" s="260"/>
      <c r="G76" s="260"/>
      <c r="M76" s="260"/>
      <c r="N76" s="260"/>
      <c r="O76" s="260"/>
    </row>
    <row r="77" spans="3:15" x14ac:dyDescent="0.2">
      <c r="E77" s="260"/>
      <c r="F77" s="260">
        <f>68/E74</f>
        <v>7.5808249721293191</v>
      </c>
      <c r="G77" s="260"/>
      <c r="M77" s="260"/>
      <c r="N77" s="260"/>
      <c r="O77" s="260"/>
    </row>
    <row r="78" spans="3:15" x14ac:dyDescent="0.2">
      <c r="D78" s="249"/>
      <c r="E78" s="260"/>
      <c r="F78" s="11">
        <f>F77*E74</f>
        <v>68</v>
      </c>
      <c r="G78" s="260">
        <f>C74*F77</f>
        <v>232882.94314381268</v>
      </c>
      <c r="M78" s="260"/>
      <c r="N78" s="260"/>
      <c r="O78" s="260"/>
    </row>
    <row r="79" spans="3:15" x14ac:dyDescent="0.2">
      <c r="D79" s="249"/>
      <c r="E79" s="260"/>
      <c r="G79" s="260"/>
      <c r="M79" s="260"/>
      <c r="N79" s="260"/>
      <c r="O79" s="260"/>
    </row>
    <row r="80" spans="3:15" x14ac:dyDescent="0.2">
      <c r="E80" s="260"/>
      <c r="M80" s="260"/>
      <c r="N80" s="249"/>
    </row>
    <row r="81" spans="4:28" x14ac:dyDescent="0.2">
      <c r="M81" s="260"/>
      <c r="N81" s="260"/>
      <c r="O81" s="260"/>
    </row>
    <row r="82" spans="4:28" x14ac:dyDescent="0.2">
      <c r="M82" s="260"/>
      <c r="N82" s="260"/>
      <c r="O82" s="260"/>
    </row>
    <row r="83" spans="4:28" x14ac:dyDescent="0.2">
      <c r="M83" s="260"/>
      <c r="N83" s="249"/>
    </row>
    <row r="84" spans="4:28" x14ac:dyDescent="0.2">
      <c r="M84" s="260"/>
      <c r="N84" s="260"/>
      <c r="O84" s="260"/>
    </row>
    <row r="85" spans="4:28" x14ac:dyDescent="0.2">
      <c r="D85" s="202"/>
      <c r="M85" s="260"/>
      <c r="N85" s="260"/>
      <c r="O85" s="260"/>
    </row>
    <row r="86" spans="4:28" x14ac:dyDescent="0.2">
      <c r="M86" s="260"/>
      <c r="N86" s="249"/>
    </row>
    <row r="87" spans="4:28" x14ac:dyDescent="0.2">
      <c r="M87" s="260"/>
      <c r="N87" s="260"/>
      <c r="O87" s="260"/>
      <c r="AB87" s="296"/>
    </row>
    <row r="88" spans="4:28" x14ac:dyDescent="0.2">
      <c r="M88" s="260"/>
      <c r="N88" s="260"/>
      <c r="O88" s="260"/>
      <c r="AA88" s="297"/>
    </row>
    <row r="89" spans="4:28" x14ac:dyDescent="0.2">
      <c r="M89" s="260"/>
      <c r="N89" s="249"/>
    </row>
    <row r="90" spans="4:28" x14ac:dyDescent="0.2">
      <c r="M90" s="260"/>
      <c r="N90" s="260"/>
      <c r="O90" s="260"/>
    </row>
    <row r="91" spans="4:28" x14ac:dyDescent="0.2">
      <c r="F91" s="152"/>
      <c r="G91" s="152"/>
      <c r="M91" s="260"/>
      <c r="N91" s="260"/>
      <c r="O91" s="260"/>
    </row>
    <row r="92" spans="4:28" x14ac:dyDescent="0.2">
      <c r="F92" s="152"/>
      <c r="G92" s="152"/>
      <c r="M92" s="260"/>
      <c r="N92" s="249"/>
    </row>
    <row r="93" spans="4:28" x14ac:dyDescent="0.2">
      <c r="F93" s="152"/>
      <c r="G93" s="152"/>
      <c r="M93" s="260"/>
      <c r="N93" s="260"/>
      <c r="O93" s="260"/>
    </row>
    <row r="94" spans="4:28" x14ac:dyDescent="0.2">
      <c r="M94" s="260"/>
      <c r="N94" s="260"/>
      <c r="O94" s="260"/>
    </row>
    <row r="95" spans="4:28" x14ac:dyDescent="0.2">
      <c r="M95" s="260"/>
      <c r="N95" s="249"/>
    </row>
    <row r="96" spans="4:28" x14ac:dyDescent="0.2">
      <c r="M96" s="260"/>
      <c r="N96" s="260"/>
      <c r="O96" s="260"/>
    </row>
    <row r="97" spans="3:15" x14ac:dyDescent="0.2">
      <c r="M97" s="260"/>
      <c r="N97" s="260"/>
      <c r="O97" s="260"/>
    </row>
    <row r="98" spans="3:15" x14ac:dyDescent="0.2">
      <c r="M98" s="260"/>
      <c r="N98" s="249"/>
    </row>
    <row r="104" spans="3:15" x14ac:dyDescent="0.2">
      <c r="C104" s="267"/>
      <c r="E104" s="260"/>
      <c r="G104" s="260"/>
      <c r="M104" s="260"/>
      <c r="N104" s="260"/>
      <c r="O104" s="260"/>
    </row>
    <row r="105" spans="3:15" x14ac:dyDescent="0.2">
      <c r="E105" s="260"/>
      <c r="G105" s="260"/>
      <c r="M105" s="260"/>
      <c r="N105" s="260"/>
      <c r="O105" s="260"/>
    </row>
    <row r="106" spans="3:15" x14ac:dyDescent="0.2">
      <c r="E106" s="260"/>
      <c r="G106" s="260"/>
      <c r="M106" s="260"/>
      <c r="N106" s="260"/>
      <c r="O106" s="260"/>
    </row>
    <row r="107" spans="3:15" x14ac:dyDescent="0.2">
      <c r="E107" s="260"/>
      <c r="G107" s="260"/>
      <c r="K107" s="277"/>
      <c r="M107" s="260"/>
      <c r="N107" s="260"/>
      <c r="O107" s="260"/>
    </row>
    <row r="108" spans="3:15" x14ac:dyDescent="0.2">
      <c r="D108" s="249"/>
      <c r="E108" s="260"/>
      <c r="G108" s="260"/>
      <c r="M108" s="260"/>
      <c r="N108" s="260"/>
      <c r="O108" s="260"/>
    </row>
    <row r="109" spans="3:15" x14ac:dyDescent="0.2">
      <c r="D109" s="249"/>
      <c r="E109" s="260"/>
      <c r="G109" s="260"/>
      <c r="M109" s="260"/>
      <c r="N109" s="260"/>
      <c r="O109" s="260"/>
    </row>
    <row r="110" spans="3:15" x14ac:dyDescent="0.2">
      <c r="E110" s="260"/>
      <c r="M110" s="260"/>
      <c r="N110" s="249"/>
    </row>
    <row r="112" spans="3:15" x14ac:dyDescent="0.2">
      <c r="L112" s="260"/>
    </row>
    <row r="117" spans="3:16" x14ac:dyDescent="0.2">
      <c r="C117" s="267"/>
      <c r="E117" s="260"/>
      <c r="G117" s="260"/>
      <c r="L117" s="289"/>
      <c r="M117" s="260"/>
      <c r="N117" s="260"/>
      <c r="O117" s="260"/>
      <c r="P117" s="260"/>
    </row>
    <row r="118" spans="3:16" x14ac:dyDescent="0.2">
      <c r="E118" s="260"/>
      <c r="G118" s="260"/>
      <c r="L118" s="289"/>
      <c r="M118" s="260"/>
      <c r="N118" s="260"/>
      <c r="O118" s="260"/>
      <c r="P118" s="260"/>
    </row>
    <row r="119" spans="3:16" x14ac:dyDescent="0.2">
      <c r="E119" s="260"/>
      <c r="G119" s="260"/>
      <c r="L119" s="289"/>
      <c r="M119" s="260"/>
      <c r="N119" s="260"/>
      <c r="O119" s="260"/>
      <c r="P119" s="260"/>
    </row>
    <row r="120" spans="3:16" x14ac:dyDescent="0.2">
      <c r="E120" s="260"/>
      <c r="G120" s="260"/>
      <c r="K120" s="277"/>
      <c r="L120" s="289"/>
      <c r="M120" s="260"/>
      <c r="N120" s="260"/>
      <c r="O120" s="260"/>
      <c r="P120" s="260"/>
    </row>
    <row r="121" spans="3:16" x14ac:dyDescent="0.2">
      <c r="D121" s="249"/>
      <c r="E121" s="260"/>
      <c r="G121" s="260"/>
      <c r="L121" s="289"/>
      <c r="M121" s="260"/>
      <c r="N121" s="260"/>
      <c r="O121" s="260"/>
      <c r="P121" s="260"/>
    </row>
    <row r="122" spans="3:16" x14ac:dyDescent="0.2">
      <c r="D122" s="249"/>
      <c r="E122" s="260"/>
      <c r="G122" s="260"/>
      <c r="L122" s="289"/>
      <c r="M122" s="260"/>
      <c r="N122" s="260"/>
      <c r="O122" s="260"/>
      <c r="P122" s="260"/>
    </row>
    <row r="123" spans="3:16" x14ac:dyDescent="0.2">
      <c r="M123" s="260"/>
      <c r="N123" s="249"/>
    </row>
    <row r="125" spans="3:16" x14ac:dyDescent="0.2">
      <c r="L125" s="260"/>
    </row>
    <row r="137" spans="5:7" x14ac:dyDescent="0.2">
      <c r="F137" s="152"/>
    </row>
    <row r="138" spans="5:7" x14ac:dyDescent="0.2">
      <c r="F138" s="152"/>
    </row>
    <row r="139" spans="5:7" x14ac:dyDescent="0.2">
      <c r="F139" s="152"/>
    </row>
    <row r="140" spans="5:7" x14ac:dyDescent="0.2">
      <c r="F140" s="152"/>
    </row>
    <row r="141" spans="5:7" x14ac:dyDescent="0.2">
      <c r="F141" s="152"/>
    </row>
    <row r="144" spans="5:7" x14ac:dyDescent="0.2">
      <c r="E144" s="290"/>
      <c r="F144" s="290"/>
      <c r="G144" s="290"/>
    </row>
    <row r="145" spans="5:7" x14ac:dyDescent="0.2">
      <c r="E145" s="290"/>
      <c r="F145" s="290"/>
      <c r="G145" s="290"/>
    </row>
    <row r="146" spans="5:7" x14ac:dyDescent="0.2">
      <c r="E146" s="290"/>
      <c r="F146" s="290"/>
      <c r="G146" s="290"/>
    </row>
    <row r="147" spans="5:7" x14ac:dyDescent="0.2">
      <c r="E147" s="290"/>
      <c r="F147" s="290"/>
      <c r="G147" s="290"/>
    </row>
    <row r="148" spans="5:7" x14ac:dyDescent="0.2">
      <c r="E148" s="290"/>
      <c r="F148" s="290"/>
      <c r="G148" s="290"/>
    </row>
    <row r="149" spans="5:7" x14ac:dyDescent="0.2">
      <c r="E149" s="290"/>
      <c r="F149" s="290"/>
      <c r="G149" s="290"/>
    </row>
    <row r="187" spans="4:7" x14ac:dyDescent="0.2">
      <c r="F187" s="11" t="e">
        <f>F186/E186</f>
        <v>#DIV/0!</v>
      </c>
      <c r="G187" s="11">
        <f>G186*49.54</f>
        <v>0</v>
      </c>
    </row>
    <row r="189" spans="4:7" x14ac:dyDescent="0.2">
      <c r="D189" s="11">
        <f>0.02*10000</f>
        <v>200</v>
      </c>
    </row>
    <row r="201" spans="3:5" x14ac:dyDescent="0.2">
      <c r="C201" s="11">
        <v>115000</v>
      </c>
      <c r="D201" s="11">
        <v>68</v>
      </c>
      <c r="E201" s="11">
        <f>C201/D201</f>
        <v>1691.1764705882354</v>
      </c>
    </row>
    <row r="202" spans="3:5" x14ac:dyDescent="0.2">
      <c r="E202" s="11">
        <f>E201*56</f>
        <v>94705.882352941175</v>
      </c>
    </row>
  </sheetData>
  <mergeCells count="12">
    <mergeCell ref="B36:C36"/>
    <mergeCell ref="C29:D29"/>
    <mergeCell ref="B5:G8"/>
    <mergeCell ref="C14:D14"/>
    <mergeCell ref="AG10:AK10"/>
    <mergeCell ref="AG12:AK12"/>
    <mergeCell ref="AG5:AK7"/>
    <mergeCell ref="R5:X7"/>
    <mergeCell ref="AA5:AE7"/>
    <mergeCell ref="B21:C21"/>
    <mergeCell ref="B23:C23"/>
    <mergeCell ref="I5:K7"/>
  </mergeCells>
  <conditionalFormatting sqref="C12 G12">
    <cfRule type="cellIs" dxfId="125" priority="14" operator="lessThan">
      <formula>0</formula>
    </cfRule>
  </conditionalFormatting>
  <conditionalFormatting sqref="C27">
    <cfRule type="cellIs" dxfId="124" priority="5" operator="lessThan">
      <formula>0</formula>
    </cfRule>
  </conditionalFormatting>
  <conditionalFormatting sqref="D23:D24">
    <cfRule type="cellIs" dxfId="123" priority="58" operator="lessThan">
      <formula>0</formula>
    </cfRule>
  </conditionalFormatting>
  <conditionalFormatting sqref="D26">
    <cfRule type="cellIs" dxfId="122" priority="4" operator="lessThan">
      <formula>0</formula>
    </cfRule>
  </conditionalFormatting>
  <conditionalFormatting sqref="D38">
    <cfRule type="cellIs" dxfId="121" priority="20" operator="lessThan">
      <formula>0</formula>
    </cfRule>
  </conditionalFormatting>
  <conditionalFormatting sqref="D22:E22">
    <cfRule type="cellIs" dxfId="120" priority="61" operator="lessThan">
      <formula>0</formula>
    </cfRule>
  </conditionalFormatting>
  <conditionalFormatting sqref="E16:E19 G17 E20:G20 C24">
    <cfRule type="cellIs" dxfId="119" priority="60" operator="lessThan">
      <formula>0</formula>
    </cfRule>
  </conditionalFormatting>
  <conditionalFormatting sqref="E27">
    <cfRule type="cellIs" dxfId="118" priority="7" operator="lessThan">
      <formula>0</formula>
    </cfRule>
  </conditionalFormatting>
  <conditionalFormatting sqref="E41:E42">
    <cfRule type="cellIs" dxfId="117" priority="51" operator="lessThan">
      <formula>0</formula>
    </cfRule>
  </conditionalFormatting>
  <conditionalFormatting sqref="E32:G32 E33:E34 E35:G35 C39">
    <cfRule type="cellIs" dxfId="116" priority="21" operator="lessThan">
      <formula>0</formula>
    </cfRule>
  </conditionalFormatting>
  <conditionalFormatting sqref="F23 E24">
    <cfRule type="cellIs" dxfId="115" priority="55" operator="lessThan">
      <formula>0</formula>
    </cfRule>
  </conditionalFormatting>
  <conditionalFormatting sqref="F38 E39">
    <cfRule type="cellIs" dxfId="114" priority="19" operator="lessThan">
      <formula>0</formula>
    </cfRule>
  </conditionalFormatting>
  <conditionalFormatting sqref="F14:G16">
    <cfRule type="cellIs" dxfId="113" priority="1" operator="lessThan">
      <formula>0</formula>
    </cfRule>
  </conditionalFormatting>
  <conditionalFormatting sqref="F18:G18">
    <cfRule type="cellIs" dxfId="112" priority="49" operator="lessThan">
      <formula>0</formula>
    </cfRule>
  </conditionalFormatting>
  <conditionalFormatting sqref="F29:G30 E31 D37:E37">
    <cfRule type="cellIs" dxfId="111" priority="22" operator="lessThan">
      <formula>0</formula>
    </cfRule>
  </conditionalFormatting>
  <conditionalFormatting sqref="F33:G33">
    <cfRule type="cellIs" dxfId="110" priority="18" operator="lessThan">
      <formula>0</formula>
    </cfRule>
  </conditionalFormatting>
  <conditionalFormatting sqref="G19">
    <cfRule type="cellIs" dxfId="109" priority="23" operator="lessThan">
      <formula>0</formula>
    </cfRule>
  </conditionalFormatting>
  <conditionalFormatting sqref="G22:G24">
    <cfRule type="cellIs" dxfId="108" priority="27" operator="lessThan">
      <formula>0</formula>
    </cfRule>
  </conditionalFormatting>
  <conditionalFormatting sqref="G26">
    <cfRule type="cellIs" dxfId="107" priority="3" operator="lessThan">
      <formula>0</formula>
    </cfRule>
  </conditionalFormatting>
  <conditionalFormatting sqref="G34">
    <cfRule type="cellIs" dxfId="106" priority="16" operator="lessThan">
      <formula>0</formula>
    </cfRule>
  </conditionalFormatting>
  <conditionalFormatting sqref="G37:G39">
    <cfRule type="cellIs" dxfId="105" priority="17" operator="lessThan">
      <formula>0</formula>
    </cfRule>
  </conditionalFormatting>
  <conditionalFormatting sqref="W36:W37">
    <cfRule type="cellIs" dxfId="104" priority="15" operator="lessThan">
      <formula>0</formula>
    </cfRule>
  </conditionalFormatting>
  <dataValidations count="2">
    <dataValidation type="list" allowBlank="1" showInputMessage="1" showErrorMessage="1" sqref="C10" xr:uid="{0B54DA25-7090-4281-B1F7-7BEF3EB62C69}">
      <formula1>$AB$12:$AB$14</formula1>
    </dataValidation>
    <dataValidation type="list" allowBlank="1" showInputMessage="1" showErrorMessage="1" sqref="E10" xr:uid="{541AF9F0-EBD1-4534-A45C-970C2FEF54D3}">
      <formula1>$AD$12:$AD$13</formula1>
    </dataValidation>
  </dataValidations>
  <pageMargins left="0.511811024" right="0.511811024" top="0.78740157499999996" bottom="0.78740157499999996" header="0.31496062000000002" footer="0.31496062000000002"/>
  <pageSetup paperSize="9" scale="41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57D3C6E-A242-458F-B9E0-243AD28D1AAE}">
          <x14:formula1>
            <xm:f>'NCMS E ALÍQUOTAS'!$B$3:$B$20025</xm:f>
          </x14:formula1>
          <xm:sqref>C29</xm:sqref>
        </x14:dataValidation>
        <x14:dataValidation type="list" allowBlank="1" showInputMessage="1" showErrorMessage="1" xr:uid="{1B28FC18-B45C-4C25-9C50-8F99AB065F3A}">
          <x14:formula1>
            <xm:f>'NCMS E ALÍQUOTAS'!$B$3:$B$12025</xm:f>
          </x14:formula1>
          <xm:sqref>C14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F0234-4389-314D-8938-4C016DF933C3}">
  <dimension ref="A1:AP202"/>
  <sheetViews>
    <sheetView showGridLines="0" tabSelected="1" topLeftCell="A9" zoomScaleNormal="100" zoomScaleSheetLayoutView="115" workbookViewId="0">
      <selection activeCell="C22" sqref="C22"/>
    </sheetView>
  </sheetViews>
  <sheetFormatPr baseColWidth="10" defaultColWidth="9.1640625" defaultRowHeight="15" x14ac:dyDescent="0.2"/>
  <cols>
    <col min="1" max="1" width="18.6640625" style="11" bestFit="1" customWidth="1"/>
    <col min="2" max="2" width="26.5" style="11" bestFit="1" customWidth="1"/>
    <col min="3" max="3" width="47.5" style="11" customWidth="1"/>
    <col min="4" max="4" width="37.33203125" style="11" customWidth="1"/>
    <col min="5" max="5" width="27.33203125" style="11" customWidth="1"/>
    <col min="6" max="6" width="25.5" style="11" customWidth="1"/>
    <col min="7" max="7" width="25.83203125" style="11" customWidth="1"/>
    <col min="8" max="8" width="5" style="11" customWidth="1"/>
    <col min="9" max="9" width="27" style="11" customWidth="1"/>
    <col min="10" max="10" width="13.1640625" style="11" customWidth="1"/>
    <col min="11" max="11" width="22.5" style="190" customWidth="1"/>
    <col min="12" max="12" width="4.1640625" style="11" customWidth="1"/>
    <col min="13" max="13" width="36.5" style="11" bestFit="1" customWidth="1"/>
    <col min="14" max="14" width="12.5" style="11" bestFit="1" customWidth="1"/>
    <col min="15" max="15" width="16" style="11" customWidth="1"/>
    <col min="16" max="16" width="16.83203125" style="11" customWidth="1"/>
    <col min="17" max="17" width="4.83203125" style="11" customWidth="1"/>
    <col min="18" max="18" width="27" style="11" customWidth="1"/>
    <col min="19" max="19" width="13.1640625" style="11" customWidth="1"/>
    <col min="20" max="20" width="22.5" style="11" customWidth="1"/>
    <col min="21" max="21" width="9.33203125" style="11" customWidth="1"/>
    <col min="22" max="22" width="28.83203125" style="11" customWidth="1"/>
    <col min="23" max="23" width="12.5" style="11" customWidth="1"/>
    <col min="24" max="24" width="15.83203125" style="11" customWidth="1"/>
    <col min="25" max="25" width="17.1640625" style="11" customWidth="1"/>
    <col min="26" max="26" width="9.33203125" style="11" customWidth="1"/>
    <col min="27" max="27" width="11.33203125" style="11" customWidth="1"/>
    <col min="28" max="28" width="35.83203125" style="11" customWidth="1"/>
    <col min="29" max="30" width="14.83203125" style="11" customWidth="1"/>
    <col min="31" max="31" width="15.1640625" style="11" customWidth="1"/>
    <col min="32" max="32" width="9.83203125" style="11" customWidth="1"/>
    <col min="33" max="33" width="17.5" style="11" customWidth="1"/>
    <col min="34" max="34" width="25.83203125" style="11" customWidth="1"/>
    <col min="35" max="35" width="21.33203125" style="11" customWidth="1"/>
    <col min="36" max="36" width="22.1640625" style="11" customWidth="1"/>
    <col min="37" max="37" width="20.1640625" style="11" customWidth="1"/>
    <col min="38" max="38" width="13.5" style="11" bestFit="1" customWidth="1"/>
    <col min="39" max="16384" width="9.1640625" style="11"/>
  </cols>
  <sheetData>
    <row r="1" spans="1:42" x14ac:dyDescent="0.2">
      <c r="A1" s="67"/>
      <c r="B1" s="12"/>
      <c r="C1" s="12"/>
      <c r="D1" s="12"/>
      <c r="E1" s="12"/>
      <c r="F1" s="12"/>
      <c r="G1" s="12"/>
    </row>
    <row r="2" spans="1:42" x14ac:dyDescent="0.2">
      <c r="B2" s="12"/>
      <c r="C2" s="185"/>
      <c r="D2" s="185"/>
      <c r="E2" s="310"/>
      <c r="F2" s="12"/>
      <c r="G2" s="12"/>
    </row>
    <row r="3" spans="1:42" x14ac:dyDescent="0.2">
      <c r="B3" s="12"/>
      <c r="C3" s="102">
        <v>7.968</v>
      </c>
      <c r="D3" s="309">
        <f>C3/2500</f>
        <v>3.1871999999999998E-3</v>
      </c>
      <c r="E3" s="12"/>
      <c r="F3" s="12">
        <f>1.82</f>
        <v>1.82</v>
      </c>
      <c r="G3" s="350"/>
      <c r="J3" s="11">
        <f>D23/C20</f>
        <v>8.1216352734717763</v>
      </c>
      <c r="K3" s="469">
        <f>J3/C11</f>
        <v>1.6057326703714538</v>
      </c>
    </row>
    <row r="4" spans="1:42" ht="33" customHeight="1" thickBot="1" x14ac:dyDescent="0.25">
      <c r="A4" s="260"/>
      <c r="B4" s="12"/>
      <c r="C4" s="12"/>
      <c r="D4" s="355"/>
      <c r="E4" s="12"/>
      <c r="F4" s="12">
        <v>2.1800000000000002</v>
      </c>
      <c r="G4" s="151">
        <f>F4/F3-1</f>
        <v>0.19780219780219777</v>
      </c>
      <c r="H4" s="67"/>
      <c r="I4" s="67"/>
      <c r="J4" s="67"/>
      <c r="K4" s="470">
        <f>G10*K3</f>
        <v>4014.3316759286345</v>
      </c>
      <c r="L4" s="295"/>
      <c r="M4" s="67"/>
      <c r="O4" s="67"/>
      <c r="P4" s="128"/>
      <c r="Q4" s="128"/>
      <c r="R4" s="67"/>
      <c r="S4" s="67"/>
      <c r="T4" s="67"/>
      <c r="U4" s="67"/>
      <c r="V4" s="67"/>
      <c r="W4" s="67"/>
      <c r="X4" s="67"/>
      <c r="Y4" s="128"/>
      <c r="Z4" s="128"/>
    </row>
    <row r="5" spans="1:42" ht="33" customHeight="1" x14ac:dyDescent="0.2">
      <c r="A5" s="11">
        <f>23841.99/25500</f>
        <v>0.93498000000000003</v>
      </c>
      <c r="B5" s="567" t="s">
        <v>0</v>
      </c>
      <c r="C5" s="568"/>
      <c r="D5" s="568"/>
      <c r="E5" s="568"/>
      <c r="F5" s="568"/>
      <c r="G5" s="569"/>
      <c r="H5" s="67"/>
      <c r="I5" s="576" t="s">
        <v>1</v>
      </c>
      <c r="J5" s="577"/>
      <c r="K5" s="578"/>
      <c r="L5" s="295"/>
      <c r="M5" s="516">
        <f>25315.76-27845.34</f>
        <v>-2529.5800000000017</v>
      </c>
      <c r="O5" s="67"/>
      <c r="P5" s="128"/>
      <c r="Q5" s="128"/>
      <c r="R5" s="585" t="s">
        <v>2</v>
      </c>
      <c r="S5" s="586"/>
      <c r="T5" s="586"/>
      <c r="U5" s="586"/>
      <c r="V5" s="586"/>
      <c r="W5" s="586"/>
      <c r="X5" s="587"/>
      <c r="Y5" s="128"/>
      <c r="Z5" s="128"/>
      <c r="AA5" s="591" t="s">
        <v>3</v>
      </c>
      <c r="AB5" s="592"/>
      <c r="AC5" s="592"/>
      <c r="AD5" s="592"/>
      <c r="AE5" s="593"/>
      <c r="AG5" s="554" t="s">
        <v>4</v>
      </c>
      <c r="AH5" s="555"/>
      <c r="AI5" s="555"/>
      <c r="AJ5" s="555"/>
      <c r="AK5" s="556"/>
    </row>
    <row r="6" spans="1:42" ht="15" customHeight="1" x14ac:dyDescent="0.2">
      <c r="B6" s="570"/>
      <c r="C6" s="571"/>
      <c r="D6" s="571"/>
      <c r="E6" s="571"/>
      <c r="F6" s="571"/>
      <c r="G6" s="572"/>
      <c r="H6" s="67"/>
      <c r="I6" s="579"/>
      <c r="J6" s="580"/>
      <c r="K6" s="581"/>
      <c r="L6" s="295"/>
      <c r="M6" s="67"/>
      <c r="O6" s="67"/>
      <c r="P6" s="128"/>
      <c r="Q6" s="128"/>
      <c r="R6" s="588"/>
      <c r="S6" s="589"/>
      <c r="T6" s="589"/>
      <c r="U6" s="589"/>
      <c r="V6" s="589"/>
      <c r="W6" s="589"/>
      <c r="X6" s="590"/>
      <c r="Y6" s="128"/>
      <c r="Z6" s="128"/>
      <c r="AA6" s="594"/>
      <c r="AB6" s="595"/>
      <c r="AC6" s="595"/>
      <c r="AD6" s="595"/>
      <c r="AE6" s="596"/>
      <c r="AG6" s="557"/>
      <c r="AH6" s="558"/>
      <c r="AI6" s="558"/>
      <c r="AJ6" s="558"/>
      <c r="AK6" s="559"/>
    </row>
    <row r="7" spans="1:42" ht="15" customHeight="1" thickBot="1" x14ac:dyDescent="0.25">
      <c r="B7" s="570"/>
      <c r="C7" s="571"/>
      <c r="D7" s="571"/>
      <c r="E7" s="571"/>
      <c r="F7" s="571"/>
      <c r="G7" s="572"/>
      <c r="H7" s="67"/>
      <c r="I7" s="582"/>
      <c r="J7" s="583"/>
      <c r="K7" s="584"/>
      <c r="L7" s="295"/>
      <c r="M7" s="67"/>
      <c r="O7" s="67"/>
      <c r="P7" s="128"/>
      <c r="Q7" s="128"/>
      <c r="R7" s="588"/>
      <c r="S7" s="589"/>
      <c r="T7" s="589"/>
      <c r="U7" s="589"/>
      <c r="V7" s="589"/>
      <c r="W7" s="589"/>
      <c r="X7" s="590"/>
      <c r="Y7" s="128"/>
      <c r="Z7" s="128"/>
      <c r="AA7" s="597"/>
      <c r="AB7" s="598"/>
      <c r="AC7" s="598"/>
      <c r="AD7" s="598"/>
      <c r="AE7" s="599"/>
      <c r="AG7" s="560"/>
      <c r="AH7" s="561"/>
      <c r="AI7" s="561"/>
      <c r="AJ7" s="561"/>
      <c r="AK7" s="562"/>
    </row>
    <row r="8" spans="1:42" ht="15.75" customHeight="1" thickBot="1" x14ac:dyDescent="0.25">
      <c r="B8" s="573"/>
      <c r="C8" s="574"/>
      <c r="D8" s="574"/>
      <c r="E8" s="574"/>
      <c r="F8" s="574"/>
      <c r="G8" s="575"/>
      <c r="H8" s="67"/>
      <c r="I8" s="256" t="s">
        <v>5</v>
      </c>
      <c r="J8" s="257"/>
      <c r="K8" s="258"/>
      <c r="L8" s="295"/>
      <c r="M8" s="67"/>
      <c r="O8" s="67"/>
      <c r="Q8" s="128"/>
      <c r="R8" s="129" t="s">
        <v>5</v>
      </c>
      <c r="S8" s="130"/>
      <c r="T8" s="131"/>
      <c r="V8" s="129" t="s">
        <v>6</v>
      </c>
      <c r="W8" s="130"/>
      <c r="X8" s="132"/>
      <c r="Y8" s="128"/>
      <c r="Z8" s="128"/>
      <c r="AA8" s="70"/>
      <c r="AE8" s="74"/>
      <c r="AG8" s="13" t="s">
        <v>7</v>
      </c>
      <c r="AH8" s="13" t="s">
        <v>8</v>
      </c>
      <c r="AI8" s="13" t="s">
        <v>9</v>
      </c>
      <c r="AJ8" s="13" t="s">
        <v>10</v>
      </c>
      <c r="AK8" s="13" t="s">
        <v>11</v>
      </c>
    </row>
    <row r="9" spans="1:42" ht="28.5" customHeight="1" thickBot="1" x14ac:dyDescent="0.25">
      <c r="B9" s="101"/>
      <c r="C9" s="450"/>
      <c r="D9" s="450"/>
      <c r="E9" s="450"/>
      <c r="F9" s="450"/>
      <c r="G9" s="450"/>
      <c r="H9" s="67"/>
      <c r="I9" s="21" t="s">
        <v>12</v>
      </c>
      <c r="J9" s="14"/>
      <c r="K9" s="77"/>
      <c r="L9" s="295"/>
      <c r="M9" s="485" t="s">
        <v>24</v>
      </c>
      <c r="N9" s="486"/>
      <c r="O9" s="487">
        <f>K41</f>
        <v>4.1114742059098361</v>
      </c>
      <c r="R9" s="21" t="s">
        <v>12</v>
      </c>
      <c r="S9" s="14" t="s">
        <v>13</v>
      </c>
      <c r="T9" s="77"/>
      <c r="V9" s="15"/>
      <c r="W9" s="22"/>
      <c r="X9" s="16"/>
      <c r="AA9" s="70"/>
      <c r="AC9" s="11" t="s">
        <v>15</v>
      </c>
      <c r="AD9" s="11" t="s">
        <v>16</v>
      </c>
      <c r="AE9" s="74"/>
      <c r="AG9" s="17">
        <f>(5.4571*0.2)+(5.2137*0.8)</f>
        <v>5.2623800000000003</v>
      </c>
      <c r="AH9" s="18">
        <f>C22</f>
        <v>0.9</v>
      </c>
      <c r="AI9" s="19">
        <f>AG9*AH9</f>
        <v>4.7361420000000001</v>
      </c>
      <c r="AJ9" s="19" t="s">
        <v>17</v>
      </c>
      <c r="AK9" s="20">
        <f>AI9*K12</f>
        <v>577809.32400000002</v>
      </c>
    </row>
    <row r="10" spans="1:42" ht="28.5" customHeight="1" thickBot="1" x14ac:dyDescent="0.25">
      <c r="B10" s="220" t="s">
        <v>18</v>
      </c>
      <c r="C10" s="133" t="s">
        <v>19</v>
      </c>
      <c r="D10" s="220" t="s">
        <v>20</v>
      </c>
      <c r="E10" s="133" t="s">
        <v>21</v>
      </c>
      <c r="F10" s="221" t="s">
        <v>22</v>
      </c>
      <c r="G10" s="496">
        <v>2500</v>
      </c>
      <c r="H10" s="67"/>
      <c r="I10" s="21" t="s">
        <v>23</v>
      </c>
      <c r="J10" s="14"/>
      <c r="K10" s="242" t="str">
        <f>F14</f>
        <v>5407.52.10</v>
      </c>
      <c r="M10" s="410" t="s">
        <v>31</v>
      </c>
      <c r="N10" s="411"/>
      <c r="O10" s="412">
        <f>SUM(O11:O14)</f>
        <v>0.35578139222131144</v>
      </c>
      <c r="P10" s="128"/>
      <c r="R10" s="21" t="s">
        <v>23</v>
      </c>
      <c r="S10" s="14"/>
      <c r="T10" s="134">
        <f>F29</f>
        <v>0.12397777777777774</v>
      </c>
      <c r="V10" s="21" t="s">
        <v>24</v>
      </c>
      <c r="W10" s="22"/>
      <c r="X10" s="23" t="e">
        <f>T41</f>
        <v>#N/A</v>
      </c>
      <c r="AA10" s="94"/>
      <c r="AB10" s="92" t="s">
        <v>25</v>
      </c>
      <c r="AC10" s="467">
        <v>80</v>
      </c>
      <c r="AD10" s="467">
        <v>80</v>
      </c>
      <c r="AE10" s="74"/>
      <c r="AG10" s="563" t="s">
        <v>26</v>
      </c>
      <c r="AH10" s="564"/>
      <c r="AI10" s="564"/>
      <c r="AJ10" s="564"/>
      <c r="AK10" s="565"/>
    </row>
    <row r="11" spans="1:42" ht="28.5" customHeight="1" thickBot="1" x14ac:dyDescent="0.25">
      <c r="A11" s="289">
        <f>C11+0.15</f>
        <v>5.2079000000000004</v>
      </c>
      <c r="B11" s="220" t="s">
        <v>27</v>
      </c>
      <c r="C11" s="494">
        <v>5.0579000000000001</v>
      </c>
      <c r="D11" s="220" t="s">
        <v>28</v>
      </c>
      <c r="E11" s="495">
        <v>0.02</v>
      </c>
      <c r="F11" s="220" t="s">
        <v>29</v>
      </c>
      <c r="G11" s="65">
        <v>1</v>
      </c>
      <c r="H11" s="67"/>
      <c r="I11" s="370" t="s">
        <v>30</v>
      </c>
      <c r="J11" s="371"/>
      <c r="K11" s="372">
        <f>C17</f>
        <v>0.54</v>
      </c>
      <c r="M11" s="413" t="s">
        <v>34</v>
      </c>
      <c r="N11" s="414"/>
      <c r="O11" s="415">
        <f>K43/$K$12</f>
        <v>0</v>
      </c>
      <c r="R11" s="21" t="s">
        <v>30</v>
      </c>
      <c r="S11" s="14"/>
      <c r="T11" s="78">
        <f>C32</f>
        <v>0</v>
      </c>
      <c r="V11" s="21" t="s">
        <v>31</v>
      </c>
      <c r="W11" s="22"/>
      <c r="X11" s="24" t="e">
        <f>SUM(X12:X15)</f>
        <v>#N/A</v>
      </c>
      <c r="AA11" s="70"/>
      <c r="AB11" s="92" t="s">
        <v>32</v>
      </c>
      <c r="AC11" s="466">
        <v>2</v>
      </c>
      <c r="AE11" s="74"/>
      <c r="AG11" s="451"/>
      <c r="AH11" s="452"/>
      <c r="AI11" s="452"/>
      <c r="AJ11" s="452"/>
      <c r="AK11" s="453"/>
    </row>
    <row r="12" spans="1:42" ht="28.5" customHeight="1" thickBot="1" x14ac:dyDescent="0.25">
      <c r="A12" s="289"/>
      <c r="B12" s="220" t="s">
        <v>534</v>
      </c>
      <c r="C12" s="488">
        <v>5</v>
      </c>
      <c r="D12" s="220" t="s">
        <v>535</v>
      </c>
      <c r="E12" s="264">
        <f>G12/12</f>
        <v>1.2083333333333333E-2</v>
      </c>
      <c r="F12" s="220" t="s">
        <v>536</v>
      </c>
      <c r="G12" s="325">
        <v>0.14499999999999999</v>
      </c>
      <c r="I12" s="370" t="s">
        <v>33</v>
      </c>
      <c r="J12" s="371"/>
      <c r="K12" s="465">
        <f>C16</f>
        <v>122000</v>
      </c>
      <c r="M12" s="413" t="s">
        <v>38</v>
      </c>
      <c r="N12" s="416"/>
      <c r="O12" s="415">
        <f>K44/$K$12</f>
        <v>5.9533141327868855E-2</v>
      </c>
      <c r="P12" s="11">
        <f>O12*K12</f>
        <v>7263.0432420000006</v>
      </c>
      <c r="R12" s="21" t="s">
        <v>33</v>
      </c>
      <c r="S12" s="14"/>
      <c r="T12" s="464">
        <f>C31</f>
        <v>0</v>
      </c>
      <c r="V12" s="25" t="s">
        <v>34</v>
      </c>
      <c r="W12" s="26"/>
      <c r="X12" s="27" t="e">
        <f>T43/$T$12</f>
        <v>#N/A</v>
      </c>
      <c r="AA12" s="70">
        <v>1</v>
      </c>
      <c r="AB12" s="11" t="s">
        <v>14</v>
      </c>
      <c r="AC12" s="152">
        <v>0.14000000000000001</v>
      </c>
      <c r="AD12" s="11" t="s">
        <v>35</v>
      </c>
      <c r="AE12" s="262">
        <v>0.14000000000000001</v>
      </c>
      <c r="AG12" s="600" t="s">
        <v>36</v>
      </c>
      <c r="AH12" s="601"/>
      <c r="AI12" s="601"/>
      <c r="AJ12" s="601"/>
      <c r="AK12" s="602"/>
      <c r="AN12" s="11">
        <v>8308.42</v>
      </c>
      <c r="AO12" s="11">
        <f>AO14/AN14*AN12</f>
        <v>8420.5821678856701</v>
      </c>
      <c r="AP12" s="11">
        <f>AO12-AN12</f>
        <v>112.16216788566999</v>
      </c>
    </row>
    <row r="13" spans="1:42" ht="28.5" customHeight="1" thickBot="1" x14ac:dyDescent="0.25">
      <c r="A13" s="151"/>
      <c r="B13" s="326"/>
      <c r="C13" s="327"/>
      <c r="D13" s="327"/>
      <c r="E13" s="327"/>
      <c r="F13" s="327"/>
      <c r="G13" s="328"/>
      <c r="I13" s="370" t="s">
        <v>37</v>
      </c>
      <c r="J13" s="371"/>
      <c r="K13" s="373">
        <f>K12*K11</f>
        <v>65880</v>
      </c>
      <c r="M13" s="413" t="s">
        <v>42</v>
      </c>
      <c r="N13" s="416"/>
      <c r="O13" s="415">
        <f>K45/$K$12</f>
        <v>0.29624825089344259</v>
      </c>
      <c r="P13" s="11">
        <f>O13*K13</f>
        <v>19516.834768859997</v>
      </c>
      <c r="Q13" s="29"/>
      <c r="R13" s="21" t="s">
        <v>37</v>
      </c>
      <c r="S13" s="14"/>
      <c r="T13" s="135">
        <f>T12*T11</f>
        <v>0</v>
      </c>
      <c r="V13" s="25" t="s">
        <v>38</v>
      </c>
      <c r="W13" s="28"/>
      <c r="X13" s="27" t="e">
        <f>T44/$T$12</f>
        <v>#DIV/0!</v>
      </c>
      <c r="Y13" s="29"/>
      <c r="Z13" s="29"/>
      <c r="AA13" s="70">
        <v>2</v>
      </c>
      <c r="AB13" s="11" t="s">
        <v>19</v>
      </c>
      <c r="AC13" s="463">
        <v>1.4999999999999999E-2</v>
      </c>
      <c r="AD13" s="11" t="s">
        <v>21</v>
      </c>
      <c r="AE13" s="91">
        <v>1.4999999999999999E-2</v>
      </c>
      <c r="AK13" s="66"/>
      <c r="AN13" s="11">
        <v>4579.16</v>
      </c>
      <c r="AO13" s="11">
        <f>AO14/AN14*AN13</f>
        <v>4640.9778321143303</v>
      </c>
      <c r="AP13" s="11">
        <f>AO13-AN13</f>
        <v>61.817832114330486</v>
      </c>
    </row>
    <row r="14" spans="1:42" ht="28.5" customHeight="1" thickBot="1" x14ac:dyDescent="0.25">
      <c r="A14" s="260" t="s">
        <v>598</v>
      </c>
      <c r="B14" s="454" t="s">
        <v>39</v>
      </c>
      <c r="C14" s="603" t="s">
        <v>537</v>
      </c>
      <c r="D14" s="604"/>
      <c r="E14" s="208" t="s">
        <v>23</v>
      </c>
      <c r="F14" s="209" t="str">
        <f>VLOOKUP(C14,'NCMS E ALÍQUOTAS'!B2:C2225,2,FALSE)</f>
        <v>5407.52.10</v>
      </c>
      <c r="G14" s="336"/>
      <c r="I14" s="370" t="s">
        <v>41</v>
      </c>
      <c r="J14" s="371"/>
      <c r="K14" s="374">
        <f>C11</f>
        <v>5.0579000000000001</v>
      </c>
      <c r="M14" s="413" t="s">
        <v>46</v>
      </c>
      <c r="N14" s="414"/>
      <c r="O14" s="415">
        <f>K46/$K$12</f>
        <v>0</v>
      </c>
      <c r="R14" s="21" t="s">
        <v>41</v>
      </c>
      <c r="S14" s="14"/>
      <c r="T14" s="136">
        <f>C11</f>
        <v>5.0579000000000001</v>
      </c>
      <c r="V14" s="25" t="s">
        <v>42</v>
      </c>
      <c r="W14" s="28"/>
      <c r="X14" s="27" t="e">
        <f>T45/$T$12</f>
        <v>#DIV/0!</v>
      </c>
      <c r="AA14" s="70">
        <v>3</v>
      </c>
      <c r="AB14" s="11" t="s">
        <v>43</v>
      </c>
      <c r="AC14" s="462">
        <v>1</v>
      </c>
      <c r="AE14" s="74"/>
      <c r="AN14" s="11">
        <v>12887.58</v>
      </c>
      <c r="AO14" s="11">
        <v>13061.56</v>
      </c>
    </row>
    <row r="15" spans="1:42" ht="28.5" customHeight="1" thickBot="1" x14ac:dyDescent="0.25">
      <c r="A15" s="151"/>
      <c r="B15" s="334" t="s">
        <v>44</v>
      </c>
      <c r="C15" s="491">
        <v>1</v>
      </c>
      <c r="D15" s="335">
        <f>$C$15/$G$11</f>
        <v>1</v>
      </c>
      <c r="E15" s="235"/>
      <c r="F15" s="461"/>
      <c r="G15" s="305">
        <f>158*65*146/1000000</f>
        <v>1.49942</v>
      </c>
      <c r="H15" s="55"/>
      <c r="I15" s="375" t="s">
        <v>45</v>
      </c>
      <c r="J15" s="376"/>
      <c r="K15" s="377">
        <f>K13*K14</f>
        <v>333214.45199999999</v>
      </c>
      <c r="M15" s="410" t="s">
        <v>49</v>
      </c>
      <c r="N15" s="411"/>
      <c r="O15" s="417">
        <f>O9-O10</f>
        <v>3.7556928136885248</v>
      </c>
      <c r="P15" s="29">
        <f>P16-K16</f>
        <v>316.11874999999964</v>
      </c>
      <c r="R15" s="25" t="s">
        <v>45</v>
      </c>
      <c r="S15" s="30"/>
      <c r="T15" s="79">
        <f>T13*T14</f>
        <v>0</v>
      </c>
      <c r="V15" s="25" t="s">
        <v>46</v>
      </c>
      <c r="W15" s="26"/>
      <c r="X15" s="27" t="e">
        <f>T46/$T$12</f>
        <v>#N/A</v>
      </c>
      <c r="AA15" s="70"/>
      <c r="AB15" s="96" t="s">
        <v>14</v>
      </c>
      <c r="AC15" s="97"/>
      <c r="AD15" s="96"/>
      <c r="AE15" s="98"/>
    </row>
    <row r="16" spans="1:42" ht="28.5" customHeight="1" thickBot="1" x14ac:dyDescent="0.25">
      <c r="A16" s="151">
        <f>C16</f>
        <v>122000</v>
      </c>
      <c r="B16" s="208" t="s">
        <v>47</v>
      </c>
      <c r="C16" s="492">
        <v>122000</v>
      </c>
      <c r="D16" s="211" t="s">
        <v>95</v>
      </c>
      <c r="E16" s="209">
        <v>125000</v>
      </c>
      <c r="F16" s="461">
        <f>C16*0.9*0.26</f>
        <v>28548</v>
      </c>
      <c r="G16" s="305">
        <f>G15*50</f>
        <v>74.971000000000004</v>
      </c>
      <c r="I16" s="375" t="s">
        <v>48</v>
      </c>
      <c r="J16" s="378">
        <f>C19</f>
        <v>2500</v>
      </c>
      <c r="K16" s="377">
        <f>J16*K14</f>
        <v>12644.75</v>
      </c>
      <c r="M16" s="410" t="s">
        <v>55</v>
      </c>
      <c r="N16" s="411"/>
      <c r="O16" s="417">
        <f>SUM(O17:O23)</f>
        <v>0.12792744590163935</v>
      </c>
      <c r="P16" s="29">
        <f>K16*1.025</f>
        <v>12960.86875</v>
      </c>
      <c r="Q16" s="29"/>
      <c r="R16" s="25" t="s">
        <v>48</v>
      </c>
      <c r="S16" s="31">
        <f>C34</f>
        <v>0</v>
      </c>
      <c r="T16" s="79">
        <f>S16*T14</f>
        <v>0</v>
      </c>
      <c r="V16" s="21" t="s">
        <v>49</v>
      </c>
      <c r="W16" s="22"/>
      <c r="X16" s="32" t="e">
        <f>X10-X11</f>
        <v>#N/A</v>
      </c>
      <c r="Y16" s="29"/>
      <c r="Z16" s="29"/>
      <c r="AA16" s="70"/>
      <c r="AB16" s="72" t="s">
        <v>50</v>
      </c>
      <c r="AC16" s="68"/>
      <c r="AD16" s="69"/>
      <c r="AE16" s="40" t="s">
        <v>14</v>
      </c>
    </row>
    <row r="17" spans="1:42" ht="28.5" customHeight="1" thickBot="1" x14ac:dyDescent="0.25">
      <c r="A17" s="151">
        <f>C17</f>
        <v>0.54</v>
      </c>
      <c r="B17" s="208" t="s">
        <v>51</v>
      </c>
      <c r="C17" s="492">
        <v>0.54</v>
      </c>
      <c r="D17" s="208" t="s">
        <v>52</v>
      </c>
      <c r="E17" s="293">
        <f>VLOOKUP(C14,'TABELA MATRIZ MG'!$A$2:$Y$329,25,FALSE)</f>
        <v>0.48</v>
      </c>
      <c r="F17" s="208" t="s">
        <v>574</v>
      </c>
      <c r="G17" s="149">
        <f>VLOOKUP(C14,'TABELA MATRIZ MG'!$A$2:$Y$438,24,FALSE)</f>
        <v>0.48</v>
      </c>
      <c r="I17" s="375" t="s">
        <v>54</v>
      </c>
      <c r="J17" s="379"/>
      <c r="K17" s="377"/>
      <c r="M17" s="418"/>
      <c r="N17" s="419">
        <v>0</v>
      </c>
      <c r="O17" s="420">
        <f>N17/K12</f>
        <v>0</v>
      </c>
      <c r="R17" s="25" t="s">
        <v>54</v>
      </c>
      <c r="S17" s="33"/>
      <c r="T17" s="79">
        <v>0</v>
      </c>
      <c r="V17" s="21" t="s">
        <v>55</v>
      </c>
      <c r="W17" s="22"/>
      <c r="X17" s="32" t="e">
        <f>SUM(X18:X33)</f>
        <v>#DIV/0!</v>
      </c>
      <c r="AA17" s="70"/>
      <c r="AB17" s="41" t="s">
        <v>56</v>
      </c>
      <c r="AC17" s="42">
        <v>2966</v>
      </c>
      <c r="AD17" s="43">
        <f>AC17</f>
        <v>2966</v>
      </c>
      <c r="AE17" s="44">
        <v>15000</v>
      </c>
    </row>
    <row r="18" spans="1:42" ht="28.5" customHeight="1" thickBot="1" x14ac:dyDescent="0.25">
      <c r="A18" s="260">
        <v>0.54</v>
      </c>
      <c r="B18" s="208" t="s">
        <v>57</v>
      </c>
      <c r="C18" s="213">
        <f>C16*C17</f>
        <v>65880</v>
      </c>
      <c r="D18" s="208" t="s">
        <v>58</v>
      </c>
      <c r="E18" s="209">
        <f>C18*C11</f>
        <v>333214.45199999999</v>
      </c>
      <c r="F18" s="236">
        <v>0.2</v>
      </c>
      <c r="G18" s="239">
        <f>E18*0.2</f>
        <v>66642.890400000004</v>
      </c>
      <c r="I18" s="21" t="s">
        <v>581</v>
      </c>
      <c r="J18" s="39"/>
      <c r="K18" s="384">
        <f>SUM(K15:K17)</f>
        <v>345859.20199999999</v>
      </c>
      <c r="M18" s="421" t="s">
        <v>64</v>
      </c>
      <c r="N18" s="422">
        <f>E11</f>
        <v>0.02</v>
      </c>
      <c r="O18" s="423">
        <f>N18*G22</f>
        <v>9.1042200000000004E-2</v>
      </c>
      <c r="P18" s="298">
        <f>O18*K12</f>
        <v>11107.1484</v>
      </c>
      <c r="Q18" s="34"/>
      <c r="R18" s="21" t="s">
        <v>59</v>
      </c>
      <c r="S18" s="14"/>
      <c r="T18" s="80">
        <f>SUM(T15:T17)</f>
        <v>0</v>
      </c>
      <c r="V18" s="177"/>
      <c r="W18" s="178">
        <v>0</v>
      </c>
      <c r="X18" s="179" t="e">
        <f>W18/T12</f>
        <v>#DIV/0!</v>
      </c>
      <c r="Y18" s="34"/>
      <c r="Z18" s="34"/>
      <c r="AA18" s="70"/>
      <c r="AB18" s="45" t="s">
        <v>60</v>
      </c>
      <c r="AC18" s="46">
        <v>61.8</v>
      </c>
      <c r="AD18" s="47">
        <f>AC18</f>
        <v>61.8</v>
      </c>
      <c r="AE18" s="74"/>
    </row>
    <row r="19" spans="1:42" ht="28.5" customHeight="1" thickBot="1" x14ac:dyDescent="0.25">
      <c r="A19" s="307">
        <f>A16*A17</f>
        <v>65880</v>
      </c>
      <c r="B19" s="214" t="s">
        <v>61</v>
      </c>
      <c r="C19" s="213">
        <f>G10*D15</f>
        <v>2500</v>
      </c>
      <c r="D19" s="214" t="s">
        <v>589</v>
      </c>
      <c r="E19" s="209">
        <f>C19*C11</f>
        <v>12644.75</v>
      </c>
      <c r="F19" s="261">
        <v>0.8</v>
      </c>
      <c r="G19" s="239">
        <f>E18*0.8</f>
        <v>266571.56160000002</v>
      </c>
      <c r="H19" s="95"/>
      <c r="I19" s="380" t="s">
        <v>63</v>
      </c>
      <c r="J19" s="381">
        <f>VLOOKUP($C$14,'NCMS E ALÍQUOTAS'!$B$2:$O$2225,3,FALSE)</f>
        <v>0.26</v>
      </c>
      <c r="K19" s="382">
        <f>$K$18*$J$19</f>
        <v>89923.392519999994</v>
      </c>
      <c r="L19" s="29"/>
      <c r="M19" s="424"/>
      <c r="N19" s="425"/>
      <c r="O19" s="426">
        <f>N19/K12</f>
        <v>0</v>
      </c>
      <c r="P19" s="29"/>
      <c r="Q19" s="55"/>
      <c r="R19" s="25" t="s">
        <v>63</v>
      </c>
      <c r="S19" s="35" t="e">
        <f>VLOOKUP($C$29,'NCMS E ALÍQUOTAS'!$B$2:$O$2225,3,FALSE)</f>
        <v>#N/A</v>
      </c>
      <c r="T19" s="81" t="e">
        <f>S19*T18</f>
        <v>#N/A</v>
      </c>
      <c r="V19" s="183" t="s">
        <v>64</v>
      </c>
      <c r="W19" s="184">
        <f>E11</f>
        <v>0.02</v>
      </c>
      <c r="X19" s="175">
        <f>W19*G37</f>
        <v>0</v>
      </c>
      <c r="Y19" s="153">
        <f>X19*$T$12</f>
        <v>0</v>
      </c>
      <c r="Z19" s="55"/>
      <c r="AA19" s="70"/>
      <c r="AB19" s="45" t="s">
        <v>65</v>
      </c>
      <c r="AC19" s="49"/>
      <c r="AD19" s="47">
        <f>AC19*K24</f>
        <v>0</v>
      </c>
      <c r="AE19" s="74"/>
    </row>
    <row r="20" spans="1:42" ht="28.5" customHeight="1" thickBot="1" x14ac:dyDescent="0.25">
      <c r="A20" s="307">
        <f>A16*A18</f>
        <v>65880</v>
      </c>
      <c r="B20" s="208" t="s">
        <v>66</v>
      </c>
      <c r="C20" s="213">
        <f>C19+C18</f>
        <v>68380</v>
      </c>
      <c r="D20" s="208" t="s">
        <v>67</v>
      </c>
      <c r="E20" s="209">
        <f>C20*C11</f>
        <v>345859.20199999999</v>
      </c>
      <c r="F20" s="240" t="s">
        <v>68</v>
      </c>
      <c r="G20" s="238" t="s">
        <v>69</v>
      </c>
      <c r="I20" s="380" t="s">
        <v>70</v>
      </c>
      <c r="J20" s="381">
        <f>VLOOKUP($C$14,'NCMS E ALÍQUOTAS'!$B$2:$O$2225,4,FALSE)</f>
        <v>0</v>
      </c>
      <c r="K20" s="382">
        <f>$K$18*$J$20</f>
        <v>0</v>
      </c>
      <c r="M20" s="427" t="s">
        <v>75</v>
      </c>
      <c r="N20" s="428">
        <v>3000</v>
      </c>
      <c r="O20" s="429">
        <f>N20/K12</f>
        <v>2.4590163934426229E-2</v>
      </c>
      <c r="P20" s="29"/>
      <c r="Q20" s="29"/>
      <c r="R20" s="25" t="s">
        <v>70</v>
      </c>
      <c r="S20" s="35" t="e">
        <f>VLOOKUP($C$29,'NCMS E ALÍQUOTAS'!$B$2:$O$2225,4,FALSE)</f>
        <v>#N/A</v>
      </c>
      <c r="T20" s="81" t="e">
        <f>S20*$T$18</f>
        <v>#N/A</v>
      </c>
      <c r="V20" s="180" t="s">
        <v>71</v>
      </c>
      <c r="W20" s="181"/>
      <c r="X20" s="182" t="e">
        <f>W20/T12</f>
        <v>#DIV/0!</v>
      </c>
      <c r="Y20" s="29"/>
      <c r="Z20" s="29"/>
      <c r="AA20" s="70"/>
      <c r="AB20" s="45" t="s">
        <v>72</v>
      </c>
      <c r="AC20" s="50">
        <v>0.15</v>
      </c>
      <c r="AD20" s="47">
        <f>AC17*AC20</f>
        <v>444.9</v>
      </c>
      <c r="AE20" s="74"/>
      <c r="AL20" s="11">
        <f>2.18*25000</f>
        <v>54500.000000000007</v>
      </c>
    </row>
    <row r="21" spans="1:42" ht="28.5" customHeight="1" thickBot="1" x14ac:dyDescent="0.25">
      <c r="A21" s="152">
        <f>A19/A20-1</f>
        <v>0</v>
      </c>
      <c r="B21" s="605" t="s">
        <v>73</v>
      </c>
      <c r="C21" s="606"/>
      <c r="D21" s="320">
        <f>P24+P28+P29+P31+P36+P37</f>
        <v>538162.12808380998</v>
      </c>
      <c r="E21" s="321"/>
      <c r="F21" s="348">
        <f>G21/$C$11</f>
        <v>0.87213368874306019</v>
      </c>
      <c r="G21" s="237">
        <f>D21/C16</f>
        <v>4.4111649842935243</v>
      </c>
      <c r="I21" s="380" t="s">
        <v>74</v>
      </c>
      <c r="J21" s="381">
        <f>VLOOKUP($C$14,'NCMS E ALÍQUOTAS'!$B$2:$O$2225,5,FALSE)</f>
        <v>2.1000000000000001E-2</v>
      </c>
      <c r="K21" s="382">
        <f>$K$18*$J$21</f>
        <v>7263.0432420000006</v>
      </c>
      <c r="L21" s="29"/>
      <c r="M21" s="427" t="s">
        <v>81</v>
      </c>
      <c r="N21" s="428">
        <v>1500</v>
      </c>
      <c r="O21" s="430">
        <f>N21/K12</f>
        <v>1.2295081967213115E-2</v>
      </c>
      <c r="P21" s="29"/>
      <c r="Q21" s="29"/>
      <c r="R21" s="25" t="s">
        <v>74</v>
      </c>
      <c r="S21" s="35" t="e">
        <f>VLOOKUP($C$29,'NCMS E ALÍQUOTAS'!$B$2:$O$2225,5,FALSE)</f>
        <v>#N/A</v>
      </c>
      <c r="T21" s="81" t="e">
        <f>S21*$T$18</f>
        <v>#N/A</v>
      </c>
      <c r="V21" s="75" t="s">
        <v>75</v>
      </c>
      <c r="W21" s="37">
        <v>0</v>
      </c>
      <c r="X21" s="36" t="e">
        <f>W21/T12</f>
        <v>#DIV/0!</v>
      </c>
      <c r="Y21" s="29"/>
      <c r="Z21" s="29"/>
      <c r="AA21" s="70"/>
      <c r="AB21" s="51" t="s">
        <v>76</v>
      </c>
      <c r="AC21" s="52">
        <v>0.12</v>
      </c>
      <c r="AD21" s="53">
        <f>SUM(AD17:AD20)*AC21/0.88</f>
        <v>473.55</v>
      </c>
      <c r="AE21" s="74"/>
      <c r="AL21" s="102">
        <f>AL20*C11</f>
        <v>275655.55000000005</v>
      </c>
      <c r="AN21" s="11">
        <f>22</f>
        <v>22</v>
      </c>
    </row>
    <row r="22" spans="1:42" ht="30" customHeight="1" thickBot="1" x14ac:dyDescent="0.25">
      <c r="A22" s="490">
        <f>A20-A19</f>
        <v>0</v>
      </c>
      <c r="B22" s="208" t="s">
        <v>77</v>
      </c>
      <c r="C22" s="493">
        <v>0.9</v>
      </c>
      <c r="D22" s="212" t="s">
        <v>78</v>
      </c>
      <c r="E22" s="234">
        <f>C22*C16</f>
        <v>109800</v>
      </c>
      <c r="F22" s="211" t="s">
        <v>79</v>
      </c>
      <c r="G22" s="248">
        <f>$C$22*$C$11</f>
        <v>4.5521099999999999</v>
      </c>
      <c r="I22" s="380" t="s">
        <v>80</v>
      </c>
      <c r="J22" s="381">
        <f>VLOOKUP($C$14,'NCMS E ALÍQUOTAS'!$B$2:$O$2225,6,FALSE)</f>
        <v>0.1045</v>
      </c>
      <c r="K22" s="382">
        <f>$K$18*$J$22</f>
        <v>36142.286608999995</v>
      </c>
      <c r="L22" s="29"/>
      <c r="M22" s="75"/>
      <c r="N22" s="37"/>
      <c r="O22" s="36">
        <f>N22/K13</f>
        <v>0</v>
      </c>
      <c r="P22" s="29"/>
      <c r="Q22" s="29"/>
      <c r="R22" s="25" t="s">
        <v>80</v>
      </c>
      <c r="S22" s="35" t="e">
        <f>VLOOKUP($C$29,'NCMS E ALÍQUOTAS'!$B$2:$O$2225,6,FALSE)</f>
        <v>#N/A</v>
      </c>
      <c r="T22" s="81" t="e">
        <f>S22*$T$18</f>
        <v>#N/A</v>
      </c>
      <c r="V22" s="75" t="s">
        <v>81</v>
      </c>
      <c r="W22" s="37"/>
      <c r="X22" s="38" t="e">
        <f>W22/T12</f>
        <v>#DIV/0!</v>
      </c>
      <c r="Y22" s="29"/>
      <c r="Z22" s="29"/>
      <c r="AA22" s="70"/>
      <c r="AB22" s="72" t="s">
        <v>82</v>
      </c>
      <c r="AC22" s="69"/>
      <c r="AD22" s="54">
        <f>SUM(AD17:AD20)/0.88</f>
        <v>3946.2500000000005</v>
      </c>
      <c r="AE22" s="74"/>
      <c r="AN22" s="11">
        <f>AN21-2.2</f>
        <v>19.8</v>
      </c>
      <c r="AP22" s="11">
        <v>60</v>
      </c>
    </row>
    <row r="23" spans="1:42" ht="30" customHeight="1" thickBot="1" x14ac:dyDescent="0.25">
      <c r="A23" s="55">
        <f>A22*A11</f>
        <v>0</v>
      </c>
      <c r="B23" s="607"/>
      <c r="C23" s="606"/>
      <c r="D23" s="318">
        <f>G22*C16</f>
        <v>555357.42000000004</v>
      </c>
      <c r="E23" s="319"/>
      <c r="F23" s="468">
        <f>G23/C11</f>
        <v>32940</v>
      </c>
      <c r="G23" s="239">
        <f>D23*0.3</f>
        <v>166607.226</v>
      </c>
      <c r="I23" s="21" t="s">
        <v>83</v>
      </c>
      <c r="J23" s="39"/>
      <c r="K23" s="383">
        <f>SUM(K18:K22)</f>
        <v>479187.92437099997</v>
      </c>
      <c r="M23" s="154"/>
      <c r="N23" s="155"/>
      <c r="O23" s="156">
        <v>0</v>
      </c>
      <c r="P23" s="29"/>
      <c r="Q23" s="29"/>
      <c r="R23" s="21" t="s">
        <v>83</v>
      </c>
      <c r="S23" s="39"/>
      <c r="T23" s="80" t="e">
        <f>SUM(T18:T22)</f>
        <v>#N/A</v>
      </c>
      <c r="V23" s="75" t="s">
        <v>84</v>
      </c>
      <c r="W23" s="37"/>
      <c r="X23" s="36" t="e">
        <f>W23/T13</f>
        <v>#DIV/0!</v>
      </c>
      <c r="Y23" s="29"/>
      <c r="Z23" s="29"/>
      <c r="AA23" s="70"/>
      <c r="AB23" s="96" t="s">
        <v>19</v>
      </c>
      <c r="AC23" s="96"/>
      <c r="AD23" s="96"/>
      <c r="AE23" s="74"/>
      <c r="AN23" s="152">
        <f>G22/AN21</f>
        <v>0.20691409090909091</v>
      </c>
      <c r="AP23" s="11">
        <v>25000</v>
      </c>
    </row>
    <row r="24" spans="1:42" ht="30" customHeight="1" thickBot="1" x14ac:dyDescent="0.25">
      <c r="A24" s="152">
        <f>A23/D23</f>
        <v>0</v>
      </c>
      <c r="B24" s="208" t="s">
        <v>85</v>
      </c>
      <c r="C24" s="216">
        <f>E24/D23</f>
        <v>3.0962568063266468E-2</v>
      </c>
      <c r="D24" s="318"/>
      <c r="E24" s="217">
        <f>D23-D21</f>
        <v>17195.291916190065</v>
      </c>
      <c r="F24" s="261">
        <v>0.8</v>
      </c>
      <c r="G24" s="239">
        <f>D23*0.7</f>
        <v>388750.19400000002</v>
      </c>
      <c r="I24" s="385" t="s">
        <v>87</v>
      </c>
      <c r="J24" s="386"/>
      <c r="K24" s="387">
        <f>(SUM($K$18:$K$22)+$K$26+$K$27)/(1-$J$25)</f>
        <v>480373.73437099997</v>
      </c>
      <c r="M24" s="163" t="s">
        <v>585</v>
      </c>
      <c r="N24" s="164"/>
      <c r="O24" s="165">
        <f>O15+O16</f>
        <v>3.8836202595901641</v>
      </c>
      <c r="P24" s="482">
        <f>O24*K12</f>
        <v>473801.67167000001</v>
      </c>
      <c r="Q24" s="29"/>
      <c r="R24" s="25" t="s">
        <v>87</v>
      </c>
      <c r="S24" s="30"/>
      <c r="T24" s="81" t="e">
        <f>(SUM($T$18:$T$22)+$T$26+$T$27)/(1-$S$25)</f>
        <v>#N/A</v>
      </c>
      <c r="V24" s="75" t="s">
        <v>88</v>
      </c>
      <c r="W24" s="138">
        <v>0</v>
      </c>
      <c r="X24" s="36">
        <f>W24/T14</f>
        <v>0</v>
      </c>
      <c r="Y24" s="29"/>
      <c r="Z24" s="29"/>
      <c r="AA24" s="70"/>
      <c r="AB24" s="72" t="s">
        <v>89</v>
      </c>
      <c r="AC24" s="68"/>
      <c r="AD24" s="69"/>
      <c r="AE24" s="91"/>
      <c r="AP24" s="11">
        <f>AP23</f>
        <v>25000</v>
      </c>
    </row>
    <row r="25" spans="1:42" ht="30" customHeight="1" thickBot="1" x14ac:dyDescent="0.25">
      <c r="A25" s="341"/>
      <c r="B25" s="358"/>
      <c r="C25" s="618">
        <f>C22/C28-1</f>
        <v>7.1428571428571397E-2</v>
      </c>
      <c r="D25" s="332"/>
      <c r="E25" s="517"/>
      <c r="F25" s="55">
        <f>D23*E11</f>
        <v>11107.148400000002</v>
      </c>
      <c r="G25" s="365">
        <f>E24*0.05</f>
        <v>859.76459580950325</v>
      </c>
      <c r="I25" s="385" t="s">
        <v>76</v>
      </c>
      <c r="J25" s="388">
        <v>0</v>
      </c>
      <c r="K25" s="389">
        <f>K24*J25</f>
        <v>0</v>
      </c>
      <c r="M25" s="455" t="s">
        <v>102</v>
      </c>
      <c r="N25" s="456"/>
      <c r="O25" s="457">
        <f>O24/K14</f>
        <v>0.76783255097771097</v>
      </c>
      <c r="P25" s="61">
        <f>O25*K12</f>
        <v>93675.57121928074</v>
      </c>
      <c r="Q25" s="29"/>
      <c r="R25" s="25" t="s">
        <v>76</v>
      </c>
      <c r="S25" s="35">
        <v>0</v>
      </c>
      <c r="T25" s="82" t="e">
        <f>T24*S25</f>
        <v>#N/A</v>
      </c>
      <c r="V25" s="75" t="s">
        <v>88</v>
      </c>
      <c r="W25" s="138"/>
      <c r="X25" s="137">
        <v>0</v>
      </c>
      <c r="Y25" s="29"/>
      <c r="Z25" s="29"/>
      <c r="AA25" s="70"/>
      <c r="AB25" s="41" t="s">
        <v>56</v>
      </c>
      <c r="AC25" s="57">
        <v>2966</v>
      </c>
      <c r="AD25" s="58">
        <f>AC25/1.3</f>
        <v>2281.5384615384614</v>
      </c>
      <c r="AE25" s="74"/>
    </row>
    <row r="26" spans="1:42" ht="35.5" customHeight="1" thickBot="1" x14ac:dyDescent="0.25">
      <c r="A26" s="235"/>
      <c r="B26" s="208" t="s">
        <v>77</v>
      </c>
      <c r="C26" s="265">
        <f>(C27+G23)/C16/C11</f>
        <v>0.93899352584271656</v>
      </c>
      <c r="D26" s="318">
        <f>G26*C16</f>
        <v>579418.91323190485</v>
      </c>
      <c r="E26" s="342"/>
      <c r="F26" s="208" t="s">
        <v>79</v>
      </c>
      <c r="G26" s="343">
        <f>$C$26*$C$11</f>
        <v>4.749335354359876</v>
      </c>
      <c r="I26" s="385" t="s">
        <v>90</v>
      </c>
      <c r="J26" s="386"/>
      <c r="K26" s="390">
        <f>115.67+38.56</f>
        <v>154.23000000000002</v>
      </c>
      <c r="M26" s="458" t="s">
        <v>104</v>
      </c>
      <c r="N26" s="459"/>
      <c r="O26" s="617">
        <f>O34-O33-O31-O28-O29-O24</f>
        <v>0.18545396803483527</v>
      </c>
      <c r="P26" s="298">
        <f>O26*$K$12</f>
        <v>22625.384100249903</v>
      </c>
      <c r="Q26" s="29"/>
      <c r="R26" s="25" t="s">
        <v>90</v>
      </c>
      <c r="S26" s="30"/>
      <c r="T26" s="83">
        <f>115.67+38.56</f>
        <v>154.23000000000002</v>
      </c>
      <c r="V26" s="75" t="s">
        <v>88</v>
      </c>
      <c r="W26" s="138"/>
      <c r="X26" s="137">
        <v>0</v>
      </c>
      <c r="Y26" s="29"/>
      <c r="Z26" s="29"/>
      <c r="AA26" s="70"/>
      <c r="AB26" s="45" t="s">
        <v>60</v>
      </c>
      <c r="AC26" s="59">
        <v>197</v>
      </c>
      <c r="AD26" s="47">
        <f>AC26</f>
        <v>197</v>
      </c>
      <c r="AE26" s="74"/>
      <c r="AG26" s="11">
        <f>670000</f>
        <v>670000</v>
      </c>
    </row>
    <row r="27" spans="1:42" ht="30" customHeight="1" thickBot="1" x14ac:dyDescent="0.25">
      <c r="B27" s="518"/>
      <c r="C27" s="519">
        <f>FV(E12,C12,,G24)*-1</f>
        <v>412811.68723190483</v>
      </c>
      <c r="D27" s="520"/>
      <c r="E27" s="521">
        <f>D26-D21</f>
        <v>41256.785148094874</v>
      </c>
      <c r="F27" s="522"/>
      <c r="G27" s="523">
        <f>E24*0.95</f>
        <v>16335.527320380561</v>
      </c>
      <c r="I27" s="385" t="s">
        <v>93</v>
      </c>
      <c r="J27" s="391">
        <v>0.08</v>
      </c>
      <c r="K27" s="392">
        <f>(K16)*J27+20</f>
        <v>1031.58</v>
      </c>
      <c r="M27" s="435" t="s">
        <v>108</v>
      </c>
      <c r="N27" s="434"/>
      <c r="O27" s="436">
        <f>G22-O33-O31</f>
        <v>4.4838283499999996</v>
      </c>
      <c r="P27" s="61">
        <f>P24*N29</f>
        <v>36008.927046919998</v>
      </c>
      <c r="Q27" s="29"/>
      <c r="R27" s="25" t="s">
        <v>93</v>
      </c>
      <c r="S27" s="139">
        <v>0.08</v>
      </c>
      <c r="T27" s="84">
        <f>(T16+T17)*S27+21.2</f>
        <v>21.2</v>
      </c>
      <c r="V27" s="75" t="s">
        <v>88</v>
      </c>
      <c r="W27" s="138"/>
      <c r="X27" s="137">
        <v>0</v>
      </c>
      <c r="Y27" s="29"/>
      <c r="Z27" s="29"/>
      <c r="AA27" s="70"/>
      <c r="AB27" s="45" t="s">
        <v>65</v>
      </c>
      <c r="AC27" s="60">
        <v>1E-3</v>
      </c>
      <c r="AD27" s="47">
        <f>AC27*K24</f>
        <v>480.37373437099995</v>
      </c>
      <c r="AE27" s="74"/>
      <c r="AG27" s="11">
        <f>AG26*0.001</f>
        <v>670</v>
      </c>
      <c r="AH27" s="11">
        <v>570000</v>
      </c>
    </row>
    <row r="28" spans="1:42" ht="30" customHeight="1" thickBot="1" x14ac:dyDescent="0.25">
      <c r="B28" s="524"/>
      <c r="C28" s="289">
        <v>0.84</v>
      </c>
      <c r="D28" s="525"/>
      <c r="E28" s="526"/>
      <c r="F28" s="527"/>
      <c r="G28" s="528"/>
      <c r="I28" s="385" t="s">
        <v>94</v>
      </c>
      <c r="J28" s="386"/>
      <c r="K28" s="392">
        <v>2500</v>
      </c>
      <c r="M28" s="437" t="s">
        <v>74</v>
      </c>
      <c r="N28" s="434">
        <v>1.6500000000000001E-2</v>
      </c>
      <c r="O28" s="438">
        <f>$O$27*N28</f>
        <v>7.3983167774999997E-2</v>
      </c>
      <c r="P28" s="298">
        <f>O28*$K$12</f>
        <v>9025.9464685499988</v>
      </c>
      <c r="Q28" s="29"/>
      <c r="R28" s="25" t="s">
        <v>94</v>
      </c>
      <c r="S28" s="30"/>
      <c r="T28" s="85">
        <f>AD43*$D$30</f>
        <v>0</v>
      </c>
      <c r="V28" s="75" t="s">
        <v>88</v>
      </c>
      <c r="W28" s="138"/>
      <c r="X28" s="137">
        <v>0</v>
      </c>
      <c r="Y28" s="29"/>
      <c r="Z28" s="29"/>
      <c r="AA28" s="70"/>
      <c r="AB28" s="45" t="s">
        <v>72</v>
      </c>
      <c r="AC28" s="62">
        <v>0.15</v>
      </c>
      <c r="AD28" s="47">
        <f>AC25*AC28</f>
        <v>444.9</v>
      </c>
      <c r="AE28" s="74"/>
      <c r="AH28" s="11">
        <f>AH27*0.001</f>
        <v>570</v>
      </c>
    </row>
    <row r="29" spans="1:42" ht="30" customHeight="1" thickBot="1" x14ac:dyDescent="0.25">
      <c r="A29" s="151"/>
      <c r="B29" s="524"/>
      <c r="C29" s="608"/>
      <c r="D29" s="608"/>
      <c r="E29" s="524"/>
      <c r="F29" s="619">
        <f>5.0579/4.5-1</f>
        <v>0.12397777777777774</v>
      </c>
      <c r="G29" s="530"/>
      <c r="I29" s="385" t="s">
        <v>96</v>
      </c>
      <c r="J29" s="393">
        <f>K14*1.025</f>
        <v>5.1843474999999994</v>
      </c>
      <c r="K29" s="392">
        <f>(J16*J29)-K16</f>
        <v>316.11874999999782</v>
      </c>
      <c r="M29" s="439" t="s">
        <v>80</v>
      </c>
      <c r="N29" s="434">
        <v>7.5999999999999998E-2</v>
      </c>
      <c r="O29" s="440">
        <f>$O$27*N29</f>
        <v>0.34077095459999995</v>
      </c>
      <c r="P29" s="483">
        <f>O29*$K$12</f>
        <v>41574.056461199994</v>
      </c>
      <c r="Q29" s="29"/>
      <c r="R29" s="25" t="s">
        <v>96</v>
      </c>
      <c r="S29" s="48">
        <f>T14*1.02</f>
        <v>5.1590579999999999</v>
      </c>
      <c r="T29" s="85">
        <f>(S16*S29)-T16</f>
        <v>0</v>
      </c>
      <c r="V29" s="75" t="s">
        <v>88</v>
      </c>
      <c r="W29" s="138"/>
      <c r="X29" s="137">
        <v>0</v>
      </c>
      <c r="Y29" s="29"/>
      <c r="Z29" s="29"/>
      <c r="AA29" s="70"/>
      <c r="AB29" s="51" t="s">
        <v>76</v>
      </c>
      <c r="AC29" s="52">
        <v>0.12</v>
      </c>
      <c r="AD29" s="53">
        <f>SUM(AD25:AD28)*AC29/0.88</f>
        <v>464.15620853310838</v>
      </c>
      <c r="AE29" s="74"/>
    </row>
    <row r="30" spans="1:42" ht="34" customHeight="1" thickBot="1" x14ac:dyDescent="0.25">
      <c r="A30" s="151">
        <f>C30</f>
        <v>0</v>
      </c>
      <c r="B30" s="524"/>
      <c r="C30" s="531"/>
      <c r="D30" s="532"/>
      <c r="E30" s="235">
        <f>E24/18511.7-1</f>
        <v>-7.111222004515716E-2</v>
      </c>
      <c r="F30" s="533"/>
      <c r="G30" s="534"/>
      <c r="I30" s="385" t="s">
        <v>97</v>
      </c>
      <c r="J30" s="386"/>
      <c r="K30" s="392">
        <f>AD45*$D$15</f>
        <v>1800</v>
      </c>
      <c r="M30" s="435" t="s">
        <v>112</v>
      </c>
      <c r="N30" s="434"/>
      <c r="O30" s="436">
        <f>G22-O33</f>
        <v>4.5521099999999999</v>
      </c>
      <c r="P30" s="61">
        <f>P24*N31</f>
        <v>7107.0250750499999</v>
      </c>
      <c r="Q30" s="29"/>
      <c r="R30" s="25" t="s">
        <v>97</v>
      </c>
      <c r="S30" s="30"/>
      <c r="T30" s="85">
        <f>AD45*$D$30</f>
        <v>0</v>
      </c>
      <c r="V30" s="75" t="s">
        <v>88</v>
      </c>
      <c r="W30" s="138"/>
      <c r="X30" s="137">
        <v>0</v>
      </c>
      <c r="Y30" s="29"/>
      <c r="Z30" s="29"/>
      <c r="AA30" s="70"/>
      <c r="AB30" s="72" t="s">
        <v>82</v>
      </c>
      <c r="AC30" s="69"/>
      <c r="AD30" s="54">
        <f>SUM(AD25:AD28)/0.88</f>
        <v>3867.9684044425699</v>
      </c>
      <c r="AE30" s="74"/>
    </row>
    <row r="31" spans="1:42" ht="35.25" customHeight="1" thickBot="1" x14ac:dyDescent="0.25">
      <c r="A31" s="151">
        <f>C31</f>
        <v>0</v>
      </c>
      <c r="B31" s="524"/>
      <c r="C31" s="528"/>
      <c r="D31" s="524"/>
      <c r="E31" s="529"/>
      <c r="F31" s="535"/>
      <c r="G31" s="536"/>
      <c r="I31" s="385" t="s">
        <v>98</v>
      </c>
      <c r="J31" s="386"/>
      <c r="K31" s="392">
        <f>AD46*$D$15</f>
        <v>2600</v>
      </c>
      <c r="M31" s="437" t="s">
        <v>76</v>
      </c>
      <c r="N31" s="434">
        <v>1.4999999999999999E-2</v>
      </c>
      <c r="O31" s="441">
        <f>$G$22*$N$31</f>
        <v>6.8281649999999999E-2</v>
      </c>
      <c r="P31" s="298">
        <f>O31*$K$12</f>
        <v>8330.3613000000005</v>
      </c>
      <c r="Q31" s="29"/>
      <c r="R31" s="25" t="s">
        <v>98</v>
      </c>
      <c r="S31" s="30"/>
      <c r="T31" s="85">
        <f>AD46*$D$30</f>
        <v>0</v>
      </c>
      <c r="V31" s="75" t="s">
        <v>88</v>
      </c>
      <c r="W31" s="138"/>
      <c r="X31" s="137">
        <v>0</v>
      </c>
      <c r="Y31" s="29"/>
      <c r="Z31" s="29"/>
      <c r="AA31" s="70"/>
      <c r="AB31"/>
      <c r="AC31"/>
      <c r="AD31"/>
      <c r="AE31" s="74"/>
    </row>
    <row r="32" spans="1:42" ht="30" customHeight="1" thickBot="1" x14ac:dyDescent="0.25">
      <c r="A32" s="151">
        <f>C32</f>
        <v>0</v>
      </c>
      <c r="B32" s="524"/>
      <c r="C32" s="528"/>
      <c r="D32" s="524"/>
      <c r="E32" s="537"/>
      <c r="F32" s="524"/>
      <c r="G32" s="538"/>
      <c r="I32" s="385" t="s">
        <v>54</v>
      </c>
      <c r="J32" s="386"/>
      <c r="K32" s="392">
        <f>AD47*$D$15</f>
        <v>1010</v>
      </c>
      <c r="M32" s="442" t="s">
        <v>115</v>
      </c>
      <c r="N32" s="434">
        <v>0.04</v>
      </c>
      <c r="O32" s="443">
        <f>G22/(1+N33)</f>
        <v>4.5521099999999999</v>
      </c>
      <c r="P32" s="29"/>
      <c r="Q32" s="29"/>
      <c r="R32" s="25" t="s">
        <v>54</v>
      </c>
      <c r="S32" s="30"/>
      <c r="T32" s="84">
        <f>AD47*$D$30</f>
        <v>0</v>
      </c>
      <c r="V32" s="75" t="s">
        <v>88</v>
      </c>
      <c r="W32" s="138"/>
      <c r="X32" s="137">
        <v>0</v>
      </c>
      <c r="Y32" s="29"/>
      <c r="Z32" s="29"/>
      <c r="AA32" s="70"/>
      <c r="AB32" s="140" t="s">
        <v>99</v>
      </c>
      <c r="AC32" s="99"/>
      <c r="AD32" s="100"/>
      <c r="AE32" s="74"/>
    </row>
    <row r="33" spans="1:31" ht="22" thickBot="1" x14ac:dyDescent="0.25">
      <c r="A33" s="260">
        <f>C32</f>
        <v>0</v>
      </c>
      <c r="B33" s="524"/>
      <c r="C33" s="539"/>
      <c r="D33" s="524"/>
      <c r="E33" s="529"/>
      <c r="F33" s="540">
        <v>0.08</v>
      </c>
      <c r="G33" s="529"/>
      <c r="I33" s="21" t="s">
        <v>100</v>
      </c>
      <c r="J33" s="14"/>
      <c r="K33" s="401">
        <f>K23+SUM(K25:K32)</f>
        <v>488599.85312099999</v>
      </c>
      <c r="M33" s="444" t="s">
        <v>70</v>
      </c>
      <c r="N33" s="434">
        <f>J20</f>
        <v>0</v>
      </c>
      <c r="O33" s="515">
        <f>N33*O32</f>
        <v>0</v>
      </c>
      <c r="P33" s="298">
        <f>O33*$K$12</f>
        <v>0</v>
      </c>
      <c r="Q33" s="29"/>
      <c r="R33" s="21" t="s">
        <v>100</v>
      </c>
      <c r="S33" s="14"/>
      <c r="T33" s="80" t="e">
        <f>T23+SUM(T25:T32)</f>
        <v>#N/A</v>
      </c>
      <c r="V33" s="154" t="s">
        <v>88</v>
      </c>
      <c r="W33" s="155"/>
      <c r="X33" s="156">
        <v>0</v>
      </c>
      <c r="Y33" s="29"/>
      <c r="Z33" s="29"/>
      <c r="AA33" s="70"/>
      <c r="AB33" s="41" t="s">
        <v>56</v>
      </c>
      <c r="AC33" s="57">
        <v>6316</v>
      </c>
      <c r="AD33" s="58">
        <f>AC33</f>
        <v>6316</v>
      </c>
      <c r="AE33" s="74"/>
    </row>
    <row r="34" spans="1:31" ht="28.5" customHeight="1" thickBot="1" x14ac:dyDescent="0.25">
      <c r="A34" s="307">
        <f>A31*A32</f>
        <v>0</v>
      </c>
      <c r="B34" s="541"/>
      <c r="C34" s="539"/>
      <c r="D34" s="541"/>
      <c r="E34" s="529"/>
      <c r="F34" s="540"/>
      <c r="G34" s="529"/>
      <c r="I34" s="394" t="s">
        <v>588</v>
      </c>
      <c r="J34" s="395"/>
      <c r="K34" s="84">
        <f>AD49*$D$15</f>
        <v>13000</v>
      </c>
      <c r="M34" s="445"/>
      <c r="N34" s="446"/>
      <c r="O34" s="447">
        <f>G22</f>
        <v>4.5521099999999999</v>
      </c>
      <c r="P34" s="298">
        <v>0</v>
      </c>
      <c r="Q34" s="29"/>
      <c r="R34" s="75" t="s">
        <v>101</v>
      </c>
      <c r="S34" s="30"/>
      <c r="T34" s="84">
        <f>AD49*$D$30</f>
        <v>0</v>
      </c>
      <c r="V34" s="163" t="s">
        <v>24</v>
      </c>
      <c r="W34" s="164"/>
      <c r="X34" s="165" t="e">
        <f>X16+X17+X39+X40+X42+X44+X47+X48+X49</f>
        <v>#N/A</v>
      </c>
      <c r="Y34" s="153" t="e">
        <f>X34*T12</f>
        <v>#N/A</v>
      </c>
      <c r="Z34" s="29"/>
      <c r="AA34" s="70"/>
      <c r="AB34" s="45" t="s">
        <v>60</v>
      </c>
      <c r="AC34" s="59">
        <v>866.8</v>
      </c>
      <c r="AD34" s="47">
        <f>AC34</f>
        <v>866.8</v>
      </c>
      <c r="AE34" s="74"/>
    </row>
    <row r="35" spans="1:31" ht="28.5" customHeight="1" thickBot="1" x14ac:dyDescent="0.25">
      <c r="A35" s="307">
        <f>A31*A33</f>
        <v>0</v>
      </c>
      <c r="B35" s="524"/>
      <c r="C35" s="539"/>
      <c r="D35" s="524"/>
      <c r="E35" s="529"/>
      <c r="F35" s="542"/>
      <c r="G35" s="542"/>
      <c r="I35" s="394"/>
      <c r="J35" s="395"/>
      <c r="K35" s="397"/>
      <c r="M35" s="435" t="s">
        <v>683</v>
      </c>
      <c r="N35" s="448"/>
      <c r="O35" s="436">
        <f>P26</f>
        <v>22625.384100249903</v>
      </c>
      <c r="P35" s="55">
        <v>59999.99</v>
      </c>
      <c r="Q35" s="29"/>
      <c r="R35" s="75"/>
      <c r="S35" s="30"/>
      <c r="T35" s="86"/>
      <c r="V35" s="157" t="s">
        <v>102</v>
      </c>
      <c r="W35" s="158"/>
      <c r="X35" s="159" t="e">
        <f>X34/T14</f>
        <v>#N/A</v>
      </c>
      <c r="Y35" s="29"/>
      <c r="Z35" s="29"/>
      <c r="AA35" s="70"/>
      <c r="AB35" s="45" t="s">
        <v>65</v>
      </c>
      <c r="AC35" s="60">
        <v>1E-3</v>
      </c>
      <c r="AD35" s="47" t="e">
        <f>AC35*(K33+T33)</f>
        <v>#N/A</v>
      </c>
      <c r="AE35" s="74"/>
    </row>
    <row r="36" spans="1:31" ht="31.5" customHeight="1" thickBot="1" x14ac:dyDescent="0.25">
      <c r="A36" s="152" t="e">
        <f>A35/A34-1</f>
        <v>#DIV/0!</v>
      </c>
      <c r="B36" s="566"/>
      <c r="C36" s="566"/>
      <c r="D36" s="543"/>
      <c r="E36" s="543"/>
      <c r="F36" s="544"/>
      <c r="G36" s="545"/>
      <c r="I36" s="394" t="s">
        <v>75</v>
      </c>
      <c r="J36" s="395"/>
      <c r="K36" s="396"/>
      <c r="M36" s="437" t="s">
        <v>118</v>
      </c>
      <c r="N36" s="434">
        <v>0.09</v>
      </c>
      <c r="O36" s="441">
        <f>P36/$K$12</f>
        <v>1.6690857123135176E-2</v>
      </c>
      <c r="P36" s="298">
        <f>O35*N36</f>
        <v>2036.2845690224913</v>
      </c>
      <c r="Q36" s="29"/>
      <c r="R36" s="75" t="s">
        <v>75</v>
      </c>
      <c r="S36" s="30"/>
      <c r="T36" s="84">
        <v>1000</v>
      </c>
      <c r="V36" s="163" t="s">
        <v>104</v>
      </c>
      <c r="W36" s="176" t="e">
        <f>X36/X34</f>
        <v>#N/A</v>
      </c>
      <c r="X36" s="165" t="e">
        <f>X37-X34</f>
        <v>#N/A</v>
      </c>
      <c r="Y36" s="153" t="e">
        <f>W36*Y37</f>
        <v>#N/A</v>
      </c>
      <c r="Z36" s="29"/>
      <c r="AA36" s="70"/>
      <c r="AB36" s="45" t="s">
        <v>72</v>
      </c>
      <c r="AC36" s="62">
        <v>0.15</v>
      </c>
      <c r="AD36" s="47">
        <f>AC33*AC36</f>
        <v>947.4</v>
      </c>
      <c r="AE36" s="74"/>
    </row>
    <row r="37" spans="1:31" ht="28.5" customHeight="1" thickBot="1" x14ac:dyDescent="0.25">
      <c r="A37" s="490">
        <f>A34-A35</f>
        <v>0</v>
      </c>
      <c r="B37" s="524"/>
      <c r="C37" s="546"/>
      <c r="D37" s="524"/>
      <c r="E37" s="547"/>
      <c r="F37" s="524"/>
      <c r="G37" s="548"/>
      <c r="I37" s="394" t="s">
        <v>105</v>
      </c>
      <c r="J37" s="398"/>
      <c r="K37" s="396"/>
      <c r="M37" s="437" t="s">
        <v>120</v>
      </c>
      <c r="N37" s="434">
        <v>0.15</v>
      </c>
      <c r="O37" s="441">
        <f>P37/$K$12</f>
        <v>2.7818095205225289E-2</v>
      </c>
      <c r="P37" s="298">
        <f>N37*O35</f>
        <v>3393.8076150374854</v>
      </c>
      <c r="Q37" s="29"/>
      <c r="R37" s="75" t="s">
        <v>105</v>
      </c>
      <c r="S37" s="35"/>
      <c r="T37" s="85"/>
      <c r="V37" s="171" t="s">
        <v>106</v>
      </c>
      <c r="W37" s="172"/>
      <c r="X37" s="173">
        <f>G37</f>
        <v>0</v>
      </c>
      <c r="Y37" s="170">
        <f>X37*T12</f>
        <v>0</v>
      </c>
      <c r="Z37" s="29"/>
      <c r="AA37" s="70"/>
      <c r="AB37" s="51" t="s">
        <v>76</v>
      </c>
      <c r="AC37" s="52">
        <v>0.12</v>
      </c>
      <c r="AD37" s="53" t="e">
        <f>SUM(AD33:AD36)*AC37/0.88</f>
        <v>#N/A</v>
      </c>
      <c r="AE37" s="74"/>
    </row>
    <row r="38" spans="1:31" ht="28.5" customHeight="1" thickBot="1" x14ac:dyDescent="0.25">
      <c r="A38" s="55">
        <f>A37*A26</f>
        <v>0</v>
      </c>
      <c r="B38" s="524"/>
      <c r="C38" s="524"/>
      <c r="D38" s="529"/>
      <c r="E38" s="529"/>
      <c r="F38" s="540"/>
      <c r="G38" s="529"/>
      <c r="I38" s="394" t="s">
        <v>107</v>
      </c>
      <c r="J38" s="398"/>
      <c r="K38" s="396">
        <v>0</v>
      </c>
      <c r="M38" s="445" t="s">
        <v>121</v>
      </c>
      <c r="N38" s="449">
        <v>0.1</v>
      </c>
      <c r="O38" s="441">
        <f>P38/$K$12</f>
        <v>0</v>
      </c>
      <c r="P38" s="104">
        <f>IF(O35&gt;=P35,(O35-P35)*N38,IF(O35&lt;P35,P34*N38))</f>
        <v>0</v>
      </c>
      <c r="Q38" s="61"/>
      <c r="R38" s="75" t="s">
        <v>107</v>
      </c>
      <c r="S38" s="35"/>
      <c r="T38" s="85"/>
      <c r="V38" s="160" t="s">
        <v>108</v>
      </c>
      <c r="W38" s="161"/>
      <c r="X38" s="162" t="e">
        <f>G37-X44-X42</f>
        <v>#N/A</v>
      </c>
      <c r="Y38" s="61"/>
      <c r="Z38" s="61"/>
      <c r="AA38" s="70"/>
      <c r="AB38" s="72" t="s">
        <v>82</v>
      </c>
      <c r="AC38" s="69"/>
      <c r="AD38" s="54" t="e">
        <f>SUM(AD33:AD36)+AD22</f>
        <v>#N/A</v>
      </c>
      <c r="AE38" s="74"/>
    </row>
    <row r="39" spans="1:31" ht="28.5" customHeight="1" thickBot="1" x14ac:dyDescent="0.25">
      <c r="B39" s="524"/>
      <c r="C39" s="549"/>
      <c r="D39" s="524"/>
      <c r="E39" s="550"/>
      <c r="F39" s="540"/>
      <c r="G39" s="529"/>
      <c r="I39" s="394" t="s">
        <v>14</v>
      </c>
      <c r="J39" s="395"/>
      <c r="K39" s="399">
        <v>0</v>
      </c>
      <c r="M39" s="431" t="s">
        <v>586</v>
      </c>
      <c r="N39" s="433">
        <f>O39/5.45</f>
        <v>0.83524954128440365</v>
      </c>
      <c r="O39" s="432">
        <f>G22</f>
        <v>4.5521099999999999</v>
      </c>
      <c r="P39" s="484">
        <f>O39*K12</f>
        <v>555357.42000000004</v>
      </c>
      <c r="R39" s="75" t="s">
        <v>14</v>
      </c>
      <c r="S39" s="30"/>
      <c r="T39" s="87">
        <f>IF(C10="CABOTAGEM",AE17,IF(C10="IBITINGA",AE32,IF(C10="MINAS",AE22)))*$D$30</f>
        <v>0</v>
      </c>
      <c r="V39" s="166" t="s">
        <v>74</v>
      </c>
      <c r="W39" s="174" t="e">
        <f>VLOOKUP($C$29,'NCMS E ALÍQUOTAS'!$B$2:$O$2225,7,FALSE)</f>
        <v>#N/A</v>
      </c>
      <c r="X39" s="175" t="e">
        <f>$X$38*W39</f>
        <v>#N/A</v>
      </c>
      <c r="Y39" s="153" t="e">
        <f>X39*$T$12</f>
        <v>#N/A</v>
      </c>
      <c r="AA39" s="70"/>
      <c r="AE39" s="74"/>
    </row>
    <row r="40" spans="1:31" ht="28.5" customHeight="1" thickBot="1" x14ac:dyDescent="0.25">
      <c r="D40" s="551"/>
      <c r="E40" s="526"/>
      <c r="F40" s="528"/>
      <c r="G40" s="528"/>
      <c r="I40" s="21" t="s">
        <v>110</v>
      </c>
      <c r="J40" s="14"/>
      <c r="K40" s="400">
        <f>SUM(K33:K39)</f>
        <v>501599.85312099999</v>
      </c>
      <c r="M40" s="474" t="s">
        <v>575</v>
      </c>
      <c r="N40" s="361"/>
      <c r="O40" s="476">
        <f>D23+P33</f>
        <v>555357.42000000004</v>
      </c>
      <c r="P40" s="477">
        <f>O40/0.82</f>
        <v>677265.14634146355</v>
      </c>
      <c r="R40" s="21" t="s">
        <v>110</v>
      </c>
      <c r="S40" s="14"/>
      <c r="T40" s="80" t="e">
        <f>SUM(T33:T39)</f>
        <v>#N/A</v>
      </c>
      <c r="V40" s="167" t="s">
        <v>80</v>
      </c>
      <c r="W40" s="168" t="e">
        <f>VLOOKUP($C$29,'NCMS E ALÍQUOTAS'!$B$2:$O$2225,8,FALSE)</f>
        <v>#N/A</v>
      </c>
      <c r="X40" s="169" t="e">
        <f>$X$38*W40</f>
        <v>#N/A</v>
      </c>
      <c r="Y40" s="170" t="e">
        <f>X40*$T$12</f>
        <v>#N/A</v>
      </c>
      <c r="AA40" s="70"/>
      <c r="AE40" s="74"/>
    </row>
    <row r="41" spans="1:31" ht="28.5" customHeight="1" thickBot="1" x14ac:dyDescent="0.25">
      <c r="B41" s="552"/>
      <c r="C41" s="552"/>
      <c r="D41" s="552"/>
      <c r="E41" s="550"/>
      <c r="G41" s="102"/>
      <c r="I41" s="25" t="s">
        <v>111</v>
      </c>
      <c r="J41" s="30"/>
      <c r="K41" s="244">
        <f>K40/K12</f>
        <v>4.1114742059098361</v>
      </c>
      <c r="M41" s="475" t="s">
        <v>576</v>
      </c>
      <c r="N41" s="478">
        <v>0.18</v>
      </c>
      <c r="O41" s="362"/>
      <c r="P41" s="479">
        <f>P40*N41</f>
        <v>121907.72634146344</v>
      </c>
      <c r="Q41" s="56"/>
      <c r="R41" s="25" t="s">
        <v>111</v>
      </c>
      <c r="S41" s="30"/>
      <c r="T41" s="141" t="e">
        <f>T40/T12</f>
        <v>#N/A</v>
      </c>
      <c r="V41" s="160" t="s">
        <v>112</v>
      </c>
      <c r="W41" s="161"/>
      <c r="X41" s="162" t="e">
        <f>P21-X44</f>
        <v>#N/A</v>
      </c>
      <c r="Y41" s="56"/>
      <c r="Z41" s="56"/>
      <c r="AA41" s="70"/>
      <c r="AE41" s="74"/>
    </row>
    <row r="42" spans="1:31" ht="28.5" customHeight="1" thickBot="1" x14ac:dyDescent="0.25">
      <c r="B42" s="552"/>
      <c r="C42" s="552"/>
      <c r="D42" s="552"/>
      <c r="E42" s="553"/>
      <c r="F42" s="528"/>
      <c r="G42" s="102"/>
      <c r="I42" s="21" t="s">
        <v>113</v>
      </c>
      <c r="J42" s="14"/>
      <c r="K42" s="245">
        <f>SUM(K43:K46)</f>
        <v>43405.329850999995</v>
      </c>
      <c r="M42" s="475" t="s">
        <v>577</v>
      </c>
      <c r="N42" s="478">
        <v>0.04</v>
      </c>
      <c r="O42" s="362"/>
      <c r="P42" s="479">
        <f>N42*P40</f>
        <v>27090.605853658544</v>
      </c>
      <c r="R42" s="21" t="s">
        <v>113</v>
      </c>
      <c r="S42" s="14"/>
      <c r="T42" s="88" t="e">
        <f>SUM(T43:T46)</f>
        <v>#N/A</v>
      </c>
      <c r="V42" s="166" t="s">
        <v>76</v>
      </c>
      <c r="W42" s="174">
        <f>VLOOKUP($E$10,$AD$12:$AE$13,2,FALSE)</f>
        <v>1.4999999999999999E-2</v>
      </c>
      <c r="X42" s="153">
        <f>$G$37*$W$42</f>
        <v>0</v>
      </c>
      <c r="Y42" s="153">
        <f>X42*$T$12</f>
        <v>0</v>
      </c>
      <c r="AA42" s="70"/>
      <c r="AB42" s="92" t="s">
        <v>114</v>
      </c>
      <c r="AC42" s="92"/>
      <c r="AD42" s="92"/>
      <c r="AE42" s="74"/>
    </row>
    <row r="43" spans="1:31" ht="28.5" customHeight="1" thickBot="1" x14ac:dyDescent="0.25">
      <c r="D43" s="260"/>
      <c r="E43" s="317"/>
      <c r="F43" s="102"/>
      <c r="I43" s="25" t="s">
        <v>34</v>
      </c>
      <c r="J43" s="35">
        <f>J20</f>
        <v>0</v>
      </c>
      <c r="K43" s="243">
        <f>K20</f>
        <v>0</v>
      </c>
      <c r="M43" s="475" t="s">
        <v>587</v>
      </c>
      <c r="N43" s="363"/>
      <c r="O43" s="362"/>
      <c r="P43" s="364"/>
      <c r="Q43" s="29"/>
      <c r="R43" s="25" t="s">
        <v>34</v>
      </c>
      <c r="S43" s="30"/>
      <c r="T43" s="81" t="e">
        <f>T20</f>
        <v>#N/A</v>
      </c>
      <c r="V43" s="299" t="s">
        <v>115</v>
      </c>
      <c r="W43" s="300"/>
      <c r="X43" s="301" t="e">
        <f>P21/(1+W44)</f>
        <v>#N/A</v>
      </c>
      <c r="Y43" s="29"/>
      <c r="Z43" s="29"/>
      <c r="AA43" s="70"/>
      <c r="AB43" s="41" t="s">
        <v>94</v>
      </c>
      <c r="AC43" s="57"/>
      <c r="AD43" s="58">
        <v>2500</v>
      </c>
      <c r="AE43" s="74"/>
    </row>
    <row r="44" spans="1:31" ht="28.5" customHeight="1" thickBot="1" x14ac:dyDescent="0.25">
      <c r="B44" s="260"/>
      <c r="C44" s="260">
        <f>280/250</f>
        <v>1.1200000000000001</v>
      </c>
      <c r="D44" s="260">
        <f>C32*C44</f>
        <v>0</v>
      </c>
      <c r="E44" s="260">
        <v>0.98</v>
      </c>
      <c r="F44" s="102"/>
      <c r="G44" s="152"/>
      <c r="I44" s="25" t="s">
        <v>38</v>
      </c>
      <c r="J44" s="35">
        <f t="shared" ref="J44:J45" si="0">J21</f>
        <v>2.1000000000000001E-2</v>
      </c>
      <c r="K44" s="243">
        <f>$J$44*K18</f>
        <v>7263.0432420000006</v>
      </c>
      <c r="Q44" s="29"/>
      <c r="R44" s="25" t="s">
        <v>38</v>
      </c>
      <c r="S44" s="35">
        <v>0</v>
      </c>
      <c r="T44" s="81">
        <f>$S$44*T18</f>
        <v>0</v>
      </c>
      <c r="V44" s="302" t="s">
        <v>70</v>
      </c>
      <c r="W44" s="303" t="e">
        <f>VLOOKUP($C$29,'NCMS E ALÍQUOTAS'!$B$2:$O$2225,4,FALSE)</f>
        <v>#N/A</v>
      </c>
      <c r="X44" s="304" t="e">
        <f>W44*X43</f>
        <v>#N/A</v>
      </c>
      <c r="Y44" s="153" t="e">
        <f>X44*$T$12</f>
        <v>#N/A</v>
      </c>
      <c r="Z44" s="29"/>
      <c r="AA44" s="70"/>
      <c r="AB44" s="41"/>
      <c r="AC44" s="57"/>
      <c r="AD44" s="58"/>
      <c r="AE44" s="74"/>
    </row>
    <row r="45" spans="1:31" ht="28.5" customHeight="1" thickBot="1" x14ac:dyDescent="0.25">
      <c r="C45" s="297"/>
      <c r="D45" s="260"/>
      <c r="E45" s="291"/>
      <c r="F45" s="102"/>
      <c r="I45" s="25" t="s">
        <v>42</v>
      </c>
      <c r="J45" s="35">
        <f t="shared" si="0"/>
        <v>0.1045</v>
      </c>
      <c r="K45" s="243">
        <f>K18*$J$45</f>
        <v>36142.286608999995</v>
      </c>
      <c r="M45" s="11">
        <f>878417.52-872137.52</f>
        <v>6280</v>
      </c>
      <c r="Q45" s="29"/>
      <c r="R45" s="25" t="s">
        <v>42</v>
      </c>
      <c r="S45" s="35">
        <v>0</v>
      </c>
      <c r="T45" s="81">
        <f>T18*$S$45</f>
        <v>0</v>
      </c>
      <c r="V45" s="72"/>
      <c r="W45" s="68"/>
      <c r="X45" s="298" t="e">
        <f>X34+X39+X40+X42</f>
        <v>#N/A</v>
      </c>
      <c r="Y45" s="153">
        <v>0</v>
      </c>
      <c r="Z45" s="29"/>
      <c r="AA45" s="70"/>
      <c r="AB45" s="41" t="s">
        <v>97</v>
      </c>
      <c r="AC45" s="57"/>
      <c r="AD45" s="58">
        <v>1800</v>
      </c>
      <c r="AE45" s="74"/>
    </row>
    <row r="46" spans="1:31" ht="28.5" customHeight="1" thickBot="1" x14ac:dyDescent="0.25">
      <c r="A46" s="11">
        <f>B46*C46</f>
        <v>18270</v>
      </c>
      <c r="B46" s="11">
        <v>0.435</v>
      </c>
      <c r="C46" s="11">
        <v>42000</v>
      </c>
      <c r="D46" s="102">
        <v>0.78500000000000003</v>
      </c>
      <c r="E46" s="308">
        <f>C46*D46</f>
        <v>32970</v>
      </c>
      <c r="F46" s="102"/>
      <c r="G46" s="11">
        <f>96000*0.32</f>
        <v>30720</v>
      </c>
      <c r="I46" s="25" t="s">
        <v>46</v>
      </c>
      <c r="J46" s="30"/>
      <c r="K46" s="243">
        <f>K25</f>
        <v>0</v>
      </c>
      <c r="Q46" s="63"/>
      <c r="R46" s="25" t="s">
        <v>46</v>
      </c>
      <c r="S46" s="142"/>
      <c r="T46" s="81" t="e">
        <f>T25</f>
        <v>#N/A</v>
      </c>
      <c r="V46" s="192" t="s">
        <v>116</v>
      </c>
      <c r="W46" s="193">
        <v>0.08</v>
      </c>
      <c r="X46" s="194">
        <f>Y37*W46</f>
        <v>0</v>
      </c>
      <c r="Y46" s="201">
        <v>59999.99</v>
      </c>
      <c r="Z46" s="63"/>
      <c r="AA46" s="70"/>
      <c r="AB46" s="41" t="s">
        <v>98</v>
      </c>
      <c r="AC46" s="57"/>
      <c r="AD46" s="58">
        <v>2600</v>
      </c>
      <c r="AE46" s="74"/>
    </row>
    <row r="47" spans="1:31" ht="28.5" customHeight="1" thickBot="1" x14ac:dyDescent="0.25">
      <c r="A47" s="11">
        <f>B47*C47</f>
        <v>4350</v>
      </c>
      <c r="B47" s="260">
        <v>0.435</v>
      </c>
      <c r="C47" s="11">
        <v>10000</v>
      </c>
      <c r="D47" s="102">
        <v>0.77500000000000002</v>
      </c>
      <c r="E47" s="308">
        <f>C47*D47</f>
        <v>7750</v>
      </c>
      <c r="F47" s="102"/>
      <c r="I47" s="402" t="s">
        <v>583</v>
      </c>
      <c r="J47" s="403"/>
      <c r="K47" s="406">
        <f>K40-K42</f>
        <v>458194.52327000001</v>
      </c>
      <c r="L47" s="404" t="s">
        <v>582</v>
      </c>
      <c r="M47" s="405"/>
      <c r="Q47" s="63"/>
      <c r="R47" s="21" t="s">
        <v>117</v>
      </c>
      <c r="S47" s="14"/>
      <c r="T47" s="80" t="e">
        <f>T40-T42</f>
        <v>#N/A</v>
      </c>
      <c r="V47" s="195" t="s">
        <v>118</v>
      </c>
      <c r="W47" s="196">
        <v>0.09</v>
      </c>
      <c r="X47" s="197" t="e">
        <f>Y47/$T$12</f>
        <v>#DIV/0!</v>
      </c>
      <c r="Y47" s="197">
        <f>X46*W47</f>
        <v>0</v>
      </c>
      <c r="Z47" s="63"/>
      <c r="AA47" s="70"/>
      <c r="AB47" s="41" t="s">
        <v>54</v>
      </c>
      <c r="AC47" s="57"/>
      <c r="AD47" s="58">
        <v>1010</v>
      </c>
      <c r="AE47" s="74"/>
    </row>
    <row r="48" spans="1:31" ht="28.5" customHeight="1" thickBot="1" x14ac:dyDescent="0.25">
      <c r="A48" s="11">
        <f>B48*C48</f>
        <v>12450</v>
      </c>
      <c r="B48" s="11">
        <v>0.41499999999999998</v>
      </c>
      <c r="C48" s="11">
        <v>30000</v>
      </c>
      <c r="D48" s="102">
        <v>0.73499999999999999</v>
      </c>
      <c r="E48" s="308">
        <f>C48*D48</f>
        <v>22050</v>
      </c>
      <c r="F48" s="102"/>
      <c r="G48" s="102"/>
      <c r="I48" s="407" t="s">
        <v>584</v>
      </c>
      <c r="J48" s="408"/>
      <c r="K48" s="409">
        <f>K47/K12</f>
        <v>3.7556928136885248</v>
      </c>
      <c r="M48" s="29">
        <f>870917.52-K47</f>
        <v>412722.99673000001</v>
      </c>
      <c r="R48" s="73" t="s">
        <v>119</v>
      </c>
      <c r="S48" s="89"/>
      <c r="T48" s="90" t="e">
        <f>T47/T12</f>
        <v>#N/A</v>
      </c>
      <c r="V48" s="195" t="s">
        <v>120</v>
      </c>
      <c r="W48" s="196">
        <v>0.15</v>
      </c>
      <c r="X48" s="197" t="e">
        <f>Y48/$T$12</f>
        <v>#DIV/0!</v>
      </c>
      <c r="Y48" s="197">
        <f>W48*X46</f>
        <v>0</v>
      </c>
      <c r="AA48" s="70"/>
      <c r="AB48" s="41"/>
      <c r="AC48" s="57"/>
      <c r="AD48" s="58"/>
      <c r="AE48" s="74"/>
    </row>
    <row r="49" spans="1:31" ht="28.5" customHeight="1" thickBot="1" x14ac:dyDescent="0.25">
      <c r="A49" s="11">
        <f>B49*C49</f>
        <v>16600</v>
      </c>
      <c r="B49" s="11">
        <v>0.41499999999999998</v>
      </c>
      <c r="C49" s="11">
        <v>40000</v>
      </c>
      <c r="D49" s="102">
        <v>0.72499999999999998</v>
      </c>
      <c r="E49" s="308">
        <f>C49*D49</f>
        <v>29000</v>
      </c>
      <c r="F49" s="102"/>
      <c r="R49" s="70"/>
      <c r="T49" s="102"/>
      <c r="V49" s="198" t="s">
        <v>121</v>
      </c>
      <c r="W49" s="200">
        <v>0.1</v>
      </c>
      <c r="X49" s="197" t="e">
        <f>Y49/$T$12</f>
        <v>#DIV/0!</v>
      </c>
      <c r="Y49" s="199">
        <f>IF(X46&gt;=Y46,(X46-Y46)*W49,IF(X46&lt;Y46,Y45*W49))</f>
        <v>0</v>
      </c>
      <c r="Z49" s="55"/>
      <c r="AA49" s="70"/>
      <c r="AB49" s="41" t="s">
        <v>597</v>
      </c>
      <c r="AC49" s="57"/>
      <c r="AD49" s="58">
        <v>13000</v>
      </c>
      <c r="AE49" s="74"/>
    </row>
    <row r="50" spans="1:31" ht="16" thickBot="1" x14ac:dyDescent="0.25">
      <c r="A50" s="11">
        <f>B50*C50</f>
        <v>53120</v>
      </c>
      <c r="B50" s="11">
        <v>0.41499999999999998</v>
      </c>
      <c r="C50" s="11">
        <v>128000</v>
      </c>
      <c r="D50" s="102">
        <v>0.72499999999999998</v>
      </c>
      <c r="E50" s="308">
        <f>C50*D50</f>
        <v>92800</v>
      </c>
      <c r="F50" s="102"/>
      <c r="G50" s="55"/>
      <c r="R50" s="70"/>
      <c r="T50" s="102"/>
      <c r="V50" s="72"/>
      <c r="W50" s="71"/>
      <c r="X50" s="104"/>
      <c r="AA50" s="70"/>
      <c r="AB50" s="41"/>
      <c r="AC50" s="57"/>
      <c r="AD50" s="58"/>
      <c r="AE50" s="74"/>
    </row>
    <row r="51" spans="1:31" ht="16" thickBot="1" x14ac:dyDescent="0.25">
      <c r="D51" s="297"/>
      <c r="E51" s="102"/>
      <c r="F51" s="102"/>
      <c r="R51" s="70"/>
      <c r="V51" s="474" t="s">
        <v>575</v>
      </c>
      <c r="W51" s="361"/>
      <c r="X51" s="476" t="e">
        <f>D38+Y44</f>
        <v>#N/A</v>
      </c>
      <c r="Y51" s="477" t="e">
        <f>X51/0.82</f>
        <v>#N/A</v>
      </c>
      <c r="AA51" s="70"/>
      <c r="AB51" s="41" t="s">
        <v>75</v>
      </c>
      <c r="AC51" s="57"/>
      <c r="AD51" s="58">
        <v>1000</v>
      </c>
      <c r="AE51" s="74"/>
    </row>
    <row r="52" spans="1:31" ht="16" thickBot="1" x14ac:dyDescent="0.25">
      <c r="A52" s="55">
        <f>SUM(A46:A50)</f>
        <v>104790</v>
      </c>
      <c r="B52" s="34"/>
      <c r="C52" s="55"/>
      <c r="D52" s="55"/>
      <c r="E52" s="55">
        <f>SUM(E46:E50)</f>
        <v>184570</v>
      </c>
      <c r="F52" s="102"/>
      <c r="G52" s="55"/>
      <c r="R52" s="276"/>
      <c r="V52" s="475" t="s">
        <v>576</v>
      </c>
      <c r="W52" s="478">
        <v>0.18</v>
      </c>
      <c r="X52" s="362"/>
      <c r="Y52" s="479" t="e">
        <f>Y51*W52</f>
        <v>#N/A</v>
      </c>
      <c r="AA52" s="70"/>
      <c r="AB52" s="41" t="s">
        <v>105</v>
      </c>
      <c r="AC52" s="57"/>
      <c r="AD52" s="58"/>
      <c r="AE52" s="74"/>
    </row>
    <row r="53" spans="1:31" ht="16" thickBot="1" x14ac:dyDescent="0.25">
      <c r="B53" s="11">
        <f>A52/C53</f>
        <v>0.41915999999999998</v>
      </c>
      <c r="C53" s="55">
        <f>SUM(C46:C51)</f>
        <v>250000</v>
      </c>
      <c r="D53" s="259">
        <f>E52/C53</f>
        <v>0.73828000000000005</v>
      </c>
      <c r="E53" s="259"/>
      <c r="G53" s="55"/>
      <c r="I53" s="11">
        <v>100000</v>
      </c>
      <c r="J53" s="11">
        <f>I53*0.021</f>
        <v>2100</v>
      </c>
      <c r="K53" s="190">
        <f>J53+J55</f>
        <v>3725</v>
      </c>
      <c r="R53" s="70"/>
      <c r="V53" s="475" t="s">
        <v>577</v>
      </c>
      <c r="W53" s="478">
        <v>0.04</v>
      </c>
      <c r="X53" s="362"/>
      <c r="Y53" s="479" t="e">
        <f>W53*Y51</f>
        <v>#N/A</v>
      </c>
      <c r="AA53" s="70"/>
      <c r="AB53" s="41" t="s">
        <v>107</v>
      </c>
      <c r="AC53" s="57"/>
      <c r="AD53" s="58"/>
      <c r="AE53" s="74"/>
    </row>
    <row r="54" spans="1:31" ht="16" thickBot="1" x14ac:dyDescent="0.25">
      <c r="C54" s="259"/>
      <c r="E54" s="113"/>
      <c r="G54" s="55"/>
      <c r="I54" s="11">
        <v>100000</v>
      </c>
      <c r="J54" s="11">
        <f>I54*0.0965</f>
        <v>9650</v>
      </c>
      <c r="K54" s="190">
        <f>J54+J56</f>
        <v>17150</v>
      </c>
      <c r="R54" s="70"/>
      <c r="T54" s="102"/>
      <c r="V54" s="475" t="s">
        <v>121</v>
      </c>
      <c r="W54" s="363"/>
      <c r="X54" s="362"/>
      <c r="Y54" s="480" t="e">
        <f>Y52-Y53</f>
        <v>#N/A</v>
      </c>
      <c r="AA54" s="70"/>
      <c r="AB54" s="41" t="s">
        <v>14</v>
      </c>
      <c r="AC54" s="57"/>
      <c r="AD54" s="58">
        <f>IF(C10="CABOTAGEM",AE17,IF(C10="IBITINGA",AE32,IF(C10="MINAS",AE22)))</f>
        <v>0</v>
      </c>
      <c r="AE54" s="74"/>
    </row>
    <row r="55" spans="1:31" x14ac:dyDescent="0.2">
      <c r="B55" s="102"/>
      <c r="D55" s="259"/>
      <c r="E55" s="275"/>
      <c r="F55" s="259"/>
      <c r="G55" s="260"/>
      <c r="I55" s="11">
        <v>250000</v>
      </c>
      <c r="J55" s="11">
        <f>I55*0.0065</f>
        <v>1625</v>
      </c>
      <c r="R55" s="70"/>
      <c r="T55" s="29"/>
      <c r="X55" s="74"/>
      <c r="AA55" s="70"/>
      <c r="AE55" s="74"/>
    </row>
    <row r="56" spans="1:31" x14ac:dyDescent="0.2">
      <c r="B56" s="102"/>
      <c r="E56" s="260"/>
      <c r="F56" s="55"/>
      <c r="G56" s="102"/>
      <c r="I56" s="11">
        <v>250000</v>
      </c>
      <c r="J56" s="11">
        <f>I56*0.03</f>
        <v>7500</v>
      </c>
      <c r="R56" s="70"/>
      <c r="X56" s="74"/>
      <c r="AA56" s="70"/>
      <c r="AE56" s="74"/>
    </row>
    <row r="57" spans="1:31" x14ac:dyDescent="0.2">
      <c r="E57" s="260"/>
      <c r="F57" s="260"/>
      <c r="G57" s="55"/>
      <c r="I57" s="11">
        <v>100000</v>
      </c>
      <c r="J57" s="11">
        <f>I57*0.0165</f>
        <v>1650</v>
      </c>
      <c r="R57" s="70"/>
      <c r="X57" s="74"/>
      <c r="AA57" s="70"/>
      <c r="AE57" s="74"/>
    </row>
    <row r="58" spans="1:31" x14ac:dyDescent="0.2">
      <c r="C58" s="259"/>
      <c r="D58" s="274"/>
      <c r="F58" s="260"/>
      <c r="G58" s="204"/>
      <c r="I58" s="11">
        <v>100000</v>
      </c>
      <c r="J58" s="11">
        <f>I58*0.0765</f>
        <v>7650</v>
      </c>
      <c r="R58" s="70"/>
      <c r="X58" s="74"/>
      <c r="AA58" s="70"/>
      <c r="AE58" s="74"/>
    </row>
    <row r="59" spans="1:31" ht="16" thickBot="1" x14ac:dyDescent="0.25">
      <c r="C59" s="55"/>
      <c r="D59" s="55"/>
      <c r="F59" s="247"/>
      <c r="G59" s="203"/>
      <c r="I59" s="11">
        <v>250000</v>
      </c>
      <c r="J59" s="11">
        <f>I59*0.0165</f>
        <v>4125</v>
      </c>
      <c r="K59" s="190">
        <f>J59-J57</f>
        <v>2475</v>
      </c>
      <c r="R59" s="64"/>
      <c r="S59" s="76"/>
      <c r="T59" s="76"/>
      <c r="U59" s="76"/>
      <c r="V59" s="76"/>
      <c r="W59" s="76"/>
      <c r="X59" s="93"/>
      <c r="AA59" s="64"/>
      <c r="AB59" s="76"/>
      <c r="AC59" s="76"/>
      <c r="AD59" s="76"/>
      <c r="AE59" s="93"/>
    </row>
    <row r="60" spans="1:31" x14ac:dyDescent="0.2">
      <c r="C60" s="55"/>
      <c r="D60" s="55">
        <v>5150</v>
      </c>
      <c r="E60" s="259"/>
      <c r="F60" s="247"/>
      <c r="G60" s="203"/>
      <c r="I60" s="11">
        <v>250000</v>
      </c>
      <c r="J60" s="11">
        <f>I60*0.0765</f>
        <v>19125</v>
      </c>
      <c r="K60" s="190">
        <f>J60-J58</f>
        <v>11475</v>
      </c>
      <c r="N60" s="102"/>
      <c r="O60" s="102"/>
    </row>
    <row r="61" spans="1:31" x14ac:dyDescent="0.2">
      <c r="C61" s="267"/>
      <c r="D61" s="55">
        <f>D60*7</f>
        <v>36050</v>
      </c>
      <c r="G61" s="247"/>
      <c r="M61" s="103"/>
      <c r="N61" s="102"/>
      <c r="O61" s="102"/>
    </row>
    <row r="62" spans="1:31" x14ac:dyDescent="0.2">
      <c r="C62" s="267"/>
      <c r="D62" s="152"/>
      <c r="E62" s="360"/>
      <c r="F62" s="247"/>
      <c r="G62" s="203"/>
    </row>
    <row r="63" spans="1:31" x14ac:dyDescent="0.2">
      <c r="C63" s="267"/>
      <c r="E63" s="360"/>
      <c r="F63" s="202"/>
      <c r="G63" s="203"/>
    </row>
    <row r="64" spans="1:31" x14ac:dyDescent="0.2">
      <c r="C64" s="267"/>
      <c r="D64" s="151"/>
      <c r="F64" s="151"/>
      <c r="G64" s="55"/>
    </row>
    <row r="65" spans="3:15" x14ac:dyDescent="0.2">
      <c r="C65" s="267"/>
      <c r="D65" s="151"/>
      <c r="F65" s="202">
        <v>10.5</v>
      </c>
      <c r="G65" s="203"/>
    </row>
    <row r="66" spans="3:15" x14ac:dyDescent="0.2">
      <c r="E66" s="260"/>
      <c r="G66" s="34"/>
    </row>
    <row r="68" spans="3:15" x14ac:dyDescent="0.2">
      <c r="M68" s="29"/>
    </row>
    <row r="69" spans="3:15" x14ac:dyDescent="0.2">
      <c r="D69" s="249"/>
      <c r="F69" s="11">
        <f>46.8</f>
        <v>46.8</v>
      </c>
      <c r="G69" s="11">
        <f>F69/4</f>
        <v>11.7</v>
      </c>
    </row>
    <row r="70" spans="3:15" x14ac:dyDescent="0.2">
      <c r="D70" s="249"/>
      <c r="F70" s="11">
        <v>62.1</v>
      </c>
      <c r="G70" s="55">
        <f>F70/4</f>
        <v>15.525</v>
      </c>
      <c r="M70" s="268"/>
      <c r="N70" s="268"/>
    </row>
    <row r="71" spans="3:15" x14ac:dyDescent="0.2">
      <c r="D71" s="249"/>
      <c r="F71"/>
    </row>
    <row r="74" spans="3:15" x14ac:dyDescent="0.2">
      <c r="C74" s="267">
        <f>30720</f>
        <v>30720</v>
      </c>
      <c r="D74" s="260">
        <f>C74*4</f>
        <v>122880</v>
      </c>
      <c r="E74" s="260">
        <f>8.97</f>
        <v>8.9700000000000006</v>
      </c>
      <c r="F74" s="260">
        <f>E74*4</f>
        <v>35.880000000000003</v>
      </c>
      <c r="G74" s="260"/>
      <c r="M74" s="260"/>
      <c r="N74" s="260"/>
      <c r="O74" s="260"/>
    </row>
    <row r="75" spans="3:15" x14ac:dyDescent="0.2">
      <c r="E75" s="260"/>
      <c r="G75" s="260"/>
      <c r="M75" s="260"/>
      <c r="N75" s="260"/>
      <c r="O75" s="260"/>
    </row>
    <row r="76" spans="3:15" x14ac:dyDescent="0.2">
      <c r="E76" s="260"/>
      <c r="G76" s="260"/>
      <c r="M76" s="260"/>
      <c r="N76" s="260"/>
      <c r="O76" s="260"/>
    </row>
    <row r="77" spans="3:15" x14ac:dyDescent="0.2">
      <c r="E77" s="260"/>
      <c r="F77" s="260">
        <f>68/E74</f>
        <v>7.5808249721293191</v>
      </c>
      <c r="G77" s="260"/>
      <c r="M77" s="260"/>
      <c r="N77" s="260"/>
      <c r="O77" s="260"/>
    </row>
    <row r="78" spans="3:15" x14ac:dyDescent="0.2">
      <c r="D78" s="249"/>
      <c r="E78" s="260"/>
      <c r="F78" s="11">
        <f>F77*E74</f>
        <v>68</v>
      </c>
      <c r="G78" s="260">
        <f>C74*F77</f>
        <v>232882.94314381268</v>
      </c>
      <c r="M78" s="260"/>
      <c r="N78" s="260"/>
      <c r="O78" s="260"/>
    </row>
    <row r="79" spans="3:15" x14ac:dyDescent="0.2">
      <c r="D79" s="249"/>
      <c r="E79" s="260"/>
      <c r="G79" s="260"/>
      <c r="M79" s="260"/>
      <c r="N79" s="260"/>
      <c r="O79" s="260"/>
    </row>
    <row r="80" spans="3:15" x14ac:dyDescent="0.2">
      <c r="E80" s="260"/>
      <c r="M80" s="260"/>
      <c r="N80" s="249"/>
    </row>
    <row r="81" spans="4:28" x14ac:dyDescent="0.2">
      <c r="M81" s="260"/>
      <c r="N81" s="260"/>
      <c r="O81" s="260"/>
    </row>
    <row r="82" spans="4:28" x14ac:dyDescent="0.2">
      <c r="M82" s="260"/>
      <c r="N82" s="260"/>
      <c r="O82" s="260"/>
    </row>
    <row r="83" spans="4:28" x14ac:dyDescent="0.2">
      <c r="M83" s="260"/>
      <c r="N83" s="249"/>
    </row>
    <row r="84" spans="4:28" x14ac:dyDescent="0.2">
      <c r="M84" s="260"/>
      <c r="N84" s="260"/>
      <c r="O84" s="260"/>
    </row>
    <row r="85" spans="4:28" x14ac:dyDescent="0.2">
      <c r="D85" s="202"/>
      <c r="M85" s="260"/>
      <c r="N85" s="260"/>
      <c r="O85" s="260"/>
    </row>
    <row r="86" spans="4:28" x14ac:dyDescent="0.2">
      <c r="M86" s="260"/>
      <c r="N86" s="249"/>
    </row>
    <row r="87" spans="4:28" x14ac:dyDescent="0.2">
      <c r="M87" s="260"/>
      <c r="N87" s="260"/>
      <c r="O87" s="260"/>
      <c r="AB87" s="296"/>
    </row>
    <row r="88" spans="4:28" x14ac:dyDescent="0.2">
      <c r="M88" s="260"/>
      <c r="N88" s="260"/>
      <c r="O88" s="260"/>
      <c r="AA88" s="297"/>
    </row>
    <row r="89" spans="4:28" x14ac:dyDescent="0.2">
      <c r="M89" s="260"/>
      <c r="N89" s="249"/>
    </row>
    <row r="90" spans="4:28" x14ac:dyDescent="0.2">
      <c r="M90" s="260"/>
      <c r="N90" s="260"/>
      <c r="O90" s="260"/>
    </row>
    <row r="91" spans="4:28" x14ac:dyDescent="0.2">
      <c r="F91" s="152"/>
      <c r="G91" s="152"/>
      <c r="M91" s="260"/>
      <c r="N91" s="260"/>
      <c r="O91" s="260"/>
    </row>
    <row r="92" spans="4:28" x14ac:dyDescent="0.2">
      <c r="F92" s="152"/>
      <c r="G92" s="152"/>
      <c r="M92" s="260"/>
      <c r="N92" s="249"/>
    </row>
    <row r="93" spans="4:28" x14ac:dyDescent="0.2">
      <c r="F93" s="152"/>
      <c r="G93" s="152"/>
      <c r="M93" s="260"/>
      <c r="N93" s="260"/>
      <c r="O93" s="260"/>
    </row>
    <row r="94" spans="4:28" x14ac:dyDescent="0.2">
      <c r="M94" s="260"/>
      <c r="N94" s="260"/>
      <c r="O94" s="260"/>
    </row>
    <row r="95" spans="4:28" x14ac:dyDescent="0.2">
      <c r="M95" s="260"/>
      <c r="N95" s="249"/>
    </row>
    <row r="96" spans="4:28" x14ac:dyDescent="0.2">
      <c r="M96" s="260"/>
      <c r="N96" s="260"/>
      <c r="O96" s="260"/>
    </row>
    <row r="97" spans="3:15" x14ac:dyDescent="0.2">
      <c r="M97" s="260"/>
      <c r="N97" s="260"/>
      <c r="O97" s="260"/>
    </row>
    <row r="98" spans="3:15" x14ac:dyDescent="0.2">
      <c r="M98" s="260"/>
      <c r="N98" s="249"/>
    </row>
    <row r="104" spans="3:15" x14ac:dyDescent="0.2">
      <c r="C104" s="267"/>
      <c r="E104" s="260"/>
      <c r="G104" s="260"/>
      <c r="M104" s="260"/>
      <c r="N104" s="260"/>
      <c r="O104" s="260"/>
    </row>
    <row r="105" spans="3:15" x14ac:dyDescent="0.2">
      <c r="E105" s="260"/>
      <c r="G105" s="260"/>
      <c r="M105" s="260"/>
      <c r="N105" s="260"/>
      <c r="O105" s="260"/>
    </row>
    <row r="106" spans="3:15" x14ac:dyDescent="0.2">
      <c r="E106" s="260"/>
      <c r="G106" s="260"/>
      <c r="M106" s="260"/>
      <c r="N106" s="260"/>
      <c r="O106" s="260"/>
    </row>
    <row r="107" spans="3:15" x14ac:dyDescent="0.2">
      <c r="E107" s="260"/>
      <c r="G107" s="260"/>
      <c r="K107" s="277"/>
      <c r="M107" s="260"/>
      <c r="N107" s="260"/>
      <c r="O107" s="260"/>
    </row>
    <row r="108" spans="3:15" x14ac:dyDescent="0.2">
      <c r="D108" s="249"/>
      <c r="E108" s="260"/>
      <c r="G108" s="260"/>
      <c r="M108" s="260"/>
      <c r="N108" s="260"/>
      <c r="O108" s="260"/>
    </row>
    <row r="109" spans="3:15" x14ac:dyDescent="0.2">
      <c r="D109" s="249"/>
      <c r="E109" s="260"/>
      <c r="G109" s="260"/>
      <c r="M109" s="260"/>
      <c r="N109" s="260"/>
      <c r="O109" s="260"/>
    </row>
    <row r="110" spans="3:15" x14ac:dyDescent="0.2">
      <c r="E110" s="260"/>
      <c r="M110" s="260"/>
      <c r="N110" s="249"/>
    </row>
    <row r="112" spans="3:15" x14ac:dyDescent="0.2">
      <c r="L112" s="260"/>
    </row>
    <row r="117" spans="3:16" x14ac:dyDescent="0.2">
      <c r="C117" s="267"/>
      <c r="E117" s="260"/>
      <c r="G117" s="260"/>
      <c r="L117" s="289"/>
      <c r="M117" s="260"/>
      <c r="N117" s="260"/>
      <c r="O117" s="260"/>
      <c r="P117" s="260"/>
    </row>
    <row r="118" spans="3:16" x14ac:dyDescent="0.2">
      <c r="E118" s="260"/>
      <c r="G118" s="260"/>
      <c r="L118" s="289"/>
      <c r="M118" s="260"/>
      <c r="N118" s="260"/>
      <c r="O118" s="260"/>
      <c r="P118" s="260"/>
    </row>
    <row r="119" spans="3:16" x14ac:dyDescent="0.2">
      <c r="E119" s="260"/>
      <c r="G119" s="260"/>
      <c r="L119" s="289"/>
      <c r="M119" s="260"/>
      <c r="N119" s="260"/>
      <c r="O119" s="260"/>
      <c r="P119" s="260"/>
    </row>
    <row r="120" spans="3:16" x14ac:dyDescent="0.2">
      <c r="E120" s="260"/>
      <c r="G120" s="260"/>
      <c r="K120" s="277"/>
      <c r="L120" s="289"/>
      <c r="M120" s="260"/>
      <c r="N120" s="260"/>
      <c r="O120" s="260"/>
      <c r="P120" s="260"/>
    </row>
    <row r="121" spans="3:16" x14ac:dyDescent="0.2">
      <c r="D121" s="249"/>
      <c r="E121" s="260"/>
      <c r="G121" s="260"/>
      <c r="L121" s="289"/>
      <c r="M121" s="260"/>
      <c r="N121" s="260"/>
      <c r="O121" s="260"/>
      <c r="P121" s="260"/>
    </row>
    <row r="122" spans="3:16" x14ac:dyDescent="0.2">
      <c r="D122" s="249"/>
      <c r="E122" s="260"/>
      <c r="G122" s="260"/>
      <c r="L122" s="289"/>
      <c r="M122" s="260"/>
      <c r="N122" s="260"/>
      <c r="O122" s="260"/>
      <c r="P122" s="260"/>
    </row>
    <row r="123" spans="3:16" x14ac:dyDescent="0.2">
      <c r="M123" s="260"/>
      <c r="N123" s="249"/>
    </row>
    <row r="125" spans="3:16" x14ac:dyDescent="0.2">
      <c r="L125" s="260"/>
    </row>
    <row r="137" spans="5:7" x14ac:dyDescent="0.2">
      <c r="F137" s="152"/>
    </row>
    <row r="138" spans="5:7" x14ac:dyDescent="0.2">
      <c r="F138" s="152"/>
    </row>
    <row r="139" spans="5:7" x14ac:dyDescent="0.2">
      <c r="F139" s="152"/>
    </row>
    <row r="140" spans="5:7" x14ac:dyDescent="0.2">
      <c r="F140" s="152"/>
    </row>
    <row r="141" spans="5:7" x14ac:dyDescent="0.2">
      <c r="F141" s="152"/>
    </row>
    <row r="144" spans="5:7" x14ac:dyDescent="0.2">
      <c r="E144" s="290"/>
      <c r="F144" s="290"/>
      <c r="G144" s="290"/>
    </row>
    <row r="145" spans="5:7" x14ac:dyDescent="0.2">
      <c r="E145" s="290"/>
      <c r="F145" s="290"/>
      <c r="G145" s="290"/>
    </row>
    <row r="146" spans="5:7" x14ac:dyDescent="0.2">
      <c r="E146" s="290"/>
      <c r="F146" s="290"/>
      <c r="G146" s="290"/>
    </row>
    <row r="147" spans="5:7" x14ac:dyDescent="0.2">
      <c r="E147" s="290"/>
      <c r="F147" s="290"/>
      <c r="G147" s="290"/>
    </row>
    <row r="148" spans="5:7" x14ac:dyDescent="0.2">
      <c r="E148" s="290"/>
      <c r="F148" s="290"/>
      <c r="G148" s="290"/>
    </row>
    <row r="149" spans="5:7" x14ac:dyDescent="0.2">
      <c r="E149" s="290"/>
      <c r="F149" s="290"/>
      <c r="G149" s="290"/>
    </row>
    <row r="187" spans="4:7" x14ac:dyDescent="0.2">
      <c r="F187" s="11" t="e">
        <f>F186/E186</f>
        <v>#DIV/0!</v>
      </c>
      <c r="G187" s="11">
        <f>G186*49.54</f>
        <v>0</v>
      </c>
    </row>
    <row r="189" spans="4:7" x14ac:dyDescent="0.2">
      <c r="D189" s="11">
        <f>0.02*10000</f>
        <v>200</v>
      </c>
    </row>
    <row r="201" spans="3:5" x14ac:dyDescent="0.2">
      <c r="C201" s="11">
        <v>115000</v>
      </c>
      <c r="D201" s="11">
        <v>68</v>
      </c>
      <c r="E201" s="11">
        <f>C201/D201</f>
        <v>1691.1764705882354</v>
      </c>
    </row>
    <row r="202" spans="3:5" x14ac:dyDescent="0.2">
      <c r="E202" s="11">
        <f>E201*56</f>
        <v>94705.882352941175</v>
      </c>
    </row>
  </sheetData>
  <mergeCells count="12">
    <mergeCell ref="AG5:AK7"/>
    <mergeCell ref="AG10:AK10"/>
    <mergeCell ref="B36:C36"/>
    <mergeCell ref="B5:G8"/>
    <mergeCell ref="I5:K7"/>
    <mergeCell ref="R5:X7"/>
    <mergeCell ref="AA5:AE7"/>
    <mergeCell ref="AG12:AK12"/>
    <mergeCell ref="C14:D14"/>
    <mergeCell ref="B21:C21"/>
    <mergeCell ref="B23:C23"/>
    <mergeCell ref="C29:D29"/>
  </mergeCells>
  <conditionalFormatting sqref="C12 G12">
    <cfRule type="cellIs" dxfId="103" priority="6" operator="lessThan">
      <formula>0</formula>
    </cfRule>
  </conditionalFormatting>
  <conditionalFormatting sqref="C27">
    <cfRule type="cellIs" dxfId="102" priority="4" operator="lessThan">
      <formula>0</formula>
    </cfRule>
  </conditionalFormatting>
  <conditionalFormatting sqref="D23:D24">
    <cfRule type="cellIs" dxfId="101" priority="20" operator="lessThan">
      <formula>0</formula>
    </cfRule>
  </conditionalFormatting>
  <conditionalFormatting sqref="D26">
    <cfRule type="cellIs" dxfId="100" priority="3" operator="lessThan">
      <formula>0</formula>
    </cfRule>
  </conditionalFormatting>
  <conditionalFormatting sqref="D38">
    <cfRule type="cellIs" dxfId="99" priority="12" operator="lessThan">
      <formula>0</formula>
    </cfRule>
  </conditionalFormatting>
  <conditionalFormatting sqref="D22:E22">
    <cfRule type="cellIs" dxfId="98" priority="22" operator="lessThan">
      <formula>0</formula>
    </cfRule>
  </conditionalFormatting>
  <conditionalFormatting sqref="E16:E19 G17 E20:G20 C24">
    <cfRule type="cellIs" dxfId="97" priority="21" operator="lessThan">
      <formula>0</formula>
    </cfRule>
  </conditionalFormatting>
  <conditionalFormatting sqref="E27">
    <cfRule type="cellIs" dxfId="96" priority="5" operator="lessThan">
      <formula>0</formula>
    </cfRule>
  </conditionalFormatting>
  <conditionalFormatting sqref="E41:E42">
    <cfRule type="cellIs" dxfId="95" priority="18" operator="lessThan">
      <formula>0</formula>
    </cfRule>
  </conditionalFormatting>
  <conditionalFormatting sqref="E32:G32 E33:E34 E35:G35 C39">
    <cfRule type="cellIs" dxfId="94" priority="13" operator="lessThan">
      <formula>0</formula>
    </cfRule>
  </conditionalFormatting>
  <conditionalFormatting sqref="F23 E24">
    <cfRule type="cellIs" dxfId="93" priority="19" operator="lessThan">
      <formula>0</formula>
    </cfRule>
  </conditionalFormatting>
  <conditionalFormatting sqref="F38 E39">
    <cfRule type="cellIs" dxfId="92" priority="11" operator="lessThan">
      <formula>0</formula>
    </cfRule>
  </conditionalFormatting>
  <conditionalFormatting sqref="F14:G16">
    <cfRule type="cellIs" dxfId="91" priority="1" operator="lessThan">
      <formula>0</formula>
    </cfRule>
  </conditionalFormatting>
  <conditionalFormatting sqref="F18:G18">
    <cfRule type="cellIs" dxfId="90" priority="17" operator="lessThan">
      <formula>0</formula>
    </cfRule>
  </conditionalFormatting>
  <conditionalFormatting sqref="F29:G30 E31 D37:E37">
    <cfRule type="cellIs" dxfId="89" priority="14" operator="lessThan">
      <formula>0</formula>
    </cfRule>
  </conditionalFormatting>
  <conditionalFormatting sqref="F33:G33">
    <cfRule type="cellIs" dxfId="88" priority="10" operator="lessThan">
      <formula>0</formula>
    </cfRule>
  </conditionalFormatting>
  <conditionalFormatting sqref="G19">
    <cfRule type="cellIs" dxfId="87" priority="15" operator="lessThan">
      <formula>0</formula>
    </cfRule>
  </conditionalFormatting>
  <conditionalFormatting sqref="G22:G24">
    <cfRule type="cellIs" dxfId="86" priority="16" operator="lessThan">
      <formula>0</formula>
    </cfRule>
  </conditionalFormatting>
  <conditionalFormatting sqref="G26">
    <cfRule type="cellIs" dxfId="85" priority="2" operator="lessThan">
      <formula>0</formula>
    </cfRule>
  </conditionalFormatting>
  <conditionalFormatting sqref="G34">
    <cfRule type="cellIs" dxfId="84" priority="8" operator="lessThan">
      <formula>0</formula>
    </cfRule>
  </conditionalFormatting>
  <conditionalFormatting sqref="G37:G39">
    <cfRule type="cellIs" dxfId="83" priority="9" operator="lessThan">
      <formula>0</formula>
    </cfRule>
  </conditionalFormatting>
  <conditionalFormatting sqref="W36:W37">
    <cfRule type="cellIs" dxfId="82" priority="7" operator="lessThan">
      <formula>0</formula>
    </cfRule>
  </conditionalFormatting>
  <dataValidations count="2">
    <dataValidation type="list" allowBlank="1" showInputMessage="1" showErrorMessage="1" sqref="E10" xr:uid="{48ECA297-B61A-6245-BD73-00EBBB22357F}">
      <formula1>$AD$12:$AD$13</formula1>
    </dataValidation>
    <dataValidation type="list" allowBlank="1" showInputMessage="1" showErrorMessage="1" sqref="C10" xr:uid="{AA1D86E8-2FF8-4C49-9794-120C9D028AD3}">
      <formula1>$AB$12:$AB$14</formula1>
    </dataValidation>
  </dataValidations>
  <pageMargins left="0.511811024" right="0.511811024" top="0.78740157499999996" bottom="0.78740157499999996" header="0.31496062000000002" footer="0.31496062000000002"/>
  <pageSetup paperSize="9" scale="41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471A75A-DF21-7E49-BD54-98D8203270B5}">
          <x14:formula1>
            <xm:f>'NCMS E ALÍQUOTAS'!$B$3:$B$12025</xm:f>
          </x14:formula1>
          <xm:sqref>C14</xm:sqref>
        </x14:dataValidation>
        <x14:dataValidation type="list" allowBlank="1" showInputMessage="1" showErrorMessage="1" xr:uid="{90015364-393B-674D-A8AF-7632E6622490}">
          <x14:formula1>
            <xm:f>'NCMS E ALÍQUOTAS'!$B$3:$B$20025</xm:f>
          </x14:formula1>
          <xm:sqref>C29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027E7-7988-4DAE-B713-7E6C07CC1091}">
  <sheetPr codeName="Planilha3"/>
  <dimension ref="A1:CK65502"/>
  <sheetViews>
    <sheetView showGridLines="0" zoomScaleNormal="70" workbookViewId="0">
      <pane xSplit="13" ySplit="1" topLeftCell="BH199" activePane="bottomRight" state="frozen"/>
      <selection pane="topRight" activeCell="N1" sqref="N1"/>
      <selection pane="bottomLeft" activeCell="A16" sqref="A16"/>
      <selection pane="bottomRight" activeCell="B217" sqref="A217:B217"/>
    </sheetView>
  </sheetViews>
  <sheetFormatPr baseColWidth="10" defaultColWidth="9.1640625" defaultRowHeight="15" x14ac:dyDescent="0.2"/>
  <cols>
    <col min="1" max="1" width="68.1640625" style="4" bestFit="1" customWidth="1"/>
    <col min="2" max="2" width="9.1640625" style="189" customWidth="1"/>
    <col min="3" max="3" width="8.83203125" style="4" customWidth="1"/>
    <col min="4" max="4" width="14.83203125" style="4" customWidth="1"/>
    <col min="5" max="5" width="13.83203125" style="4" customWidth="1"/>
    <col min="6" max="6" width="8.5" style="4" customWidth="1"/>
    <col min="7" max="7" width="7.33203125" style="4" customWidth="1"/>
    <col min="8" max="8" width="10.1640625" style="4" customWidth="1"/>
    <col min="9" max="9" width="8.5" style="4" customWidth="1"/>
    <col min="10" max="10" width="10.5" style="4" customWidth="1"/>
    <col min="11" max="12" width="14.83203125" style="4" customWidth="1"/>
    <col min="13" max="13" width="8.5" style="4" customWidth="1"/>
    <col min="14" max="14" width="13.33203125" style="4" bestFit="1" customWidth="1"/>
    <col min="15" max="20" width="14" style="117" customWidth="1"/>
    <col min="21" max="24" width="14" style="4" customWidth="1"/>
    <col min="25" max="25" width="14.33203125" style="110" customWidth="1"/>
    <col min="26" max="26" width="15.5" style="110" customWidth="1"/>
    <col min="27" max="28" width="27" style="110" customWidth="1"/>
    <col min="29" max="29" width="21" style="110" customWidth="1"/>
    <col min="30" max="30" width="15.5" style="110" customWidth="1"/>
    <col min="31" max="31" width="14.33203125" style="110" customWidth="1"/>
    <col min="32" max="32" width="14" style="110" customWidth="1"/>
    <col min="33" max="33" width="14.33203125" style="110" customWidth="1"/>
    <col min="34" max="34" width="16.33203125" style="110" customWidth="1"/>
    <col min="35" max="35" width="14" style="110" customWidth="1"/>
    <col min="36" max="36" width="16.83203125" style="110" customWidth="1"/>
    <col min="37" max="39" width="14" style="110" customWidth="1"/>
    <col min="40" max="40" width="14.33203125" style="110" customWidth="1"/>
    <col min="41" max="41" width="18.6640625" style="110" customWidth="1"/>
    <col min="42" max="42" width="13.1640625" style="110" customWidth="1"/>
    <col min="43" max="44" width="11.5" style="110" customWidth="1"/>
    <col min="45" max="45" width="14.1640625" style="110" customWidth="1"/>
    <col min="46" max="46" width="20.5" style="110" customWidth="1"/>
    <col min="47" max="47" width="12.5" style="110" customWidth="1"/>
    <col min="48" max="48" width="11.5" style="110" customWidth="1"/>
    <col min="49" max="49" width="12.5" style="110" customWidth="1"/>
    <col min="50" max="50" width="15.5" style="110" customWidth="1"/>
    <col min="51" max="51" width="11.5" style="110" customWidth="1"/>
    <col min="52" max="52" width="11.33203125" style="110" customWidth="1"/>
    <col min="53" max="53" width="13" style="110" customWidth="1"/>
    <col min="54" max="54" width="9.33203125" style="110" customWidth="1"/>
    <col min="55" max="56" width="12.5" style="110" customWidth="1"/>
    <col min="57" max="58" width="14.33203125" style="110" customWidth="1"/>
    <col min="59" max="61" width="12.5" style="110" customWidth="1"/>
    <col min="62" max="62" width="13.1640625" style="110" customWidth="1"/>
    <col min="63" max="63" width="16" style="110" customWidth="1"/>
    <col min="64" max="64" width="13.1640625" style="110" customWidth="1"/>
    <col min="65" max="65" width="12.5" style="110" customWidth="1"/>
    <col min="66" max="67" width="14.33203125" style="110" customWidth="1"/>
    <col min="68" max="69" width="12.5" style="110" customWidth="1"/>
    <col min="70" max="70" width="11.83203125" style="110" customWidth="1"/>
    <col min="71" max="72" width="17.1640625" style="110" customWidth="1"/>
    <col min="73" max="73" width="16.33203125" style="110" customWidth="1"/>
    <col min="74" max="74" width="15.83203125" style="110" customWidth="1"/>
    <col min="75" max="75" width="15.6640625" style="110" bestFit="1" customWidth="1"/>
    <col min="76" max="76" width="15.6640625" style="110" customWidth="1"/>
    <col min="77" max="78" width="14.33203125" style="11" bestFit="1" customWidth="1"/>
    <col min="79" max="82" width="14.33203125" style="11" customWidth="1"/>
    <col min="83" max="83" width="14.33203125" style="152" customWidth="1"/>
    <col min="84" max="84" width="9.1640625" style="152"/>
    <col min="85" max="86" width="9.1640625" style="11"/>
    <col min="87" max="87" width="9.1640625" style="152"/>
    <col min="88" max="16384" width="9.1640625" style="11"/>
  </cols>
  <sheetData>
    <row r="1" spans="1:89" s="152" customFormat="1" ht="70.5" customHeight="1" x14ac:dyDescent="0.2">
      <c r="A1" s="3" t="s">
        <v>122</v>
      </c>
      <c r="B1" s="3" t="s">
        <v>23</v>
      </c>
      <c r="C1" s="3" t="s">
        <v>123</v>
      </c>
      <c r="D1" s="3" t="s">
        <v>70</v>
      </c>
      <c r="E1" s="3" t="s">
        <v>74</v>
      </c>
      <c r="F1" s="3" t="s">
        <v>80</v>
      </c>
      <c r="G1" s="107" t="s">
        <v>74</v>
      </c>
      <c r="H1" s="107" t="s">
        <v>80</v>
      </c>
      <c r="I1" s="107" t="s">
        <v>124</v>
      </c>
      <c r="J1" s="107" t="s">
        <v>125</v>
      </c>
      <c r="K1" s="107" t="s">
        <v>126</v>
      </c>
      <c r="L1" s="107" t="s">
        <v>127</v>
      </c>
      <c r="M1" s="107" t="s">
        <v>128</v>
      </c>
      <c r="N1" s="107" t="s">
        <v>129</v>
      </c>
      <c r="O1" s="120" t="s">
        <v>130</v>
      </c>
      <c r="P1" s="206" t="s">
        <v>131</v>
      </c>
      <c r="Q1" s="223" t="s">
        <v>132</v>
      </c>
      <c r="R1" s="224" t="s">
        <v>133</v>
      </c>
      <c r="S1" s="225" t="s">
        <v>134</v>
      </c>
      <c r="T1" s="226" t="s">
        <v>135</v>
      </c>
      <c r="U1" s="121" t="s">
        <v>136</v>
      </c>
      <c r="V1" s="122" t="s">
        <v>137</v>
      </c>
      <c r="W1" s="123" t="s">
        <v>138</v>
      </c>
      <c r="X1" s="222" t="s">
        <v>139</v>
      </c>
      <c r="Y1" s="116" t="s">
        <v>140</v>
      </c>
      <c r="Z1" s="108" t="s">
        <v>141</v>
      </c>
      <c r="AA1" s="108" t="s">
        <v>142</v>
      </c>
      <c r="AB1" s="108" t="s">
        <v>143</v>
      </c>
      <c r="AC1" s="207" t="s">
        <v>144</v>
      </c>
      <c r="AD1" s="207" t="s">
        <v>145</v>
      </c>
      <c r="AE1" s="108" t="s">
        <v>70</v>
      </c>
      <c r="AF1" s="108" t="s">
        <v>74</v>
      </c>
      <c r="AG1" s="108" t="s">
        <v>80</v>
      </c>
      <c r="AH1" s="108" t="s">
        <v>146</v>
      </c>
      <c r="AI1" s="108" t="s">
        <v>93</v>
      </c>
      <c r="AJ1" s="108" t="s">
        <v>147</v>
      </c>
      <c r="AK1" s="108" t="s">
        <v>94</v>
      </c>
      <c r="AL1" s="108" t="s">
        <v>148</v>
      </c>
      <c r="AM1" s="108" t="s">
        <v>97</v>
      </c>
      <c r="AN1" s="108" t="s">
        <v>98</v>
      </c>
      <c r="AO1" s="108" t="s">
        <v>149</v>
      </c>
      <c r="AP1" s="108" t="s">
        <v>150</v>
      </c>
      <c r="AQ1" s="108" t="s">
        <v>680</v>
      </c>
      <c r="AR1" s="108" t="s">
        <v>679</v>
      </c>
      <c r="AS1" s="108" t="s">
        <v>14</v>
      </c>
      <c r="AT1" s="108" t="s">
        <v>152</v>
      </c>
      <c r="AU1" s="108" t="s">
        <v>153</v>
      </c>
      <c r="AV1" s="108" t="s">
        <v>28</v>
      </c>
      <c r="AW1" s="108" t="s">
        <v>154</v>
      </c>
      <c r="AX1" s="108" t="s">
        <v>108</v>
      </c>
      <c r="AY1" s="108" t="s">
        <v>74</v>
      </c>
      <c r="AZ1" s="108" t="s">
        <v>80</v>
      </c>
      <c r="BA1" s="108" t="s">
        <v>112</v>
      </c>
      <c r="BB1" s="108" t="s">
        <v>76</v>
      </c>
      <c r="BC1" s="108" t="s">
        <v>115</v>
      </c>
      <c r="BD1" s="108" t="s">
        <v>70</v>
      </c>
      <c r="BE1" s="108" t="s">
        <v>155</v>
      </c>
      <c r="BF1" s="108" t="s">
        <v>156</v>
      </c>
      <c r="BG1" s="108" t="s">
        <v>157</v>
      </c>
      <c r="BH1" s="108" t="s">
        <v>120</v>
      </c>
      <c r="BI1" s="108" t="s">
        <v>158</v>
      </c>
      <c r="BJ1" s="108" t="s">
        <v>159</v>
      </c>
      <c r="BK1" s="108" t="s">
        <v>160</v>
      </c>
      <c r="BL1" s="108" t="s">
        <v>161</v>
      </c>
      <c r="BM1" s="108" t="s">
        <v>162</v>
      </c>
      <c r="BN1" s="116" t="s">
        <v>163</v>
      </c>
      <c r="BO1" s="116" t="s">
        <v>164</v>
      </c>
      <c r="BP1" s="108" t="s">
        <v>165</v>
      </c>
      <c r="BQ1" s="108" t="s">
        <v>166</v>
      </c>
      <c r="BR1" s="116" t="s">
        <v>167</v>
      </c>
      <c r="BS1" s="108" t="s">
        <v>168</v>
      </c>
      <c r="BT1" s="108"/>
      <c r="BU1" s="108" t="s">
        <v>169</v>
      </c>
      <c r="BV1" s="108" t="s">
        <v>170</v>
      </c>
      <c r="BW1" s="108" t="s">
        <v>171</v>
      </c>
      <c r="BX1" s="108" t="s">
        <v>172</v>
      </c>
      <c r="BY1" s="481">
        <v>59999.99</v>
      </c>
      <c r="BZ1" s="11"/>
      <c r="CA1" s="11"/>
      <c r="CB1" s="11"/>
      <c r="CC1" s="11"/>
      <c r="CD1" s="11"/>
      <c r="CG1" s="11"/>
      <c r="CH1" s="11"/>
      <c r="CJ1" s="11"/>
      <c r="CK1" s="11"/>
    </row>
    <row r="2" spans="1:89" s="152" customFormat="1" ht="16" x14ac:dyDescent="0.2">
      <c r="A2" s="228" t="s">
        <v>476</v>
      </c>
      <c r="B2" s="187" t="s">
        <v>174</v>
      </c>
      <c r="C2" s="8">
        <v>0.16200000000000001</v>
      </c>
      <c r="D2" s="8">
        <v>0</v>
      </c>
      <c r="E2" s="7">
        <v>2.1000000000000001E-2</v>
      </c>
      <c r="F2" s="7">
        <v>9.6500000000000002E-2</v>
      </c>
      <c r="G2" s="1">
        <v>1.6500000000000001E-2</v>
      </c>
      <c r="H2" s="1">
        <v>7.5999999999999998E-2</v>
      </c>
      <c r="I2" s="1">
        <v>0.18</v>
      </c>
      <c r="J2" s="1">
        <v>0.04</v>
      </c>
      <c r="K2" s="1">
        <v>0.14000000000000001</v>
      </c>
      <c r="L2" s="1">
        <v>1.4999999999999999E-2</v>
      </c>
      <c r="M2" s="2" t="s">
        <v>175</v>
      </c>
      <c r="N2" s="105">
        <v>9200</v>
      </c>
      <c r="O2" s="119">
        <v>3.05</v>
      </c>
      <c r="P2" s="119"/>
      <c r="Q2" s="119"/>
      <c r="R2" s="119"/>
      <c r="S2" s="119"/>
      <c r="T2" s="119">
        <v>3.05</v>
      </c>
      <c r="U2" s="119"/>
      <c r="V2" s="205"/>
      <c r="W2" s="119"/>
      <c r="X2" s="119">
        <f t="shared" ref="X2:X120" si="0">MIN(O2:W2)</f>
        <v>3.05</v>
      </c>
      <c r="Y2" s="118">
        <f t="shared" ref="Y2:Y120" si="1">AVERAGE(O2:W2)</f>
        <v>3.05</v>
      </c>
      <c r="Z2" s="109">
        <f t="shared" ref="Z2:Z120" si="2">Y2*N2</f>
        <v>28060</v>
      </c>
      <c r="AA2" s="109">
        <f>'CALCULO GERAL'!$G$10</f>
        <v>6300</v>
      </c>
      <c r="AB2" s="109">
        <f t="shared" ref="AB2:AB120" si="3">Z2+AA2</f>
        <v>34360</v>
      </c>
      <c r="AC2" s="109">
        <f>AB2*'CALCULO GERAL'!$C$11</f>
        <v>172452.84</v>
      </c>
      <c r="AD2" s="109">
        <f t="shared" ref="AD2:AD120" si="4">AC2*C2</f>
        <v>27937.360079999999</v>
      </c>
      <c r="AE2" s="109">
        <f t="shared" ref="AE2:AE120" si="5">(AC2+AD2)*D2</f>
        <v>0</v>
      </c>
      <c r="AF2" s="109">
        <f t="shared" ref="AF2:AF120" si="6">AC2*E2</f>
        <v>3621.5096400000002</v>
      </c>
      <c r="AG2" s="109">
        <f t="shared" ref="AG2:AG120" si="7">AC2*F2</f>
        <v>16641.699059999999</v>
      </c>
      <c r="AH2" s="109">
        <v>154.22999999999999</v>
      </c>
      <c r="AI2" s="109">
        <f>((AA2*'CALCULO GERAL'!$C$11))*0.08+20</f>
        <v>2549.576</v>
      </c>
      <c r="AJ2" s="109">
        <v>1010</v>
      </c>
      <c r="AK2" s="109">
        <v>2500</v>
      </c>
      <c r="AL2" s="109">
        <f>(AA2*('CALCULO GERAL'!$C$11*1.02))-(AA2*'CALCULO GERAL'!$C$11)</f>
        <v>632.39400000000387</v>
      </c>
      <c r="AM2" s="109">
        <v>1800</v>
      </c>
      <c r="AN2" s="109">
        <v>2600</v>
      </c>
      <c r="AO2" s="109">
        <v>9400</v>
      </c>
      <c r="AP2" s="109">
        <v>1000</v>
      </c>
      <c r="AQ2" s="109">
        <f>-AF2</f>
        <v>-3621.5096400000002</v>
      </c>
      <c r="AR2" s="109">
        <f>-AG2</f>
        <v>-16641.699059999999</v>
      </c>
      <c r="AS2" s="109"/>
      <c r="AT2" s="109">
        <f>SUM(AC2:AS2)</f>
        <v>222036.40007999999</v>
      </c>
      <c r="AU2" s="111">
        <f t="shared" ref="AU2:AU120" si="8">IFERROR((AT2/N2),0)</f>
        <v>24.134391313043476</v>
      </c>
      <c r="AV2" s="109">
        <f>IFERROR((BS2*'CALCULO GERAL'!$E$11)/N2,0)</f>
        <v>0.66150419999999999</v>
      </c>
      <c r="AW2" s="109">
        <f>AU2/'CALCULO GERAL'!$C$11</f>
        <v>4.8086055614750896</v>
      </c>
      <c r="AX2" s="109">
        <f>BP2-BB2-BD2*'CALCULO GERAL'!$C$11</f>
        <v>32.579081850000001</v>
      </c>
      <c r="AY2" s="109">
        <f>AX2*G2</f>
        <v>0.53755485052500007</v>
      </c>
      <c r="AZ2" s="109">
        <f t="shared" ref="AZ2:AZ120" si="9">AX2*H2</f>
        <v>2.4760102206000001</v>
      </c>
      <c r="BA2" s="109">
        <f t="shared" ref="BA2:BA120" si="10">BP2-BD2</f>
        <v>33.075209999999998</v>
      </c>
      <c r="BB2" s="109">
        <f t="shared" ref="BB2:BB120" si="11">BA2*L2</f>
        <v>0.49612814999999993</v>
      </c>
      <c r="BC2" s="109">
        <f t="shared" ref="BC2:BC120" si="12">BP2/(1+D2)</f>
        <v>33.075209999999998</v>
      </c>
      <c r="BD2" s="109">
        <f t="shared" ref="BD2:BD120" si="13">BC2*D2</f>
        <v>0</v>
      </c>
      <c r="BE2" s="109">
        <f>BT2</f>
        <v>82255.531919999979</v>
      </c>
      <c r="BF2" s="109">
        <f>BT2</f>
        <v>82255.531919999979</v>
      </c>
      <c r="BG2" s="109">
        <f t="shared" ref="BG2:BG120" si="14">(BF2*0.09)/N2</f>
        <v>0.80467368182608667</v>
      </c>
      <c r="BH2" s="109">
        <f t="shared" ref="BH2:BH120" si="15">(BE2*0.15)/N2</f>
        <v>1.3411228030434779</v>
      </c>
      <c r="BI2" s="109">
        <f t="shared" ref="BI2:BI120" si="16">IF(BE2&gt;=$BY$1,($BY$1-BE2)*0.1,IF(BE2&lt;=$BY$1,($BY$1*0)))/N2</f>
        <v>-0.24190806434782589</v>
      </c>
      <c r="BJ2" s="109">
        <f>(AY2+AZ2+BB2+AV2+BD2+BG2+BH2+BI2)</f>
        <v>6.0750858416467386</v>
      </c>
      <c r="BK2" s="109">
        <f>BJ2+AU2</f>
        <v>30.209477154690216</v>
      </c>
      <c r="BL2" s="148">
        <v>0.74</v>
      </c>
      <c r="BM2" s="112">
        <f>ROUND((AW2/BL2)+((AW2*BL2)*'CALCULO GERAL'!$E$11)/BL2,2)</f>
        <v>6.59</v>
      </c>
      <c r="BN2" s="186">
        <f t="shared" ref="BN2:BN158" si="17">BM2</f>
        <v>6.59</v>
      </c>
      <c r="BO2" s="186">
        <f>ROUND(FV(0.02,8,,BN2)*-1,3)</f>
        <v>7.7210000000000001</v>
      </c>
      <c r="BP2" s="109">
        <f>BM2*'CALCULO GERAL'!$C$11</f>
        <v>33.075209999999998</v>
      </c>
      <c r="BQ2" s="109">
        <f>BO2*'CALCULO GERAL'!$C$11</f>
        <v>38.751699000000002</v>
      </c>
      <c r="BR2" s="186">
        <f>BN2*'CALCULO GERAL'!$C$11</f>
        <v>33.075209999999998</v>
      </c>
      <c r="BS2" s="109">
        <f t="shared" ref="BS2:BS120" si="18">BP2*N2</f>
        <v>304291.93199999997</v>
      </c>
      <c r="BT2" s="109">
        <f>BS2-AT2</f>
        <v>82255.531919999979</v>
      </c>
      <c r="BU2" s="109">
        <f t="shared" ref="BU2:BU120" si="19">BR2*N2</f>
        <v>304291.93199999997</v>
      </c>
      <c r="BV2" s="109">
        <f>BK2*N2</f>
        <v>277927.18982314999</v>
      </c>
      <c r="BW2" s="109">
        <f>BS2-BV2</f>
        <v>26364.742176849977</v>
      </c>
      <c r="BX2" s="114">
        <f t="shared" ref="BX2:BX120" si="20">(((BK2*N2)-BS2)/BS2*-1)</f>
        <v>8.6642922155589649E-2</v>
      </c>
      <c r="BY2" s="152">
        <f>ROUND(BL2,2)</f>
        <v>0.74</v>
      </c>
      <c r="CA2" s="55"/>
      <c r="CB2" s="113"/>
      <c r="CC2" s="113"/>
      <c r="CE2" s="152">
        <f>CC2/BY2</f>
        <v>0</v>
      </c>
      <c r="CF2" s="152">
        <f>100%-CE2</f>
        <v>1</v>
      </c>
      <c r="CG2" s="152">
        <f>AVERAGE(CF2,CD2)</f>
        <v>1</v>
      </c>
      <c r="CH2" s="34"/>
      <c r="CJ2" s="11"/>
      <c r="CK2" s="11"/>
    </row>
    <row r="3" spans="1:89" s="152" customFormat="1" ht="16" x14ac:dyDescent="0.2">
      <c r="A3" s="228" t="s">
        <v>477</v>
      </c>
      <c r="B3" s="187" t="s">
        <v>174</v>
      </c>
      <c r="C3" s="8">
        <v>0.16200000000000001</v>
      </c>
      <c r="D3" s="8">
        <v>0</v>
      </c>
      <c r="E3" s="7">
        <v>2.1000000000000001E-2</v>
      </c>
      <c r="F3" s="7">
        <v>9.6500000000000002E-2</v>
      </c>
      <c r="G3" s="1">
        <v>1.6500000000000001E-2</v>
      </c>
      <c r="H3" s="1">
        <v>7.5999999999999998E-2</v>
      </c>
      <c r="I3" s="1">
        <v>0.18</v>
      </c>
      <c r="J3" s="1">
        <v>0.04</v>
      </c>
      <c r="K3" s="1">
        <v>0.14000000000000001</v>
      </c>
      <c r="L3" s="1">
        <v>1.4999999999999999E-2</v>
      </c>
      <c r="M3" s="2" t="s">
        <v>175</v>
      </c>
      <c r="N3" s="105">
        <v>9200</v>
      </c>
      <c r="O3" s="119">
        <v>4.12</v>
      </c>
      <c r="P3" s="119"/>
      <c r="Q3" s="119"/>
      <c r="R3" s="119"/>
      <c r="S3" s="119"/>
      <c r="T3" s="119">
        <v>4.12</v>
      </c>
      <c r="U3" s="119"/>
      <c r="V3" s="205"/>
      <c r="W3" s="119"/>
      <c r="X3" s="119">
        <f t="shared" si="0"/>
        <v>4.12</v>
      </c>
      <c r="Y3" s="118">
        <f t="shared" si="1"/>
        <v>4.12</v>
      </c>
      <c r="Z3" s="109">
        <f t="shared" si="2"/>
        <v>37904</v>
      </c>
      <c r="AA3" s="109">
        <f>'CALCULO GERAL'!$G$10</f>
        <v>6300</v>
      </c>
      <c r="AB3" s="109">
        <f t="shared" si="3"/>
        <v>44204</v>
      </c>
      <c r="AC3" s="109">
        <f>AB3*'CALCULO GERAL'!$C$11</f>
        <v>221859.87600000002</v>
      </c>
      <c r="AD3" s="109">
        <f t="shared" si="4"/>
        <v>35941.299912000002</v>
      </c>
      <c r="AE3" s="109">
        <f t="shared" si="5"/>
        <v>0</v>
      </c>
      <c r="AF3" s="109">
        <f t="shared" si="6"/>
        <v>4659.0573960000011</v>
      </c>
      <c r="AG3" s="109">
        <f t="shared" si="7"/>
        <v>21409.478034000003</v>
      </c>
      <c r="AH3" s="109">
        <v>154.22999999999999</v>
      </c>
      <c r="AI3" s="109">
        <f>((AA3*'CALCULO GERAL'!$C$11))*0.08+20</f>
        <v>2549.576</v>
      </c>
      <c r="AJ3" s="109">
        <v>1010</v>
      </c>
      <c r="AK3" s="109">
        <v>2500</v>
      </c>
      <c r="AL3" s="109">
        <f>(AA3*('CALCULO GERAL'!$C$11*1.02))-(AA3*'CALCULO GERAL'!$C$11)</f>
        <v>632.39400000000387</v>
      </c>
      <c r="AM3" s="109">
        <v>1800</v>
      </c>
      <c r="AN3" s="109">
        <v>2600</v>
      </c>
      <c r="AO3" s="109">
        <v>9400</v>
      </c>
      <c r="AP3" s="109">
        <v>1000</v>
      </c>
      <c r="AQ3" s="109">
        <f t="shared" ref="AQ3:AQ66" si="21">-AF3</f>
        <v>-4659.0573960000011</v>
      </c>
      <c r="AR3" s="109">
        <f t="shared" ref="AR3:AR66" si="22">-AG3</f>
        <v>-21409.478034000003</v>
      </c>
      <c r="AS3" s="109"/>
      <c r="AT3" s="109">
        <f t="shared" ref="AT3:AT70" si="23">SUM(AC3:AS3)</f>
        <v>279447.37591200002</v>
      </c>
      <c r="AU3" s="111">
        <f t="shared" si="8"/>
        <v>30.374714773043479</v>
      </c>
      <c r="AV3" s="109">
        <f>IFERROR((BS3*'CALCULO GERAL'!$E$11)/N3,0)</f>
        <v>0.83315400000000006</v>
      </c>
      <c r="AW3" s="109">
        <f>AU3/'CALCULO GERAL'!$C$11</f>
        <v>6.0519455614750903</v>
      </c>
      <c r="AX3" s="109">
        <f>BP3-BB3-BD3*'CALCULO GERAL'!$C$11</f>
        <v>41.032834500000007</v>
      </c>
      <c r="AY3" s="109">
        <f t="shared" ref="AY3:AY120" si="24">AX3*G3</f>
        <v>0.67704176925000015</v>
      </c>
      <c r="AZ3" s="109">
        <f t="shared" si="9"/>
        <v>3.1184954220000005</v>
      </c>
      <c r="BA3" s="109">
        <f t="shared" si="10"/>
        <v>41.657700000000006</v>
      </c>
      <c r="BB3" s="109">
        <f t="shared" si="11"/>
        <v>0.62486550000000007</v>
      </c>
      <c r="BC3" s="109">
        <f t="shared" si="12"/>
        <v>41.657700000000006</v>
      </c>
      <c r="BD3" s="109">
        <f t="shared" si="13"/>
        <v>0</v>
      </c>
      <c r="BE3" s="109">
        <f t="shared" ref="BE3:BE34" si="25">BU3*0.08</f>
        <v>30660.067200000001</v>
      </c>
      <c r="BF3" s="109">
        <f t="shared" ref="BF3:BF34" si="26">BU3*0.12</f>
        <v>45990.1008</v>
      </c>
      <c r="BG3" s="109">
        <f t="shared" si="14"/>
        <v>0.44990316000000002</v>
      </c>
      <c r="BH3" s="109">
        <f t="shared" si="15"/>
        <v>0.49989240000000001</v>
      </c>
      <c r="BI3" s="109">
        <f t="shared" si="16"/>
        <v>0</v>
      </c>
      <c r="BJ3" s="109">
        <f t="shared" ref="BJ3:BJ120" si="27">(AY3+AZ3+BB3+AV3+BD3+BG3+BH3+BI3)</f>
        <v>6.203352251250001</v>
      </c>
      <c r="BK3" s="109">
        <f t="shared" ref="BK3:BK70" si="28">BJ3+AU3</f>
        <v>36.578067024293482</v>
      </c>
      <c r="BL3" s="148">
        <v>0.74</v>
      </c>
      <c r="BM3" s="112">
        <f>ROUND((AW3/BL3)+((AW3*BL3)*'CALCULO GERAL'!$E$11)/BL3,2)</f>
        <v>8.3000000000000007</v>
      </c>
      <c r="BN3" s="186">
        <f t="shared" si="17"/>
        <v>8.3000000000000007</v>
      </c>
      <c r="BO3" s="186">
        <f t="shared" ref="BO3:BO70" si="29">ROUND(FV(0.02,8,,BN3)*-1,3)</f>
        <v>9.7249999999999996</v>
      </c>
      <c r="BP3" s="109">
        <f>BM3*'CALCULO GERAL'!$C$11</f>
        <v>41.657700000000006</v>
      </c>
      <c r="BQ3" s="109">
        <f>BO3*'CALCULO GERAL'!$C$11</f>
        <v>48.809775000000002</v>
      </c>
      <c r="BR3" s="186">
        <f>BN3*'CALCULO GERAL'!$C$11</f>
        <v>41.657700000000006</v>
      </c>
      <c r="BS3" s="109">
        <f t="shared" si="18"/>
        <v>383250.84</v>
      </c>
      <c r="BT3" s="109">
        <f t="shared" ref="BT3:BT66" si="30">BS3-AT3</f>
        <v>103803.46408800001</v>
      </c>
      <c r="BU3" s="109">
        <f t="shared" si="19"/>
        <v>383250.84</v>
      </c>
      <c r="BV3" s="109">
        <f t="shared" ref="BV3:BV71" si="31">BK3*N3</f>
        <v>336518.21662350005</v>
      </c>
      <c r="BW3" s="109">
        <f t="shared" ref="BW3:BW70" si="32">BS3-BV3</f>
        <v>46732.623376499978</v>
      </c>
      <c r="BX3" s="114">
        <f t="shared" si="20"/>
        <v>0.12193743235239869</v>
      </c>
      <c r="BY3" s="152">
        <f t="shared" ref="BY3:BY71" si="33">ROUND(BL3,2)</f>
        <v>0.74</v>
      </c>
      <c r="CA3" s="55"/>
      <c r="CB3" s="113"/>
      <c r="CC3" s="113"/>
      <c r="CE3" s="152">
        <f t="shared" ref="CE3:CE71" si="34">CC3/BY3</f>
        <v>0</v>
      </c>
      <c r="CF3" s="152">
        <f t="shared" ref="CF3:CF70" si="35">100%-CE3</f>
        <v>1</v>
      </c>
      <c r="CG3" s="152">
        <f t="shared" ref="CG3:CG70" si="36">AVERAGE(CF3,CD3)</f>
        <v>1</v>
      </c>
      <c r="CH3" s="34"/>
      <c r="CJ3" s="11"/>
      <c r="CK3" s="11"/>
    </row>
    <row r="4" spans="1:89" s="152" customFormat="1" ht="16" x14ac:dyDescent="0.2">
      <c r="A4" s="228" t="s">
        <v>478</v>
      </c>
      <c r="B4" s="187" t="s">
        <v>174</v>
      </c>
      <c r="C4" s="8">
        <v>0.16200000000000001</v>
      </c>
      <c r="D4" s="8">
        <v>0</v>
      </c>
      <c r="E4" s="7">
        <v>2.1000000000000001E-2</v>
      </c>
      <c r="F4" s="7">
        <v>9.6500000000000002E-2</v>
      </c>
      <c r="G4" s="1">
        <v>1.6500000000000001E-2</v>
      </c>
      <c r="H4" s="1">
        <v>7.5999999999999998E-2</v>
      </c>
      <c r="I4" s="1">
        <v>0.18</v>
      </c>
      <c r="J4" s="1">
        <v>0.04</v>
      </c>
      <c r="K4" s="1">
        <v>0.14000000000000001</v>
      </c>
      <c r="L4" s="1">
        <v>1.4999999999999999E-2</v>
      </c>
      <c r="M4" s="2" t="s">
        <v>175</v>
      </c>
      <c r="N4" s="105">
        <v>9200</v>
      </c>
      <c r="O4" s="119">
        <v>4.5999999999999996</v>
      </c>
      <c r="P4" s="119"/>
      <c r="Q4" s="119"/>
      <c r="R4" s="119"/>
      <c r="S4" s="119"/>
      <c r="T4" s="119">
        <v>4.5999999999999996</v>
      </c>
      <c r="U4" s="119"/>
      <c r="V4" s="205"/>
      <c r="W4" s="119"/>
      <c r="X4" s="119">
        <f t="shared" si="0"/>
        <v>4.5999999999999996</v>
      </c>
      <c r="Y4" s="118">
        <f t="shared" si="1"/>
        <v>4.5999999999999996</v>
      </c>
      <c r="Z4" s="109">
        <f t="shared" si="2"/>
        <v>42320</v>
      </c>
      <c r="AA4" s="109">
        <f>'CALCULO GERAL'!$G$10</f>
        <v>6300</v>
      </c>
      <c r="AB4" s="109">
        <f t="shared" si="3"/>
        <v>48620</v>
      </c>
      <c r="AC4" s="109">
        <f>AB4*'CALCULO GERAL'!$C$11</f>
        <v>244023.78</v>
      </c>
      <c r="AD4" s="109">
        <f t="shared" si="4"/>
        <v>39531.852360000004</v>
      </c>
      <c r="AE4" s="109">
        <f t="shared" si="5"/>
        <v>0</v>
      </c>
      <c r="AF4" s="109">
        <f t="shared" si="6"/>
        <v>5124.4993800000002</v>
      </c>
      <c r="AG4" s="109">
        <f t="shared" si="7"/>
        <v>23548.29477</v>
      </c>
      <c r="AH4" s="109">
        <v>154.22999999999999</v>
      </c>
      <c r="AI4" s="109">
        <f>((AA4*'CALCULO GERAL'!$C$11))*0.08+20</f>
        <v>2549.576</v>
      </c>
      <c r="AJ4" s="109">
        <v>1010</v>
      </c>
      <c r="AK4" s="109">
        <v>2500</v>
      </c>
      <c r="AL4" s="109">
        <f>(AA4*('CALCULO GERAL'!$C$11*1.02))-(AA4*'CALCULO GERAL'!$C$11)</f>
        <v>632.39400000000387</v>
      </c>
      <c r="AM4" s="109">
        <v>1800</v>
      </c>
      <c r="AN4" s="109">
        <v>2600</v>
      </c>
      <c r="AO4" s="109">
        <v>9400</v>
      </c>
      <c r="AP4" s="109">
        <v>1000</v>
      </c>
      <c r="AQ4" s="109">
        <f t="shared" si="21"/>
        <v>-5124.4993800000002</v>
      </c>
      <c r="AR4" s="109">
        <f t="shared" si="22"/>
        <v>-23548.29477</v>
      </c>
      <c r="AS4" s="109"/>
      <c r="AT4" s="109">
        <f t="shared" si="23"/>
        <v>305201.83236</v>
      </c>
      <c r="AU4" s="111">
        <f t="shared" si="8"/>
        <v>33.174112213043479</v>
      </c>
      <c r="AV4" s="109">
        <f>IFERROR((BS4*'CALCULO GERAL'!$E$11)/N4,0)</f>
        <v>0.9094428</v>
      </c>
      <c r="AW4" s="109">
        <f>AU4/'CALCULO GERAL'!$C$11</f>
        <v>6.6097055614750904</v>
      </c>
      <c r="AX4" s="109">
        <f>BP4-BB4-BD4*'CALCULO GERAL'!$C$11</f>
        <v>44.790057900000001</v>
      </c>
      <c r="AY4" s="109">
        <f t="shared" si="24"/>
        <v>0.73903595535</v>
      </c>
      <c r="AZ4" s="109">
        <f t="shared" si="9"/>
        <v>3.4040444004000001</v>
      </c>
      <c r="BA4" s="109">
        <f t="shared" si="10"/>
        <v>45.472140000000003</v>
      </c>
      <c r="BB4" s="109">
        <f t="shared" si="11"/>
        <v>0.68208210000000002</v>
      </c>
      <c r="BC4" s="109">
        <f t="shared" si="12"/>
        <v>45.472140000000003</v>
      </c>
      <c r="BD4" s="109">
        <f t="shared" si="13"/>
        <v>0</v>
      </c>
      <c r="BE4" s="109">
        <f t="shared" si="25"/>
        <v>33467.495040000002</v>
      </c>
      <c r="BF4" s="109">
        <f t="shared" si="26"/>
        <v>50201.242559999999</v>
      </c>
      <c r="BG4" s="109">
        <f t="shared" si="14"/>
        <v>0.491099112</v>
      </c>
      <c r="BH4" s="109">
        <f t="shared" si="15"/>
        <v>0.54566568000000004</v>
      </c>
      <c r="BI4" s="109">
        <f t="shared" si="16"/>
        <v>0</v>
      </c>
      <c r="BJ4" s="109">
        <f t="shared" si="27"/>
        <v>6.7713700477499996</v>
      </c>
      <c r="BK4" s="109">
        <f t="shared" si="28"/>
        <v>39.945482260793476</v>
      </c>
      <c r="BL4" s="148">
        <v>0.74</v>
      </c>
      <c r="BM4" s="112">
        <f>ROUND((AW4/BL4)+((AW4*BL4)*'CALCULO GERAL'!$E$11)/BL4,2)</f>
        <v>9.06</v>
      </c>
      <c r="BN4" s="186">
        <f t="shared" si="17"/>
        <v>9.06</v>
      </c>
      <c r="BO4" s="186">
        <f t="shared" si="29"/>
        <v>10.615</v>
      </c>
      <c r="BP4" s="109">
        <f>BM4*'CALCULO GERAL'!$C$11</f>
        <v>45.472140000000003</v>
      </c>
      <c r="BQ4" s="109">
        <f>BO4*'CALCULO GERAL'!$C$11</f>
        <v>53.276685000000001</v>
      </c>
      <c r="BR4" s="186">
        <f>BN4*'CALCULO GERAL'!$C$11</f>
        <v>45.472140000000003</v>
      </c>
      <c r="BS4" s="109">
        <f t="shared" si="18"/>
        <v>418343.68800000002</v>
      </c>
      <c r="BT4" s="109">
        <f t="shared" si="30"/>
        <v>113141.85564000002</v>
      </c>
      <c r="BU4" s="109">
        <f t="shared" si="19"/>
        <v>418343.68800000002</v>
      </c>
      <c r="BV4" s="109">
        <f t="shared" si="31"/>
        <v>367498.43679929996</v>
      </c>
      <c r="BW4" s="109">
        <f t="shared" si="32"/>
        <v>50845.251200700062</v>
      </c>
      <c r="BX4" s="114">
        <f t="shared" si="20"/>
        <v>0.121539424781999</v>
      </c>
      <c r="BY4" s="152">
        <f t="shared" si="33"/>
        <v>0.74</v>
      </c>
      <c r="CA4" s="55"/>
      <c r="CB4" s="113"/>
      <c r="CC4" s="113"/>
      <c r="CE4" s="152">
        <f t="shared" si="34"/>
        <v>0</v>
      </c>
      <c r="CF4" s="152">
        <f t="shared" si="35"/>
        <v>1</v>
      </c>
      <c r="CG4" s="152">
        <f t="shared" si="36"/>
        <v>1</v>
      </c>
      <c r="CH4" s="34"/>
      <c r="CJ4" s="11"/>
      <c r="CK4" s="11"/>
    </row>
    <row r="5" spans="1:89" s="152" customFormat="1" ht="16" x14ac:dyDescent="0.2">
      <c r="A5" s="228" t="s">
        <v>479</v>
      </c>
      <c r="B5" s="187" t="s">
        <v>174</v>
      </c>
      <c r="C5" s="8">
        <v>0.16200000000000001</v>
      </c>
      <c r="D5" s="8">
        <v>0</v>
      </c>
      <c r="E5" s="7">
        <v>2.1000000000000001E-2</v>
      </c>
      <c r="F5" s="7">
        <v>9.6500000000000002E-2</v>
      </c>
      <c r="G5" s="1">
        <v>1.6500000000000001E-2</v>
      </c>
      <c r="H5" s="1">
        <v>7.5999999999999998E-2</v>
      </c>
      <c r="I5" s="1">
        <v>0.18</v>
      </c>
      <c r="J5" s="1">
        <v>0.04</v>
      </c>
      <c r="K5" s="1">
        <v>0.14000000000000001</v>
      </c>
      <c r="L5" s="1">
        <v>1.4999999999999999E-2</v>
      </c>
      <c r="M5" s="2" t="s">
        <v>175</v>
      </c>
      <c r="N5" s="105">
        <v>9200</v>
      </c>
      <c r="O5" s="119">
        <v>5.0999999999999996</v>
      </c>
      <c r="P5" s="119"/>
      <c r="Q5" s="119"/>
      <c r="R5" s="119"/>
      <c r="S5" s="119"/>
      <c r="T5" s="119">
        <v>5.0999999999999996</v>
      </c>
      <c r="U5" s="119"/>
      <c r="V5" s="205"/>
      <c r="W5" s="119"/>
      <c r="X5" s="119">
        <f t="shared" si="0"/>
        <v>5.0999999999999996</v>
      </c>
      <c r="Y5" s="118">
        <f t="shared" si="1"/>
        <v>5.0999999999999996</v>
      </c>
      <c r="Z5" s="109">
        <f t="shared" si="2"/>
        <v>46920</v>
      </c>
      <c r="AA5" s="109">
        <f>'CALCULO GERAL'!$G$10</f>
        <v>6300</v>
      </c>
      <c r="AB5" s="109">
        <f t="shared" si="3"/>
        <v>53220</v>
      </c>
      <c r="AC5" s="109">
        <f>AB5*'CALCULO GERAL'!$C$11</f>
        <v>267111.18</v>
      </c>
      <c r="AD5" s="109">
        <f t="shared" si="4"/>
        <v>43272.011160000002</v>
      </c>
      <c r="AE5" s="109">
        <f t="shared" si="5"/>
        <v>0</v>
      </c>
      <c r="AF5" s="109">
        <f t="shared" si="6"/>
        <v>5609.3347800000001</v>
      </c>
      <c r="AG5" s="109">
        <f t="shared" si="7"/>
        <v>25776.228869999999</v>
      </c>
      <c r="AH5" s="109">
        <v>154.22999999999999</v>
      </c>
      <c r="AI5" s="109">
        <f>((AA5*'CALCULO GERAL'!$C$11))*0.08+20</f>
        <v>2549.576</v>
      </c>
      <c r="AJ5" s="109">
        <v>1010</v>
      </c>
      <c r="AK5" s="109">
        <v>2500</v>
      </c>
      <c r="AL5" s="109">
        <f>(AA5*('CALCULO GERAL'!$C$11*1.02))-(AA5*'CALCULO GERAL'!$C$11)</f>
        <v>632.39400000000387</v>
      </c>
      <c r="AM5" s="109">
        <v>1800</v>
      </c>
      <c r="AN5" s="109">
        <v>2600</v>
      </c>
      <c r="AO5" s="109">
        <v>9400</v>
      </c>
      <c r="AP5" s="109">
        <v>1000</v>
      </c>
      <c r="AQ5" s="109">
        <f t="shared" si="21"/>
        <v>-5609.3347800000001</v>
      </c>
      <c r="AR5" s="109">
        <f t="shared" si="22"/>
        <v>-25776.228869999999</v>
      </c>
      <c r="AS5" s="109"/>
      <c r="AT5" s="109">
        <f t="shared" si="23"/>
        <v>332029.39116</v>
      </c>
      <c r="AU5" s="111">
        <f t="shared" si="8"/>
        <v>36.090151213043477</v>
      </c>
      <c r="AV5" s="109">
        <f>IFERROR((BS5*'CALCULO GERAL'!$E$11)/N5,0)</f>
        <v>0.98974680000000004</v>
      </c>
      <c r="AW5" s="109">
        <f>AU5/'CALCULO GERAL'!$C$11</f>
        <v>7.1907055614750899</v>
      </c>
      <c r="AX5" s="109">
        <f>BP5-BB5-BD5*'CALCULO GERAL'!$C$11</f>
        <v>48.745029899999999</v>
      </c>
      <c r="AY5" s="109">
        <f t="shared" si="24"/>
        <v>0.80429299335000004</v>
      </c>
      <c r="AZ5" s="109">
        <f t="shared" si="9"/>
        <v>3.7046222724</v>
      </c>
      <c r="BA5" s="109">
        <f t="shared" si="10"/>
        <v>49.487339999999996</v>
      </c>
      <c r="BB5" s="109">
        <f t="shared" si="11"/>
        <v>0.74231009999999986</v>
      </c>
      <c r="BC5" s="109">
        <f t="shared" si="12"/>
        <v>49.487339999999996</v>
      </c>
      <c r="BD5" s="109">
        <f t="shared" si="13"/>
        <v>0</v>
      </c>
      <c r="BE5" s="109">
        <f t="shared" si="25"/>
        <v>36422.682240000002</v>
      </c>
      <c r="BF5" s="109">
        <f t="shared" si="26"/>
        <v>54634.023359999999</v>
      </c>
      <c r="BG5" s="109">
        <f t="shared" si="14"/>
        <v>0.53446327199999999</v>
      </c>
      <c r="BH5" s="109">
        <f t="shared" si="15"/>
        <v>0.59384808</v>
      </c>
      <c r="BI5" s="109">
        <f t="shared" si="16"/>
        <v>0</v>
      </c>
      <c r="BJ5" s="109">
        <f t="shared" si="27"/>
        <v>7.3692835177499996</v>
      </c>
      <c r="BK5" s="109">
        <f t="shared" si="28"/>
        <v>43.459434730793475</v>
      </c>
      <c r="BL5" s="148">
        <v>0.74</v>
      </c>
      <c r="BM5" s="112">
        <f>ROUND((AW5/BL5)+((AW5*BL5)*'CALCULO GERAL'!$E$11)/BL5,2)</f>
        <v>9.86</v>
      </c>
      <c r="BN5" s="186">
        <f t="shared" si="17"/>
        <v>9.86</v>
      </c>
      <c r="BO5" s="186">
        <f t="shared" si="29"/>
        <v>11.553000000000001</v>
      </c>
      <c r="BP5" s="109">
        <f>BM5*'CALCULO GERAL'!$C$11</f>
        <v>49.487339999999996</v>
      </c>
      <c r="BQ5" s="109">
        <f>BO5*'CALCULO GERAL'!$C$11</f>
        <v>57.984507000000008</v>
      </c>
      <c r="BR5" s="186">
        <f>BN5*'CALCULO GERAL'!$C$11</f>
        <v>49.487339999999996</v>
      </c>
      <c r="BS5" s="109">
        <f t="shared" si="18"/>
        <v>455283.52799999999</v>
      </c>
      <c r="BT5" s="109">
        <f t="shared" si="30"/>
        <v>123254.13683999999</v>
      </c>
      <c r="BU5" s="109">
        <f t="shared" si="19"/>
        <v>455283.52799999999</v>
      </c>
      <c r="BV5" s="109">
        <f t="shared" si="31"/>
        <v>399826.79952329997</v>
      </c>
      <c r="BW5" s="109">
        <f t="shared" si="32"/>
        <v>55456.728476700024</v>
      </c>
      <c r="BX5" s="114">
        <f t="shared" si="20"/>
        <v>0.12180701709177588</v>
      </c>
      <c r="BY5" s="152">
        <f t="shared" si="33"/>
        <v>0.74</v>
      </c>
      <c r="CA5" s="55"/>
      <c r="CB5" s="113"/>
      <c r="CC5" s="113"/>
      <c r="CE5" s="152">
        <f t="shared" si="34"/>
        <v>0</v>
      </c>
      <c r="CF5" s="152">
        <f t="shared" si="35"/>
        <v>1</v>
      </c>
      <c r="CG5" s="152">
        <f t="shared" si="36"/>
        <v>1</v>
      </c>
      <c r="CH5" s="34"/>
      <c r="CJ5" s="11"/>
      <c r="CK5" s="11"/>
    </row>
    <row r="6" spans="1:89" s="152" customFormat="1" ht="16" x14ac:dyDescent="0.2">
      <c r="A6" s="228" t="s">
        <v>480</v>
      </c>
      <c r="B6" s="187" t="s">
        <v>174</v>
      </c>
      <c r="C6" s="8">
        <v>0.16200000000000001</v>
      </c>
      <c r="D6" s="8">
        <v>0</v>
      </c>
      <c r="E6" s="7">
        <v>2.1000000000000001E-2</v>
      </c>
      <c r="F6" s="7">
        <v>9.6500000000000002E-2</v>
      </c>
      <c r="G6" s="1">
        <v>1.6500000000000001E-2</v>
      </c>
      <c r="H6" s="1">
        <v>7.5999999999999998E-2</v>
      </c>
      <c r="I6" s="1">
        <v>0.18</v>
      </c>
      <c r="J6" s="1">
        <v>0.04</v>
      </c>
      <c r="K6" s="1">
        <v>0.14000000000000001</v>
      </c>
      <c r="L6" s="1">
        <v>1.4999999999999999E-2</v>
      </c>
      <c r="M6" s="2" t="s">
        <v>175</v>
      </c>
      <c r="N6" s="105">
        <v>9200</v>
      </c>
      <c r="O6" s="119">
        <v>3.06</v>
      </c>
      <c r="P6" s="119"/>
      <c r="Q6" s="119"/>
      <c r="R6" s="119"/>
      <c r="S6" s="119"/>
      <c r="T6" s="119">
        <v>3.06</v>
      </c>
      <c r="U6" s="119"/>
      <c r="V6" s="205"/>
      <c r="W6" s="119"/>
      <c r="X6" s="119">
        <f t="shared" si="0"/>
        <v>3.06</v>
      </c>
      <c r="Y6" s="118">
        <f t="shared" si="1"/>
        <v>3.06</v>
      </c>
      <c r="Z6" s="109">
        <f t="shared" si="2"/>
        <v>28152</v>
      </c>
      <c r="AA6" s="109">
        <f>'CALCULO GERAL'!$G$10</f>
        <v>6300</v>
      </c>
      <c r="AB6" s="109">
        <f t="shared" si="3"/>
        <v>34452</v>
      </c>
      <c r="AC6" s="109">
        <f>AB6*'CALCULO GERAL'!$C$11</f>
        <v>172914.58800000002</v>
      </c>
      <c r="AD6" s="109">
        <f t="shared" si="4"/>
        <v>28012.163256000003</v>
      </c>
      <c r="AE6" s="109">
        <f t="shared" si="5"/>
        <v>0</v>
      </c>
      <c r="AF6" s="109">
        <f t="shared" si="6"/>
        <v>3631.2063480000006</v>
      </c>
      <c r="AG6" s="109">
        <f t="shared" si="7"/>
        <v>16686.257742000002</v>
      </c>
      <c r="AH6" s="109">
        <v>154.22999999999999</v>
      </c>
      <c r="AI6" s="109">
        <f>((AA6*'CALCULO GERAL'!$C$11))*0.08+20</f>
        <v>2549.576</v>
      </c>
      <c r="AJ6" s="109">
        <v>1010</v>
      </c>
      <c r="AK6" s="109">
        <v>2500</v>
      </c>
      <c r="AL6" s="109">
        <f>(AA6*('CALCULO GERAL'!$C$11*1.02))-(AA6*'CALCULO GERAL'!$C$11)</f>
        <v>632.39400000000387</v>
      </c>
      <c r="AM6" s="109">
        <v>1800</v>
      </c>
      <c r="AN6" s="109">
        <v>2600</v>
      </c>
      <c r="AO6" s="109">
        <v>9400</v>
      </c>
      <c r="AP6" s="109">
        <v>1000</v>
      </c>
      <c r="AQ6" s="109">
        <f t="shared" si="21"/>
        <v>-3631.2063480000006</v>
      </c>
      <c r="AR6" s="109">
        <f t="shared" si="22"/>
        <v>-16686.257742000002</v>
      </c>
      <c r="AS6" s="109"/>
      <c r="AT6" s="109">
        <f t="shared" si="23"/>
        <v>222572.95125600003</v>
      </c>
      <c r="AU6" s="111">
        <f t="shared" si="8"/>
        <v>24.192712093043482</v>
      </c>
      <c r="AV6" s="109">
        <f>IFERROR((BS6*'CALCULO GERAL'!$E$11)/N6,0)</f>
        <v>0.6635118000000001</v>
      </c>
      <c r="AW6" s="109">
        <f>AU6/'CALCULO GERAL'!$C$11</f>
        <v>4.8202255614750911</v>
      </c>
      <c r="AX6" s="109">
        <f>BP6-BB6-BD6*'CALCULO GERAL'!$C$11</f>
        <v>32.67795615</v>
      </c>
      <c r="AY6" s="109">
        <f t="shared" si="24"/>
        <v>0.53918627647500006</v>
      </c>
      <c r="AZ6" s="109">
        <f t="shared" si="9"/>
        <v>2.4835246673999998</v>
      </c>
      <c r="BA6" s="109">
        <f t="shared" si="10"/>
        <v>33.17559</v>
      </c>
      <c r="BB6" s="109">
        <f t="shared" si="11"/>
        <v>0.49763384999999999</v>
      </c>
      <c r="BC6" s="109">
        <f t="shared" si="12"/>
        <v>33.17559</v>
      </c>
      <c r="BD6" s="109">
        <f t="shared" si="13"/>
        <v>0</v>
      </c>
      <c r="BE6" s="109">
        <f t="shared" si="25"/>
        <v>24417.234240000002</v>
      </c>
      <c r="BF6" s="109">
        <f t="shared" si="26"/>
        <v>36625.851360000001</v>
      </c>
      <c r="BG6" s="109">
        <f t="shared" si="14"/>
        <v>0.35829637199999997</v>
      </c>
      <c r="BH6" s="109">
        <f t="shared" si="15"/>
        <v>0.39810708</v>
      </c>
      <c r="BI6" s="109">
        <f t="shared" si="16"/>
        <v>0</v>
      </c>
      <c r="BJ6" s="109">
        <f t="shared" si="27"/>
        <v>4.9402600458750001</v>
      </c>
      <c r="BK6" s="109">
        <f t="shared" si="28"/>
        <v>29.132972138918483</v>
      </c>
      <c r="BL6" s="148">
        <v>0.74</v>
      </c>
      <c r="BM6" s="112">
        <f>ROUND((AW6/BL6)+((AW6*BL6)*'CALCULO GERAL'!$E$11)/BL6,2)</f>
        <v>6.61</v>
      </c>
      <c r="BN6" s="186">
        <f t="shared" si="17"/>
        <v>6.61</v>
      </c>
      <c r="BO6" s="186">
        <f t="shared" si="29"/>
        <v>7.7450000000000001</v>
      </c>
      <c r="BP6" s="109">
        <f>BM6*'CALCULO GERAL'!$C$11</f>
        <v>33.17559</v>
      </c>
      <c r="BQ6" s="109">
        <f>BO6*'CALCULO GERAL'!$C$11</f>
        <v>38.872154999999999</v>
      </c>
      <c r="BR6" s="186">
        <f>BN6*'CALCULO GERAL'!$C$11</f>
        <v>33.17559</v>
      </c>
      <c r="BS6" s="109">
        <f t="shared" si="18"/>
        <v>305215.42800000001</v>
      </c>
      <c r="BT6" s="109">
        <f t="shared" si="30"/>
        <v>82642.476743999985</v>
      </c>
      <c r="BU6" s="109">
        <f t="shared" si="19"/>
        <v>305215.42800000001</v>
      </c>
      <c r="BV6" s="109">
        <f t="shared" si="31"/>
        <v>268023.34367805003</v>
      </c>
      <c r="BW6" s="109">
        <f t="shared" si="32"/>
        <v>37192.08432194998</v>
      </c>
      <c r="BX6" s="114">
        <f t="shared" si="20"/>
        <v>0.12185519115354149</v>
      </c>
      <c r="BY6" s="152">
        <f t="shared" si="33"/>
        <v>0.74</v>
      </c>
      <c r="CA6" s="55"/>
      <c r="CB6" s="113"/>
      <c r="CC6" s="113"/>
      <c r="CE6" s="152">
        <f t="shared" si="34"/>
        <v>0</v>
      </c>
      <c r="CF6" s="152">
        <f t="shared" si="35"/>
        <v>1</v>
      </c>
      <c r="CG6" s="152">
        <f t="shared" si="36"/>
        <v>1</v>
      </c>
      <c r="CH6" s="34"/>
      <c r="CJ6" s="11"/>
      <c r="CK6" s="11"/>
    </row>
    <row r="7" spans="1:89" s="152" customFormat="1" ht="16" x14ac:dyDescent="0.2">
      <c r="A7" s="228" t="s">
        <v>481</v>
      </c>
      <c r="B7" s="187" t="s">
        <v>174</v>
      </c>
      <c r="C7" s="8">
        <v>0.16200000000000001</v>
      </c>
      <c r="D7" s="8">
        <v>0</v>
      </c>
      <c r="E7" s="7">
        <v>2.1000000000000001E-2</v>
      </c>
      <c r="F7" s="7">
        <v>9.6500000000000002E-2</v>
      </c>
      <c r="G7" s="1">
        <v>1.6500000000000001E-2</v>
      </c>
      <c r="H7" s="1">
        <v>7.5999999999999998E-2</v>
      </c>
      <c r="I7" s="1">
        <v>0.18</v>
      </c>
      <c r="J7" s="1">
        <v>0.04</v>
      </c>
      <c r="K7" s="1">
        <v>0.14000000000000001</v>
      </c>
      <c r="L7" s="1">
        <v>1.4999999999999999E-2</v>
      </c>
      <c r="M7" s="2" t="s">
        <v>175</v>
      </c>
      <c r="N7" s="105">
        <v>9200</v>
      </c>
      <c r="O7" s="119">
        <v>4.13</v>
      </c>
      <c r="P7" s="119"/>
      <c r="Q7" s="119"/>
      <c r="R7" s="119"/>
      <c r="S7" s="119"/>
      <c r="T7" s="119">
        <v>4.13</v>
      </c>
      <c r="U7" s="119"/>
      <c r="V7" s="205"/>
      <c r="W7" s="119"/>
      <c r="X7" s="119">
        <f t="shared" si="0"/>
        <v>4.13</v>
      </c>
      <c r="Y7" s="118">
        <f t="shared" si="1"/>
        <v>4.13</v>
      </c>
      <c r="Z7" s="109">
        <f t="shared" si="2"/>
        <v>37996</v>
      </c>
      <c r="AA7" s="109">
        <f>'CALCULO GERAL'!$G$10</f>
        <v>6300</v>
      </c>
      <c r="AB7" s="109">
        <f t="shared" si="3"/>
        <v>44296</v>
      </c>
      <c r="AC7" s="109">
        <f>AB7*'CALCULO GERAL'!$C$11</f>
        <v>222321.62400000001</v>
      </c>
      <c r="AD7" s="109">
        <f t="shared" si="4"/>
        <v>36016.103088000003</v>
      </c>
      <c r="AE7" s="109">
        <f t="shared" si="5"/>
        <v>0</v>
      </c>
      <c r="AF7" s="109">
        <f t="shared" si="6"/>
        <v>4668.7541040000006</v>
      </c>
      <c r="AG7" s="109">
        <f t="shared" si="7"/>
        <v>21454.036716000002</v>
      </c>
      <c r="AH7" s="109">
        <v>154.22999999999999</v>
      </c>
      <c r="AI7" s="109">
        <f>((AA7*'CALCULO GERAL'!$C$11))*0.08+20</f>
        <v>2549.576</v>
      </c>
      <c r="AJ7" s="109">
        <v>1010</v>
      </c>
      <c r="AK7" s="109">
        <v>2500</v>
      </c>
      <c r="AL7" s="109">
        <f>(AA7*('CALCULO GERAL'!$C$11*1.02))-(AA7*'CALCULO GERAL'!$C$11)</f>
        <v>632.39400000000387</v>
      </c>
      <c r="AM7" s="109">
        <v>1800</v>
      </c>
      <c r="AN7" s="109">
        <v>2600</v>
      </c>
      <c r="AO7" s="109">
        <v>9400</v>
      </c>
      <c r="AP7" s="109">
        <v>1000</v>
      </c>
      <c r="AQ7" s="109">
        <f t="shared" si="21"/>
        <v>-4668.7541040000006</v>
      </c>
      <c r="AR7" s="109">
        <f t="shared" si="22"/>
        <v>-21454.036716000002</v>
      </c>
      <c r="AS7" s="109"/>
      <c r="AT7" s="109">
        <f t="shared" si="23"/>
        <v>279983.92708800005</v>
      </c>
      <c r="AU7" s="111">
        <f t="shared" si="8"/>
        <v>30.433035553043485</v>
      </c>
      <c r="AV7" s="109">
        <f>IFERROR((BS7*'CALCULO GERAL'!$E$11)/N7,0)</f>
        <v>0.83516160000000006</v>
      </c>
      <c r="AW7" s="109">
        <f>AU7/'CALCULO GERAL'!$C$11</f>
        <v>6.0635655614750918</v>
      </c>
      <c r="AX7" s="109">
        <f>BP7-BB7-BD7*'CALCULO GERAL'!$C$11</f>
        <v>41.131708799999998</v>
      </c>
      <c r="AY7" s="109">
        <f t="shared" si="24"/>
        <v>0.67867319520000002</v>
      </c>
      <c r="AZ7" s="109">
        <f t="shared" si="9"/>
        <v>3.1260098687999998</v>
      </c>
      <c r="BA7" s="109">
        <f t="shared" si="10"/>
        <v>41.75808</v>
      </c>
      <c r="BB7" s="109">
        <f t="shared" si="11"/>
        <v>0.62637120000000002</v>
      </c>
      <c r="BC7" s="109">
        <f t="shared" si="12"/>
        <v>41.75808</v>
      </c>
      <c r="BD7" s="109">
        <f t="shared" si="13"/>
        <v>0</v>
      </c>
      <c r="BE7" s="109">
        <f t="shared" si="25"/>
        <v>30733.946880000003</v>
      </c>
      <c r="BF7" s="109">
        <f t="shared" si="26"/>
        <v>46100.920319999997</v>
      </c>
      <c r="BG7" s="109">
        <f t="shared" si="14"/>
        <v>0.45098726399999994</v>
      </c>
      <c r="BH7" s="109">
        <f t="shared" si="15"/>
        <v>0.50109696000000004</v>
      </c>
      <c r="BI7" s="109">
        <f t="shared" si="16"/>
        <v>0</v>
      </c>
      <c r="BJ7" s="109">
        <f t="shared" si="27"/>
        <v>6.2183000880000003</v>
      </c>
      <c r="BK7" s="109">
        <f t="shared" si="28"/>
        <v>36.651335641043488</v>
      </c>
      <c r="BL7" s="148">
        <v>0.74</v>
      </c>
      <c r="BM7" s="112">
        <f>ROUND((AW7/BL7)+((AW7*BL7)*'CALCULO GERAL'!$E$11)/BL7,2)</f>
        <v>8.32</v>
      </c>
      <c r="BN7" s="186">
        <f t="shared" si="17"/>
        <v>8.32</v>
      </c>
      <c r="BO7" s="186">
        <f t="shared" si="29"/>
        <v>9.7479999999999993</v>
      </c>
      <c r="BP7" s="109">
        <f>BM7*'CALCULO GERAL'!$C$11</f>
        <v>41.75808</v>
      </c>
      <c r="BQ7" s="109">
        <f>BO7*'CALCULO GERAL'!$C$11</f>
        <v>48.925211999999995</v>
      </c>
      <c r="BR7" s="186">
        <f>BN7*'CALCULO GERAL'!$C$11</f>
        <v>41.75808</v>
      </c>
      <c r="BS7" s="109">
        <f t="shared" si="18"/>
        <v>384174.33600000001</v>
      </c>
      <c r="BT7" s="109">
        <f t="shared" si="30"/>
        <v>104190.40891199996</v>
      </c>
      <c r="BU7" s="109">
        <f t="shared" si="19"/>
        <v>384174.33600000001</v>
      </c>
      <c r="BV7" s="109">
        <f t="shared" si="31"/>
        <v>337192.28789760009</v>
      </c>
      <c r="BW7" s="109">
        <f t="shared" si="32"/>
        <v>46982.048102399916</v>
      </c>
      <c r="BX7" s="114">
        <f t="shared" si="20"/>
        <v>0.12229356232270527</v>
      </c>
      <c r="BY7" s="152">
        <f t="shared" si="33"/>
        <v>0.74</v>
      </c>
      <c r="CA7" s="55"/>
      <c r="CB7" s="113"/>
      <c r="CC7" s="113"/>
      <c r="CE7" s="152">
        <f t="shared" si="34"/>
        <v>0</v>
      </c>
      <c r="CF7" s="152">
        <f t="shared" si="35"/>
        <v>1</v>
      </c>
      <c r="CG7" s="152">
        <f t="shared" si="36"/>
        <v>1</v>
      </c>
      <c r="CH7" s="34"/>
      <c r="CJ7" s="11"/>
      <c r="CK7" s="11"/>
    </row>
    <row r="8" spans="1:89" s="152" customFormat="1" ht="16" x14ac:dyDescent="0.2">
      <c r="A8" s="228" t="s">
        <v>482</v>
      </c>
      <c r="B8" s="187" t="s">
        <v>174</v>
      </c>
      <c r="C8" s="8">
        <v>0.16200000000000001</v>
      </c>
      <c r="D8" s="8">
        <v>0</v>
      </c>
      <c r="E8" s="7">
        <v>2.1000000000000001E-2</v>
      </c>
      <c r="F8" s="7">
        <v>9.6500000000000002E-2</v>
      </c>
      <c r="G8" s="1">
        <v>1.6500000000000001E-2</v>
      </c>
      <c r="H8" s="1">
        <v>7.5999999999999998E-2</v>
      </c>
      <c r="I8" s="1">
        <v>0.18</v>
      </c>
      <c r="J8" s="1">
        <v>0.04</v>
      </c>
      <c r="K8" s="1">
        <v>0.14000000000000001</v>
      </c>
      <c r="L8" s="1">
        <v>1.4999999999999999E-2</v>
      </c>
      <c r="M8" s="2" t="s">
        <v>175</v>
      </c>
      <c r="N8" s="105">
        <v>9200</v>
      </c>
      <c r="O8" s="119">
        <v>4.62</v>
      </c>
      <c r="P8" s="119"/>
      <c r="Q8" s="119"/>
      <c r="R8" s="119"/>
      <c r="S8" s="119"/>
      <c r="T8" s="119">
        <v>4.62</v>
      </c>
      <c r="U8" s="119"/>
      <c r="V8" s="205"/>
      <c r="W8" s="119"/>
      <c r="X8" s="119">
        <f t="shared" si="0"/>
        <v>4.62</v>
      </c>
      <c r="Y8" s="118">
        <f t="shared" si="1"/>
        <v>4.62</v>
      </c>
      <c r="Z8" s="109">
        <f t="shared" si="2"/>
        <v>42504</v>
      </c>
      <c r="AA8" s="109">
        <f>'CALCULO GERAL'!$G$10</f>
        <v>6300</v>
      </c>
      <c r="AB8" s="109">
        <f t="shared" si="3"/>
        <v>48804</v>
      </c>
      <c r="AC8" s="109">
        <f>AB8*'CALCULO GERAL'!$C$11</f>
        <v>244947.27600000001</v>
      </c>
      <c r="AD8" s="109">
        <f t="shared" si="4"/>
        <v>39681.458712</v>
      </c>
      <c r="AE8" s="109">
        <f t="shared" si="5"/>
        <v>0</v>
      </c>
      <c r="AF8" s="109">
        <f t="shared" si="6"/>
        <v>5143.892796000001</v>
      </c>
      <c r="AG8" s="109">
        <f t="shared" si="7"/>
        <v>23637.412134000002</v>
      </c>
      <c r="AH8" s="109">
        <v>154.22999999999999</v>
      </c>
      <c r="AI8" s="109">
        <f>((AA8*'CALCULO GERAL'!$C$11))*0.08+20</f>
        <v>2549.576</v>
      </c>
      <c r="AJ8" s="109">
        <v>1010</v>
      </c>
      <c r="AK8" s="109">
        <v>2500</v>
      </c>
      <c r="AL8" s="109">
        <f>(AA8*('CALCULO GERAL'!$C$11*1.02))-(AA8*'CALCULO GERAL'!$C$11)</f>
        <v>632.39400000000387</v>
      </c>
      <c r="AM8" s="109">
        <v>1800</v>
      </c>
      <c r="AN8" s="109">
        <v>2600</v>
      </c>
      <c r="AO8" s="109">
        <v>9400</v>
      </c>
      <c r="AP8" s="109">
        <v>1000</v>
      </c>
      <c r="AQ8" s="109">
        <f t="shared" si="21"/>
        <v>-5143.892796000001</v>
      </c>
      <c r="AR8" s="109">
        <f t="shared" si="22"/>
        <v>-23637.412134000002</v>
      </c>
      <c r="AS8" s="109"/>
      <c r="AT8" s="109">
        <f t="shared" si="23"/>
        <v>306274.93471200002</v>
      </c>
      <c r="AU8" s="111">
        <f t="shared" si="8"/>
        <v>33.290753773043477</v>
      </c>
      <c r="AV8" s="109">
        <f>IFERROR((BS8*'CALCULO GERAL'!$E$11)/N8,0)</f>
        <v>0.91345799999999999</v>
      </c>
      <c r="AW8" s="109">
        <f>AU8/'CALCULO GERAL'!$C$11</f>
        <v>6.6329455614750898</v>
      </c>
      <c r="AX8" s="109">
        <f>BP8-BB8-BD8*'CALCULO GERAL'!$C$11</f>
        <v>44.987806499999998</v>
      </c>
      <c r="AY8" s="109">
        <f t="shared" si="24"/>
        <v>0.74229880724999997</v>
      </c>
      <c r="AZ8" s="109">
        <f t="shared" si="9"/>
        <v>3.4190732939999999</v>
      </c>
      <c r="BA8" s="109">
        <f t="shared" si="10"/>
        <v>45.672899999999998</v>
      </c>
      <c r="BB8" s="109">
        <f t="shared" si="11"/>
        <v>0.68509349999999991</v>
      </c>
      <c r="BC8" s="109">
        <f t="shared" si="12"/>
        <v>45.672899999999998</v>
      </c>
      <c r="BD8" s="109">
        <f t="shared" si="13"/>
        <v>0</v>
      </c>
      <c r="BE8" s="109">
        <f t="shared" si="25"/>
        <v>33615.254399999998</v>
      </c>
      <c r="BF8" s="109">
        <f t="shared" si="26"/>
        <v>50422.881600000001</v>
      </c>
      <c r="BG8" s="109">
        <f t="shared" si="14"/>
        <v>0.49326732000000001</v>
      </c>
      <c r="BH8" s="109">
        <f t="shared" si="15"/>
        <v>0.54807479999999986</v>
      </c>
      <c r="BI8" s="109">
        <f t="shared" si="16"/>
        <v>0</v>
      </c>
      <c r="BJ8" s="109">
        <f t="shared" si="27"/>
        <v>6.8012657212500001</v>
      </c>
      <c r="BK8" s="109">
        <f t="shared" si="28"/>
        <v>40.092019494293474</v>
      </c>
      <c r="BL8" s="148">
        <v>0.74</v>
      </c>
      <c r="BM8" s="112">
        <f>ROUND((AW8/BL8)+((AW8*BL8)*'CALCULO GERAL'!$E$11)/BL8,2)</f>
        <v>9.1</v>
      </c>
      <c r="BN8" s="186">
        <f t="shared" si="17"/>
        <v>9.1</v>
      </c>
      <c r="BO8" s="186">
        <f t="shared" si="29"/>
        <v>10.662000000000001</v>
      </c>
      <c r="BP8" s="109">
        <f>BM8*'CALCULO GERAL'!$C$11</f>
        <v>45.672899999999998</v>
      </c>
      <c r="BQ8" s="109">
        <f>BO8*'CALCULO GERAL'!$C$11</f>
        <v>53.512578000000005</v>
      </c>
      <c r="BR8" s="186">
        <f>BN8*'CALCULO GERAL'!$C$11</f>
        <v>45.672899999999998</v>
      </c>
      <c r="BS8" s="109">
        <f t="shared" si="18"/>
        <v>420190.68</v>
      </c>
      <c r="BT8" s="109">
        <f t="shared" si="30"/>
        <v>113915.74528799998</v>
      </c>
      <c r="BU8" s="109">
        <f t="shared" si="19"/>
        <v>420190.68</v>
      </c>
      <c r="BV8" s="109">
        <f t="shared" si="31"/>
        <v>368846.57934749994</v>
      </c>
      <c r="BW8" s="109">
        <f t="shared" si="32"/>
        <v>51344.100652500056</v>
      </c>
      <c r="BX8" s="114">
        <f t="shared" si="20"/>
        <v>0.12219238335438581</v>
      </c>
      <c r="BY8" s="152">
        <f t="shared" si="33"/>
        <v>0.74</v>
      </c>
      <c r="CA8" s="55"/>
      <c r="CB8" s="113"/>
      <c r="CC8" s="113"/>
      <c r="CE8" s="152">
        <f t="shared" si="34"/>
        <v>0</v>
      </c>
      <c r="CF8" s="152">
        <f t="shared" si="35"/>
        <v>1</v>
      </c>
      <c r="CG8" s="152">
        <f t="shared" si="36"/>
        <v>1</v>
      </c>
      <c r="CH8" s="34"/>
      <c r="CJ8" s="11"/>
      <c r="CK8" s="11"/>
    </row>
    <row r="9" spans="1:89" s="152" customFormat="1" ht="16" x14ac:dyDescent="0.2">
      <c r="A9" s="228" t="s">
        <v>483</v>
      </c>
      <c r="B9" s="187" t="s">
        <v>174</v>
      </c>
      <c r="C9" s="8">
        <v>0.16200000000000001</v>
      </c>
      <c r="D9" s="8">
        <v>0</v>
      </c>
      <c r="E9" s="7">
        <v>2.1000000000000001E-2</v>
      </c>
      <c r="F9" s="7">
        <v>9.6500000000000002E-2</v>
      </c>
      <c r="G9" s="1">
        <v>1.6500000000000001E-2</v>
      </c>
      <c r="H9" s="1">
        <v>7.5999999999999998E-2</v>
      </c>
      <c r="I9" s="1">
        <v>0.18</v>
      </c>
      <c r="J9" s="1">
        <v>0.04</v>
      </c>
      <c r="K9" s="1">
        <v>0.14000000000000001</v>
      </c>
      <c r="L9" s="1">
        <v>1.4999999999999999E-2</v>
      </c>
      <c r="M9" s="2" t="s">
        <v>175</v>
      </c>
      <c r="N9" s="105">
        <v>9200</v>
      </c>
      <c r="O9" s="119">
        <v>5.13</v>
      </c>
      <c r="P9" s="119"/>
      <c r="Q9" s="119"/>
      <c r="R9" s="119"/>
      <c r="S9" s="119"/>
      <c r="T9" s="119">
        <v>5.13</v>
      </c>
      <c r="U9" s="119"/>
      <c r="V9" s="205"/>
      <c r="W9" s="119"/>
      <c r="X9" s="119">
        <f t="shared" si="0"/>
        <v>5.13</v>
      </c>
      <c r="Y9" s="118">
        <f t="shared" si="1"/>
        <v>5.13</v>
      </c>
      <c r="Z9" s="109">
        <f t="shared" si="2"/>
        <v>47196</v>
      </c>
      <c r="AA9" s="109">
        <f>'CALCULO GERAL'!$G$10</f>
        <v>6300</v>
      </c>
      <c r="AB9" s="109">
        <f t="shared" si="3"/>
        <v>53496</v>
      </c>
      <c r="AC9" s="109">
        <f>AB9*'CALCULO GERAL'!$C$11</f>
        <v>268496.424</v>
      </c>
      <c r="AD9" s="109">
        <f t="shared" si="4"/>
        <v>43496.420687999998</v>
      </c>
      <c r="AE9" s="109">
        <f t="shared" si="5"/>
        <v>0</v>
      </c>
      <c r="AF9" s="109">
        <f t="shared" si="6"/>
        <v>5638.4249040000004</v>
      </c>
      <c r="AG9" s="109">
        <f t="shared" si="7"/>
        <v>25909.904916</v>
      </c>
      <c r="AH9" s="109">
        <v>154.22999999999999</v>
      </c>
      <c r="AI9" s="109">
        <f>((AA9*'CALCULO GERAL'!$C$11))*0.08+20</f>
        <v>2549.576</v>
      </c>
      <c r="AJ9" s="109">
        <v>1010</v>
      </c>
      <c r="AK9" s="109">
        <v>2500</v>
      </c>
      <c r="AL9" s="109">
        <f>(AA9*('CALCULO GERAL'!$C$11*1.02))-(AA9*'CALCULO GERAL'!$C$11)</f>
        <v>632.39400000000387</v>
      </c>
      <c r="AM9" s="109">
        <v>1800</v>
      </c>
      <c r="AN9" s="109">
        <v>2600</v>
      </c>
      <c r="AO9" s="109">
        <v>9400</v>
      </c>
      <c r="AP9" s="109">
        <v>1000</v>
      </c>
      <c r="AQ9" s="109">
        <f t="shared" si="21"/>
        <v>-5638.4249040000004</v>
      </c>
      <c r="AR9" s="109">
        <f t="shared" si="22"/>
        <v>-25909.904916</v>
      </c>
      <c r="AS9" s="109"/>
      <c r="AT9" s="109">
        <f t="shared" si="23"/>
        <v>333639.04468799999</v>
      </c>
      <c r="AU9" s="111">
        <f t="shared" si="8"/>
        <v>36.265113553043477</v>
      </c>
      <c r="AV9" s="109">
        <f>IFERROR((BS9*'CALCULO GERAL'!$E$11)/N9,0)</f>
        <v>0.99476579999999992</v>
      </c>
      <c r="AW9" s="109">
        <f>AU9/'CALCULO GERAL'!$C$11</f>
        <v>7.22556556147509</v>
      </c>
      <c r="AX9" s="109">
        <f>BP9-BB9-BD9*'CALCULO GERAL'!$C$11</f>
        <v>48.992215649999999</v>
      </c>
      <c r="AY9" s="109">
        <f t="shared" si="24"/>
        <v>0.80837155822500006</v>
      </c>
      <c r="AZ9" s="109">
        <f t="shared" si="9"/>
        <v>3.7234083893999999</v>
      </c>
      <c r="BA9" s="109">
        <f t="shared" si="10"/>
        <v>49.738289999999999</v>
      </c>
      <c r="BB9" s="109">
        <f t="shared" si="11"/>
        <v>0.74607435</v>
      </c>
      <c r="BC9" s="109">
        <f t="shared" si="12"/>
        <v>49.738289999999999</v>
      </c>
      <c r="BD9" s="109">
        <f t="shared" si="13"/>
        <v>0</v>
      </c>
      <c r="BE9" s="109">
        <f t="shared" si="25"/>
        <v>36607.381439999997</v>
      </c>
      <c r="BF9" s="109">
        <f t="shared" si="26"/>
        <v>54911.072159999996</v>
      </c>
      <c r="BG9" s="109">
        <f t="shared" si="14"/>
        <v>0.53717353199999995</v>
      </c>
      <c r="BH9" s="109">
        <f t="shared" si="15"/>
        <v>0.59685947999999989</v>
      </c>
      <c r="BI9" s="109">
        <f t="shared" si="16"/>
        <v>0</v>
      </c>
      <c r="BJ9" s="109">
        <f t="shared" si="27"/>
        <v>7.4066531096249992</v>
      </c>
      <c r="BK9" s="109">
        <f t="shared" si="28"/>
        <v>43.671766662668475</v>
      </c>
      <c r="BL9" s="148">
        <v>0.74</v>
      </c>
      <c r="BM9" s="112">
        <f>ROUND((AW9/BL9)+((AW9*BL9)*'CALCULO GERAL'!$E$11)/BL9,2)</f>
        <v>9.91</v>
      </c>
      <c r="BN9" s="186">
        <f t="shared" si="17"/>
        <v>9.91</v>
      </c>
      <c r="BO9" s="186">
        <f t="shared" si="29"/>
        <v>11.611000000000001</v>
      </c>
      <c r="BP9" s="109">
        <f>BM9*'CALCULO GERAL'!$C$11</f>
        <v>49.738289999999999</v>
      </c>
      <c r="BQ9" s="109">
        <f>BO9*'CALCULO GERAL'!$C$11</f>
        <v>58.275609000000003</v>
      </c>
      <c r="BR9" s="186">
        <f>BN9*'CALCULO GERAL'!$C$11</f>
        <v>49.738289999999999</v>
      </c>
      <c r="BS9" s="109">
        <f t="shared" si="18"/>
        <v>457592.26799999998</v>
      </c>
      <c r="BT9" s="109">
        <f t="shared" si="30"/>
        <v>123953.22331199999</v>
      </c>
      <c r="BU9" s="109">
        <f t="shared" si="19"/>
        <v>457592.26799999998</v>
      </c>
      <c r="BV9" s="109">
        <f t="shared" si="31"/>
        <v>401780.25329654996</v>
      </c>
      <c r="BW9" s="109">
        <f t="shared" si="32"/>
        <v>55812.014703450026</v>
      </c>
      <c r="BX9" s="114">
        <f t="shared" si="20"/>
        <v>0.12196887623863878</v>
      </c>
      <c r="BY9" s="152">
        <f t="shared" si="33"/>
        <v>0.74</v>
      </c>
      <c r="CA9" s="55"/>
      <c r="CB9" s="113"/>
      <c r="CC9" s="113"/>
      <c r="CE9" s="152">
        <f t="shared" si="34"/>
        <v>0</v>
      </c>
      <c r="CF9" s="152">
        <f t="shared" si="35"/>
        <v>1</v>
      </c>
      <c r="CG9" s="152">
        <f t="shared" si="36"/>
        <v>1</v>
      </c>
      <c r="CH9" s="34"/>
      <c r="CJ9" s="11"/>
      <c r="CK9" s="11"/>
    </row>
    <row r="10" spans="1:89" s="152" customFormat="1" ht="16" x14ac:dyDescent="0.2">
      <c r="A10" s="228" t="s">
        <v>484</v>
      </c>
      <c r="B10" s="187" t="s">
        <v>174</v>
      </c>
      <c r="C10" s="8">
        <v>0.16200000000000001</v>
      </c>
      <c r="D10" s="8">
        <v>0</v>
      </c>
      <c r="E10" s="7">
        <v>2.1000000000000001E-2</v>
      </c>
      <c r="F10" s="7">
        <v>9.6500000000000002E-2</v>
      </c>
      <c r="G10" s="1">
        <v>1.6500000000000001E-2</v>
      </c>
      <c r="H10" s="1">
        <v>7.5999999999999998E-2</v>
      </c>
      <c r="I10" s="1">
        <v>0.18</v>
      </c>
      <c r="J10" s="1">
        <v>0.04</v>
      </c>
      <c r="K10" s="1">
        <v>0.14000000000000001</v>
      </c>
      <c r="L10" s="1">
        <v>1.4999999999999999E-2</v>
      </c>
      <c r="M10" s="2" t="s">
        <v>175</v>
      </c>
      <c r="N10" s="105">
        <v>6000</v>
      </c>
      <c r="O10" s="119">
        <v>4.71</v>
      </c>
      <c r="P10" s="119"/>
      <c r="Q10" s="119"/>
      <c r="R10" s="119"/>
      <c r="S10" s="119"/>
      <c r="T10" s="119">
        <v>4.71</v>
      </c>
      <c r="U10" s="119"/>
      <c r="V10" s="205"/>
      <c r="W10" s="119"/>
      <c r="X10" s="119">
        <f t="shared" si="0"/>
        <v>4.71</v>
      </c>
      <c r="Y10" s="118">
        <f t="shared" si="1"/>
        <v>4.71</v>
      </c>
      <c r="Z10" s="109">
        <f t="shared" si="2"/>
        <v>28260</v>
      </c>
      <c r="AA10" s="109">
        <f>'CALCULO GERAL'!$G$10</f>
        <v>6300</v>
      </c>
      <c r="AB10" s="109">
        <f t="shared" si="3"/>
        <v>34560</v>
      </c>
      <c r="AC10" s="109">
        <f>AB10*'CALCULO GERAL'!$C$11</f>
        <v>173456.64000000001</v>
      </c>
      <c r="AD10" s="109">
        <f t="shared" si="4"/>
        <v>28099.975680000003</v>
      </c>
      <c r="AE10" s="109">
        <f t="shared" si="5"/>
        <v>0</v>
      </c>
      <c r="AF10" s="109">
        <f t="shared" si="6"/>
        <v>3642.5894400000006</v>
      </c>
      <c r="AG10" s="109">
        <f t="shared" si="7"/>
        <v>16738.565760000001</v>
      </c>
      <c r="AH10" s="109">
        <v>154.22999999999999</v>
      </c>
      <c r="AI10" s="109">
        <f>((AA10*'CALCULO GERAL'!$C$11))*0.08+20</f>
        <v>2549.576</v>
      </c>
      <c r="AJ10" s="109">
        <v>1010</v>
      </c>
      <c r="AK10" s="109">
        <v>2500</v>
      </c>
      <c r="AL10" s="109">
        <f>(AA10*('CALCULO GERAL'!$C$11*1.02))-(AA10*'CALCULO GERAL'!$C$11)</f>
        <v>632.39400000000387</v>
      </c>
      <c r="AM10" s="109">
        <v>1800</v>
      </c>
      <c r="AN10" s="109">
        <v>2600</v>
      </c>
      <c r="AO10" s="109">
        <v>9400</v>
      </c>
      <c r="AP10" s="109">
        <v>1000</v>
      </c>
      <c r="AQ10" s="109">
        <f t="shared" si="21"/>
        <v>-3642.5894400000006</v>
      </c>
      <c r="AR10" s="109">
        <f t="shared" si="22"/>
        <v>-16738.565760000001</v>
      </c>
      <c r="AS10" s="109"/>
      <c r="AT10" s="109">
        <f t="shared" si="23"/>
        <v>223202.81568000003</v>
      </c>
      <c r="AU10" s="111">
        <f t="shared" si="8"/>
        <v>37.200469280000007</v>
      </c>
      <c r="AV10" s="109">
        <f>IFERROR((BS10*'CALCULO GERAL'!$E$11)/N10,0)</f>
        <v>1.0198608</v>
      </c>
      <c r="AW10" s="109">
        <f>AU10/'CALCULO GERAL'!$C$11</f>
        <v>7.4119285275951396</v>
      </c>
      <c r="AX10" s="109">
        <f>BP10-BB10-BD10*'CALCULO GERAL'!$C$11</f>
        <v>50.228144399999998</v>
      </c>
      <c r="AY10" s="109">
        <f t="shared" si="24"/>
        <v>0.82876438259999996</v>
      </c>
      <c r="AZ10" s="109">
        <f t="shared" si="9"/>
        <v>3.8173389743999997</v>
      </c>
      <c r="BA10" s="109">
        <f t="shared" si="10"/>
        <v>50.993040000000001</v>
      </c>
      <c r="BB10" s="109">
        <f t="shared" si="11"/>
        <v>0.76489560000000001</v>
      </c>
      <c r="BC10" s="109">
        <f t="shared" si="12"/>
        <v>50.993040000000001</v>
      </c>
      <c r="BD10" s="109">
        <f t="shared" si="13"/>
        <v>0</v>
      </c>
      <c r="BE10" s="109">
        <f t="shared" si="25"/>
        <v>24476.659199999998</v>
      </c>
      <c r="BF10" s="109">
        <f t="shared" si="26"/>
        <v>36714.988799999999</v>
      </c>
      <c r="BG10" s="109">
        <f t="shared" si="14"/>
        <v>0.550724832</v>
      </c>
      <c r="BH10" s="109">
        <f t="shared" si="15"/>
        <v>0.61191647999999998</v>
      </c>
      <c r="BI10" s="109">
        <f t="shared" si="16"/>
        <v>0</v>
      </c>
      <c r="BJ10" s="109">
        <f t="shared" si="27"/>
        <v>7.5935010689999993</v>
      </c>
      <c r="BK10" s="109">
        <f t="shared" si="28"/>
        <v>44.793970349000006</v>
      </c>
      <c r="BL10" s="148">
        <v>0.74</v>
      </c>
      <c r="BM10" s="112">
        <f>ROUND((AW10/BL10)+((AW10*BL10)*'CALCULO GERAL'!$E$11)/BL10,2)</f>
        <v>10.16</v>
      </c>
      <c r="BN10" s="186">
        <f t="shared" si="17"/>
        <v>10.16</v>
      </c>
      <c r="BO10" s="186">
        <f t="shared" si="29"/>
        <v>11.904</v>
      </c>
      <c r="BP10" s="109">
        <f>BM10*'CALCULO GERAL'!$C$11</f>
        <v>50.993040000000001</v>
      </c>
      <c r="BQ10" s="109">
        <f>BO10*'CALCULO GERAL'!$C$11</f>
        <v>59.746175999999998</v>
      </c>
      <c r="BR10" s="186">
        <f>BN10*'CALCULO GERAL'!$C$11</f>
        <v>50.993040000000001</v>
      </c>
      <c r="BS10" s="109">
        <f t="shared" si="18"/>
        <v>305958.24</v>
      </c>
      <c r="BT10" s="109">
        <f t="shared" si="30"/>
        <v>82755.424319999962</v>
      </c>
      <c r="BU10" s="109">
        <f t="shared" si="19"/>
        <v>305958.24</v>
      </c>
      <c r="BV10" s="109">
        <f t="shared" si="31"/>
        <v>268763.82209400006</v>
      </c>
      <c r="BW10" s="109">
        <f t="shared" si="32"/>
        <v>37194.41790599993</v>
      </c>
      <c r="BX10" s="114">
        <f t="shared" si="20"/>
        <v>0.12156697563039953</v>
      </c>
      <c r="BY10" s="152">
        <f t="shared" si="33"/>
        <v>0.74</v>
      </c>
      <c r="CA10" s="55"/>
      <c r="CB10" s="113"/>
      <c r="CC10" s="113"/>
      <c r="CE10" s="152">
        <f t="shared" si="34"/>
        <v>0</v>
      </c>
      <c r="CF10" s="152">
        <f t="shared" si="35"/>
        <v>1</v>
      </c>
      <c r="CG10" s="152">
        <f t="shared" si="36"/>
        <v>1</v>
      </c>
      <c r="CH10" s="34"/>
      <c r="CJ10" s="11"/>
      <c r="CK10" s="11"/>
    </row>
    <row r="11" spans="1:89" s="152" customFormat="1" ht="16" x14ac:dyDescent="0.2">
      <c r="A11" s="228" t="s">
        <v>485</v>
      </c>
      <c r="B11" s="187" t="s">
        <v>174</v>
      </c>
      <c r="C11" s="8">
        <v>0.16200000000000001</v>
      </c>
      <c r="D11" s="8">
        <v>0</v>
      </c>
      <c r="E11" s="7">
        <v>2.1000000000000001E-2</v>
      </c>
      <c r="F11" s="7">
        <v>9.6500000000000002E-2</v>
      </c>
      <c r="G11" s="1">
        <v>1.6500000000000001E-2</v>
      </c>
      <c r="H11" s="1">
        <v>7.5999999999999998E-2</v>
      </c>
      <c r="I11" s="1">
        <v>0.18</v>
      </c>
      <c r="J11" s="1">
        <v>0.04</v>
      </c>
      <c r="K11" s="1">
        <v>0.14000000000000001</v>
      </c>
      <c r="L11" s="1">
        <v>1.4999999999999999E-2</v>
      </c>
      <c r="M11" s="2" t="s">
        <v>175</v>
      </c>
      <c r="N11" s="105">
        <v>6000</v>
      </c>
      <c r="O11" s="119">
        <v>6.22</v>
      </c>
      <c r="P11" s="119"/>
      <c r="Q11" s="119"/>
      <c r="R11" s="119"/>
      <c r="S11" s="119"/>
      <c r="T11" s="119">
        <v>6.22</v>
      </c>
      <c r="U11" s="119"/>
      <c r="V11" s="205"/>
      <c r="W11" s="119"/>
      <c r="X11" s="119">
        <f t="shared" si="0"/>
        <v>6.22</v>
      </c>
      <c r="Y11" s="118">
        <f t="shared" si="1"/>
        <v>6.22</v>
      </c>
      <c r="Z11" s="109">
        <f t="shared" si="2"/>
        <v>37320</v>
      </c>
      <c r="AA11" s="109">
        <f>'CALCULO GERAL'!$G$10</f>
        <v>6300</v>
      </c>
      <c r="AB11" s="109">
        <f t="shared" si="3"/>
        <v>43620</v>
      </c>
      <c r="AC11" s="109">
        <f>AB11*'CALCULO GERAL'!$C$11</f>
        <v>218928.78</v>
      </c>
      <c r="AD11" s="109">
        <f t="shared" si="4"/>
        <v>35466.462359999998</v>
      </c>
      <c r="AE11" s="109">
        <f t="shared" si="5"/>
        <v>0</v>
      </c>
      <c r="AF11" s="109">
        <f t="shared" si="6"/>
        <v>4597.5043800000003</v>
      </c>
      <c r="AG11" s="109">
        <f t="shared" si="7"/>
        <v>21126.627270000001</v>
      </c>
      <c r="AH11" s="109">
        <v>154.22999999999999</v>
      </c>
      <c r="AI11" s="109">
        <f>((AA11*'CALCULO GERAL'!$C$11))*0.08+20</f>
        <v>2549.576</v>
      </c>
      <c r="AJ11" s="109">
        <v>1010</v>
      </c>
      <c r="AK11" s="109">
        <v>2500</v>
      </c>
      <c r="AL11" s="109">
        <f>(AA11*('CALCULO GERAL'!$C$11*1.02))-(AA11*'CALCULO GERAL'!$C$11)</f>
        <v>632.39400000000387</v>
      </c>
      <c r="AM11" s="109">
        <v>1800</v>
      </c>
      <c r="AN11" s="109">
        <v>2600</v>
      </c>
      <c r="AO11" s="109">
        <v>9400</v>
      </c>
      <c r="AP11" s="109">
        <v>1000</v>
      </c>
      <c r="AQ11" s="109">
        <f t="shared" si="21"/>
        <v>-4597.5043800000003</v>
      </c>
      <c r="AR11" s="109">
        <f t="shared" si="22"/>
        <v>-21126.627270000001</v>
      </c>
      <c r="AS11" s="109"/>
      <c r="AT11" s="109">
        <f t="shared" si="23"/>
        <v>276041.44236000004</v>
      </c>
      <c r="AU11" s="111">
        <f t="shared" si="8"/>
        <v>46.00690706000001</v>
      </c>
      <c r="AV11" s="109">
        <f>IFERROR((BS11*'CALCULO GERAL'!$E$11)/N11,0)</f>
        <v>1.2617765999999999</v>
      </c>
      <c r="AW11" s="109">
        <f>AU11/'CALCULO GERAL'!$C$11</f>
        <v>9.1665485275951397</v>
      </c>
      <c r="AX11" s="109">
        <f>BP11-BB11-BD11*'CALCULO GERAL'!$C$11</f>
        <v>62.142497550000002</v>
      </c>
      <c r="AY11" s="109">
        <f t="shared" si="24"/>
        <v>1.0253512095750001</v>
      </c>
      <c r="AZ11" s="109">
        <f t="shared" si="9"/>
        <v>4.7228298137999998</v>
      </c>
      <c r="BA11" s="109">
        <f t="shared" si="10"/>
        <v>63.088830000000002</v>
      </c>
      <c r="BB11" s="109">
        <f t="shared" si="11"/>
        <v>0.94633244999999999</v>
      </c>
      <c r="BC11" s="109">
        <f t="shared" si="12"/>
        <v>63.088830000000002</v>
      </c>
      <c r="BD11" s="109">
        <f t="shared" si="13"/>
        <v>0</v>
      </c>
      <c r="BE11" s="109">
        <f t="shared" si="25"/>
        <v>30282.6384</v>
      </c>
      <c r="BF11" s="109">
        <f t="shared" si="26"/>
        <v>45423.957599999994</v>
      </c>
      <c r="BG11" s="109">
        <f t="shared" si="14"/>
        <v>0.68135936399999997</v>
      </c>
      <c r="BH11" s="109">
        <f t="shared" si="15"/>
        <v>0.75706595999999993</v>
      </c>
      <c r="BI11" s="109">
        <f t="shared" si="16"/>
        <v>0</v>
      </c>
      <c r="BJ11" s="109">
        <f t="shared" si="27"/>
        <v>9.3947153973750002</v>
      </c>
      <c r="BK11" s="109">
        <f t="shared" si="28"/>
        <v>55.401622457375012</v>
      </c>
      <c r="BL11" s="148">
        <v>0.74</v>
      </c>
      <c r="BM11" s="112">
        <f>ROUND((AW11/BL11)+((AW11*BL11)*'CALCULO GERAL'!$E$11)/BL11,2)</f>
        <v>12.57</v>
      </c>
      <c r="BN11" s="186">
        <f t="shared" si="17"/>
        <v>12.57</v>
      </c>
      <c r="BO11" s="186">
        <f t="shared" si="29"/>
        <v>14.728</v>
      </c>
      <c r="BP11" s="109">
        <f>BM11*'CALCULO GERAL'!$C$11</f>
        <v>63.088830000000002</v>
      </c>
      <c r="BQ11" s="109">
        <f>BO11*'CALCULO GERAL'!$C$11</f>
        <v>73.919832</v>
      </c>
      <c r="BR11" s="186">
        <f>BN11*'CALCULO GERAL'!$C$11</f>
        <v>63.088830000000002</v>
      </c>
      <c r="BS11" s="109">
        <f t="shared" si="18"/>
        <v>378532.98</v>
      </c>
      <c r="BT11" s="109">
        <f t="shared" si="30"/>
        <v>102491.53763999994</v>
      </c>
      <c r="BU11" s="109">
        <f t="shared" si="19"/>
        <v>378532.98</v>
      </c>
      <c r="BV11" s="109">
        <f t="shared" si="31"/>
        <v>332409.73474425008</v>
      </c>
      <c r="BW11" s="109">
        <f t="shared" si="32"/>
        <v>46123.245255749905</v>
      </c>
      <c r="BX11" s="114">
        <f t="shared" si="20"/>
        <v>0.12184736256204125</v>
      </c>
      <c r="BY11" s="152">
        <f t="shared" si="33"/>
        <v>0.74</v>
      </c>
      <c r="CA11" s="55"/>
      <c r="CB11" s="113"/>
      <c r="CC11" s="113"/>
      <c r="CE11" s="152">
        <f t="shared" si="34"/>
        <v>0</v>
      </c>
      <c r="CF11" s="152">
        <f t="shared" si="35"/>
        <v>1</v>
      </c>
      <c r="CG11" s="152">
        <f t="shared" si="36"/>
        <v>1</v>
      </c>
      <c r="CH11" s="34"/>
      <c r="CJ11" s="11"/>
      <c r="CK11" s="11"/>
    </row>
    <row r="12" spans="1:89" s="152" customFormat="1" ht="16" x14ac:dyDescent="0.2">
      <c r="A12" s="228" t="s">
        <v>486</v>
      </c>
      <c r="B12" s="187" t="s">
        <v>174</v>
      </c>
      <c r="C12" s="8">
        <v>0.16200000000000001</v>
      </c>
      <c r="D12" s="8">
        <v>0</v>
      </c>
      <c r="E12" s="7">
        <v>2.1000000000000001E-2</v>
      </c>
      <c r="F12" s="7">
        <v>9.6500000000000002E-2</v>
      </c>
      <c r="G12" s="1">
        <v>1.6500000000000001E-2</v>
      </c>
      <c r="H12" s="1">
        <v>7.5999999999999998E-2</v>
      </c>
      <c r="I12" s="1">
        <v>0.18</v>
      </c>
      <c r="J12" s="1">
        <v>0.04</v>
      </c>
      <c r="K12" s="1">
        <v>0.14000000000000001</v>
      </c>
      <c r="L12" s="1">
        <v>1.4999999999999999E-2</v>
      </c>
      <c r="M12" s="2" t="s">
        <v>175</v>
      </c>
      <c r="N12" s="105">
        <v>6000</v>
      </c>
      <c r="O12" s="119">
        <v>6.74</v>
      </c>
      <c r="P12" s="119"/>
      <c r="Q12" s="119"/>
      <c r="R12" s="119"/>
      <c r="S12" s="119"/>
      <c r="T12" s="119">
        <v>6.74</v>
      </c>
      <c r="U12" s="119"/>
      <c r="V12" s="205"/>
      <c r="W12" s="119"/>
      <c r="X12" s="119">
        <f t="shared" si="0"/>
        <v>6.74</v>
      </c>
      <c r="Y12" s="118">
        <f t="shared" si="1"/>
        <v>6.74</v>
      </c>
      <c r="Z12" s="109">
        <f t="shared" si="2"/>
        <v>40440</v>
      </c>
      <c r="AA12" s="109">
        <f>'CALCULO GERAL'!$G$10</f>
        <v>6300</v>
      </c>
      <c r="AB12" s="109">
        <f t="shared" si="3"/>
        <v>46740</v>
      </c>
      <c r="AC12" s="109">
        <f>AB12*'CALCULO GERAL'!$C$11</f>
        <v>234588.06</v>
      </c>
      <c r="AD12" s="109">
        <f t="shared" si="4"/>
        <v>38003.265720000003</v>
      </c>
      <c r="AE12" s="109">
        <f t="shared" si="5"/>
        <v>0</v>
      </c>
      <c r="AF12" s="109">
        <f t="shared" si="6"/>
        <v>4926.34926</v>
      </c>
      <c r="AG12" s="109">
        <f t="shared" si="7"/>
        <v>22637.747790000001</v>
      </c>
      <c r="AH12" s="109">
        <v>154.22999999999999</v>
      </c>
      <c r="AI12" s="109">
        <f>((AA12*'CALCULO GERAL'!$C$11))*0.08+20</f>
        <v>2549.576</v>
      </c>
      <c r="AJ12" s="109">
        <v>1010</v>
      </c>
      <c r="AK12" s="109">
        <v>2500</v>
      </c>
      <c r="AL12" s="109">
        <f>(AA12*('CALCULO GERAL'!$C$11*1.02))-(AA12*'CALCULO GERAL'!$C$11)</f>
        <v>632.39400000000387</v>
      </c>
      <c r="AM12" s="109">
        <v>1800</v>
      </c>
      <c r="AN12" s="109">
        <v>2600</v>
      </c>
      <c r="AO12" s="109">
        <v>9400</v>
      </c>
      <c r="AP12" s="109">
        <v>1000</v>
      </c>
      <c r="AQ12" s="109">
        <f t="shared" si="21"/>
        <v>-4926.34926</v>
      </c>
      <c r="AR12" s="109">
        <f t="shared" si="22"/>
        <v>-22637.747790000001</v>
      </c>
      <c r="AS12" s="109"/>
      <c r="AT12" s="109">
        <f t="shared" si="23"/>
        <v>294237.52572000003</v>
      </c>
      <c r="AU12" s="111">
        <f t="shared" si="8"/>
        <v>49.039587620000006</v>
      </c>
      <c r="AV12" s="109">
        <f>IFERROR((BS12*'CALCULO GERAL'!$E$11)/N12,0)</f>
        <v>1.3450920000000002</v>
      </c>
      <c r="AW12" s="109">
        <f>AU12/'CALCULO GERAL'!$C$11</f>
        <v>9.7707885275951387</v>
      </c>
      <c r="AX12" s="109">
        <f>BP12-BB12-BD12*'CALCULO GERAL'!$C$11</f>
        <v>66.245781000000008</v>
      </c>
      <c r="AY12" s="109">
        <f t="shared" si="24"/>
        <v>1.0930553865000001</v>
      </c>
      <c r="AZ12" s="109">
        <f t="shared" si="9"/>
        <v>5.0346793560000007</v>
      </c>
      <c r="BA12" s="109">
        <f t="shared" si="10"/>
        <v>67.254600000000011</v>
      </c>
      <c r="BB12" s="109">
        <f t="shared" si="11"/>
        <v>1.0088190000000001</v>
      </c>
      <c r="BC12" s="109">
        <f t="shared" si="12"/>
        <v>67.254600000000011</v>
      </c>
      <c r="BD12" s="109">
        <f t="shared" si="13"/>
        <v>0</v>
      </c>
      <c r="BE12" s="109">
        <f t="shared" si="25"/>
        <v>32282.208000000002</v>
      </c>
      <c r="BF12" s="109">
        <f t="shared" si="26"/>
        <v>48423.312000000005</v>
      </c>
      <c r="BG12" s="109">
        <f t="shared" si="14"/>
        <v>0.72634968000000011</v>
      </c>
      <c r="BH12" s="109">
        <f t="shared" si="15"/>
        <v>0.80705520000000008</v>
      </c>
      <c r="BI12" s="109">
        <f t="shared" si="16"/>
        <v>0</v>
      </c>
      <c r="BJ12" s="109">
        <f t="shared" si="27"/>
        <v>10.015050622500002</v>
      </c>
      <c r="BK12" s="109">
        <f t="shared" si="28"/>
        <v>59.054638242500005</v>
      </c>
      <c r="BL12" s="148">
        <v>0.74</v>
      </c>
      <c r="BM12" s="112">
        <f>ROUND((AW12/BL12)+((AW12*BL12)*'CALCULO GERAL'!$E$11)/BL12,2)</f>
        <v>13.4</v>
      </c>
      <c r="BN12" s="186">
        <f t="shared" si="17"/>
        <v>13.4</v>
      </c>
      <c r="BO12" s="186">
        <f t="shared" si="29"/>
        <v>15.7</v>
      </c>
      <c r="BP12" s="109">
        <f>BM12*'CALCULO GERAL'!$C$11</f>
        <v>67.254600000000011</v>
      </c>
      <c r="BQ12" s="109">
        <f>BO12*'CALCULO GERAL'!$C$11</f>
        <v>78.798299999999998</v>
      </c>
      <c r="BR12" s="186">
        <f>BN12*'CALCULO GERAL'!$C$11</f>
        <v>67.254600000000011</v>
      </c>
      <c r="BS12" s="109">
        <f t="shared" si="18"/>
        <v>403527.60000000003</v>
      </c>
      <c r="BT12" s="109">
        <f t="shared" si="30"/>
        <v>109290.07428</v>
      </c>
      <c r="BU12" s="109">
        <f t="shared" si="19"/>
        <v>403527.60000000003</v>
      </c>
      <c r="BV12" s="109">
        <f t="shared" si="31"/>
        <v>354327.829455</v>
      </c>
      <c r="BW12" s="109">
        <f t="shared" si="32"/>
        <v>49199.770545000036</v>
      </c>
      <c r="BX12" s="114">
        <f t="shared" si="20"/>
        <v>0.121924177045139</v>
      </c>
      <c r="BY12" s="152">
        <f t="shared" si="33"/>
        <v>0.74</v>
      </c>
      <c r="CA12" s="55"/>
      <c r="CB12" s="113"/>
      <c r="CC12" s="113"/>
      <c r="CE12" s="152">
        <f t="shared" si="34"/>
        <v>0</v>
      </c>
      <c r="CF12" s="152">
        <f t="shared" si="35"/>
        <v>1</v>
      </c>
      <c r="CG12" s="152">
        <f t="shared" si="36"/>
        <v>1</v>
      </c>
      <c r="CH12" s="34"/>
      <c r="CJ12" s="11"/>
      <c r="CK12" s="11"/>
    </row>
    <row r="13" spans="1:89" s="152" customFormat="1" ht="16" x14ac:dyDescent="0.2">
      <c r="A13" s="228" t="s">
        <v>487</v>
      </c>
      <c r="B13" s="187" t="s">
        <v>174</v>
      </c>
      <c r="C13" s="8">
        <v>0.16200000000000001</v>
      </c>
      <c r="D13" s="8">
        <v>0</v>
      </c>
      <c r="E13" s="7">
        <v>2.1000000000000001E-2</v>
      </c>
      <c r="F13" s="7">
        <v>9.6500000000000002E-2</v>
      </c>
      <c r="G13" s="1">
        <v>1.6500000000000001E-2</v>
      </c>
      <c r="H13" s="1">
        <v>7.5999999999999998E-2</v>
      </c>
      <c r="I13" s="1">
        <v>0.18</v>
      </c>
      <c r="J13" s="1">
        <v>0.04</v>
      </c>
      <c r="K13" s="1">
        <v>0.14000000000000001</v>
      </c>
      <c r="L13" s="1">
        <v>1.4999999999999999E-2</v>
      </c>
      <c r="M13" s="2" t="s">
        <v>175</v>
      </c>
      <c r="N13" s="105">
        <v>6000</v>
      </c>
      <c r="O13" s="119">
        <v>7.57</v>
      </c>
      <c r="P13" s="119"/>
      <c r="Q13" s="119"/>
      <c r="R13" s="119"/>
      <c r="S13" s="119"/>
      <c r="T13" s="119">
        <v>7.57</v>
      </c>
      <c r="U13" s="119"/>
      <c r="V13" s="205"/>
      <c r="W13" s="119"/>
      <c r="X13" s="119">
        <f t="shared" si="0"/>
        <v>7.57</v>
      </c>
      <c r="Y13" s="118">
        <f t="shared" si="1"/>
        <v>7.57</v>
      </c>
      <c r="Z13" s="109">
        <f t="shared" si="2"/>
        <v>45420</v>
      </c>
      <c r="AA13" s="109">
        <f>'CALCULO GERAL'!$G$10</f>
        <v>6300</v>
      </c>
      <c r="AB13" s="109">
        <f t="shared" si="3"/>
        <v>51720</v>
      </c>
      <c r="AC13" s="109">
        <f>AB13*'CALCULO GERAL'!$C$11</f>
        <v>259582.68</v>
      </c>
      <c r="AD13" s="109">
        <f t="shared" si="4"/>
        <v>42052.394160000003</v>
      </c>
      <c r="AE13" s="109">
        <f t="shared" si="5"/>
        <v>0</v>
      </c>
      <c r="AF13" s="109">
        <f t="shared" si="6"/>
        <v>5451.2362800000001</v>
      </c>
      <c r="AG13" s="109">
        <f t="shared" si="7"/>
        <v>25049.728620000002</v>
      </c>
      <c r="AH13" s="109">
        <v>154.22999999999999</v>
      </c>
      <c r="AI13" s="109">
        <f>((AA13*'CALCULO GERAL'!$C$11))*0.08+20</f>
        <v>2549.576</v>
      </c>
      <c r="AJ13" s="109">
        <v>1010</v>
      </c>
      <c r="AK13" s="109">
        <v>2500</v>
      </c>
      <c r="AL13" s="109">
        <f>(AA13*('CALCULO GERAL'!$C$11*1.02))-(AA13*'CALCULO GERAL'!$C$11)</f>
        <v>632.39400000000387</v>
      </c>
      <c r="AM13" s="109">
        <v>1800</v>
      </c>
      <c r="AN13" s="109">
        <v>2600</v>
      </c>
      <c r="AO13" s="109">
        <v>9400</v>
      </c>
      <c r="AP13" s="109">
        <v>1000</v>
      </c>
      <c r="AQ13" s="109">
        <f t="shared" si="21"/>
        <v>-5451.2362800000001</v>
      </c>
      <c r="AR13" s="109">
        <f t="shared" si="22"/>
        <v>-25049.728620000002</v>
      </c>
      <c r="AS13" s="109"/>
      <c r="AT13" s="109">
        <f t="shared" si="23"/>
        <v>323281.27416000003</v>
      </c>
      <c r="AU13" s="111">
        <f t="shared" si="8"/>
        <v>53.880212360000002</v>
      </c>
      <c r="AV13" s="109">
        <f>IFERROR((BS13*'CALCULO GERAL'!$E$11)/N13,0)</f>
        <v>1.4775936000000001</v>
      </c>
      <c r="AW13" s="109">
        <f>AU13/'CALCULO GERAL'!$C$11</f>
        <v>10.735248527595138</v>
      </c>
      <c r="AX13" s="109">
        <f>BP13-BB13-BD13*'CALCULO GERAL'!$C$11</f>
        <v>72.77148480000001</v>
      </c>
      <c r="AY13" s="109">
        <f t="shared" si="24"/>
        <v>1.2007294992000002</v>
      </c>
      <c r="AZ13" s="109">
        <f t="shared" si="9"/>
        <v>5.5306328448000004</v>
      </c>
      <c r="BA13" s="109">
        <f t="shared" si="10"/>
        <v>73.879680000000008</v>
      </c>
      <c r="BB13" s="109">
        <f t="shared" si="11"/>
        <v>1.1081952000000002</v>
      </c>
      <c r="BC13" s="109">
        <f t="shared" si="12"/>
        <v>73.879680000000008</v>
      </c>
      <c r="BD13" s="109">
        <f t="shared" si="13"/>
        <v>0</v>
      </c>
      <c r="BE13" s="109">
        <f t="shared" si="25"/>
        <v>35462.246400000004</v>
      </c>
      <c r="BF13" s="109">
        <f t="shared" si="26"/>
        <v>53193.369600000005</v>
      </c>
      <c r="BG13" s="109">
        <f t="shared" si="14"/>
        <v>0.7979005440000001</v>
      </c>
      <c r="BH13" s="109">
        <f t="shared" si="15"/>
        <v>0.88655616000000004</v>
      </c>
      <c r="BI13" s="109">
        <f t="shared" si="16"/>
        <v>0</v>
      </c>
      <c r="BJ13" s="109">
        <f t="shared" si="27"/>
        <v>11.001607848000001</v>
      </c>
      <c r="BK13" s="109">
        <f t="shared" si="28"/>
        <v>64.881820208000008</v>
      </c>
      <c r="BL13" s="148">
        <v>0.74</v>
      </c>
      <c r="BM13" s="112">
        <f>ROUND((AW13/BL13)+((AW13*BL13)*'CALCULO GERAL'!$E$11)/BL13,2)</f>
        <v>14.72</v>
      </c>
      <c r="BN13" s="186">
        <f t="shared" si="17"/>
        <v>14.72</v>
      </c>
      <c r="BO13" s="186">
        <f t="shared" si="29"/>
        <v>17.247</v>
      </c>
      <c r="BP13" s="109">
        <f>BM13*'CALCULO GERAL'!$C$11</f>
        <v>73.879680000000008</v>
      </c>
      <c r="BQ13" s="109">
        <f>BO13*'CALCULO GERAL'!$C$11</f>
        <v>86.562692999999996</v>
      </c>
      <c r="BR13" s="186">
        <f>BN13*'CALCULO GERAL'!$C$11</f>
        <v>73.879680000000008</v>
      </c>
      <c r="BS13" s="109">
        <f t="shared" si="18"/>
        <v>443278.08000000007</v>
      </c>
      <c r="BT13" s="109">
        <f t="shared" si="30"/>
        <v>119996.80584000004</v>
      </c>
      <c r="BU13" s="109">
        <f t="shared" si="19"/>
        <v>443278.08000000007</v>
      </c>
      <c r="BV13" s="109">
        <f t="shared" si="31"/>
        <v>389290.92124800006</v>
      </c>
      <c r="BW13" s="109">
        <f t="shared" si="32"/>
        <v>53987.158752000018</v>
      </c>
      <c r="BX13" s="114">
        <f t="shared" si="20"/>
        <v>0.1217907250275042</v>
      </c>
      <c r="BY13" s="152">
        <f t="shared" si="33"/>
        <v>0.74</v>
      </c>
      <c r="CA13" s="55"/>
      <c r="CB13" s="113"/>
      <c r="CC13" s="113"/>
      <c r="CE13" s="152">
        <f t="shared" si="34"/>
        <v>0</v>
      </c>
      <c r="CF13" s="152">
        <f t="shared" si="35"/>
        <v>1</v>
      </c>
      <c r="CG13" s="152">
        <f t="shared" si="36"/>
        <v>1</v>
      </c>
      <c r="CH13" s="34"/>
      <c r="CJ13" s="11"/>
      <c r="CK13" s="11"/>
    </row>
    <row r="14" spans="1:89" s="152" customFormat="1" ht="16" x14ac:dyDescent="0.2">
      <c r="A14" s="228" t="s">
        <v>488</v>
      </c>
      <c r="B14" s="187" t="s">
        <v>174</v>
      </c>
      <c r="C14" s="8">
        <v>0.16200000000000001</v>
      </c>
      <c r="D14" s="8">
        <v>0</v>
      </c>
      <c r="E14" s="7">
        <v>2.1000000000000001E-2</v>
      </c>
      <c r="F14" s="7">
        <v>9.6500000000000002E-2</v>
      </c>
      <c r="G14" s="1">
        <v>1.6500000000000001E-2</v>
      </c>
      <c r="H14" s="1">
        <v>7.5999999999999998E-2</v>
      </c>
      <c r="I14" s="1">
        <v>0.18</v>
      </c>
      <c r="J14" s="1">
        <v>0.04</v>
      </c>
      <c r="K14" s="1">
        <v>0.14000000000000001</v>
      </c>
      <c r="L14" s="1">
        <v>1.4999999999999999E-2</v>
      </c>
      <c r="M14" s="2" t="s">
        <v>175</v>
      </c>
      <c r="N14" s="105">
        <v>8000</v>
      </c>
      <c r="O14" s="119">
        <v>3.28</v>
      </c>
      <c r="P14" s="119"/>
      <c r="Q14" s="119"/>
      <c r="R14" s="119"/>
      <c r="S14" s="119"/>
      <c r="T14" s="119">
        <v>3.28</v>
      </c>
      <c r="U14" s="119"/>
      <c r="V14" s="205"/>
      <c r="W14" s="119"/>
      <c r="X14" s="119">
        <f t="shared" si="0"/>
        <v>3.28</v>
      </c>
      <c r="Y14" s="118">
        <f t="shared" si="1"/>
        <v>3.28</v>
      </c>
      <c r="Z14" s="109">
        <f t="shared" si="2"/>
        <v>26240</v>
      </c>
      <c r="AA14" s="109">
        <f>'CALCULO GERAL'!$G$10</f>
        <v>6300</v>
      </c>
      <c r="AB14" s="109">
        <f t="shared" si="3"/>
        <v>32540</v>
      </c>
      <c r="AC14" s="109">
        <f>AB14*'CALCULO GERAL'!$C$11</f>
        <v>163318.26</v>
      </c>
      <c r="AD14" s="109">
        <f t="shared" si="4"/>
        <v>26457.558120000002</v>
      </c>
      <c r="AE14" s="109">
        <f t="shared" si="5"/>
        <v>0</v>
      </c>
      <c r="AF14" s="109">
        <f t="shared" si="6"/>
        <v>3429.6834600000002</v>
      </c>
      <c r="AG14" s="109">
        <f t="shared" si="7"/>
        <v>15760.212090000001</v>
      </c>
      <c r="AH14" s="109">
        <v>154.22999999999999</v>
      </c>
      <c r="AI14" s="109">
        <f>((AA14*'CALCULO GERAL'!$C$11))*0.08+20</f>
        <v>2549.576</v>
      </c>
      <c r="AJ14" s="109">
        <v>1010</v>
      </c>
      <c r="AK14" s="109">
        <v>2500</v>
      </c>
      <c r="AL14" s="109">
        <f>(AA14*('CALCULO GERAL'!$C$11*1.02))-(AA14*'CALCULO GERAL'!$C$11)</f>
        <v>632.39400000000387</v>
      </c>
      <c r="AM14" s="109">
        <v>1800</v>
      </c>
      <c r="AN14" s="109">
        <v>2600</v>
      </c>
      <c r="AO14" s="109">
        <v>9400</v>
      </c>
      <c r="AP14" s="109">
        <v>1000</v>
      </c>
      <c r="AQ14" s="109">
        <f t="shared" si="21"/>
        <v>-3429.6834600000002</v>
      </c>
      <c r="AR14" s="109">
        <f t="shared" si="22"/>
        <v>-15760.212090000001</v>
      </c>
      <c r="AS14" s="109"/>
      <c r="AT14" s="109">
        <f t="shared" si="23"/>
        <v>211422.01812000002</v>
      </c>
      <c r="AU14" s="111">
        <f t="shared" si="8"/>
        <v>26.427752265000002</v>
      </c>
      <c r="AV14" s="109">
        <f>IFERROR((BS14*'CALCULO GERAL'!$E$11)/N14,0)</f>
        <v>0.72474360000000004</v>
      </c>
      <c r="AW14" s="109">
        <f>AU14/'CALCULO GERAL'!$C$11</f>
        <v>5.2655413956963546</v>
      </c>
      <c r="AX14" s="109">
        <f>BP14-BB14-BD14*'CALCULO GERAL'!$C$11</f>
        <v>35.693622300000001</v>
      </c>
      <c r="AY14" s="109">
        <f t="shared" si="24"/>
        <v>0.58894476795000006</v>
      </c>
      <c r="AZ14" s="109">
        <f t="shared" si="9"/>
        <v>2.7127152948000002</v>
      </c>
      <c r="BA14" s="109">
        <f t="shared" si="10"/>
        <v>36.237180000000002</v>
      </c>
      <c r="BB14" s="109">
        <f t="shared" si="11"/>
        <v>0.54355770000000003</v>
      </c>
      <c r="BC14" s="109">
        <f t="shared" si="12"/>
        <v>36.237180000000002</v>
      </c>
      <c r="BD14" s="109">
        <f t="shared" si="13"/>
        <v>0</v>
      </c>
      <c r="BE14" s="109">
        <f t="shared" si="25"/>
        <v>23191.7952</v>
      </c>
      <c r="BF14" s="109">
        <f t="shared" si="26"/>
        <v>34787.692799999997</v>
      </c>
      <c r="BG14" s="109">
        <f t="shared" si="14"/>
        <v>0.39136154400000001</v>
      </c>
      <c r="BH14" s="109">
        <f t="shared" si="15"/>
        <v>0.43484615999999998</v>
      </c>
      <c r="BI14" s="109">
        <f t="shared" si="16"/>
        <v>0</v>
      </c>
      <c r="BJ14" s="109">
        <f t="shared" si="27"/>
        <v>5.3961690667500006</v>
      </c>
      <c r="BK14" s="109">
        <f t="shared" si="28"/>
        <v>31.823921331750004</v>
      </c>
      <c r="BL14" s="148">
        <v>0.74</v>
      </c>
      <c r="BM14" s="112">
        <f>ROUND((AW14/BL14)+((AW14*BL14)*'CALCULO GERAL'!$E$11)/BL14,2)</f>
        <v>7.22</v>
      </c>
      <c r="BN14" s="186">
        <f t="shared" si="17"/>
        <v>7.22</v>
      </c>
      <c r="BO14" s="186">
        <f t="shared" si="29"/>
        <v>8.4589999999999996</v>
      </c>
      <c r="BP14" s="109">
        <f>BM14*'CALCULO GERAL'!$C$11</f>
        <v>36.237180000000002</v>
      </c>
      <c r="BQ14" s="109">
        <f>BO14*'CALCULO GERAL'!$C$11</f>
        <v>42.455720999999997</v>
      </c>
      <c r="BR14" s="186">
        <f>BN14*'CALCULO GERAL'!$C$11</f>
        <v>36.237180000000002</v>
      </c>
      <c r="BS14" s="109">
        <f t="shared" si="18"/>
        <v>289897.44</v>
      </c>
      <c r="BT14" s="109">
        <f t="shared" si="30"/>
        <v>78475.42187999998</v>
      </c>
      <c r="BU14" s="109">
        <f t="shared" si="19"/>
        <v>289897.44</v>
      </c>
      <c r="BV14" s="109">
        <f t="shared" si="31"/>
        <v>254591.37065400003</v>
      </c>
      <c r="BW14" s="109">
        <f t="shared" si="32"/>
        <v>35306.069345999975</v>
      </c>
      <c r="BX14" s="114">
        <f t="shared" si="20"/>
        <v>0.12178813771518636</v>
      </c>
      <c r="BY14" s="152">
        <f t="shared" si="33"/>
        <v>0.74</v>
      </c>
      <c r="CA14" s="55"/>
      <c r="CB14" s="113"/>
      <c r="CC14" s="113"/>
      <c r="CE14" s="152">
        <f t="shared" si="34"/>
        <v>0</v>
      </c>
      <c r="CF14" s="152">
        <f t="shared" si="35"/>
        <v>1</v>
      </c>
      <c r="CG14" s="152">
        <f t="shared" si="36"/>
        <v>1</v>
      </c>
      <c r="CH14" s="34"/>
      <c r="CJ14" s="11"/>
      <c r="CK14" s="11"/>
    </row>
    <row r="15" spans="1:89" s="152" customFormat="1" ht="16" x14ac:dyDescent="0.2">
      <c r="A15" s="228" t="s">
        <v>489</v>
      </c>
      <c r="B15" s="187" t="s">
        <v>174</v>
      </c>
      <c r="C15" s="8">
        <v>0.16200000000000001</v>
      </c>
      <c r="D15" s="8">
        <v>0</v>
      </c>
      <c r="E15" s="7">
        <v>2.1000000000000001E-2</v>
      </c>
      <c r="F15" s="7">
        <v>9.6500000000000002E-2</v>
      </c>
      <c r="G15" s="1">
        <v>1.6500000000000001E-2</v>
      </c>
      <c r="H15" s="1">
        <v>7.5999999999999998E-2</v>
      </c>
      <c r="I15" s="1">
        <v>0.18</v>
      </c>
      <c r="J15" s="1">
        <v>0.04</v>
      </c>
      <c r="K15" s="1">
        <v>0.14000000000000001</v>
      </c>
      <c r="L15" s="1">
        <v>1.4999999999999999E-2</v>
      </c>
      <c r="M15" s="2" t="s">
        <v>175</v>
      </c>
      <c r="N15" s="105">
        <v>8000</v>
      </c>
      <c r="O15" s="119">
        <v>4.3899999999999997</v>
      </c>
      <c r="P15" s="119"/>
      <c r="Q15" s="119"/>
      <c r="R15" s="119"/>
      <c r="S15" s="119"/>
      <c r="T15" s="119">
        <v>4.3899999999999997</v>
      </c>
      <c r="U15" s="119"/>
      <c r="V15" s="205"/>
      <c r="W15" s="119"/>
      <c r="X15" s="119">
        <f t="shared" si="0"/>
        <v>4.3899999999999997</v>
      </c>
      <c r="Y15" s="118">
        <f t="shared" si="1"/>
        <v>4.3899999999999997</v>
      </c>
      <c r="Z15" s="109">
        <f t="shared" si="2"/>
        <v>35120</v>
      </c>
      <c r="AA15" s="109">
        <f>'CALCULO GERAL'!$G$10</f>
        <v>6300</v>
      </c>
      <c r="AB15" s="109">
        <f t="shared" si="3"/>
        <v>41420</v>
      </c>
      <c r="AC15" s="109">
        <f>AB15*'CALCULO GERAL'!$C$11</f>
        <v>207886.98</v>
      </c>
      <c r="AD15" s="109">
        <f t="shared" si="4"/>
        <v>33677.690760000005</v>
      </c>
      <c r="AE15" s="109">
        <f t="shared" si="5"/>
        <v>0</v>
      </c>
      <c r="AF15" s="109">
        <f t="shared" si="6"/>
        <v>4365.6265800000001</v>
      </c>
      <c r="AG15" s="109">
        <f t="shared" si="7"/>
        <v>20061.093570000001</v>
      </c>
      <c r="AH15" s="109">
        <v>154.22999999999999</v>
      </c>
      <c r="AI15" s="109">
        <f>((AA15*'CALCULO GERAL'!$C$11))*0.08+20</f>
        <v>2549.576</v>
      </c>
      <c r="AJ15" s="109">
        <v>1010</v>
      </c>
      <c r="AK15" s="109">
        <v>2500</v>
      </c>
      <c r="AL15" s="109">
        <f>(AA15*('CALCULO GERAL'!$C$11*1.02))-(AA15*'CALCULO GERAL'!$C$11)</f>
        <v>632.39400000000387</v>
      </c>
      <c r="AM15" s="109">
        <v>1800</v>
      </c>
      <c r="AN15" s="109">
        <v>2600</v>
      </c>
      <c r="AO15" s="109">
        <v>9400</v>
      </c>
      <c r="AP15" s="109">
        <v>1000</v>
      </c>
      <c r="AQ15" s="109">
        <f t="shared" si="21"/>
        <v>-4365.6265800000001</v>
      </c>
      <c r="AR15" s="109">
        <f t="shared" si="22"/>
        <v>-20061.093570000001</v>
      </c>
      <c r="AS15" s="109"/>
      <c r="AT15" s="109">
        <f t="shared" si="23"/>
        <v>263210.87076000002</v>
      </c>
      <c r="AU15" s="111">
        <f t="shared" si="8"/>
        <v>32.901358845000004</v>
      </c>
      <c r="AV15" s="109">
        <f>IFERROR((BS15*'CALCULO GERAL'!$E$11)/N15,0)</f>
        <v>0.9024162</v>
      </c>
      <c r="AW15" s="109">
        <f>AU15/'CALCULO GERAL'!$C$11</f>
        <v>6.5553613956963543</v>
      </c>
      <c r="AX15" s="109">
        <f>BP15-BB15-BD15*'CALCULO GERAL'!$C$11</f>
        <v>44.443997850000002</v>
      </c>
      <c r="AY15" s="109">
        <f t="shared" si="24"/>
        <v>0.7333259645250001</v>
      </c>
      <c r="AZ15" s="109">
        <f t="shared" si="9"/>
        <v>3.3777438366000001</v>
      </c>
      <c r="BA15" s="109">
        <f t="shared" si="10"/>
        <v>45.120809999999999</v>
      </c>
      <c r="BB15" s="109">
        <f t="shared" si="11"/>
        <v>0.67681214999999995</v>
      </c>
      <c r="BC15" s="109">
        <f t="shared" si="12"/>
        <v>45.120809999999999</v>
      </c>
      <c r="BD15" s="109">
        <f t="shared" si="13"/>
        <v>0</v>
      </c>
      <c r="BE15" s="109">
        <f t="shared" si="25"/>
        <v>28877.3184</v>
      </c>
      <c r="BF15" s="109">
        <f t="shared" si="26"/>
        <v>43315.977599999998</v>
      </c>
      <c r="BG15" s="109">
        <f t="shared" si="14"/>
        <v>0.48730474799999995</v>
      </c>
      <c r="BH15" s="109">
        <f t="shared" si="15"/>
        <v>0.54144971999999991</v>
      </c>
      <c r="BI15" s="109">
        <f t="shared" si="16"/>
        <v>0</v>
      </c>
      <c r="BJ15" s="109">
        <f t="shared" si="27"/>
        <v>6.7190526191249997</v>
      </c>
      <c r="BK15" s="109">
        <f t="shared" si="28"/>
        <v>39.620411464125006</v>
      </c>
      <c r="BL15" s="148">
        <v>0.74</v>
      </c>
      <c r="BM15" s="112">
        <f>ROUND((AW15/BL15)+((AW15*BL15)*'CALCULO GERAL'!$E$11)/BL15,2)</f>
        <v>8.99</v>
      </c>
      <c r="BN15" s="186">
        <f t="shared" si="17"/>
        <v>8.99</v>
      </c>
      <c r="BO15" s="186">
        <f t="shared" si="29"/>
        <v>10.532999999999999</v>
      </c>
      <c r="BP15" s="109">
        <f>BM15*'CALCULO GERAL'!$C$11</f>
        <v>45.120809999999999</v>
      </c>
      <c r="BQ15" s="109">
        <f>BO15*'CALCULO GERAL'!$C$11</f>
        <v>52.865127000000001</v>
      </c>
      <c r="BR15" s="186">
        <f>BN15*'CALCULO GERAL'!$C$11</f>
        <v>45.120809999999999</v>
      </c>
      <c r="BS15" s="109">
        <f t="shared" si="18"/>
        <v>360966.48</v>
      </c>
      <c r="BT15" s="109">
        <f t="shared" si="30"/>
        <v>97755.609239999962</v>
      </c>
      <c r="BU15" s="109">
        <f t="shared" si="19"/>
        <v>360966.48</v>
      </c>
      <c r="BV15" s="109">
        <f t="shared" si="31"/>
        <v>316963.29171300004</v>
      </c>
      <c r="BW15" s="109">
        <f t="shared" si="32"/>
        <v>44003.188286999939</v>
      </c>
      <c r="BX15" s="114">
        <f t="shared" si="20"/>
        <v>0.12190380748650108</v>
      </c>
      <c r="BY15" s="152">
        <f t="shared" si="33"/>
        <v>0.74</v>
      </c>
      <c r="CA15" s="55"/>
      <c r="CB15" s="113"/>
      <c r="CC15" s="113"/>
      <c r="CE15" s="152">
        <f t="shared" si="34"/>
        <v>0</v>
      </c>
      <c r="CF15" s="152">
        <f t="shared" si="35"/>
        <v>1</v>
      </c>
      <c r="CG15" s="152">
        <f t="shared" si="36"/>
        <v>1</v>
      </c>
      <c r="CH15" s="34"/>
      <c r="CJ15" s="11"/>
      <c r="CK15" s="11"/>
    </row>
    <row r="16" spans="1:89" s="152" customFormat="1" ht="16" x14ac:dyDescent="0.2">
      <c r="A16" s="228" t="s">
        <v>490</v>
      </c>
      <c r="B16" s="187" t="s">
        <v>174</v>
      </c>
      <c r="C16" s="8">
        <v>0.16200000000000001</v>
      </c>
      <c r="D16" s="8">
        <v>0</v>
      </c>
      <c r="E16" s="7">
        <v>2.1000000000000001E-2</v>
      </c>
      <c r="F16" s="7">
        <v>9.6500000000000002E-2</v>
      </c>
      <c r="G16" s="1">
        <v>1.6500000000000001E-2</v>
      </c>
      <c r="H16" s="1">
        <v>7.5999999999999998E-2</v>
      </c>
      <c r="I16" s="1">
        <v>0.18</v>
      </c>
      <c r="J16" s="1">
        <v>0.04</v>
      </c>
      <c r="K16" s="1">
        <v>0.14000000000000001</v>
      </c>
      <c r="L16" s="1">
        <v>1.4999999999999999E-2</v>
      </c>
      <c r="M16" s="2" t="s">
        <v>175</v>
      </c>
      <c r="N16" s="105">
        <v>8000</v>
      </c>
      <c r="O16" s="119">
        <v>4.8099999999999996</v>
      </c>
      <c r="P16" s="119"/>
      <c r="Q16" s="119"/>
      <c r="R16" s="119"/>
      <c r="S16" s="119"/>
      <c r="T16" s="119">
        <v>4.8099999999999996</v>
      </c>
      <c r="U16" s="119"/>
      <c r="V16" s="205"/>
      <c r="W16" s="119"/>
      <c r="X16" s="119">
        <f t="shared" si="0"/>
        <v>4.8099999999999996</v>
      </c>
      <c r="Y16" s="118">
        <f t="shared" si="1"/>
        <v>4.8099999999999996</v>
      </c>
      <c r="Z16" s="109">
        <f t="shared" si="2"/>
        <v>38480</v>
      </c>
      <c r="AA16" s="109">
        <f>'CALCULO GERAL'!$G$10</f>
        <v>6300</v>
      </c>
      <c r="AB16" s="109">
        <f t="shared" si="3"/>
        <v>44780</v>
      </c>
      <c r="AC16" s="109">
        <f>AB16*'CALCULO GERAL'!$C$11</f>
        <v>224750.82</v>
      </c>
      <c r="AD16" s="109">
        <f t="shared" si="4"/>
        <v>36409.632840000006</v>
      </c>
      <c r="AE16" s="109">
        <f t="shared" si="5"/>
        <v>0</v>
      </c>
      <c r="AF16" s="109">
        <f t="shared" si="6"/>
        <v>4719.7672200000006</v>
      </c>
      <c r="AG16" s="109">
        <f t="shared" si="7"/>
        <v>21688.454130000002</v>
      </c>
      <c r="AH16" s="109">
        <v>154.22999999999999</v>
      </c>
      <c r="AI16" s="109">
        <f>((AA16*'CALCULO GERAL'!$C$11))*0.08+20</f>
        <v>2549.576</v>
      </c>
      <c r="AJ16" s="109">
        <v>1010</v>
      </c>
      <c r="AK16" s="109">
        <v>2500</v>
      </c>
      <c r="AL16" s="109">
        <f>(AA16*('CALCULO GERAL'!$C$11*1.02))-(AA16*'CALCULO GERAL'!$C$11)</f>
        <v>632.39400000000387</v>
      </c>
      <c r="AM16" s="109">
        <v>1800</v>
      </c>
      <c r="AN16" s="109">
        <v>2600</v>
      </c>
      <c r="AO16" s="109">
        <v>9400</v>
      </c>
      <c r="AP16" s="109">
        <v>1000</v>
      </c>
      <c r="AQ16" s="109">
        <f t="shared" si="21"/>
        <v>-4719.7672200000006</v>
      </c>
      <c r="AR16" s="109">
        <f t="shared" si="22"/>
        <v>-21688.454130000002</v>
      </c>
      <c r="AS16" s="109"/>
      <c r="AT16" s="109">
        <f t="shared" si="23"/>
        <v>282806.65284000005</v>
      </c>
      <c r="AU16" s="111">
        <f t="shared" si="8"/>
        <v>35.350831605000003</v>
      </c>
      <c r="AV16" s="109">
        <f>IFERROR((BS16*'CALCULO GERAL'!$E$11)/N16,0)</f>
        <v>0.96967080000000017</v>
      </c>
      <c r="AW16" s="109">
        <f>AU16/'CALCULO GERAL'!$C$11</f>
        <v>7.0434013956963542</v>
      </c>
      <c r="AX16" s="109">
        <f>BP16-BB16-BD16*'CALCULO GERAL'!$C$11</f>
        <v>47.756286900000006</v>
      </c>
      <c r="AY16" s="109">
        <f t="shared" si="24"/>
        <v>0.78797873385000017</v>
      </c>
      <c r="AZ16" s="109">
        <f t="shared" si="9"/>
        <v>3.6294778044000005</v>
      </c>
      <c r="BA16" s="109">
        <f t="shared" si="10"/>
        <v>48.483540000000005</v>
      </c>
      <c r="BB16" s="109">
        <f t="shared" si="11"/>
        <v>0.7272531000000001</v>
      </c>
      <c r="BC16" s="109">
        <f t="shared" si="12"/>
        <v>48.483540000000005</v>
      </c>
      <c r="BD16" s="109">
        <f t="shared" si="13"/>
        <v>0</v>
      </c>
      <c r="BE16" s="109">
        <f t="shared" si="25"/>
        <v>31029.465600000007</v>
      </c>
      <c r="BF16" s="109">
        <f t="shared" si="26"/>
        <v>46544.198400000008</v>
      </c>
      <c r="BG16" s="109">
        <f t="shared" si="14"/>
        <v>0.52362223200000002</v>
      </c>
      <c r="BH16" s="109">
        <f t="shared" si="15"/>
        <v>0.58180248000000001</v>
      </c>
      <c r="BI16" s="109">
        <f t="shared" si="16"/>
        <v>0</v>
      </c>
      <c r="BJ16" s="109">
        <f t="shared" si="27"/>
        <v>7.2198051502500018</v>
      </c>
      <c r="BK16" s="109">
        <f t="shared" si="28"/>
        <v>42.570636755250007</v>
      </c>
      <c r="BL16" s="148">
        <v>0.74</v>
      </c>
      <c r="BM16" s="112">
        <f>ROUND((AW16/BL16)+((AW16*BL16)*'CALCULO GERAL'!$E$11)/BL16,2)</f>
        <v>9.66</v>
      </c>
      <c r="BN16" s="186">
        <f t="shared" si="17"/>
        <v>9.66</v>
      </c>
      <c r="BO16" s="186">
        <f t="shared" si="29"/>
        <v>11.318</v>
      </c>
      <c r="BP16" s="109">
        <f>BM16*'CALCULO GERAL'!$C$11</f>
        <v>48.483540000000005</v>
      </c>
      <c r="BQ16" s="109">
        <f>BO16*'CALCULO GERAL'!$C$11</f>
        <v>56.805042</v>
      </c>
      <c r="BR16" s="186">
        <f>BN16*'CALCULO GERAL'!$C$11</f>
        <v>48.483540000000005</v>
      </c>
      <c r="BS16" s="109">
        <f t="shared" si="18"/>
        <v>387868.32000000007</v>
      </c>
      <c r="BT16" s="109">
        <f t="shared" si="30"/>
        <v>105061.66716000001</v>
      </c>
      <c r="BU16" s="109">
        <f t="shared" si="19"/>
        <v>387868.32000000007</v>
      </c>
      <c r="BV16" s="109">
        <f t="shared" si="31"/>
        <v>340565.09404200007</v>
      </c>
      <c r="BW16" s="109">
        <f t="shared" si="32"/>
        <v>47303.225957999995</v>
      </c>
      <c r="BX16" s="114">
        <f t="shared" si="20"/>
        <v>0.12195692073536707</v>
      </c>
      <c r="BY16" s="152">
        <f t="shared" si="33"/>
        <v>0.74</v>
      </c>
      <c r="CA16" s="55"/>
      <c r="CB16" s="113"/>
      <c r="CC16" s="113"/>
      <c r="CE16" s="152">
        <f t="shared" si="34"/>
        <v>0</v>
      </c>
      <c r="CF16" s="152">
        <f t="shared" si="35"/>
        <v>1</v>
      </c>
      <c r="CG16" s="152">
        <f t="shared" si="36"/>
        <v>1</v>
      </c>
      <c r="CH16" s="34"/>
      <c r="CJ16" s="11"/>
      <c r="CK16" s="11"/>
    </row>
    <row r="17" spans="1:89" s="152" customFormat="1" ht="16" x14ac:dyDescent="0.2">
      <c r="A17" s="228" t="s">
        <v>491</v>
      </c>
      <c r="B17" s="187" t="s">
        <v>174</v>
      </c>
      <c r="C17" s="8">
        <v>0.16200000000000001</v>
      </c>
      <c r="D17" s="8">
        <v>0</v>
      </c>
      <c r="E17" s="7">
        <v>2.1000000000000001E-2</v>
      </c>
      <c r="F17" s="7">
        <v>9.6500000000000002E-2</v>
      </c>
      <c r="G17" s="1">
        <v>1.6500000000000001E-2</v>
      </c>
      <c r="H17" s="1">
        <v>7.5999999999999998E-2</v>
      </c>
      <c r="I17" s="1">
        <v>0.18</v>
      </c>
      <c r="J17" s="1">
        <v>0.04</v>
      </c>
      <c r="K17" s="1">
        <v>0.14000000000000001</v>
      </c>
      <c r="L17" s="1">
        <v>1.4999999999999999E-2</v>
      </c>
      <c r="M17" s="2" t="s">
        <v>175</v>
      </c>
      <c r="N17" s="105">
        <v>8000</v>
      </c>
      <c r="O17" s="119">
        <v>5.29</v>
      </c>
      <c r="P17" s="119"/>
      <c r="Q17" s="119"/>
      <c r="R17" s="119"/>
      <c r="S17" s="119"/>
      <c r="T17" s="119">
        <v>5.29</v>
      </c>
      <c r="U17" s="119"/>
      <c r="V17" s="205"/>
      <c r="W17" s="119"/>
      <c r="X17" s="119">
        <f t="shared" si="0"/>
        <v>5.29</v>
      </c>
      <c r="Y17" s="118">
        <f t="shared" si="1"/>
        <v>5.29</v>
      </c>
      <c r="Z17" s="109">
        <f t="shared" si="2"/>
        <v>42320</v>
      </c>
      <c r="AA17" s="109">
        <f>'CALCULO GERAL'!$G$10</f>
        <v>6300</v>
      </c>
      <c r="AB17" s="109">
        <f t="shared" si="3"/>
        <v>48620</v>
      </c>
      <c r="AC17" s="109">
        <f>AB17*'CALCULO GERAL'!$C$11</f>
        <v>244023.78</v>
      </c>
      <c r="AD17" s="109">
        <f t="shared" si="4"/>
        <v>39531.852360000004</v>
      </c>
      <c r="AE17" s="109">
        <f t="shared" si="5"/>
        <v>0</v>
      </c>
      <c r="AF17" s="109">
        <f t="shared" si="6"/>
        <v>5124.4993800000002</v>
      </c>
      <c r="AG17" s="109">
        <f t="shared" si="7"/>
        <v>23548.29477</v>
      </c>
      <c r="AH17" s="109">
        <v>154.22999999999999</v>
      </c>
      <c r="AI17" s="109">
        <f>((AA17*'CALCULO GERAL'!$C$11))*0.08+20</f>
        <v>2549.576</v>
      </c>
      <c r="AJ17" s="109">
        <v>1010</v>
      </c>
      <c r="AK17" s="109">
        <v>2500</v>
      </c>
      <c r="AL17" s="109">
        <f>(AA17*('CALCULO GERAL'!$C$11*1.02))-(AA17*'CALCULO GERAL'!$C$11)</f>
        <v>632.39400000000387</v>
      </c>
      <c r="AM17" s="109">
        <v>1800</v>
      </c>
      <c r="AN17" s="109">
        <v>2600</v>
      </c>
      <c r="AO17" s="109">
        <v>9400</v>
      </c>
      <c r="AP17" s="109">
        <v>1000</v>
      </c>
      <c r="AQ17" s="109">
        <f t="shared" si="21"/>
        <v>-5124.4993800000002</v>
      </c>
      <c r="AR17" s="109">
        <f t="shared" si="22"/>
        <v>-23548.29477</v>
      </c>
      <c r="AS17" s="109"/>
      <c r="AT17" s="109">
        <f t="shared" si="23"/>
        <v>305201.83236</v>
      </c>
      <c r="AU17" s="111">
        <f t="shared" si="8"/>
        <v>38.150229045000003</v>
      </c>
      <c r="AV17" s="109">
        <f>IFERROR((BS17*'CALCULO GERAL'!$E$11)/N17,0)</f>
        <v>1.0459596000000002</v>
      </c>
      <c r="AW17" s="109">
        <f>AU17/'CALCULO GERAL'!$C$11</f>
        <v>7.6011613956963542</v>
      </c>
      <c r="AX17" s="109">
        <f>BP17-BB17-BD17*'CALCULO GERAL'!$C$11</f>
        <v>51.5135103</v>
      </c>
      <c r="AY17" s="109">
        <f t="shared" si="24"/>
        <v>0.84997291995000002</v>
      </c>
      <c r="AZ17" s="109">
        <f t="shared" si="9"/>
        <v>3.9150267828</v>
      </c>
      <c r="BA17" s="109">
        <f t="shared" si="10"/>
        <v>52.297980000000003</v>
      </c>
      <c r="BB17" s="109">
        <f t="shared" si="11"/>
        <v>0.78446970000000005</v>
      </c>
      <c r="BC17" s="109">
        <f t="shared" si="12"/>
        <v>52.297980000000003</v>
      </c>
      <c r="BD17" s="109">
        <f t="shared" si="13"/>
        <v>0</v>
      </c>
      <c r="BE17" s="109">
        <f t="shared" si="25"/>
        <v>33470.707200000004</v>
      </c>
      <c r="BF17" s="109">
        <f t="shared" si="26"/>
        <v>50206.060799999999</v>
      </c>
      <c r="BG17" s="109">
        <f t="shared" si="14"/>
        <v>0.56481818399999995</v>
      </c>
      <c r="BH17" s="109">
        <f t="shared" si="15"/>
        <v>0.62757576000000004</v>
      </c>
      <c r="BI17" s="109">
        <f t="shared" si="16"/>
        <v>0</v>
      </c>
      <c r="BJ17" s="109">
        <f t="shared" si="27"/>
        <v>7.7878229467500004</v>
      </c>
      <c r="BK17" s="109">
        <f t="shared" si="28"/>
        <v>45.938051991750001</v>
      </c>
      <c r="BL17" s="148">
        <v>0.74</v>
      </c>
      <c r="BM17" s="112">
        <f>ROUND((AW17/BL17)+((AW17*BL17)*'CALCULO GERAL'!$E$11)/BL17,2)</f>
        <v>10.42</v>
      </c>
      <c r="BN17" s="186">
        <f t="shared" si="17"/>
        <v>10.42</v>
      </c>
      <c r="BO17" s="186">
        <f t="shared" si="29"/>
        <v>12.209</v>
      </c>
      <c r="BP17" s="109">
        <f>BM17*'CALCULO GERAL'!$C$11</f>
        <v>52.297980000000003</v>
      </c>
      <c r="BQ17" s="109">
        <f>BO17*'CALCULO GERAL'!$C$11</f>
        <v>61.276971000000003</v>
      </c>
      <c r="BR17" s="186">
        <f>BN17*'CALCULO GERAL'!$C$11</f>
        <v>52.297980000000003</v>
      </c>
      <c r="BS17" s="109">
        <f t="shared" si="18"/>
        <v>418383.84</v>
      </c>
      <c r="BT17" s="109">
        <f t="shared" si="30"/>
        <v>113182.00764000003</v>
      </c>
      <c r="BU17" s="109">
        <f t="shared" si="19"/>
        <v>418383.84</v>
      </c>
      <c r="BV17" s="109">
        <f t="shared" si="31"/>
        <v>367504.41593399999</v>
      </c>
      <c r="BW17" s="109">
        <f t="shared" si="32"/>
        <v>50879.424066000036</v>
      </c>
      <c r="BX17" s="114">
        <f t="shared" si="20"/>
        <v>0.12160943899267246</v>
      </c>
      <c r="BY17" s="152">
        <f t="shared" si="33"/>
        <v>0.74</v>
      </c>
      <c r="CA17" s="55"/>
      <c r="CB17" s="113"/>
      <c r="CC17" s="113"/>
      <c r="CE17" s="152">
        <f t="shared" si="34"/>
        <v>0</v>
      </c>
      <c r="CF17" s="152">
        <f t="shared" si="35"/>
        <v>1</v>
      </c>
      <c r="CG17" s="152">
        <f t="shared" si="36"/>
        <v>1</v>
      </c>
      <c r="CH17" s="34"/>
      <c r="CJ17" s="11"/>
      <c r="CK17" s="11"/>
    </row>
    <row r="18" spans="1:89" s="152" customFormat="1" ht="16" x14ac:dyDescent="0.2">
      <c r="A18" s="228" t="s">
        <v>492</v>
      </c>
      <c r="B18" s="187" t="s">
        <v>174</v>
      </c>
      <c r="C18" s="8">
        <v>0.16200000000000001</v>
      </c>
      <c r="D18" s="8">
        <v>0</v>
      </c>
      <c r="E18" s="7">
        <v>2.1000000000000001E-2</v>
      </c>
      <c r="F18" s="7">
        <v>9.6500000000000002E-2</v>
      </c>
      <c r="G18" s="1">
        <v>1.6500000000000001E-2</v>
      </c>
      <c r="H18" s="1">
        <v>7.5999999999999998E-2</v>
      </c>
      <c r="I18" s="1">
        <v>0.18</v>
      </c>
      <c r="J18" s="1">
        <v>0.04</v>
      </c>
      <c r="K18" s="1">
        <v>0.14000000000000001</v>
      </c>
      <c r="L18" s="1">
        <v>1.4999999999999999E-2</v>
      </c>
      <c r="M18" s="2" t="s">
        <v>175</v>
      </c>
      <c r="N18" s="105">
        <v>8500</v>
      </c>
      <c r="O18" s="119">
        <v>3.83</v>
      </c>
      <c r="P18" s="119"/>
      <c r="Q18" s="119"/>
      <c r="R18" s="119"/>
      <c r="S18" s="119"/>
      <c r="T18" s="119">
        <v>3.83</v>
      </c>
      <c r="U18" s="119"/>
      <c r="V18" s="205"/>
      <c r="W18" s="119"/>
      <c r="X18" s="119">
        <f t="shared" si="0"/>
        <v>3.83</v>
      </c>
      <c r="Y18" s="118">
        <f t="shared" si="1"/>
        <v>3.83</v>
      </c>
      <c r="Z18" s="109">
        <f t="shared" si="2"/>
        <v>32555</v>
      </c>
      <c r="AA18" s="109">
        <f>'CALCULO GERAL'!$G$10</f>
        <v>6300</v>
      </c>
      <c r="AB18" s="109">
        <f t="shared" si="3"/>
        <v>38855</v>
      </c>
      <c r="AC18" s="109">
        <f>AB18*'CALCULO GERAL'!$C$11</f>
        <v>195013.245</v>
      </c>
      <c r="AD18" s="109">
        <f t="shared" si="4"/>
        <v>31592.145690000001</v>
      </c>
      <c r="AE18" s="109">
        <f t="shared" si="5"/>
        <v>0</v>
      </c>
      <c r="AF18" s="109">
        <f t="shared" si="6"/>
        <v>4095.2781450000002</v>
      </c>
      <c r="AG18" s="109">
        <f t="shared" si="7"/>
        <v>18818.778142499999</v>
      </c>
      <c r="AH18" s="109">
        <v>154.22999999999999</v>
      </c>
      <c r="AI18" s="109">
        <f>((AA18*'CALCULO GERAL'!$C$11))*0.08+20</f>
        <v>2549.576</v>
      </c>
      <c r="AJ18" s="109">
        <v>1010</v>
      </c>
      <c r="AK18" s="109">
        <v>2500</v>
      </c>
      <c r="AL18" s="109">
        <f>(AA18*('CALCULO GERAL'!$C$11*1.02))-(AA18*'CALCULO GERAL'!$C$11)</f>
        <v>632.39400000000387</v>
      </c>
      <c r="AM18" s="109">
        <v>1800</v>
      </c>
      <c r="AN18" s="109">
        <v>2600</v>
      </c>
      <c r="AO18" s="109">
        <v>9400</v>
      </c>
      <c r="AP18" s="109">
        <v>1000</v>
      </c>
      <c r="AQ18" s="109">
        <f t="shared" si="21"/>
        <v>-4095.2781450000002</v>
      </c>
      <c r="AR18" s="109">
        <f t="shared" si="22"/>
        <v>-18818.778142499999</v>
      </c>
      <c r="AS18" s="109"/>
      <c r="AT18" s="109">
        <f t="shared" si="23"/>
        <v>248251.59069000001</v>
      </c>
      <c r="AU18" s="111">
        <f t="shared" si="8"/>
        <v>29.206069492941179</v>
      </c>
      <c r="AV18" s="109">
        <f>IFERROR((BS18*'CALCULO GERAL'!$E$11)/N18,0)</f>
        <v>0.80103240000000009</v>
      </c>
      <c r="AW18" s="109">
        <f>AU18/'CALCULO GERAL'!$C$11</f>
        <v>5.819101313596569</v>
      </c>
      <c r="AX18" s="109">
        <f>BP18-BB18-BD18*'CALCULO GERAL'!$C$11</f>
        <v>39.450845700000002</v>
      </c>
      <c r="AY18" s="109">
        <f t="shared" si="24"/>
        <v>0.65093895405000002</v>
      </c>
      <c r="AZ18" s="109">
        <f t="shared" si="9"/>
        <v>2.9982642732000002</v>
      </c>
      <c r="BA18" s="109">
        <f t="shared" si="10"/>
        <v>40.05162</v>
      </c>
      <c r="BB18" s="109">
        <f t="shared" si="11"/>
        <v>0.60077429999999998</v>
      </c>
      <c r="BC18" s="109">
        <f t="shared" si="12"/>
        <v>40.05162</v>
      </c>
      <c r="BD18" s="109">
        <f t="shared" si="13"/>
        <v>0</v>
      </c>
      <c r="BE18" s="109">
        <f t="shared" si="25"/>
        <v>27235.101600000002</v>
      </c>
      <c r="BF18" s="109">
        <f t="shared" si="26"/>
        <v>40852.652399999999</v>
      </c>
      <c r="BG18" s="109">
        <f t="shared" si="14"/>
        <v>0.43255749599999999</v>
      </c>
      <c r="BH18" s="109">
        <f t="shared" si="15"/>
        <v>0.48061944000000001</v>
      </c>
      <c r="BI18" s="109">
        <f t="shared" si="16"/>
        <v>0</v>
      </c>
      <c r="BJ18" s="109">
        <f t="shared" si="27"/>
        <v>5.964186863250001</v>
      </c>
      <c r="BK18" s="109">
        <f t="shared" si="28"/>
        <v>35.170256356191182</v>
      </c>
      <c r="BL18" s="148">
        <v>0.74</v>
      </c>
      <c r="BM18" s="112">
        <f>ROUND((AW18/BL18)+((AW18*BL18)*'CALCULO GERAL'!$E$11)/BL18,2)</f>
        <v>7.98</v>
      </c>
      <c r="BN18" s="186">
        <f t="shared" si="17"/>
        <v>7.98</v>
      </c>
      <c r="BO18" s="186">
        <f t="shared" si="29"/>
        <v>9.35</v>
      </c>
      <c r="BP18" s="109">
        <f>BM18*'CALCULO GERAL'!$C$11</f>
        <v>40.05162</v>
      </c>
      <c r="BQ18" s="109">
        <f>BO18*'CALCULO GERAL'!$C$11</f>
        <v>46.92765</v>
      </c>
      <c r="BR18" s="186">
        <f>BN18*'CALCULO GERAL'!$C$11</f>
        <v>40.05162</v>
      </c>
      <c r="BS18" s="109">
        <f t="shared" si="18"/>
        <v>340438.77</v>
      </c>
      <c r="BT18" s="109">
        <f t="shared" si="30"/>
        <v>92187.179310000007</v>
      </c>
      <c r="BU18" s="109">
        <f t="shared" si="19"/>
        <v>340438.77</v>
      </c>
      <c r="BV18" s="109">
        <f t="shared" si="31"/>
        <v>298947.17902762507</v>
      </c>
      <c r="BW18" s="109">
        <f t="shared" si="32"/>
        <v>41491.59097237495</v>
      </c>
      <c r="BX18" s="114">
        <f t="shared" si="20"/>
        <v>0.12187680907311159</v>
      </c>
      <c r="BY18" s="152">
        <f t="shared" si="33"/>
        <v>0.74</v>
      </c>
      <c r="CA18" s="55"/>
      <c r="CB18" s="113"/>
      <c r="CC18" s="113"/>
      <c r="CE18" s="152">
        <f t="shared" si="34"/>
        <v>0</v>
      </c>
      <c r="CF18" s="152">
        <f t="shared" si="35"/>
        <v>1</v>
      </c>
      <c r="CG18" s="152">
        <f t="shared" si="36"/>
        <v>1</v>
      </c>
      <c r="CH18" s="34"/>
      <c r="CJ18" s="11"/>
      <c r="CK18" s="11"/>
    </row>
    <row r="19" spans="1:89" s="152" customFormat="1" ht="16" x14ac:dyDescent="0.2">
      <c r="A19" s="228" t="s">
        <v>493</v>
      </c>
      <c r="B19" s="187" t="s">
        <v>174</v>
      </c>
      <c r="C19" s="8">
        <v>0.16200000000000001</v>
      </c>
      <c r="D19" s="8">
        <v>0</v>
      </c>
      <c r="E19" s="7">
        <v>2.1000000000000001E-2</v>
      </c>
      <c r="F19" s="7">
        <v>9.6500000000000002E-2</v>
      </c>
      <c r="G19" s="1">
        <v>1.6500000000000001E-2</v>
      </c>
      <c r="H19" s="1">
        <v>7.5999999999999998E-2</v>
      </c>
      <c r="I19" s="1">
        <v>0.18</v>
      </c>
      <c r="J19" s="1">
        <v>0.04</v>
      </c>
      <c r="K19" s="1">
        <v>0.14000000000000001</v>
      </c>
      <c r="L19" s="1">
        <v>1.4999999999999999E-2</v>
      </c>
      <c r="M19" s="2" t="s">
        <v>175</v>
      </c>
      <c r="N19" s="105">
        <v>8500</v>
      </c>
      <c r="O19" s="119">
        <v>5.0999999999999996</v>
      </c>
      <c r="P19" s="119"/>
      <c r="Q19" s="119"/>
      <c r="R19" s="119"/>
      <c r="S19" s="119"/>
      <c r="T19" s="119">
        <v>5.0999999999999996</v>
      </c>
      <c r="U19" s="119"/>
      <c r="V19" s="205"/>
      <c r="W19" s="119"/>
      <c r="X19" s="119">
        <f t="shared" si="0"/>
        <v>5.0999999999999996</v>
      </c>
      <c r="Y19" s="118">
        <f t="shared" si="1"/>
        <v>5.0999999999999996</v>
      </c>
      <c r="Z19" s="109">
        <f t="shared" si="2"/>
        <v>43350</v>
      </c>
      <c r="AA19" s="109">
        <f>'CALCULO GERAL'!$G$10</f>
        <v>6300</v>
      </c>
      <c r="AB19" s="109">
        <f t="shared" si="3"/>
        <v>49650</v>
      </c>
      <c r="AC19" s="109">
        <f>AB19*'CALCULO GERAL'!$C$11</f>
        <v>249193.35</v>
      </c>
      <c r="AD19" s="109">
        <f t="shared" si="4"/>
        <v>40369.322700000004</v>
      </c>
      <c r="AE19" s="109">
        <f t="shared" si="5"/>
        <v>0</v>
      </c>
      <c r="AF19" s="109">
        <f t="shared" si="6"/>
        <v>5233.0603500000007</v>
      </c>
      <c r="AG19" s="109">
        <f t="shared" si="7"/>
        <v>24047.158275000002</v>
      </c>
      <c r="AH19" s="109">
        <v>154.22999999999999</v>
      </c>
      <c r="AI19" s="109">
        <f>((AA19*'CALCULO GERAL'!$C$11))*0.08+20</f>
        <v>2549.576</v>
      </c>
      <c r="AJ19" s="109">
        <v>1010</v>
      </c>
      <c r="AK19" s="109">
        <v>2500</v>
      </c>
      <c r="AL19" s="109">
        <f>(AA19*('CALCULO GERAL'!$C$11*1.02))-(AA19*'CALCULO GERAL'!$C$11)</f>
        <v>632.39400000000387</v>
      </c>
      <c r="AM19" s="109">
        <v>1800</v>
      </c>
      <c r="AN19" s="109">
        <v>2600</v>
      </c>
      <c r="AO19" s="109">
        <v>9400</v>
      </c>
      <c r="AP19" s="109">
        <v>1000</v>
      </c>
      <c r="AQ19" s="109">
        <f t="shared" si="21"/>
        <v>-5233.0603500000007</v>
      </c>
      <c r="AR19" s="109">
        <f t="shared" si="22"/>
        <v>-24047.158275000002</v>
      </c>
      <c r="AS19" s="109"/>
      <c r="AT19" s="109">
        <f t="shared" si="23"/>
        <v>311208.87270000001</v>
      </c>
      <c r="AU19" s="111">
        <f t="shared" si="8"/>
        <v>36.612808552941175</v>
      </c>
      <c r="AV19" s="109">
        <f>IFERROR((BS19*'CALCULO GERAL'!$E$11)/N19,0)</f>
        <v>1.0037999999999998</v>
      </c>
      <c r="AW19" s="109">
        <f>AU19/'CALCULO GERAL'!$C$11</f>
        <v>7.2948413135965682</v>
      </c>
      <c r="AX19" s="109">
        <f>BP19-BB19-BD19*'CALCULO GERAL'!$C$11</f>
        <v>49.437149999999995</v>
      </c>
      <c r="AY19" s="109">
        <f t="shared" si="24"/>
        <v>0.81571297499999995</v>
      </c>
      <c r="AZ19" s="109">
        <f t="shared" si="9"/>
        <v>3.7572233999999995</v>
      </c>
      <c r="BA19" s="109">
        <f t="shared" si="10"/>
        <v>50.19</v>
      </c>
      <c r="BB19" s="109">
        <f t="shared" si="11"/>
        <v>0.75284999999999991</v>
      </c>
      <c r="BC19" s="109">
        <f t="shared" si="12"/>
        <v>50.19</v>
      </c>
      <c r="BD19" s="109">
        <f t="shared" si="13"/>
        <v>0</v>
      </c>
      <c r="BE19" s="109">
        <f t="shared" si="25"/>
        <v>34129.199999999997</v>
      </c>
      <c r="BF19" s="109">
        <f t="shared" si="26"/>
        <v>51193.799999999996</v>
      </c>
      <c r="BG19" s="109">
        <f t="shared" si="14"/>
        <v>0.54205199999999987</v>
      </c>
      <c r="BH19" s="109">
        <f t="shared" si="15"/>
        <v>0.60227999999999993</v>
      </c>
      <c r="BI19" s="109">
        <f t="shared" si="16"/>
        <v>0</v>
      </c>
      <c r="BJ19" s="109">
        <f t="shared" si="27"/>
        <v>7.4739183749999984</v>
      </c>
      <c r="BK19" s="109">
        <f t="shared" si="28"/>
        <v>44.086726927941172</v>
      </c>
      <c r="BL19" s="148">
        <v>0.74</v>
      </c>
      <c r="BM19" s="112">
        <f>ROUND((AW19/BL19)+((AW19*BL19)*'CALCULO GERAL'!$E$11)/BL19,2)</f>
        <v>10</v>
      </c>
      <c r="BN19" s="186">
        <f t="shared" si="17"/>
        <v>10</v>
      </c>
      <c r="BO19" s="186">
        <f t="shared" si="29"/>
        <v>11.717000000000001</v>
      </c>
      <c r="BP19" s="109">
        <f>BM19*'CALCULO GERAL'!$C$11</f>
        <v>50.19</v>
      </c>
      <c r="BQ19" s="109">
        <f>BO19*'CALCULO GERAL'!$C$11</f>
        <v>58.807623000000007</v>
      </c>
      <c r="BR19" s="186">
        <f>BN19*'CALCULO GERAL'!$C$11</f>
        <v>50.19</v>
      </c>
      <c r="BS19" s="109">
        <f t="shared" si="18"/>
        <v>426615</v>
      </c>
      <c r="BT19" s="109">
        <f t="shared" si="30"/>
        <v>115406.12729999999</v>
      </c>
      <c r="BU19" s="109">
        <f t="shared" si="19"/>
        <v>426615</v>
      </c>
      <c r="BV19" s="109">
        <f t="shared" si="31"/>
        <v>374737.17888749996</v>
      </c>
      <c r="BW19" s="109">
        <f t="shared" si="32"/>
        <v>51877.821112500038</v>
      </c>
      <c r="BX19" s="114">
        <f t="shared" si="20"/>
        <v>0.12160336864034325</v>
      </c>
      <c r="BY19" s="152">
        <f t="shared" si="33"/>
        <v>0.74</v>
      </c>
      <c r="CA19" s="55"/>
      <c r="CB19" s="113"/>
      <c r="CC19" s="113"/>
      <c r="CE19" s="152">
        <f t="shared" si="34"/>
        <v>0</v>
      </c>
      <c r="CF19" s="152">
        <f t="shared" si="35"/>
        <v>1</v>
      </c>
      <c r="CG19" s="152">
        <f t="shared" si="36"/>
        <v>1</v>
      </c>
      <c r="CH19" s="34"/>
      <c r="CJ19" s="11"/>
      <c r="CK19" s="11"/>
    </row>
    <row r="20" spans="1:89" s="152" customFormat="1" ht="16" x14ac:dyDescent="0.2">
      <c r="A20" s="228" t="s">
        <v>494</v>
      </c>
      <c r="B20" s="187" t="s">
        <v>174</v>
      </c>
      <c r="C20" s="8">
        <v>0.16200000000000001</v>
      </c>
      <c r="D20" s="8">
        <v>0</v>
      </c>
      <c r="E20" s="7">
        <v>2.1000000000000001E-2</v>
      </c>
      <c r="F20" s="7">
        <v>9.6500000000000002E-2</v>
      </c>
      <c r="G20" s="1">
        <v>1.6500000000000001E-2</v>
      </c>
      <c r="H20" s="1">
        <v>7.5999999999999998E-2</v>
      </c>
      <c r="I20" s="1">
        <v>0.18</v>
      </c>
      <c r="J20" s="1">
        <v>0.04</v>
      </c>
      <c r="K20" s="1">
        <v>0.14000000000000001</v>
      </c>
      <c r="L20" s="1">
        <v>1.4999999999999999E-2</v>
      </c>
      <c r="M20" s="2" t="s">
        <v>175</v>
      </c>
      <c r="N20" s="105">
        <v>8500</v>
      </c>
      <c r="O20" s="119">
        <v>5.67</v>
      </c>
      <c r="P20" s="119"/>
      <c r="Q20" s="119"/>
      <c r="R20" s="119"/>
      <c r="S20" s="119"/>
      <c r="T20" s="119">
        <v>5.67</v>
      </c>
      <c r="U20" s="119"/>
      <c r="V20" s="205"/>
      <c r="W20" s="119"/>
      <c r="X20" s="119">
        <f t="shared" si="0"/>
        <v>5.67</v>
      </c>
      <c r="Y20" s="118">
        <f t="shared" si="1"/>
        <v>5.67</v>
      </c>
      <c r="Z20" s="109">
        <f t="shared" si="2"/>
        <v>48195</v>
      </c>
      <c r="AA20" s="109">
        <f>'CALCULO GERAL'!$G$10</f>
        <v>6300</v>
      </c>
      <c r="AB20" s="109">
        <f t="shared" si="3"/>
        <v>54495</v>
      </c>
      <c r="AC20" s="109">
        <f>AB20*'CALCULO GERAL'!$C$11</f>
        <v>273510.40500000003</v>
      </c>
      <c r="AD20" s="109">
        <f t="shared" si="4"/>
        <v>44308.685610000008</v>
      </c>
      <c r="AE20" s="109">
        <f t="shared" si="5"/>
        <v>0</v>
      </c>
      <c r="AF20" s="109">
        <f t="shared" si="6"/>
        <v>5743.7185050000007</v>
      </c>
      <c r="AG20" s="109">
        <f t="shared" si="7"/>
        <v>26393.754082500003</v>
      </c>
      <c r="AH20" s="109">
        <v>154.22999999999999</v>
      </c>
      <c r="AI20" s="109">
        <f>((AA20*'CALCULO GERAL'!$C$11))*0.08+20</f>
        <v>2549.576</v>
      </c>
      <c r="AJ20" s="109">
        <v>1010</v>
      </c>
      <c r="AK20" s="109">
        <v>2500</v>
      </c>
      <c r="AL20" s="109">
        <f>(AA20*('CALCULO GERAL'!$C$11*1.02))-(AA20*'CALCULO GERAL'!$C$11)</f>
        <v>632.39400000000387</v>
      </c>
      <c r="AM20" s="109">
        <v>1800</v>
      </c>
      <c r="AN20" s="109">
        <v>2600</v>
      </c>
      <c r="AO20" s="109">
        <v>9400</v>
      </c>
      <c r="AP20" s="109">
        <v>1000</v>
      </c>
      <c r="AQ20" s="109">
        <f t="shared" si="21"/>
        <v>-5743.7185050000007</v>
      </c>
      <c r="AR20" s="109">
        <f t="shared" si="22"/>
        <v>-26393.754082500003</v>
      </c>
      <c r="AS20" s="109"/>
      <c r="AT20" s="109">
        <f t="shared" si="23"/>
        <v>339465.29061000003</v>
      </c>
      <c r="AU20" s="111">
        <f t="shared" si="8"/>
        <v>39.937093012941176</v>
      </c>
      <c r="AV20" s="109">
        <f>IFERROR((BS20*'CALCULO GERAL'!$E$11)/N20,0)</f>
        <v>1.0951458000000001</v>
      </c>
      <c r="AW20" s="109">
        <f>AU20/'CALCULO GERAL'!$C$11</f>
        <v>7.9571813135965677</v>
      </c>
      <c r="AX20" s="109">
        <f>BP20-BB20-BD20*'CALCULO GERAL'!$C$11</f>
        <v>53.935930650000003</v>
      </c>
      <c r="AY20" s="109">
        <f t="shared" si="24"/>
        <v>0.88994285572500009</v>
      </c>
      <c r="AZ20" s="109">
        <f t="shared" si="9"/>
        <v>4.0991307294000006</v>
      </c>
      <c r="BA20" s="109">
        <f t="shared" si="10"/>
        <v>54.757290000000005</v>
      </c>
      <c r="BB20" s="109">
        <f t="shared" si="11"/>
        <v>0.82135935000000004</v>
      </c>
      <c r="BC20" s="109">
        <f t="shared" si="12"/>
        <v>54.757290000000005</v>
      </c>
      <c r="BD20" s="109">
        <f t="shared" si="13"/>
        <v>0</v>
      </c>
      <c r="BE20" s="109">
        <f t="shared" si="25"/>
        <v>37234.957200000004</v>
      </c>
      <c r="BF20" s="109">
        <f t="shared" si="26"/>
        <v>55852.435799999999</v>
      </c>
      <c r="BG20" s="109">
        <f t="shared" si="14"/>
        <v>0.59137873200000002</v>
      </c>
      <c r="BH20" s="109">
        <f t="shared" si="15"/>
        <v>0.65708748000000006</v>
      </c>
      <c r="BI20" s="109">
        <f t="shared" si="16"/>
        <v>0</v>
      </c>
      <c r="BJ20" s="109">
        <f t="shared" si="27"/>
        <v>8.1540449471249996</v>
      </c>
      <c r="BK20" s="109">
        <f t="shared" si="28"/>
        <v>48.091137960066177</v>
      </c>
      <c r="BL20" s="148">
        <v>0.74</v>
      </c>
      <c r="BM20" s="112">
        <f>ROUND((AW20/BL20)+((AW20*BL20)*'CALCULO GERAL'!$E$11)/BL20,2)</f>
        <v>10.91</v>
      </c>
      <c r="BN20" s="186">
        <f t="shared" si="17"/>
        <v>10.91</v>
      </c>
      <c r="BO20" s="186">
        <f t="shared" si="29"/>
        <v>12.782999999999999</v>
      </c>
      <c r="BP20" s="109">
        <f>BM20*'CALCULO GERAL'!$C$11</f>
        <v>54.757290000000005</v>
      </c>
      <c r="BQ20" s="109">
        <f>BO20*'CALCULO GERAL'!$C$11</f>
        <v>64.157876999999999</v>
      </c>
      <c r="BR20" s="186">
        <f>BN20*'CALCULO GERAL'!$C$11</f>
        <v>54.757290000000005</v>
      </c>
      <c r="BS20" s="109">
        <f t="shared" si="18"/>
        <v>465436.96500000003</v>
      </c>
      <c r="BT20" s="109">
        <f t="shared" si="30"/>
        <v>125971.67439</v>
      </c>
      <c r="BU20" s="109">
        <f t="shared" si="19"/>
        <v>465436.96500000003</v>
      </c>
      <c r="BV20" s="109">
        <f t="shared" si="31"/>
        <v>408774.6726605625</v>
      </c>
      <c r="BW20" s="109">
        <f t="shared" si="32"/>
        <v>56662.292339437525</v>
      </c>
      <c r="BX20" s="114">
        <f t="shared" si="20"/>
        <v>0.12173999187932467</v>
      </c>
      <c r="BY20" s="152">
        <f t="shared" si="33"/>
        <v>0.74</v>
      </c>
      <c r="CA20" s="55"/>
      <c r="CB20" s="113"/>
      <c r="CC20" s="113"/>
      <c r="CE20" s="152">
        <f t="shared" si="34"/>
        <v>0</v>
      </c>
      <c r="CF20" s="152">
        <f t="shared" si="35"/>
        <v>1</v>
      </c>
      <c r="CG20" s="152">
        <f t="shared" si="36"/>
        <v>1</v>
      </c>
      <c r="CH20" s="34"/>
      <c r="CJ20" s="11"/>
      <c r="CK20" s="11"/>
    </row>
    <row r="21" spans="1:89" s="152" customFormat="1" ht="16" x14ac:dyDescent="0.2">
      <c r="A21" s="228" t="s">
        <v>495</v>
      </c>
      <c r="B21" s="187" t="s">
        <v>174</v>
      </c>
      <c r="C21" s="8">
        <v>0.16200000000000001</v>
      </c>
      <c r="D21" s="8">
        <v>0</v>
      </c>
      <c r="E21" s="7">
        <v>2.1000000000000001E-2</v>
      </c>
      <c r="F21" s="7">
        <v>9.6500000000000002E-2</v>
      </c>
      <c r="G21" s="1">
        <v>1.6500000000000001E-2</v>
      </c>
      <c r="H21" s="1">
        <v>7.5999999999999998E-2</v>
      </c>
      <c r="I21" s="1">
        <v>0.18</v>
      </c>
      <c r="J21" s="1">
        <v>0.04</v>
      </c>
      <c r="K21" s="1">
        <v>0.14000000000000001</v>
      </c>
      <c r="L21" s="1">
        <v>1.4999999999999999E-2</v>
      </c>
      <c r="M21" s="2" t="s">
        <v>175</v>
      </c>
      <c r="N21" s="105">
        <v>8500</v>
      </c>
      <c r="O21" s="119">
        <v>6.29</v>
      </c>
      <c r="P21" s="119"/>
      <c r="Q21" s="119"/>
      <c r="R21" s="119"/>
      <c r="S21" s="119"/>
      <c r="T21" s="119">
        <v>6.29</v>
      </c>
      <c r="U21" s="119"/>
      <c r="V21" s="205"/>
      <c r="W21" s="119"/>
      <c r="X21" s="119">
        <f t="shared" si="0"/>
        <v>6.29</v>
      </c>
      <c r="Y21" s="118">
        <f t="shared" si="1"/>
        <v>6.29</v>
      </c>
      <c r="Z21" s="109">
        <f t="shared" si="2"/>
        <v>53465</v>
      </c>
      <c r="AA21" s="109">
        <f>'CALCULO GERAL'!$G$10</f>
        <v>6300</v>
      </c>
      <c r="AB21" s="109">
        <f t="shared" si="3"/>
        <v>59765</v>
      </c>
      <c r="AC21" s="109">
        <f>AB21*'CALCULO GERAL'!$C$11</f>
        <v>299960.53500000003</v>
      </c>
      <c r="AD21" s="109">
        <f t="shared" si="4"/>
        <v>48593.606670000008</v>
      </c>
      <c r="AE21" s="109">
        <f t="shared" si="5"/>
        <v>0</v>
      </c>
      <c r="AF21" s="109">
        <f t="shared" si="6"/>
        <v>6299.1712350000007</v>
      </c>
      <c r="AG21" s="109">
        <f t="shared" si="7"/>
        <v>28946.191627500004</v>
      </c>
      <c r="AH21" s="109">
        <v>154.22999999999999</v>
      </c>
      <c r="AI21" s="109">
        <f>((AA21*'CALCULO GERAL'!$C$11))*0.08+20</f>
        <v>2549.576</v>
      </c>
      <c r="AJ21" s="109">
        <v>1010</v>
      </c>
      <c r="AK21" s="109">
        <v>2500</v>
      </c>
      <c r="AL21" s="109">
        <f>(AA21*('CALCULO GERAL'!$C$11*1.02))-(AA21*'CALCULO GERAL'!$C$11)</f>
        <v>632.39400000000387</v>
      </c>
      <c r="AM21" s="109">
        <v>1800</v>
      </c>
      <c r="AN21" s="109">
        <v>2600</v>
      </c>
      <c r="AO21" s="109">
        <v>9400</v>
      </c>
      <c r="AP21" s="109">
        <v>1000</v>
      </c>
      <c r="AQ21" s="109">
        <f t="shared" si="21"/>
        <v>-6299.1712350000007</v>
      </c>
      <c r="AR21" s="109">
        <f t="shared" si="22"/>
        <v>-28946.191627500004</v>
      </c>
      <c r="AS21" s="109"/>
      <c r="AT21" s="109">
        <f t="shared" si="23"/>
        <v>370200.34167000005</v>
      </c>
      <c r="AU21" s="111">
        <f t="shared" si="8"/>
        <v>43.552981372941183</v>
      </c>
      <c r="AV21" s="109">
        <f>IFERROR((BS21*'CALCULO GERAL'!$E$11)/N21,0)</f>
        <v>1.1945220000000003</v>
      </c>
      <c r="AW21" s="109">
        <f>AU21/'CALCULO GERAL'!$C$11</f>
        <v>8.6776213135965694</v>
      </c>
      <c r="AX21" s="109">
        <f>BP21-BB21-BD21*'CALCULO GERAL'!$C$11</f>
        <v>58.830208500000005</v>
      </c>
      <c r="AY21" s="109">
        <f t="shared" si="24"/>
        <v>0.97069844025000007</v>
      </c>
      <c r="AZ21" s="109">
        <f t="shared" si="9"/>
        <v>4.4710958459999999</v>
      </c>
      <c r="BA21" s="109">
        <f t="shared" si="10"/>
        <v>59.726100000000002</v>
      </c>
      <c r="BB21" s="109">
        <f t="shared" si="11"/>
        <v>0.89589149999999995</v>
      </c>
      <c r="BC21" s="109">
        <f t="shared" si="12"/>
        <v>59.726100000000002</v>
      </c>
      <c r="BD21" s="109">
        <f t="shared" si="13"/>
        <v>0</v>
      </c>
      <c r="BE21" s="109">
        <f t="shared" si="25"/>
        <v>40613.748000000007</v>
      </c>
      <c r="BF21" s="109">
        <f t="shared" si="26"/>
        <v>60920.622000000003</v>
      </c>
      <c r="BG21" s="109">
        <f t="shared" si="14"/>
        <v>0.64504188000000007</v>
      </c>
      <c r="BH21" s="109">
        <f t="shared" si="15"/>
        <v>0.71671320000000016</v>
      </c>
      <c r="BI21" s="109">
        <f t="shared" si="16"/>
        <v>0</v>
      </c>
      <c r="BJ21" s="109">
        <f t="shared" si="27"/>
        <v>8.8939628662500017</v>
      </c>
      <c r="BK21" s="109">
        <f t="shared" si="28"/>
        <v>52.446944239191183</v>
      </c>
      <c r="BL21" s="148">
        <v>0.74</v>
      </c>
      <c r="BM21" s="112">
        <f>ROUND((AW21/BL21)+((AW21*BL21)*'CALCULO GERAL'!$E$11)/BL21,2)</f>
        <v>11.9</v>
      </c>
      <c r="BN21" s="186">
        <f t="shared" si="17"/>
        <v>11.9</v>
      </c>
      <c r="BO21" s="186">
        <f t="shared" si="29"/>
        <v>13.943</v>
      </c>
      <c r="BP21" s="109">
        <f>BM21*'CALCULO GERAL'!$C$11</f>
        <v>59.726100000000002</v>
      </c>
      <c r="BQ21" s="109">
        <f>BO21*'CALCULO GERAL'!$C$11</f>
        <v>69.979917</v>
      </c>
      <c r="BR21" s="186">
        <f>BN21*'CALCULO GERAL'!$C$11</f>
        <v>59.726100000000002</v>
      </c>
      <c r="BS21" s="109">
        <f t="shared" si="18"/>
        <v>507671.85000000003</v>
      </c>
      <c r="BT21" s="109">
        <f t="shared" si="30"/>
        <v>137471.50832999998</v>
      </c>
      <c r="BU21" s="109">
        <f t="shared" si="19"/>
        <v>507671.85000000003</v>
      </c>
      <c r="BV21" s="109">
        <f t="shared" si="31"/>
        <v>445799.02603312506</v>
      </c>
      <c r="BW21" s="109">
        <f t="shared" si="32"/>
        <v>61872.823966874974</v>
      </c>
      <c r="BX21" s="114">
        <f t="shared" si="20"/>
        <v>0.12187562490785134</v>
      </c>
      <c r="BY21" s="152">
        <f t="shared" si="33"/>
        <v>0.74</v>
      </c>
      <c r="CA21" s="55"/>
      <c r="CB21" s="113"/>
      <c r="CC21" s="113"/>
      <c r="CE21" s="152">
        <f t="shared" si="34"/>
        <v>0</v>
      </c>
      <c r="CF21" s="152">
        <f t="shared" si="35"/>
        <v>1</v>
      </c>
      <c r="CG21" s="152">
        <f t="shared" si="36"/>
        <v>1</v>
      </c>
      <c r="CH21" s="34"/>
      <c r="CJ21" s="11"/>
      <c r="CK21" s="11"/>
    </row>
    <row r="22" spans="1:89" s="152" customFormat="1" ht="16" x14ac:dyDescent="0.2">
      <c r="A22" s="228" t="s">
        <v>496</v>
      </c>
      <c r="B22" s="187" t="s">
        <v>174</v>
      </c>
      <c r="C22" s="8">
        <v>0.16200000000000001</v>
      </c>
      <c r="D22" s="8">
        <v>0</v>
      </c>
      <c r="E22" s="7">
        <v>2.1000000000000001E-2</v>
      </c>
      <c r="F22" s="7">
        <v>9.6500000000000002E-2</v>
      </c>
      <c r="G22" s="1">
        <v>1.6500000000000001E-2</v>
      </c>
      <c r="H22" s="1">
        <v>7.5999999999999998E-2</v>
      </c>
      <c r="I22" s="1">
        <v>0.18</v>
      </c>
      <c r="J22" s="1">
        <v>0.04</v>
      </c>
      <c r="K22" s="1">
        <v>0.14000000000000001</v>
      </c>
      <c r="L22" s="1">
        <v>1.4999999999999999E-2</v>
      </c>
      <c r="M22" s="2" t="s">
        <v>175</v>
      </c>
      <c r="N22" s="105">
        <v>5000</v>
      </c>
      <c r="O22" s="119">
        <v>3.61</v>
      </c>
      <c r="P22" s="119"/>
      <c r="Q22" s="119"/>
      <c r="R22" s="119"/>
      <c r="S22" s="119"/>
      <c r="T22" s="119">
        <v>3.61</v>
      </c>
      <c r="U22" s="119"/>
      <c r="V22" s="205"/>
      <c r="W22" s="119"/>
      <c r="X22" s="119">
        <f t="shared" si="0"/>
        <v>3.61</v>
      </c>
      <c r="Y22" s="118">
        <f t="shared" si="1"/>
        <v>3.61</v>
      </c>
      <c r="Z22" s="109">
        <f t="shared" si="2"/>
        <v>18050</v>
      </c>
      <c r="AA22" s="109">
        <f>'CALCULO GERAL'!$G$10</f>
        <v>6300</v>
      </c>
      <c r="AB22" s="109">
        <f t="shared" si="3"/>
        <v>24350</v>
      </c>
      <c r="AC22" s="109">
        <f>AB22*'CALCULO GERAL'!$C$11</f>
        <v>122212.65000000001</v>
      </c>
      <c r="AD22" s="109">
        <f t="shared" si="4"/>
        <v>19798.4493</v>
      </c>
      <c r="AE22" s="109">
        <f t="shared" si="5"/>
        <v>0</v>
      </c>
      <c r="AF22" s="109">
        <f t="shared" si="6"/>
        <v>2566.4656500000006</v>
      </c>
      <c r="AG22" s="109">
        <f t="shared" si="7"/>
        <v>11793.520725</v>
      </c>
      <c r="AH22" s="109">
        <v>154.22999999999999</v>
      </c>
      <c r="AI22" s="109">
        <f>((AA22*'CALCULO GERAL'!$C$11))*0.08+20</f>
        <v>2549.576</v>
      </c>
      <c r="AJ22" s="109">
        <v>1010</v>
      </c>
      <c r="AK22" s="109">
        <v>2500</v>
      </c>
      <c r="AL22" s="109">
        <f>(AA22*('CALCULO GERAL'!$C$11*1.02))-(AA22*'CALCULO GERAL'!$C$11)</f>
        <v>632.39400000000387</v>
      </c>
      <c r="AM22" s="109">
        <v>1800</v>
      </c>
      <c r="AN22" s="109">
        <v>2600</v>
      </c>
      <c r="AO22" s="109">
        <v>9400</v>
      </c>
      <c r="AP22" s="109">
        <v>1000</v>
      </c>
      <c r="AQ22" s="109">
        <f t="shared" si="21"/>
        <v>-2566.4656500000006</v>
      </c>
      <c r="AR22" s="109">
        <f t="shared" si="22"/>
        <v>-11793.520725</v>
      </c>
      <c r="AS22" s="109"/>
      <c r="AT22" s="109">
        <f t="shared" si="23"/>
        <v>163657.29930000001</v>
      </c>
      <c r="AU22" s="111">
        <f t="shared" si="8"/>
        <v>32.731459860000001</v>
      </c>
      <c r="AV22" s="109">
        <f>IFERROR((BS22*'CALCULO GERAL'!$E$11)/N22,0)</f>
        <v>0.89739720000000001</v>
      </c>
      <c r="AW22" s="109">
        <f>AU22/'CALCULO GERAL'!$C$11</f>
        <v>6.5215102331141663</v>
      </c>
      <c r="AX22" s="109">
        <f>BP22-BB22-BD22*'CALCULO GERAL'!$C$11</f>
        <v>44.196812099999995</v>
      </c>
      <c r="AY22" s="109">
        <f t="shared" si="24"/>
        <v>0.72924739964999996</v>
      </c>
      <c r="AZ22" s="109">
        <f t="shared" si="9"/>
        <v>3.3589577195999998</v>
      </c>
      <c r="BA22" s="109">
        <f t="shared" si="10"/>
        <v>44.869859999999996</v>
      </c>
      <c r="BB22" s="109">
        <f t="shared" si="11"/>
        <v>0.67304789999999992</v>
      </c>
      <c r="BC22" s="109">
        <f t="shared" si="12"/>
        <v>44.869859999999996</v>
      </c>
      <c r="BD22" s="109">
        <f t="shared" si="13"/>
        <v>0</v>
      </c>
      <c r="BE22" s="109">
        <f t="shared" si="25"/>
        <v>17947.944</v>
      </c>
      <c r="BF22" s="109">
        <f t="shared" si="26"/>
        <v>26921.915999999997</v>
      </c>
      <c r="BG22" s="109">
        <f t="shared" si="14"/>
        <v>0.48459448799999993</v>
      </c>
      <c r="BH22" s="109">
        <f t="shared" si="15"/>
        <v>0.53843831999999991</v>
      </c>
      <c r="BI22" s="109">
        <f t="shared" si="16"/>
        <v>0</v>
      </c>
      <c r="BJ22" s="109">
        <f t="shared" si="27"/>
        <v>6.6816830272500001</v>
      </c>
      <c r="BK22" s="109">
        <f t="shared" si="28"/>
        <v>39.413142887250004</v>
      </c>
      <c r="BL22" s="148">
        <v>0.74</v>
      </c>
      <c r="BM22" s="112">
        <f>ROUND((AW22/BL22)+((AW22*BL22)*'CALCULO GERAL'!$E$11)/BL22,2)</f>
        <v>8.94</v>
      </c>
      <c r="BN22" s="186">
        <f t="shared" si="17"/>
        <v>8.94</v>
      </c>
      <c r="BO22" s="186">
        <f t="shared" si="29"/>
        <v>10.475</v>
      </c>
      <c r="BP22" s="109">
        <f>BM22*'CALCULO GERAL'!$C$11</f>
        <v>44.869859999999996</v>
      </c>
      <c r="BQ22" s="109">
        <f>BO22*'CALCULO GERAL'!$C$11</f>
        <v>52.574024999999999</v>
      </c>
      <c r="BR22" s="186">
        <f>BN22*'CALCULO GERAL'!$C$11</f>
        <v>44.869859999999996</v>
      </c>
      <c r="BS22" s="109">
        <f t="shared" si="18"/>
        <v>224349.3</v>
      </c>
      <c r="BT22" s="109">
        <f t="shared" si="30"/>
        <v>60692.000699999975</v>
      </c>
      <c r="BU22" s="109">
        <f t="shared" si="19"/>
        <v>224349.3</v>
      </c>
      <c r="BV22" s="109">
        <f t="shared" si="31"/>
        <v>197065.71443625001</v>
      </c>
      <c r="BW22" s="109">
        <f t="shared" si="32"/>
        <v>27283.585563749977</v>
      </c>
      <c r="BX22" s="114">
        <f t="shared" si="20"/>
        <v>0.12161208242570838</v>
      </c>
      <c r="BY22" s="152">
        <f t="shared" si="33"/>
        <v>0.74</v>
      </c>
      <c r="CA22" s="55"/>
      <c r="CB22" s="113"/>
      <c r="CC22" s="113"/>
      <c r="CE22" s="152">
        <f t="shared" si="34"/>
        <v>0</v>
      </c>
      <c r="CF22" s="152">
        <f t="shared" si="35"/>
        <v>1</v>
      </c>
      <c r="CG22" s="152">
        <f t="shared" si="36"/>
        <v>1</v>
      </c>
      <c r="CH22" s="34"/>
      <c r="CJ22" s="11"/>
      <c r="CK22" s="11"/>
    </row>
    <row r="23" spans="1:89" s="152" customFormat="1" ht="16" x14ac:dyDescent="0.2">
      <c r="A23" s="228" t="s">
        <v>497</v>
      </c>
      <c r="B23" s="187" t="s">
        <v>174</v>
      </c>
      <c r="C23" s="8">
        <v>0.16200000000000001</v>
      </c>
      <c r="D23" s="8">
        <v>0</v>
      </c>
      <c r="E23" s="7">
        <v>2.1000000000000001E-2</v>
      </c>
      <c r="F23" s="7">
        <v>9.6500000000000002E-2</v>
      </c>
      <c r="G23" s="1">
        <v>1.6500000000000001E-2</v>
      </c>
      <c r="H23" s="1">
        <v>7.5999999999999998E-2</v>
      </c>
      <c r="I23" s="1">
        <v>0.18</v>
      </c>
      <c r="J23" s="1">
        <v>0.04</v>
      </c>
      <c r="K23" s="1">
        <v>0.14000000000000001</v>
      </c>
      <c r="L23" s="1">
        <v>1.4999999999999999E-2</v>
      </c>
      <c r="M23" s="2" t="s">
        <v>175</v>
      </c>
      <c r="N23" s="105">
        <v>6000</v>
      </c>
      <c r="O23" s="119">
        <v>4.92</v>
      </c>
      <c r="P23" s="119"/>
      <c r="Q23" s="119"/>
      <c r="R23" s="119"/>
      <c r="S23" s="119"/>
      <c r="T23" s="119">
        <v>4.92</v>
      </c>
      <c r="U23" s="119"/>
      <c r="V23" s="205"/>
      <c r="W23" s="119"/>
      <c r="X23" s="119">
        <f t="shared" si="0"/>
        <v>4.92</v>
      </c>
      <c r="Y23" s="118">
        <f t="shared" si="1"/>
        <v>4.92</v>
      </c>
      <c r="Z23" s="109">
        <f t="shared" si="2"/>
        <v>29520</v>
      </c>
      <c r="AA23" s="109">
        <f>'CALCULO GERAL'!$G$10</f>
        <v>6300</v>
      </c>
      <c r="AB23" s="109">
        <f t="shared" si="3"/>
        <v>35820</v>
      </c>
      <c r="AC23" s="109">
        <f>AB23*'CALCULO GERAL'!$C$11</f>
        <v>179780.58000000002</v>
      </c>
      <c r="AD23" s="109">
        <f t="shared" si="4"/>
        <v>29124.453960000003</v>
      </c>
      <c r="AE23" s="109">
        <f t="shared" si="5"/>
        <v>0</v>
      </c>
      <c r="AF23" s="109">
        <f t="shared" si="6"/>
        <v>3775.3921800000007</v>
      </c>
      <c r="AG23" s="109">
        <f t="shared" si="7"/>
        <v>17348.825970000002</v>
      </c>
      <c r="AH23" s="109">
        <v>154.22999999999999</v>
      </c>
      <c r="AI23" s="109">
        <f>((AA23*'CALCULO GERAL'!$C$11))*0.08+20</f>
        <v>2549.576</v>
      </c>
      <c r="AJ23" s="109">
        <v>1010</v>
      </c>
      <c r="AK23" s="109">
        <v>2500</v>
      </c>
      <c r="AL23" s="109">
        <f>(AA23*('CALCULO GERAL'!$C$11*1.02))-(AA23*'CALCULO GERAL'!$C$11)</f>
        <v>632.39400000000387</v>
      </c>
      <c r="AM23" s="109">
        <v>1800</v>
      </c>
      <c r="AN23" s="109">
        <v>2600</v>
      </c>
      <c r="AO23" s="109">
        <v>9400</v>
      </c>
      <c r="AP23" s="109">
        <v>1000</v>
      </c>
      <c r="AQ23" s="109">
        <f t="shared" si="21"/>
        <v>-3775.3921800000007</v>
      </c>
      <c r="AR23" s="109">
        <f t="shared" si="22"/>
        <v>-17348.825970000002</v>
      </c>
      <c r="AS23" s="109"/>
      <c r="AT23" s="109">
        <f t="shared" si="23"/>
        <v>230551.23396000004</v>
      </c>
      <c r="AU23" s="111">
        <f t="shared" si="8"/>
        <v>38.42520566000001</v>
      </c>
      <c r="AV23" s="109">
        <f>IFERROR((BS23*'CALCULO GERAL'!$E$11)/N23,0)</f>
        <v>1.05399</v>
      </c>
      <c r="AW23" s="109">
        <f>AU23/'CALCULO GERAL'!$C$11</f>
        <v>7.6559485275951404</v>
      </c>
      <c r="AX23" s="109">
        <f>BP23-BB23-BD23*'CALCULO GERAL'!$C$11</f>
        <v>51.909007500000001</v>
      </c>
      <c r="AY23" s="109">
        <f t="shared" si="24"/>
        <v>0.85649862375000008</v>
      </c>
      <c r="AZ23" s="109">
        <f t="shared" si="9"/>
        <v>3.9450845700000001</v>
      </c>
      <c r="BA23" s="109">
        <f t="shared" si="10"/>
        <v>52.6995</v>
      </c>
      <c r="BB23" s="109">
        <f t="shared" si="11"/>
        <v>0.79049249999999993</v>
      </c>
      <c r="BC23" s="109">
        <f t="shared" si="12"/>
        <v>52.6995</v>
      </c>
      <c r="BD23" s="109">
        <f t="shared" si="13"/>
        <v>0</v>
      </c>
      <c r="BE23" s="109">
        <f t="shared" si="25"/>
        <v>25295.760000000002</v>
      </c>
      <c r="BF23" s="109">
        <f t="shared" si="26"/>
        <v>37943.64</v>
      </c>
      <c r="BG23" s="109">
        <f t="shared" si="14"/>
        <v>0.56915459999999995</v>
      </c>
      <c r="BH23" s="109">
        <f t="shared" si="15"/>
        <v>0.63239400000000001</v>
      </c>
      <c r="BI23" s="109">
        <f t="shared" si="16"/>
        <v>0</v>
      </c>
      <c r="BJ23" s="109">
        <f t="shared" si="27"/>
        <v>7.8476142937499995</v>
      </c>
      <c r="BK23" s="109">
        <f t="shared" si="28"/>
        <v>46.272819953750009</v>
      </c>
      <c r="BL23" s="148">
        <v>0.74</v>
      </c>
      <c r="BM23" s="112">
        <f>ROUND((AW23/BL23)+((AW23*BL23)*'CALCULO GERAL'!$E$11)/BL23,2)</f>
        <v>10.5</v>
      </c>
      <c r="BN23" s="186">
        <f t="shared" si="17"/>
        <v>10.5</v>
      </c>
      <c r="BO23" s="186">
        <f t="shared" si="29"/>
        <v>12.302</v>
      </c>
      <c r="BP23" s="109">
        <f>BM23*'CALCULO GERAL'!$C$11</f>
        <v>52.6995</v>
      </c>
      <c r="BQ23" s="109">
        <f>BO23*'CALCULO GERAL'!$C$11</f>
        <v>61.743738</v>
      </c>
      <c r="BR23" s="186">
        <f>BN23*'CALCULO GERAL'!$C$11</f>
        <v>52.6995</v>
      </c>
      <c r="BS23" s="109">
        <f t="shared" si="18"/>
        <v>316197</v>
      </c>
      <c r="BT23" s="109">
        <f t="shared" si="30"/>
        <v>85645.766039999959</v>
      </c>
      <c r="BU23" s="109">
        <f t="shared" si="19"/>
        <v>316197</v>
      </c>
      <c r="BV23" s="109">
        <f t="shared" si="31"/>
        <v>277636.91972250002</v>
      </c>
      <c r="BW23" s="109">
        <f t="shared" si="32"/>
        <v>38560.080277499976</v>
      </c>
      <c r="BX23" s="114">
        <f t="shared" si="20"/>
        <v>0.12194954499093912</v>
      </c>
      <c r="BY23" s="152">
        <f t="shared" si="33"/>
        <v>0.74</v>
      </c>
      <c r="CA23" s="55"/>
      <c r="CB23" s="113"/>
      <c r="CC23" s="113"/>
      <c r="CE23" s="152">
        <f t="shared" si="34"/>
        <v>0</v>
      </c>
      <c r="CF23" s="152">
        <f t="shared" si="35"/>
        <v>1</v>
      </c>
      <c r="CG23" s="152">
        <f t="shared" si="36"/>
        <v>1</v>
      </c>
      <c r="CH23" s="34"/>
      <c r="CJ23" s="11"/>
      <c r="CK23" s="11"/>
    </row>
    <row r="24" spans="1:89" s="152" customFormat="1" ht="16" x14ac:dyDescent="0.2">
      <c r="A24" s="228" t="s">
        <v>498</v>
      </c>
      <c r="B24" s="187" t="s">
        <v>174</v>
      </c>
      <c r="C24" s="8">
        <v>0.16200000000000001</v>
      </c>
      <c r="D24" s="8">
        <v>0</v>
      </c>
      <c r="E24" s="7">
        <v>2.1000000000000001E-2</v>
      </c>
      <c r="F24" s="7">
        <v>9.6500000000000002E-2</v>
      </c>
      <c r="G24" s="1">
        <v>1.6500000000000001E-2</v>
      </c>
      <c r="H24" s="1">
        <v>7.5999999999999998E-2</v>
      </c>
      <c r="I24" s="1">
        <v>0.18</v>
      </c>
      <c r="J24" s="1">
        <v>0.04</v>
      </c>
      <c r="K24" s="1">
        <v>0.14000000000000001</v>
      </c>
      <c r="L24" s="1">
        <v>1.4999999999999999E-2</v>
      </c>
      <c r="M24" s="2" t="s">
        <v>175</v>
      </c>
      <c r="N24" s="105">
        <v>6000</v>
      </c>
      <c r="O24" s="119">
        <v>5.49</v>
      </c>
      <c r="P24" s="119"/>
      <c r="Q24" s="119"/>
      <c r="R24" s="119"/>
      <c r="S24" s="119"/>
      <c r="T24" s="119">
        <v>5.49</v>
      </c>
      <c r="U24" s="119"/>
      <c r="V24" s="205"/>
      <c r="W24" s="119"/>
      <c r="X24" s="119">
        <f t="shared" si="0"/>
        <v>5.49</v>
      </c>
      <c r="Y24" s="118">
        <f t="shared" si="1"/>
        <v>5.49</v>
      </c>
      <c r="Z24" s="109">
        <f t="shared" si="2"/>
        <v>32940</v>
      </c>
      <c r="AA24" s="109">
        <f>'CALCULO GERAL'!$G$10</f>
        <v>6300</v>
      </c>
      <c r="AB24" s="109">
        <f t="shared" si="3"/>
        <v>39240</v>
      </c>
      <c r="AC24" s="109">
        <f>AB24*'CALCULO GERAL'!$C$11</f>
        <v>196945.56</v>
      </c>
      <c r="AD24" s="109">
        <f t="shared" si="4"/>
        <v>31905.18072</v>
      </c>
      <c r="AE24" s="109">
        <f t="shared" si="5"/>
        <v>0</v>
      </c>
      <c r="AF24" s="109">
        <f t="shared" si="6"/>
        <v>4135.8567600000006</v>
      </c>
      <c r="AG24" s="109">
        <f t="shared" si="7"/>
        <v>19005.24654</v>
      </c>
      <c r="AH24" s="109">
        <v>154.22999999999999</v>
      </c>
      <c r="AI24" s="109">
        <f>((AA24*'CALCULO GERAL'!$C$11))*0.08+20</f>
        <v>2549.576</v>
      </c>
      <c r="AJ24" s="109">
        <v>1010</v>
      </c>
      <c r="AK24" s="109">
        <v>2500</v>
      </c>
      <c r="AL24" s="109">
        <f>(AA24*('CALCULO GERAL'!$C$11*1.02))-(AA24*'CALCULO GERAL'!$C$11)</f>
        <v>632.39400000000387</v>
      </c>
      <c r="AM24" s="109">
        <v>1800</v>
      </c>
      <c r="AN24" s="109">
        <v>2600</v>
      </c>
      <c r="AO24" s="109">
        <v>9400</v>
      </c>
      <c r="AP24" s="109">
        <v>1000</v>
      </c>
      <c r="AQ24" s="109">
        <f t="shared" si="21"/>
        <v>-4135.8567600000006</v>
      </c>
      <c r="AR24" s="109">
        <f t="shared" si="22"/>
        <v>-19005.24654</v>
      </c>
      <c r="AS24" s="109"/>
      <c r="AT24" s="109">
        <f t="shared" si="23"/>
        <v>250496.94072000004</v>
      </c>
      <c r="AU24" s="111">
        <f t="shared" si="8"/>
        <v>41.749490120000004</v>
      </c>
      <c r="AV24" s="109">
        <f>IFERROR((BS24*'CALCULO GERAL'!$E$11)/N24,0)</f>
        <v>1.1453358</v>
      </c>
      <c r="AW24" s="109">
        <f>AU24/'CALCULO GERAL'!$C$11</f>
        <v>8.3182885275951399</v>
      </c>
      <c r="AX24" s="109">
        <f>BP24-BB24-BD24*'CALCULO GERAL'!$C$11</f>
        <v>56.407788150000002</v>
      </c>
      <c r="AY24" s="109">
        <f t="shared" si="24"/>
        <v>0.93072850447500011</v>
      </c>
      <c r="AZ24" s="109">
        <f t="shared" si="9"/>
        <v>4.2869918994000002</v>
      </c>
      <c r="BA24" s="109">
        <f t="shared" si="10"/>
        <v>57.26679</v>
      </c>
      <c r="BB24" s="109">
        <f t="shared" si="11"/>
        <v>0.85900184999999996</v>
      </c>
      <c r="BC24" s="109">
        <f t="shared" si="12"/>
        <v>57.26679</v>
      </c>
      <c r="BD24" s="109">
        <f t="shared" si="13"/>
        <v>0</v>
      </c>
      <c r="BE24" s="109">
        <f t="shared" si="25"/>
        <v>27488.0592</v>
      </c>
      <c r="BF24" s="109">
        <f t="shared" si="26"/>
        <v>41232.088799999998</v>
      </c>
      <c r="BG24" s="109">
        <f t="shared" si="14"/>
        <v>0.61848133199999988</v>
      </c>
      <c r="BH24" s="109">
        <f t="shared" si="15"/>
        <v>0.68720148000000003</v>
      </c>
      <c r="BI24" s="109">
        <f t="shared" si="16"/>
        <v>0</v>
      </c>
      <c r="BJ24" s="109">
        <f t="shared" si="27"/>
        <v>8.5277408658749998</v>
      </c>
      <c r="BK24" s="109">
        <f t="shared" si="28"/>
        <v>50.277230985875008</v>
      </c>
      <c r="BL24" s="148">
        <v>0.74</v>
      </c>
      <c r="BM24" s="112">
        <f>ROUND((AW24/BL24)+((AW24*BL24)*'CALCULO GERAL'!$E$11)/BL24,2)</f>
        <v>11.41</v>
      </c>
      <c r="BN24" s="186">
        <f t="shared" si="17"/>
        <v>11.41</v>
      </c>
      <c r="BO24" s="186">
        <f t="shared" si="29"/>
        <v>13.369</v>
      </c>
      <c r="BP24" s="109">
        <f>BM24*'CALCULO GERAL'!$C$11</f>
        <v>57.26679</v>
      </c>
      <c r="BQ24" s="109">
        <f>BO24*'CALCULO GERAL'!$C$11</f>
        <v>67.099011000000004</v>
      </c>
      <c r="BR24" s="186">
        <f>BN24*'CALCULO GERAL'!$C$11</f>
        <v>57.26679</v>
      </c>
      <c r="BS24" s="109">
        <f t="shared" si="18"/>
        <v>343600.74</v>
      </c>
      <c r="BT24" s="109">
        <f t="shared" si="30"/>
        <v>93103.799279999948</v>
      </c>
      <c r="BU24" s="109">
        <f t="shared" si="19"/>
        <v>343600.74</v>
      </c>
      <c r="BV24" s="109">
        <f t="shared" si="31"/>
        <v>301663.38591525005</v>
      </c>
      <c r="BW24" s="109">
        <f t="shared" si="32"/>
        <v>41937.354084749939</v>
      </c>
      <c r="BX24" s="114">
        <f t="shared" si="20"/>
        <v>0.12205257207755123</v>
      </c>
      <c r="BY24" s="152">
        <f t="shared" si="33"/>
        <v>0.74</v>
      </c>
      <c r="CA24" s="55"/>
      <c r="CB24" s="113"/>
      <c r="CC24" s="113"/>
      <c r="CE24" s="152">
        <f t="shared" si="34"/>
        <v>0</v>
      </c>
      <c r="CF24" s="152">
        <f t="shared" si="35"/>
        <v>1</v>
      </c>
      <c r="CG24" s="152">
        <f t="shared" si="36"/>
        <v>1</v>
      </c>
      <c r="CH24" s="34"/>
      <c r="CJ24" s="11"/>
      <c r="CK24" s="11"/>
    </row>
    <row r="25" spans="1:89" s="152" customFormat="1" ht="16" x14ac:dyDescent="0.2">
      <c r="A25" s="228" t="s">
        <v>499</v>
      </c>
      <c r="B25" s="187" t="s">
        <v>174</v>
      </c>
      <c r="C25" s="8">
        <v>0.16200000000000001</v>
      </c>
      <c r="D25" s="8">
        <v>0</v>
      </c>
      <c r="E25" s="7">
        <v>2.1000000000000001E-2</v>
      </c>
      <c r="F25" s="7">
        <v>9.6500000000000002E-2</v>
      </c>
      <c r="G25" s="1">
        <v>1.6500000000000001E-2</v>
      </c>
      <c r="H25" s="1">
        <v>7.5999999999999998E-2</v>
      </c>
      <c r="I25" s="1">
        <v>0.18</v>
      </c>
      <c r="J25" s="1">
        <v>0.04</v>
      </c>
      <c r="K25" s="1">
        <v>0.14000000000000001</v>
      </c>
      <c r="L25" s="1">
        <v>1.4999999999999999E-2</v>
      </c>
      <c r="M25" s="2" t="s">
        <v>175</v>
      </c>
      <c r="N25" s="105">
        <v>6000</v>
      </c>
      <c r="O25" s="119">
        <v>6.15</v>
      </c>
      <c r="P25" s="119"/>
      <c r="Q25" s="119"/>
      <c r="R25" s="119"/>
      <c r="S25" s="119"/>
      <c r="T25" s="119">
        <v>6.15</v>
      </c>
      <c r="U25" s="119"/>
      <c r="V25" s="205"/>
      <c r="W25" s="119"/>
      <c r="X25" s="119">
        <f t="shared" si="0"/>
        <v>6.15</v>
      </c>
      <c r="Y25" s="118">
        <f t="shared" si="1"/>
        <v>6.15</v>
      </c>
      <c r="Z25" s="109">
        <f t="shared" si="2"/>
        <v>36900</v>
      </c>
      <c r="AA25" s="109">
        <f>'CALCULO GERAL'!$G$10</f>
        <v>6300</v>
      </c>
      <c r="AB25" s="109">
        <f t="shared" si="3"/>
        <v>43200</v>
      </c>
      <c r="AC25" s="109">
        <f>AB25*'CALCULO GERAL'!$C$11</f>
        <v>216820.80000000002</v>
      </c>
      <c r="AD25" s="109">
        <f t="shared" si="4"/>
        <v>35124.969600000004</v>
      </c>
      <c r="AE25" s="109">
        <f t="shared" si="5"/>
        <v>0</v>
      </c>
      <c r="AF25" s="109">
        <f t="shared" si="6"/>
        <v>4553.2368000000006</v>
      </c>
      <c r="AG25" s="109">
        <f t="shared" si="7"/>
        <v>20923.207200000001</v>
      </c>
      <c r="AH25" s="109">
        <v>154.22999999999999</v>
      </c>
      <c r="AI25" s="109">
        <f>((AA25*'CALCULO GERAL'!$C$11))*0.08+20</f>
        <v>2549.576</v>
      </c>
      <c r="AJ25" s="109">
        <v>1010</v>
      </c>
      <c r="AK25" s="109">
        <v>2500</v>
      </c>
      <c r="AL25" s="109">
        <f>(AA25*('CALCULO GERAL'!$C$11*1.02))-(AA25*'CALCULO GERAL'!$C$11)</f>
        <v>632.39400000000387</v>
      </c>
      <c r="AM25" s="109">
        <v>1800</v>
      </c>
      <c r="AN25" s="109">
        <v>2600</v>
      </c>
      <c r="AO25" s="109">
        <v>9400</v>
      </c>
      <c r="AP25" s="109">
        <v>1000</v>
      </c>
      <c r="AQ25" s="109">
        <f t="shared" si="21"/>
        <v>-4553.2368000000006</v>
      </c>
      <c r="AR25" s="109">
        <f t="shared" si="22"/>
        <v>-20923.207200000001</v>
      </c>
      <c r="AS25" s="109"/>
      <c r="AT25" s="109">
        <f t="shared" si="23"/>
        <v>273591.96960000001</v>
      </c>
      <c r="AU25" s="111">
        <f t="shared" si="8"/>
        <v>45.5986616</v>
      </c>
      <c r="AV25" s="109">
        <f>IFERROR((BS25*'CALCULO GERAL'!$E$11)/N25,0)</f>
        <v>1.2507348000000003</v>
      </c>
      <c r="AW25" s="109">
        <f>AU25/'CALCULO GERAL'!$C$11</f>
        <v>9.0852085275951389</v>
      </c>
      <c r="AX25" s="109">
        <f>BP25-BB25-BD25*'CALCULO GERAL'!$C$11</f>
        <v>61.598688900000006</v>
      </c>
      <c r="AY25" s="109">
        <f t="shared" si="24"/>
        <v>1.0163783668500002</v>
      </c>
      <c r="AZ25" s="109">
        <f t="shared" si="9"/>
        <v>4.6815003564</v>
      </c>
      <c r="BA25" s="109">
        <f t="shared" si="10"/>
        <v>62.536740000000009</v>
      </c>
      <c r="BB25" s="109">
        <f t="shared" si="11"/>
        <v>0.93805110000000014</v>
      </c>
      <c r="BC25" s="109">
        <f t="shared" si="12"/>
        <v>62.536740000000009</v>
      </c>
      <c r="BD25" s="109">
        <f t="shared" si="13"/>
        <v>0</v>
      </c>
      <c r="BE25" s="109">
        <f t="shared" si="25"/>
        <v>30017.635200000004</v>
      </c>
      <c r="BF25" s="109">
        <f t="shared" si="26"/>
        <v>45026.452800000006</v>
      </c>
      <c r="BG25" s="109">
        <f t="shared" si="14"/>
        <v>0.67539679200000013</v>
      </c>
      <c r="BH25" s="109">
        <f t="shared" si="15"/>
        <v>0.75044088000000009</v>
      </c>
      <c r="BI25" s="109">
        <f t="shared" si="16"/>
        <v>0</v>
      </c>
      <c r="BJ25" s="109">
        <f t="shared" si="27"/>
        <v>9.312502295249999</v>
      </c>
      <c r="BK25" s="109">
        <f t="shared" si="28"/>
        <v>54.911163895249999</v>
      </c>
      <c r="BL25" s="148">
        <v>0.74</v>
      </c>
      <c r="BM25" s="112">
        <f>ROUND((AW25/BL25)+((AW25*BL25)*'CALCULO GERAL'!$E$11)/BL25,2)</f>
        <v>12.46</v>
      </c>
      <c r="BN25" s="186">
        <f t="shared" si="17"/>
        <v>12.46</v>
      </c>
      <c r="BO25" s="186">
        <f t="shared" si="29"/>
        <v>14.599</v>
      </c>
      <c r="BP25" s="109">
        <f>BM25*'CALCULO GERAL'!$C$11</f>
        <v>62.536740000000009</v>
      </c>
      <c r="BQ25" s="109">
        <f>BO25*'CALCULO GERAL'!$C$11</f>
        <v>73.272380999999996</v>
      </c>
      <c r="BR25" s="186">
        <f>BN25*'CALCULO GERAL'!$C$11</f>
        <v>62.536740000000009</v>
      </c>
      <c r="BS25" s="109">
        <f t="shared" si="18"/>
        <v>375220.44000000006</v>
      </c>
      <c r="BT25" s="109">
        <f t="shared" si="30"/>
        <v>101628.47040000005</v>
      </c>
      <c r="BU25" s="109">
        <f t="shared" si="19"/>
        <v>375220.44000000006</v>
      </c>
      <c r="BV25" s="109">
        <f t="shared" si="31"/>
        <v>329466.98337149998</v>
      </c>
      <c r="BW25" s="109">
        <f t="shared" si="32"/>
        <v>45753.456628500076</v>
      </c>
      <c r="BX25" s="114">
        <f t="shared" si="20"/>
        <v>0.12193753791371299</v>
      </c>
      <c r="BY25" s="152">
        <f t="shared" si="33"/>
        <v>0.74</v>
      </c>
      <c r="CA25" s="55"/>
      <c r="CB25" s="113"/>
      <c r="CC25" s="113"/>
      <c r="CE25" s="152">
        <f t="shared" si="34"/>
        <v>0</v>
      </c>
      <c r="CF25" s="152">
        <f t="shared" si="35"/>
        <v>1</v>
      </c>
      <c r="CG25" s="152">
        <f t="shared" si="36"/>
        <v>1</v>
      </c>
      <c r="CH25" s="34"/>
      <c r="CJ25" s="11"/>
      <c r="CK25" s="11"/>
    </row>
    <row r="26" spans="1:89" s="152" customFormat="1" ht="16" x14ac:dyDescent="0.2">
      <c r="A26" s="228" t="s">
        <v>500</v>
      </c>
      <c r="B26" s="187" t="s">
        <v>174</v>
      </c>
      <c r="C26" s="8">
        <v>0.16200000000000001</v>
      </c>
      <c r="D26" s="8">
        <v>0</v>
      </c>
      <c r="E26" s="7">
        <v>2.1000000000000001E-2</v>
      </c>
      <c r="F26" s="7">
        <v>9.6500000000000002E-2</v>
      </c>
      <c r="G26" s="1">
        <v>1.6500000000000001E-2</v>
      </c>
      <c r="H26" s="1">
        <v>7.5999999999999998E-2</v>
      </c>
      <c r="I26" s="1">
        <v>0.18</v>
      </c>
      <c r="J26" s="1">
        <v>0.04</v>
      </c>
      <c r="K26" s="1">
        <v>0.14000000000000001</v>
      </c>
      <c r="L26" s="1">
        <v>1.4999999999999999E-2</v>
      </c>
      <c r="M26" s="2" t="s">
        <v>175</v>
      </c>
      <c r="N26" s="105">
        <v>6700</v>
      </c>
      <c r="O26" s="119">
        <v>5.6</v>
      </c>
      <c r="P26" s="119"/>
      <c r="Q26" s="119"/>
      <c r="R26" s="119"/>
      <c r="S26" s="119"/>
      <c r="T26" s="119"/>
      <c r="U26" s="119"/>
      <c r="V26" s="205"/>
      <c r="W26" s="119"/>
      <c r="X26" s="119">
        <f t="shared" si="0"/>
        <v>5.6</v>
      </c>
      <c r="Y26" s="118">
        <f t="shared" si="1"/>
        <v>5.6</v>
      </c>
      <c r="Z26" s="109">
        <f t="shared" si="2"/>
        <v>37520</v>
      </c>
      <c r="AA26" s="109">
        <f>'CALCULO GERAL'!$G$10</f>
        <v>6300</v>
      </c>
      <c r="AB26" s="109">
        <f t="shared" si="3"/>
        <v>43820</v>
      </c>
      <c r="AC26" s="109">
        <f>AB26*'CALCULO GERAL'!$C$11</f>
        <v>219932.58000000002</v>
      </c>
      <c r="AD26" s="109">
        <f t="shared" si="4"/>
        <v>35629.077960000002</v>
      </c>
      <c r="AE26" s="109">
        <f t="shared" si="5"/>
        <v>0</v>
      </c>
      <c r="AF26" s="109">
        <f t="shared" si="6"/>
        <v>4618.5841800000007</v>
      </c>
      <c r="AG26" s="109">
        <f t="shared" si="7"/>
        <v>21223.493970000003</v>
      </c>
      <c r="AH26" s="109">
        <v>154.22999999999999</v>
      </c>
      <c r="AI26" s="109">
        <f>((AA26*'CALCULO GERAL'!$C$11))*0.08+20</f>
        <v>2549.576</v>
      </c>
      <c r="AJ26" s="109">
        <v>1010</v>
      </c>
      <c r="AK26" s="109">
        <v>2500</v>
      </c>
      <c r="AL26" s="109">
        <f>(AA26*('CALCULO GERAL'!$C$11*1.02))-(AA26*'CALCULO GERAL'!$C$11)</f>
        <v>632.39400000000387</v>
      </c>
      <c r="AM26" s="109">
        <v>1800</v>
      </c>
      <c r="AN26" s="109">
        <v>2600</v>
      </c>
      <c r="AO26" s="109">
        <v>9400</v>
      </c>
      <c r="AP26" s="109">
        <v>1000</v>
      </c>
      <c r="AQ26" s="109">
        <f t="shared" si="21"/>
        <v>-4618.5841800000007</v>
      </c>
      <c r="AR26" s="109">
        <f t="shared" si="22"/>
        <v>-21223.493970000003</v>
      </c>
      <c r="AS26" s="109"/>
      <c r="AT26" s="109">
        <f t="shared" si="23"/>
        <v>277207.85795999999</v>
      </c>
      <c r="AU26" s="111">
        <f t="shared" si="8"/>
        <v>41.374307158208957</v>
      </c>
      <c r="AV26" s="109">
        <f>IFERROR((BS26*'CALCULO GERAL'!$E$11)/N26,0)</f>
        <v>1.1342940000000001</v>
      </c>
      <c r="AW26" s="109">
        <f>AU26/'CALCULO GERAL'!$C$11</f>
        <v>8.2435359948613183</v>
      </c>
      <c r="AX26" s="109">
        <f>BP26-BB26-BD26*'CALCULO GERAL'!$C$11</f>
        <v>55.863979500000006</v>
      </c>
      <c r="AY26" s="109">
        <f t="shared" si="24"/>
        <v>0.92175566175000012</v>
      </c>
      <c r="AZ26" s="109">
        <f t="shared" si="9"/>
        <v>4.2456624420000004</v>
      </c>
      <c r="BA26" s="109">
        <f t="shared" si="10"/>
        <v>56.714700000000008</v>
      </c>
      <c r="BB26" s="109">
        <f t="shared" si="11"/>
        <v>0.8507205000000001</v>
      </c>
      <c r="BC26" s="109">
        <f t="shared" si="12"/>
        <v>56.714700000000008</v>
      </c>
      <c r="BD26" s="109">
        <f t="shared" si="13"/>
        <v>0</v>
      </c>
      <c r="BE26" s="109">
        <f t="shared" si="25"/>
        <v>30399.079200000004</v>
      </c>
      <c r="BF26" s="109">
        <f t="shared" si="26"/>
        <v>45598.618800000004</v>
      </c>
      <c r="BG26" s="109">
        <f t="shared" si="14"/>
        <v>0.61251876000000005</v>
      </c>
      <c r="BH26" s="109">
        <f t="shared" si="15"/>
        <v>0.68057640000000008</v>
      </c>
      <c r="BI26" s="109">
        <f t="shared" si="16"/>
        <v>0</v>
      </c>
      <c r="BJ26" s="109">
        <f t="shared" si="27"/>
        <v>8.4455277637500004</v>
      </c>
      <c r="BK26" s="109">
        <f t="shared" si="28"/>
        <v>49.819834921958957</v>
      </c>
      <c r="BL26" s="148">
        <v>0.74</v>
      </c>
      <c r="BM26" s="112">
        <f>ROUND((AW26/BL26)+((AW26*BL26)*'CALCULO GERAL'!$E$11)/BL26,2)</f>
        <v>11.3</v>
      </c>
      <c r="BN26" s="186">
        <f t="shared" si="17"/>
        <v>11.3</v>
      </c>
      <c r="BO26" s="186">
        <f t="shared" si="29"/>
        <v>13.24</v>
      </c>
      <c r="BP26" s="109">
        <f>BM26*'CALCULO GERAL'!$C$11</f>
        <v>56.714700000000008</v>
      </c>
      <c r="BQ26" s="109">
        <f>BO26*'CALCULO GERAL'!$C$11</f>
        <v>66.451560000000001</v>
      </c>
      <c r="BR26" s="186">
        <f>BN26*'CALCULO GERAL'!$C$11</f>
        <v>56.714700000000008</v>
      </c>
      <c r="BS26" s="109">
        <f t="shared" si="18"/>
        <v>379988.49000000005</v>
      </c>
      <c r="BT26" s="109">
        <f t="shared" si="30"/>
        <v>102780.63204000005</v>
      </c>
      <c r="BU26" s="109">
        <f t="shared" si="19"/>
        <v>379988.49000000005</v>
      </c>
      <c r="BV26" s="109">
        <f t="shared" si="31"/>
        <v>333792.893977125</v>
      </c>
      <c r="BW26" s="109">
        <f t="shared" si="32"/>
        <v>46195.596022875048</v>
      </c>
      <c r="BX26" s="114">
        <f t="shared" si="20"/>
        <v>0.12157104027775957</v>
      </c>
      <c r="BY26" s="152">
        <f t="shared" si="33"/>
        <v>0.74</v>
      </c>
      <c r="CA26" s="55"/>
      <c r="CB26" s="113"/>
      <c r="CC26" s="113"/>
      <c r="CE26" s="152">
        <f t="shared" si="34"/>
        <v>0</v>
      </c>
      <c r="CF26" s="152">
        <f t="shared" si="35"/>
        <v>1</v>
      </c>
      <c r="CG26" s="152">
        <f t="shared" si="36"/>
        <v>1</v>
      </c>
      <c r="CH26" s="34"/>
      <c r="CJ26" s="11"/>
      <c r="CK26" s="11"/>
    </row>
    <row r="27" spans="1:89" s="152" customFormat="1" ht="16" x14ac:dyDescent="0.2">
      <c r="A27" s="228" t="s">
        <v>501</v>
      </c>
      <c r="B27" s="187" t="s">
        <v>174</v>
      </c>
      <c r="C27" s="8">
        <v>0.16200000000000001</v>
      </c>
      <c r="D27" s="8">
        <v>0</v>
      </c>
      <c r="E27" s="7">
        <v>2.1000000000000001E-2</v>
      </c>
      <c r="F27" s="7">
        <v>9.6500000000000002E-2</v>
      </c>
      <c r="G27" s="1">
        <v>1.6500000000000001E-2</v>
      </c>
      <c r="H27" s="1">
        <v>7.5999999999999998E-2</v>
      </c>
      <c r="I27" s="1">
        <v>0.18</v>
      </c>
      <c r="J27" s="1">
        <v>0.04</v>
      </c>
      <c r="K27" s="1">
        <v>0.14000000000000001</v>
      </c>
      <c r="L27" s="1">
        <v>1.4999999999999999E-2</v>
      </c>
      <c r="M27" s="2" t="s">
        <v>175</v>
      </c>
      <c r="N27" s="105">
        <v>6700</v>
      </c>
      <c r="O27" s="119">
        <v>7.5</v>
      </c>
      <c r="P27" s="119"/>
      <c r="Q27" s="119"/>
      <c r="R27" s="119"/>
      <c r="S27" s="119"/>
      <c r="T27" s="119"/>
      <c r="U27" s="119"/>
      <c r="V27" s="205"/>
      <c r="W27" s="119"/>
      <c r="X27" s="119">
        <f t="shared" si="0"/>
        <v>7.5</v>
      </c>
      <c r="Y27" s="118">
        <f t="shared" si="1"/>
        <v>7.5</v>
      </c>
      <c r="Z27" s="109">
        <f t="shared" si="2"/>
        <v>50250</v>
      </c>
      <c r="AA27" s="109">
        <f>'CALCULO GERAL'!$G$10</f>
        <v>6300</v>
      </c>
      <c r="AB27" s="109">
        <f t="shared" si="3"/>
        <v>56550</v>
      </c>
      <c r="AC27" s="109">
        <f>AB27*'CALCULO GERAL'!$C$11</f>
        <v>283824.45</v>
      </c>
      <c r="AD27" s="109">
        <f t="shared" si="4"/>
        <v>45979.560900000004</v>
      </c>
      <c r="AE27" s="109">
        <f t="shared" si="5"/>
        <v>0</v>
      </c>
      <c r="AF27" s="109">
        <f t="shared" si="6"/>
        <v>5960.3134500000006</v>
      </c>
      <c r="AG27" s="109">
        <f t="shared" si="7"/>
        <v>27389.059425000003</v>
      </c>
      <c r="AH27" s="109">
        <v>154.22999999999999</v>
      </c>
      <c r="AI27" s="109">
        <f>((AA27*'CALCULO GERAL'!$C$11))*0.08+20</f>
        <v>2549.576</v>
      </c>
      <c r="AJ27" s="109">
        <v>1010</v>
      </c>
      <c r="AK27" s="109">
        <v>2500</v>
      </c>
      <c r="AL27" s="109">
        <f>(AA27*('CALCULO GERAL'!$C$11*1.02))-(AA27*'CALCULO GERAL'!$C$11)</f>
        <v>632.39400000000387</v>
      </c>
      <c r="AM27" s="109">
        <v>1800</v>
      </c>
      <c r="AN27" s="109">
        <v>2600</v>
      </c>
      <c r="AO27" s="109">
        <v>9400</v>
      </c>
      <c r="AP27" s="109">
        <v>1000</v>
      </c>
      <c r="AQ27" s="109">
        <f t="shared" si="21"/>
        <v>-5960.3134500000006</v>
      </c>
      <c r="AR27" s="109">
        <f t="shared" si="22"/>
        <v>-27389.059425000003</v>
      </c>
      <c r="AS27" s="109"/>
      <c r="AT27" s="109">
        <f t="shared" si="23"/>
        <v>351450.21090000001</v>
      </c>
      <c r="AU27" s="111">
        <f t="shared" si="8"/>
        <v>52.455255358208959</v>
      </c>
      <c r="AV27" s="109">
        <f>IFERROR((BS27*'CALCULO GERAL'!$E$11)/N27,0)</f>
        <v>1.4384454</v>
      </c>
      <c r="AW27" s="109">
        <f>AU27/'CALCULO GERAL'!$C$11</f>
        <v>10.451335994861319</v>
      </c>
      <c r="AX27" s="109">
        <f>BP27-BB27-BD27*'CALCULO GERAL'!$C$11</f>
        <v>70.84343595</v>
      </c>
      <c r="AY27" s="109">
        <f t="shared" si="24"/>
        <v>1.1689166931750001</v>
      </c>
      <c r="AZ27" s="109">
        <f t="shared" si="9"/>
        <v>5.3841011321999996</v>
      </c>
      <c r="BA27" s="109">
        <f t="shared" si="10"/>
        <v>71.922269999999997</v>
      </c>
      <c r="BB27" s="109">
        <f t="shared" si="11"/>
        <v>1.07883405</v>
      </c>
      <c r="BC27" s="109">
        <f t="shared" si="12"/>
        <v>71.922269999999997</v>
      </c>
      <c r="BD27" s="109">
        <f t="shared" si="13"/>
        <v>0</v>
      </c>
      <c r="BE27" s="109">
        <f t="shared" si="25"/>
        <v>38550.336719999999</v>
      </c>
      <c r="BF27" s="109">
        <f t="shared" si="26"/>
        <v>57825.505079999995</v>
      </c>
      <c r="BG27" s="109">
        <f t="shared" si="14"/>
        <v>0.77676051599999985</v>
      </c>
      <c r="BH27" s="109">
        <f t="shared" si="15"/>
        <v>0.8630672399999999</v>
      </c>
      <c r="BI27" s="109">
        <f t="shared" si="16"/>
        <v>0</v>
      </c>
      <c r="BJ27" s="109">
        <f t="shared" si="27"/>
        <v>10.710125031375</v>
      </c>
      <c r="BK27" s="109">
        <f t="shared" si="28"/>
        <v>63.165380389583959</v>
      </c>
      <c r="BL27" s="148">
        <v>0.74</v>
      </c>
      <c r="BM27" s="112">
        <f>ROUND((AW27/BL27)+((AW27*BL27)*'CALCULO GERAL'!$E$11)/BL27,2)</f>
        <v>14.33</v>
      </c>
      <c r="BN27" s="186">
        <f t="shared" si="17"/>
        <v>14.33</v>
      </c>
      <c r="BO27" s="186">
        <f t="shared" si="29"/>
        <v>16.79</v>
      </c>
      <c r="BP27" s="109">
        <f>BM27*'CALCULO GERAL'!$C$11</f>
        <v>71.922269999999997</v>
      </c>
      <c r="BQ27" s="109">
        <f>BO27*'CALCULO GERAL'!$C$11</f>
        <v>84.269009999999994</v>
      </c>
      <c r="BR27" s="186">
        <f>BN27*'CALCULO GERAL'!$C$11</f>
        <v>71.922269999999997</v>
      </c>
      <c r="BS27" s="109">
        <f t="shared" si="18"/>
        <v>481879.20899999997</v>
      </c>
      <c r="BT27" s="109">
        <f t="shared" si="30"/>
        <v>130428.99809999997</v>
      </c>
      <c r="BU27" s="109">
        <f t="shared" si="19"/>
        <v>481879.20899999997</v>
      </c>
      <c r="BV27" s="109">
        <f t="shared" si="31"/>
        <v>423208.04861021251</v>
      </c>
      <c r="BW27" s="109">
        <f t="shared" si="32"/>
        <v>58671.160389787459</v>
      </c>
      <c r="BX27" s="114">
        <f t="shared" si="20"/>
        <v>0.12175491138441596</v>
      </c>
      <c r="BY27" s="152">
        <f t="shared" si="33"/>
        <v>0.74</v>
      </c>
      <c r="CA27" s="55"/>
      <c r="CB27" s="113"/>
      <c r="CC27" s="113"/>
      <c r="CE27" s="152">
        <f t="shared" si="34"/>
        <v>0</v>
      </c>
      <c r="CF27" s="152">
        <f t="shared" si="35"/>
        <v>1</v>
      </c>
      <c r="CG27" s="152">
        <f t="shared" si="36"/>
        <v>1</v>
      </c>
      <c r="CH27" s="34"/>
      <c r="CJ27" s="11"/>
      <c r="CK27" s="11"/>
    </row>
    <row r="28" spans="1:89" s="152" customFormat="1" ht="16" x14ac:dyDescent="0.2">
      <c r="A28" s="228" t="s">
        <v>502</v>
      </c>
      <c r="B28" s="187" t="s">
        <v>174</v>
      </c>
      <c r="C28" s="8">
        <v>0.16200000000000001</v>
      </c>
      <c r="D28" s="8">
        <v>0</v>
      </c>
      <c r="E28" s="7">
        <v>2.1000000000000001E-2</v>
      </c>
      <c r="F28" s="7">
        <v>9.6500000000000002E-2</v>
      </c>
      <c r="G28" s="1">
        <v>1.6500000000000001E-2</v>
      </c>
      <c r="H28" s="1">
        <v>7.5999999999999998E-2</v>
      </c>
      <c r="I28" s="1">
        <v>0.18</v>
      </c>
      <c r="J28" s="1">
        <v>0.04</v>
      </c>
      <c r="K28" s="1">
        <v>0.14000000000000001</v>
      </c>
      <c r="L28" s="1">
        <v>1.4999999999999999E-2</v>
      </c>
      <c r="M28" s="2" t="s">
        <v>175</v>
      </c>
      <c r="N28" s="105">
        <v>6700</v>
      </c>
      <c r="O28" s="119">
        <v>8.4</v>
      </c>
      <c r="P28" s="119"/>
      <c r="Q28" s="119"/>
      <c r="R28" s="119"/>
      <c r="S28" s="119"/>
      <c r="T28" s="119"/>
      <c r="U28" s="119"/>
      <c r="V28" s="205"/>
      <c r="W28" s="119"/>
      <c r="X28" s="119">
        <f t="shared" si="0"/>
        <v>8.4</v>
      </c>
      <c r="Y28" s="118">
        <f t="shared" si="1"/>
        <v>8.4</v>
      </c>
      <c r="Z28" s="109">
        <f t="shared" si="2"/>
        <v>56280</v>
      </c>
      <c r="AA28" s="109">
        <f>'CALCULO GERAL'!$G$10</f>
        <v>6300</v>
      </c>
      <c r="AB28" s="109">
        <f t="shared" si="3"/>
        <v>62580</v>
      </c>
      <c r="AC28" s="109">
        <f>AB28*'CALCULO GERAL'!$C$11</f>
        <v>314089.02</v>
      </c>
      <c r="AD28" s="109">
        <f t="shared" si="4"/>
        <v>50882.421240000003</v>
      </c>
      <c r="AE28" s="109">
        <f t="shared" si="5"/>
        <v>0</v>
      </c>
      <c r="AF28" s="109">
        <f t="shared" si="6"/>
        <v>6595.8694200000009</v>
      </c>
      <c r="AG28" s="109">
        <f t="shared" si="7"/>
        <v>30309.590430000004</v>
      </c>
      <c r="AH28" s="109">
        <v>154.22999999999999</v>
      </c>
      <c r="AI28" s="109">
        <f>((AA28*'CALCULO GERAL'!$C$11))*0.08+20</f>
        <v>2549.576</v>
      </c>
      <c r="AJ28" s="109">
        <v>1010</v>
      </c>
      <c r="AK28" s="109">
        <v>2500</v>
      </c>
      <c r="AL28" s="109">
        <f>(AA28*('CALCULO GERAL'!$C$11*1.02))-(AA28*'CALCULO GERAL'!$C$11)</f>
        <v>632.39400000000387</v>
      </c>
      <c r="AM28" s="109">
        <v>1800</v>
      </c>
      <c r="AN28" s="109">
        <v>2600</v>
      </c>
      <c r="AO28" s="109">
        <v>9400</v>
      </c>
      <c r="AP28" s="109">
        <v>1000</v>
      </c>
      <c r="AQ28" s="109">
        <f t="shared" si="21"/>
        <v>-6595.8694200000009</v>
      </c>
      <c r="AR28" s="109">
        <f t="shared" si="22"/>
        <v>-30309.590430000004</v>
      </c>
      <c r="AS28" s="109"/>
      <c r="AT28" s="109">
        <f t="shared" si="23"/>
        <v>386617.64124000003</v>
      </c>
      <c r="AU28" s="111">
        <f t="shared" si="8"/>
        <v>57.704125558208958</v>
      </c>
      <c r="AV28" s="109">
        <f>IFERROR((BS28*'CALCULO GERAL'!$E$11)/N28,0)</f>
        <v>1.5829926000000003</v>
      </c>
      <c r="AW28" s="109">
        <f>AU28/'CALCULO GERAL'!$C$11</f>
        <v>11.497135994861319</v>
      </c>
      <c r="AX28" s="109">
        <f>BP28-BB28-BD28*'CALCULO GERAL'!$C$11</f>
        <v>77.962385550000008</v>
      </c>
      <c r="AY28" s="109">
        <f t="shared" si="24"/>
        <v>1.2863793615750001</v>
      </c>
      <c r="AZ28" s="109">
        <f t="shared" si="9"/>
        <v>5.9251413018000001</v>
      </c>
      <c r="BA28" s="109">
        <f t="shared" si="10"/>
        <v>79.149630000000002</v>
      </c>
      <c r="BB28" s="109">
        <f t="shared" si="11"/>
        <v>1.1872444499999999</v>
      </c>
      <c r="BC28" s="109">
        <f t="shared" si="12"/>
        <v>79.149630000000002</v>
      </c>
      <c r="BD28" s="109">
        <f t="shared" si="13"/>
        <v>0</v>
      </c>
      <c r="BE28" s="109">
        <f t="shared" si="25"/>
        <v>42424.201680000006</v>
      </c>
      <c r="BF28" s="109">
        <f t="shared" si="26"/>
        <v>63636.302520000005</v>
      </c>
      <c r="BG28" s="109">
        <f t="shared" si="14"/>
        <v>0.85481600400000013</v>
      </c>
      <c r="BH28" s="109">
        <f t="shared" si="15"/>
        <v>0.94979556000000009</v>
      </c>
      <c r="BI28" s="109">
        <f t="shared" si="16"/>
        <v>0</v>
      </c>
      <c r="BJ28" s="109">
        <f t="shared" si="27"/>
        <v>11.786369277375002</v>
      </c>
      <c r="BK28" s="109">
        <f t="shared" si="28"/>
        <v>69.490494835583959</v>
      </c>
      <c r="BL28" s="148">
        <v>0.74</v>
      </c>
      <c r="BM28" s="112">
        <f>ROUND((AW28/BL28)+((AW28*BL28)*'CALCULO GERAL'!$E$11)/BL28,2)</f>
        <v>15.77</v>
      </c>
      <c r="BN28" s="186">
        <f t="shared" si="17"/>
        <v>15.77</v>
      </c>
      <c r="BO28" s="186">
        <f t="shared" si="29"/>
        <v>18.477</v>
      </c>
      <c r="BP28" s="109">
        <f>BM28*'CALCULO GERAL'!$C$11</f>
        <v>79.149630000000002</v>
      </c>
      <c r="BQ28" s="109">
        <f>BO28*'CALCULO GERAL'!$C$11</f>
        <v>92.736063000000001</v>
      </c>
      <c r="BR28" s="186">
        <f>BN28*'CALCULO GERAL'!$C$11</f>
        <v>79.149630000000002</v>
      </c>
      <c r="BS28" s="109">
        <f t="shared" si="18"/>
        <v>530302.52100000007</v>
      </c>
      <c r="BT28" s="109">
        <f t="shared" si="30"/>
        <v>143684.87976000004</v>
      </c>
      <c r="BU28" s="109">
        <f t="shared" si="19"/>
        <v>530302.52100000007</v>
      </c>
      <c r="BV28" s="109">
        <f t="shared" si="31"/>
        <v>465586.31539841252</v>
      </c>
      <c r="BW28" s="109">
        <f t="shared" si="32"/>
        <v>64716.205601587542</v>
      </c>
      <c r="BX28" s="114">
        <f t="shared" si="20"/>
        <v>0.12203639062388605</v>
      </c>
      <c r="BY28" s="152">
        <f t="shared" si="33"/>
        <v>0.74</v>
      </c>
      <c r="CA28" s="55"/>
      <c r="CB28" s="113"/>
      <c r="CC28" s="113"/>
      <c r="CE28" s="152">
        <f t="shared" si="34"/>
        <v>0</v>
      </c>
      <c r="CF28" s="152">
        <f t="shared" si="35"/>
        <v>1</v>
      </c>
      <c r="CG28" s="152">
        <f t="shared" si="36"/>
        <v>1</v>
      </c>
      <c r="CH28" s="34"/>
      <c r="CJ28" s="11"/>
      <c r="CK28" s="11"/>
    </row>
    <row r="29" spans="1:89" s="152" customFormat="1" ht="16" x14ac:dyDescent="0.2">
      <c r="A29" s="228" t="s">
        <v>503</v>
      </c>
      <c r="B29" s="187" t="s">
        <v>174</v>
      </c>
      <c r="C29" s="8">
        <v>0.16200000000000001</v>
      </c>
      <c r="D29" s="8">
        <v>0</v>
      </c>
      <c r="E29" s="7">
        <v>2.1000000000000001E-2</v>
      </c>
      <c r="F29" s="7">
        <v>9.6500000000000002E-2</v>
      </c>
      <c r="G29" s="1">
        <v>1.6500000000000001E-2</v>
      </c>
      <c r="H29" s="1">
        <v>7.5999999999999998E-2</v>
      </c>
      <c r="I29" s="1">
        <v>0.18</v>
      </c>
      <c r="J29" s="1">
        <v>0.04</v>
      </c>
      <c r="K29" s="1">
        <v>0.14000000000000001</v>
      </c>
      <c r="L29" s="1">
        <v>1.4999999999999999E-2</v>
      </c>
      <c r="M29" s="2" t="s">
        <v>175</v>
      </c>
      <c r="N29" s="105">
        <v>6700</v>
      </c>
      <c r="O29" s="119">
        <v>9.5399999999999991</v>
      </c>
      <c r="P29" s="119"/>
      <c r="Q29" s="119"/>
      <c r="R29" s="119"/>
      <c r="S29" s="119"/>
      <c r="T29" s="119"/>
      <c r="U29" s="119"/>
      <c r="V29" s="205"/>
      <c r="W29" s="119"/>
      <c r="X29" s="119">
        <f t="shared" si="0"/>
        <v>9.5399999999999991</v>
      </c>
      <c r="Y29" s="118">
        <f t="shared" si="1"/>
        <v>9.5399999999999991</v>
      </c>
      <c r="Z29" s="109">
        <f t="shared" si="2"/>
        <v>63917.999999999993</v>
      </c>
      <c r="AA29" s="109">
        <f>'CALCULO GERAL'!$G$10</f>
        <v>6300</v>
      </c>
      <c r="AB29" s="109">
        <f t="shared" si="3"/>
        <v>70218</v>
      </c>
      <c r="AC29" s="109">
        <f>AB29*'CALCULO GERAL'!$C$11</f>
        <v>352424.14199999999</v>
      </c>
      <c r="AD29" s="109">
        <f t="shared" si="4"/>
        <v>57092.711003999997</v>
      </c>
      <c r="AE29" s="109">
        <f t="shared" si="5"/>
        <v>0</v>
      </c>
      <c r="AF29" s="109">
        <f t="shared" si="6"/>
        <v>7400.9069820000004</v>
      </c>
      <c r="AG29" s="109">
        <f t="shared" si="7"/>
        <v>34008.929703000002</v>
      </c>
      <c r="AH29" s="109">
        <v>154.22999999999999</v>
      </c>
      <c r="AI29" s="109">
        <f>((AA29*'CALCULO GERAL'!$C$11))*0.08+20</f>
        <v>2549.576</v>
      </c>
      <c r="AJ29" s="109">
        <v>1010</v>
      </c>
      <c r="AK29" s="109">
        <v>2500</v>
      </c>
      <c r="AL29" s="109">
        <f>(AA29*('CALCULO GERAL'!$C$11*1.02))-(AA29*'CALCULO GERAL'!$C$11)</f>
        <v>632.39400000000387</v>
      </c>
      <c r="AM29" s="109">
        <v>1800</v>
      </c>
      <c r="AN29" s="109">
        <v>2600</v>
      </c>
      <c r="AO29" s="109">
        <v>9400</v>
      </c>
      <c r="AP29" s="109">
        <v>1000</v>
      </c>
      <c r="AQ29" s="109">
        <f t="shared" si="21"/>
        <v>-7400.9069820000004</v>
      </c>
      <c r="AR29" s="109">
        <f t="shared" si="22"/>
        <v>-34008.929703000002</v>
      </c>
      <c r="AS29" s="109"/>
      <c r="AT29" s="109">
        <f t="shared" si="23"/>
        <v>431163.05300399999</v>
      </c>
      <c r="AU29" s="111">
        <f t="shared" si="8"/>
        <v>64.35269447820896</v>
      </c>
      <c r="AV29" s="109">
        <f>IFERROR((BS29*'CALCULO GERAL'!$E$11)/N29,0)</f>
        <v>1.7646803999999996</v>
      </c>
      <c r="AW29" s="109">
        <f>AU29/'CALCULO GERAL'!$C$11</f>
        <v>12.82181599486132</v>
      </c>
      <c r="AX29" s="109">
        <f>BP29-BB29-BD29*'CALCULO GERAL'!$C$11</f>
        <v>86.910509699999992</v>
      </c>
      <c r="AY29" s="109">
        <f t="shared" si="24"/>
        <v>1.43402341005</v>
      </c>
      <c r="AZ29" s="109">
        <f t="shared" si="9"/>
        <v>6.6051987371999994</v>
      </c>
      <c r="BA29" s="109">
        <f t="shared" si="10"/>
        <v>88.234019999999987</v>
      </c>
      <c r="BB29" s="109">
        <f t="shared" si="11"/>
        <v>1.3235102999999997</v>
      </c>
      <c r="BC29" s="109">
        <f t="shared" si="12"/>
        <v>88.234019999999987</v>
      </c>
      <c r="BD29" s="109">
        <f t="shared" si="13"/>
        <v>0</v>
      </c>
      <c r="BE29" s="109">
        <f t="shared" si="25"/>
        <v>47293.43471999999</v>
      </c>
      <c r="BF29" s="109">
        <f t="shared" si="26"/>
        <v>70940.152079999985</v>
      </c>
      <c r="BG29" s="109">
        <f t="shared" si="14"/>
        <v>0.95292741599999986</v>
      </c>
      <c r="BH29" s="109">
        <f t="shared" si="15"/>
        <v>1.0588082399999996</v>
      </c>
      <c r="BI29" s="109">
        <f t="shared" si="16"/>
        <v>0</v>
      </c>
      <c r="BJ29" s="109">
        <f t="shared" si="27"/>
        <v>13.139148503249999</v>
      </c>
      <c r="BK29" s="109">
        <f t="shared" si="28"/>
        <v>77.491842981458959</v>
      </c>
      <c r="BL29" s="148">
        <v>0.74</v>
      </c>
      <c r="BM29" s="112">
        <f>ROUND((AW29/BL29)+((AW29*BL29)*'CALCULO GERAL'!$E$11)/BL29,2)</f>
        <v>17.579999999999998</v>
      </c>
      <c r="BN29" s="186">
        <f t="shared" si="17"/>
        <v>17.579999999999998</v>
      </c>
      <c r="BO29" s="186">
        <f t="shared" si="29"/>
        <v>20.597999999999999</v>
      </c>
      <c r="BP29" s="109">
        <f>BM29*'CALCULO GERAL'!$C$11</f>
        <v>88.234019999999987</v>
      </c>
      <c r="BQ29" s="109">
        <f>BO29*'CALCULO GERAL'!$C$11</f>
        <v>103.381362</v>
      </c>
      <c r="BR29" s="186">
        <f>BN29*'CALCULO GERAL'!$C$11</f>
        <v>88.234019999999987</v>
      </c>
      <c r="BS29" s="109">
        <f t="shared" si="18"/>
        <v>591167.93399999989</v>
      </c>
      <c r="BT29" s="109">
        <f t="shared" si="30"/>
        <v>160004.88099599991</v>
      </c>
      <c r="BU29" s="109">
        <f t="shared" si="19"/>
        <v>591167.93399999989</v>
      </c>
      <c r="BV29" s="109">
        <f t="shared" si="31"/>
        <v>519195.34797577502</v>
      </c>
      <c r="BW29" s="109">
        <f t="shared" si="32"/>
        <v>71972.586024224875</v>
      </c>
      <c r="BX29" s="114">
        <f t="shared" si="20"/>
        <v>0.12174643089526045</v>
      </c>
      <c r="BY29" s="152">
        <f t="shared" si="33"/>
        <v>0.74</v>
      </c>
      <c r="CA29" s="55"/>
      <c r="CB29" s="113"/>
      <c r="CC29" s="113"/>
      <c r="CE29" s="152">
        <f t="shared" si="34"/>
        <v>0</v>
      </c>
      <c r="CF29" s="152">
        <f t="shared" si="35"/>
        <v>1</v>
      </c>
      <c r="CG29" s="152">
        <f t="shared" si="36"/>
        <v>1</v>
      </c>
      <c r="CH29" s="34"/>
      <c r="CJ29" s="11"/>
      <c r="CK29" s="11"/>
    </row>
    <row r="30" spans="1:89" s="152" customFormat="1" ht="16" x14ac:dyDescent="0.2">
      <c r="A30" s="228" t="s">
        <v>504</v>
      </c>
      <c r="B30" s="187" t="s">
        <v>174</v>
      </c>
      <c r="C30" s="8">
        <v>0.16200000000000001</v>
      </c>
      <c r="D30" s="8">
        <v>0</v>
      </c>
      <c r="E30" s="7">
        <v>2.1000000000000001E-2</v>
      </c>
      <c r="F30" s="7">
        <v>9.6500000000000002E-2</v>
      </c>
      <c r="G30" s="1">
        <v>1.6500000000000001E-2</v>
      </c>
      <c r="H30" s="1">
        <v>7.5999999999999998E-2</v>
      </c>
      <c r="I30" s="1">
        <v>0.18</v>
      </c>
      <c r="J30" s="1">
        <v>0.04</v>
      </c>
      <c r="K30" s="1">
        <v>0.14000000000000001</v>
      </c>
      <c r="L30" s="1">
        <v>1.4999999999999999E-2</v>
      </c>
      <c r="M30" s="2" t="s">
        <v>175</v>
      </c>
      <c r="N30" s="105">
        <v>6700</v>
      </c>
      <c r="O30" s="119">
        <v>10.95</v>
      </c>
      <c r="P30" s="119"/>
      <c r="Q30" s="119"/>
      <c r="R30" s="119"/>
      <c r="S30" s="119"/>
      <c r="T30" s="119"/>
      <c r="U30" s="119"/>
      <c r="V30" s="205"/>
      <c r="W30" s="119"/>
      <c r="X30" s="119">
        <f t="shared" si="0"/>
        <v>10.95</v>
      </c>
      <c r="Y30" s="118">
        <f t="shared" si="1"/>
        <v>10.95</v>
      </c>
      <c r="Z30" s="109">
        <f t="shared" si="2"/>
        <v>73365</v>
      </c>
      <c r="AA30" s="109">
        <f>'CALCULO GERAL'!$G$10</f>
        <v>6300</v>
      </c>
      <c r="AB30" s="109">
        <f t="shared" si="3"/>
        <v>79665</v>
      </c>
      <c r="AC30" s="109">
        <f>AB30*'CALCULO GERAL'!$C$11</f>
        <v>399838.63500000001</v>
      </c>
      <c r="AD30" s="109">
        <f t="shared" si="4"/>
        <v>64773.858870000004</v>
      </c>
      <c r="AE30" s="109">
        <f t="shared" si="5"/>
        <v>0</v>
      </c>
      <c r="AF30" s="109">
        <f t="shared" si="6"/>
        <v>8396.6113350000014</v>
      </c>
      <c r="AG30" s="109">
        <f t="shared" si="7"/>
        <v>38584.428277500003</v>
      </c>
      <c r="AH30" s="109">
        <v>154.22999999999999</v>
      </c>
      <c r="AI30" s="109">
        <f>((AA30*'CALCULO GERAL'!$C$11))*0.08+20</f>
        <v>2549.576</v>
      </c>
      <c r="AJ30" s="109">
        <v>1010</v>
      </c>
      <c r="AK30" s="109">
        <v>2500</v>
      </c>
      <c r="AL30" s="109">
        <f>(AA30*('CALCULO GERAL'!$C$11*1.02))-(AA30*'CALCULO GERAL'!$C$11)</f>
        <v>632.39400000000387</v>
      </c>
      <c r="AM30" s="109">
        <v>1800</v>
      </c>
      <c r="AN30" s="109">
        <v>2600</v>
      </c>
      <c r="AO30" s="109">
        <v>9400</v>
      </c>
      <c r="AP30" s="109">
        <v>1000</v>
      </c>
      <c r="AQ30" s="109">
        <f t="shared" si="21"/>
        <v>-8396.6113350000014</v>
      </c>
      <c r="AR30" s="109">
        <f t="shared" si="22"/>
        <v>-38584.428277500003</v>
      </c>
      <c r="AS30" s="109"/>
      <c r="AT30" s="109">
        <f t="shared" si="23"/>
        <v>486258.69387000008</v>
      </c>
      <c r="AU30" s="111">
        <f t="shared" si="8"/>
        <v>72.575924458208974</v>
      </c>
      <c r="AV30" s="109">
        <f>IFERROR((BS30*'CALCULO GERAL'!$E$11)/N30,0)</f>
        <v>1.9905353999999997</v>
      </c>
      <c r="AW30" s="109">
        <f>AU30/'CALCULO GERAL'!$C$11</f>
        <v>14.460235994861321</v>
      </c>
      <c r="AX30" s="109">
        <f>BP30-BB30-BD30*'CALCULO GERAL'!$C$11</f>
        <v>98.03386845</v>
      </c>
      <c r="AY30" s="109">
        <f t="shared" si="24"/>
        <v>1.6175588294250001</v>
      </c>
      <c r="AZ30" s="109">
        <f t="shared" si="9"/>
        <v>7.4505740021999998</v>
      </c>
      <c r="BA30" s="109">
        <f t="shared" si="10"/>
        <v>99.526769999999999</v>
      </c>
      <c r="BB30" s="109">
        <f t="shared" si="11"/>
        <v>1.49290155</v>
      </c>
      <c r="BC30" s="109">
        <f t="shared" si="12"/>
        <v>99.526769999999999</v>
      </c>
      <c r="BD30" s="109">
        <f t="shared" si="13"/>
        <v>0</v>
      </c>
      <c r="BE30" s="109">
        <f t="shared" si="25"/>
        <v>53346.348719999995</v>
      </c>
      <c r="BF30" s="109">
        <f t="shared" si="26"/>
        <v>80019.523079999984</v>
      </c>
      <c r="BG30" s="109">
        <f t="shared" si="14"/>
        <v>1.0748891159999998</v>
      </c>
      <c r="BH30" s="109">
        <f t="shared" si="15"/>
        <v>1.1943212399999998</v>
      </c>
      <c r="BI30" s="109">
        <f t="shared" si="16"/>
        <v>0</v>
      </c>
      <c r="BJ30" s="109">
        <f t="shared" si="27"/>
        <v>14.820780137624997</v>
      </c>
      <c r="BK30" s="109">
        <f t="shared" si="28"/>
        <v>87.396704595833967</v>
      </c>
      <c r="BL30" s="148">
        <v>0.74</v>
      </c>
      <c r="BM30" s="112">
        <f>ROUND((AW30/BL30)+((AW30*BL30)*'CALCULO GERAL'!$E$11)/BL30,2)</f>
        <v>19.829999999999998</v>
      </c>
      <c r="BN30" s="186">
        <f t="shared" si="17"/>
        <v>19.829999999999998</v>
      </c>
      <c r="BO30" s="186">
        <f t="shared" si="29"/>
        <v>23.234000000000002</v>
      </c>
      <c r="BP30" s="109">
        <f>BM30*'CALCULO GERAL'!$C$11</f>
        <v>99.526769999999999</v>
      </c>
      <c r="BQ30" s="109">
        <f>BO30*'CALCULO GERAL'!$C$11</f>
        <v>116.61144600000002</v>
      </c>
      <c r="BR30" s="186">
        <f>BN30*'CALCULO GERAL'!$C$11</f>
        <v>99.526769999999999</v>
      </c>
      <c r="BS30" s="109">
        <f t="shared" si="18"/>
        <v>666829.35899999994</v>
      </c>
      <c r="BT30" s="109">
        <f t="shared" si="30"/>
        <v>180570.66512999986</v>
      </c>
      <c r="BU30" s="109">
        <f t="shared" si="19"/>
        <v>666829.35899999994</v>
      </c>
      <c r="BV30" s="109">
        <f t="shared" si="31"/>
        <v>585557.92079208756</v>
      </c>
      <c r="BW30" s="109">
        <f t="shared" si="32"/>
        <v>81271.438207912375</v>
      </c>
      <c r="BX30" s="114">
        <f t="shared" si="20"/>
        <v>0.12187741453044269</v>
      </c>
      <c r="BY30" s="152">
        <f t="shared" si="33"/>
        <v>0.74</v>
      </c>
      <c r="CA30" s="55"/>
      <c r="CB30" s="113"/>
      <c r="CC30" s="113"/>
      <c r="CE30" s="152">
        <f t="shared" si="34"/>
        <v>0</v>
      </c>
      <c r="CF30" s="152">
        <f t="shared" si="35"/>
        <v>1</v>
      </c>
      <c r="CG30" s="152">
        <f t="shared" si="36"/>
        <v>1</v>
      </c>
      <c r="CH30" s="34"/>
      <c r="CJ30" s="11"/>
      <c r="CK30" s="11"/>
    </row>
    <row r="31" spans="1:89" s="152" customFormat="1" ht="16" x14ac:dyDescent="0.2">
      <c r="A31" s="228" t="s">
        <v>505</v>
      </c>
      <c r="B31" s="187" t="s">
        <v>174</v>
      </c>
      <c r="C31" s="8">
        <v>0.16200000000000001</v>
      </c>
      <c r="D31" s="8">
        <v>0</v>
      </c>
      <c r="E31" s="7">
        <v>2.1000000000000001E-2</v>
      </c>
      <c r="F31" s="7">
        <v>9.6500000000000002E-2</v>
      </c>
      <c r="G31" s="1">
        <v>1.6500000000000001E-2</v>
      </c>
      <c r="H31" s="1">
        <v>7.5999999999999998E-2</v>
      </c>
      <c r="I31" s="1">
        <v>0.18</v>
      </c>
      <c r="J31" s="1">
        <v>0.04</v>
      </c>
      <c r="K31" s="1">
        <v>0.14000000000000001</v>
      </c>
      <c r="L31" s="1">
        <v>1.4999999999999999E-2</v>
      </c>
      <c r="M31" s="2" t="s">
        <v>175</v>
      </c>
      <c r="N31" s="105">
        <v>6700</v>
      </c>
      <c r="O31" s="119">
        <v>5.6</v>
      </c>
      <c r="P31" s="119"/>
      <c r="Q31" s="119"/>
      <c r="R31" s="119"/>
      <c r="S31" s="119"/>
      <c r="T31" s="119"/>
      <c r="U31" s="119"/>
      <c r="V31" s="205"/>
      <c r="W31" s="119"/>
      <c r="X31" s="119">
        <f t="shared" si="0"/>
        <v>5.6</v>
      </c>
      <c r="Y31" s="118">
        <f t="shared" si="1"/>
        <v>5.6</v>
      </c>
      <c r="Z31" s="109">
        <f t="shared" si="2"/>
        <v>37520</v>
      </c>
      <c r="AA31" s="109">
        <f>'CALCULO GERAL'!$G$10</f>
        <v>6300</v>
      </c>
      <c r="AB31" s="109">
        <f t="shared" si="3"/>
        <v>43820</v>
      </c>
      <c r="AC31" s="109">
        <f>AB31*'CALCULO GERAL'!$C$11</f>
        <v>219932.58000000002</v>
      </c>
      <c r="AD31" s="109">
        <f t="shared" si="4"/>
        <v>35629.077960000002</v>
      </c>
      <c r="AE31" s="109">
        <f t="shared" si="5"/>
        <v>0</v>
      </c>
      <c r="AF31" s="109">
        <f t="shared" si="6"/>
        <v>4618.5841800000007</v>
      </c>
      <c r="AG31" s="109">
        <f t="shared" si="7"/>
        <v>21223.493970000003</v>
      </c>
      <c r="AH31" s="109">
        <v>154.22999999999999</v>
      </c>
      <c r="AI31" s="109">
        <f>((AA31*'CALCULO GERAL'!$C$11))*0.08+20</f>
        <v>2549.576</v>
      </c>
      <c r="AJ31" s="109">
        <v>1010</v>
      </c>
      <c r="AK31" s="109">
        <v>2500</v>
      </c>
      <c r="AL31" s="109">
        <f>(AA31*('CALCULO GERAL'!$C$11*1.02))-(AA31*'CALCULO GERAL'!$C$11)</f>
        <v>632.39400000000387</v>
      </c>
      <c r="AM31" s="109">
        <v>1800</v>
      </c>
      <c r="AN31" s="109">
        <v>2600</v>
      </c>
      <c r="AO31" s="109">
        <v>9400</v>
      </c>
      <c r="AP31" s="109">
        <v>1000</v>
      </c>
      <c r="AQ31" s="109">
        <f t="shared" si="21"/>
        <v>-4618.5841800000007</v>
      </c>
      <c r="AR31" s="109">
        <f t="shared" si="22"/>
        <v>-21223.493970000003</v>
      </c>
      <c r="AS31" s="109"/>
      <c r="AT31" s="109">
        <f t="shared" si="23"/>
        <v>277207.85795999999</v>
      </c>
      <c r="AU31" s="111">
        <f t="shared" si="8"/>
        <v>41.374307158208957</v>
      </c>
      <c r="AV31" s="109">
        <f>IFERROR((BS31*'CALCULO GERAL'!$E$11)/N31,0)</f>
        <v>1.1342940000000001</v>
      </c>
      <c r="AW31" s="109">
        <f>AU31/'CALCULO GERAL'!$C$11</f>
        <v>8.2435359948613183</v>
      </c>
      <c r="AX31" s="109">
        <f>BP31-BB31-BD31*'CALCULO GERAL'!$C$11</f>
        <v>55.863979500000006</v>
      </c>
      <c r="AY31" s="109">
        <f t="shared" si="24"/>
        <v>0.92175566175000012</v>
      </c>
      <c r="AZ31" s="109">
        <f t="shared" si="9"/>
        <v>4.2456624420000004</v>
      </c>
      <c r="BA31" s="109">
        <f t="shared" si="10"/>
        <v>56.714700000000008</v>
      </c>
      <c r="BB31" s="109">
        <f t="shared" si="11"/>
        <v>0.8507205000000001</v>
      </c>
      <c r="BC31" s="109">
        <f t="shared" si="12"/>
        <v>56.714700000000008</v>
      </c>
      <c r="BD31" s="109">
        <f t="shared" si="13"/>
        <v>0</v>
      </c>
      <c r="BE31" s="109">
        <f t="shared" si="25"/>
        <v>30399.079200000004</v>
      </c>
      <c r="BF31" s="109">
        <f t="shared" si="26"/>
        <v>45598.618800000004</v>
      </c>
      <c r="BG31" s="109">
        <f t="shared" si="14"/>
        <v>0.61251876000000005</v>
      </c>
      <c r="BH31" s="109">
        <f t="shared" si="15"/>
        <v>0.68057640000000008</v>
      </c>
      <c r="BI31" s="109">
        <f t="shared" si="16"/>
        <v>0</v>
      </c>
      <c r="BJ31" s="109">
        <f t="shared" si="27"/>
        <v>8.4455277637500004</v>
      </c>
      <c r="BK31" s="109">
        <f t="shared" si="28"/>
        <v>49.819834921958957</v>
      </c>
      <c r="BL31" s="148">
        <v>0.74</v>
      </c>
      <c r="BM31" s="112">
        <f>ROUND((AW31/BL31)+((AW31*BL31)*'CALCULO GERAL'!$E$11)/BL31,2)</f>
        <v>11.3</v>
      </c>
      <c r="BN31" s="186">
        <f t="shared" si="17"/>
        <v>11.3</v>
      </c>
      <c r="BO31" s="186">
        <f t="shared" si="29"/>
        <v>13.24</v>
      </c>
      <c r="BP31" s="109">
        <f>BM31*'CALCULO GERAL'!$C$11</f>
        <v>56.714700000000008</v>
      </c>
      <c r="BQ31" s="109">
        <f>BO31*'CALCULO GERAL'!$C$11</f>
        <v>66.451560000000001</v>
      </c>
      <c r="BR31" s="186">
        <f>BN31*'CALCULO GERAL'!$C$11</f>
        <v>56.714700000000008</v>
      </c>
      <c r="BS31" s="109">
        <f t="shared" si="18"/>
        <v>379988.49000000005</v>
      </c>
      <c r="BT31" s="109">
        <f t="shared" si="30"/>
        <v>102780.63204000005</v>
      </c>
      <c r="BU31" s="109">
        <f t="shared" si="19"/>
        <v>379988.49000000005</v>
      </c>
      <c r="BV31" s="109">
        <f t="shared" si="31"/>
        <v>333792.893977125</v>
      </c>
      <c r="BW31" s="109">
        <f t="shared" si="32"/>
        <v>46195.596022875048</v>
      </c>
      <c r="BX31" s="114">
        <f t="shared" si="20"/>
        <v>0.12157104027775957</v>
      </c>
      <c r="BY31" s="152">
        <f t="shared" si="33"/>
        <v>0.74</v>
      </c>
      <c r="CA31" s="55"/>
      <c r="CB31" s="113"/>
      <c r="CC31" s="113"/>
      <c r="CE31" s="152">
        <f t="shared" si="34"/>
        <v>0</v>
      </c>
      <c r="CF31" s="152">
        <f t="shared" si="35"/>
        <v>1</v>
      </c>
      <c r="CG31" s="152">
        <f t="shared" si="36"/>
        <v>1</v>
      </c>
      <c r="CH31" s="34"/>
      <c r="CJ31" s="11"/>
      <c r="CK31" s="11"/>
    </row>
    <row r="32" spans="1:89" s="152" customFormat="1" ht="16" x14ac:dyDescent="0.2">
      <c r="A32" s="228" t="s">
        <v>506</v>
      </c>
      <c r="B32" s="187" t="s">
        <v>174</v>
      </c>
      <c r="C32" s="8">
        <v>0.16200000000000001</v>
      </c>
      <c r="D32" s="8">
        <v>0</v>
      </c>
      <c r="E32" s="7">
        <v>2.1000000000000001E-2</v>
      </c>
      <c r="F32" s="7">
        <v>9.6500000000000002E-2</v>
      </c>
      <c r="G32" s="1">
        <v>1.6500000000000001E-2</v>
      </c>
      <c r="H32" s="1">
        <v>7.5999999999999998E-2</v>
      </c>
      <c r="I32" s="1">
        <v>0.18</v>
      </c>
      <c r="J32" s="1">
        <v>0.04</v>
      </c>
      <c r="K32" s="1">
        <v>0.14000000000000001</v>
      </c>
      <c r="L32" s="1">
        <v>1.4999999999999999E-2</v>
      </c>
      <c r="M32" s="2" t="s">
        <v>175</v>
      </c>
      <c r="N32" s="105">
        <v>6700</v>
      </c>
      <c r="O32" s="119">
        <v>7.5</v>
      </c>
      <c r="P32" s="119"/>
      <c r="Q32" s="119"/>
      <c r="R32" s="119"/>
      <c r="S32" s="119"/>
      <c r="T32" s="119"/>
      <c r="U32" s="119"/>
      <c r="V32" s="205"/>
      <c r="W32" s="119"/>
      <c r="X32" s="119">
        <f t="shared" si="0"/>
        <v>7.5</v>
      </c>
      <c r="Y32" s="118">
        <f t="shared" si="1"/>
        <v>7.5</v>
      </c>
      <c r="Z32" s="109">
        <f t="shared" si="2"/>
        <v>50250</v>
      </c>
      <c r="AA32" s="109">
        <f>'CALCULO GERAL'!$G$10</f>
        <v>6300</v>
      </c>
      <c r="AB32" s="109">
        <f t="shared" si="3"/>
        <v>56550</v>
      </c>
      <c r="AC32" s="109">
        <f>AB32*'CALCULO GERAL'!$C$11</f>
        <v>283824.45</v>
      </c>
      <c r="AD32" s="109">
        <f t="shared" si="4"/>
        <v>45979.560900000004</v>
      </c>
      <c r="AE32" s="109">
        <f t="shared" si="5"/>
        <v>0</v>
      </c>
      <c r="AF32" s="109">
        <f t="shared" si="6"/>
        <v>5960.3134500000006</v>
      </c>
      <c r="AG32" s="109">
        <f t="shared" si="7"/>
        <v>27389.059425000003</v>
      </c>
      <c r="AH32" s="109">
        <v>154.22999999999999</v>
      </c>
      <c r="AI32" s="109">
        <f>((AA32*'CALCULO GERAL'!$C$11))*0.08+20</f>
        <v>2549.576</v>
      </c>
      <c r="AJ32" s="109">
        <v>1010</v>
      </c>
      <c r="AK32" s="109">
        <v>2500</v>
      </c>
      <c r="AL32" s="109">
        <f>(AA32*('CALCULO GERAL'!$C$11*1.02))-(AA32*'CALCULO GERAL'!$C$11)</f>
        <v>632.39400000000387</v>
      </c>
      <c r="AM32" s="109">
        <v>1800</v>
      </c>
      <c r="AN32" s="109">
        <v>2600</v>
      </c>
      <c r="AO32" s="109">
        <v>9400</v>
      </c>
      <c r="AP32" s="109">
        <v>1000</v>
      </c>
      <c r="AQ32" s="109">
        <f t="shared" si="21"/>
        <v>-5960.3134500000006</v>
      </c>
      <c r="AR32" s="109">
        <f t="shared" si="22"/>
        <v>-27389.059425000003</v>
      </c>
      <c r="AS32" s="109"/>
      <c r="AT32" s="109">
        <f t="shared" si="23"/>
        <v>351450.21090000001</v>
      </c>
      <c r="AU32" s="111">
        <f t="shared" si="8"/>
        <v>52.455255358208959</v>
      </c>
      <c r="AV32" s="109">
        <f>IFERROR((BS32*'CALCULO GERAL'!$E$11)/N32,0)</f>
        <v>1.4384454</v>
      </c>
      <c r="AW32" s="109">
        <f>AU32/'CALCULO GERAL'!$C$11</f>
        <v>10.451335994861319</v>
      </c>
      <c r="AX32" s="109">
        <f>BP32-BB32-BD32*'CALCULO GERAL'!$C$11</f>
        <v>70.84343595</v>
      </c>
      <c r="AY32" s="109">
        <f t="shared" si="24"/>
        <v>1.1689166931750001</v>
      </c>
      <c r="AZ32" s="109">
        <f t="shared" si="9"/>
        <v>5.3841011321999996</v>
      </c>
      <c r="BA32" s="109">
        <f t="shared" si="10"/>
        <v>71.922269999999997</v>
      </c>
      <c r="BB32" s="109">
        <f t="shared" si="11"/>
        <v>1.07883405</v>
      </c>
      <c r="BC32" s="109">
        <f t="shared" si="12"/>
        <v>71.922269999999997</v>
      </c>
      <c r="BD32" s="109">
        <f t="shared" si="13"/>
        <v>0</v>
      </c>
      <c r="BE32" s="109">
        <f t="shared" si="25"/>
        <v>38550.336719999999</v>
      </c>
      <c r="BF32" s="109">
        <f t="shared" si="26"/>
        <v>57825.505079999995</v>
      </c>
      <c r="BG32" s="109">
        <f t="shared" si="14"/>
        <v>0.77676051599999985</v>
      </c>
      <c r="BH32" s="109">
        <f t="shared" si="15"/>
        <v>0.8630672399999999</v>
      </c>
      <c r="BI32" s="109">
        <f t="shared" si="16"/>
        <v>0</v>
      </c>
      <c r="BJ32" s="109">
        <f t="shared" si="27"/>
        <v>10.710125031375</v>
      </c>
      <c r="BK32" s="109">
        <f t="shared" si="28"/>
        <v>63.165380389583959</v>
      </c>
      <c r="BL32" s="148">
        <v>0.74</v>
      </c>
      <c r="BM32" s="112">
        <f>ROUND((AW32/BL32)+((AW32*BL32)*'CALCULO GERAL'!$E$11)/BL32,2)</f>
        <v>14.33</v>
      </c>
      <c r="BN32" s="186">
        <f t="shared" si="17"/>
        <v>14.33</v>
      </c>
      <c r="BO32" s="186">
        <f t="shared" si="29"/>
        <v>16.79</v>
      </c>
      <c r="BP32" s="109">
        <f>BM32*'CALCULO GERAL'!$C$11</f>
        <v>71.922269999999997</v>
      </c>
      <c r="BQ32" s="109">
        <f>BO32*'CALCULO GERAL'!$C$11</f>
        <v>84.269009999999994</v>
      </c>
      <c r="BR32" s="186">
        <f>BN32*'CALCULO GERAL'!$C$11</f>
        <v>71.922269999999997</v>
      </c>
      <c r="BS32" s="109">
        <f t="shared" si="18"/>
        <v>481879.20899999997</v>
      </c>
      <c r="BT32" s="109">
        <f t="shared" si="30"/>
        <v>130428.99809999997</v>
      </c>
      <c r="BU32" s="109">
        <f t="shared" si="19"/>
        <v>481879.20899999997</v>
      </c>
      <c r="BV32" s="109">
        <f t="shared" si="31"/>
        <v>423208.04861021251</v>
      </c>
      <c r="BW32" s="109">
        <f t="shared" si="32"/>
        <v>58671.160389787459</v>
      </c>
      <c r="BX32" s="114">
        <f t="shared" si="20"/>
        <v>0.12175491138441596</v>
      </c>
      <c r="BY32" s="152">
        <f t="shared" si="33"/>
        <v>0.74</v>
      </c>
      <c r="CA32" s="55"/>
      <c r="CB32" s="113"/>
      <c r="CC32" s="113"/>
      <c r="CE32" s="152">
        <f t="shared" si="34"/>
        <v>0</v>
      </c>
      <c r="CF32" s="152">
        <f t="shared" si="35"/>
        <v>1</v>
      </c>
      <c r="CG32" s="152">
        <f t="shared" si="36"/>
        <v>1</v>
      </c>
      <c r="CH32" s="34"/>
      <c r="CJ32" s="11"/>
      <c r="CK32" s="11"/>
    </row>
    <row r="33" spans="1:89" s="152" customFormat="1" ht="16" x14ac:dyDescent="0.2">
      <c r="A33" s="228" t="s">
        <v>507</v>
      </c>
      <c r="B33" s="187" t="s">
        <v>174</v>
      </c>
      <c r="C33" s="8">
        <v>0.16200000000000001</v>
      </c>
      <c r="D33" s="8">
        <v>0</v>
      </c>
      <c r="E33" s="7">
        <v>2.1000000000000001E-2</v>
      </c>
      <c r="F33" s="7">
        <v>9.6500000000000002E-2</v>
      </c>
      <c r="G33" s="1">
        <v>1.6500000000000001E-2</v>
      </c>
      <c r="H33" s="1">
        <v>7.5999999999999998E-2</v>
      </c>
      <c r="I33" s="1">
        <v>0.18</v>
      </c>
      <c r="J33" s="1">
        <v>0.04</v>
      </c>
      <c r="K33" s="1">
        <v>0.14000000000000001</v>
      </c>
      <c r="L33" s="1">
        <v>1.4999999999999999E-2</v>
      </c>
      <c r="M33" s="2" t="s">
        <v>175</v>
      </c>
      <c r="N33" s="105">
        <v>6700</v>
      </c>
      <c r="O33" s="119">
        <v>8.4</v>
      </c>
      <c r="P33" s="119"/>
      <c r="Q33" s="119"/>
      <c r="R33" s="119"/>
      <c r="S33" s="119"/>
      <c r="T33" s="119"/>
      <c r="U33" s="119"/>
      <c r="V33" s="205"/>
      <c r="W33" s="119"/>
      <c r="X33" s="119">
        <f t="shared" si="0"/>
        <v>8.4</v>
      </c>
      <c r="Y33" s="118">
        <f t="shared" si="1"/>
        <v>8.4</v>
      </c>
      <c r="Z33" s="109">
        <f t="shared" si="2"/>
        <v>56280</v>
      </c>
      <c r="AA33" s="109">
        <f>'CALCULO GERAL'!$G$10</f>
        <v>6300</v>
      </c>
      <c r="AB33" s="109">
        <f t="shared" si="3"/>
        <v>62580</v>
      </c>
      <c r="AC33" s="109">
        <f>AB33*'CALCULO GERAL'!$C$11</f>
        <v>314089.02</v>
      </c>
      <c r="AD33" s="109">
        <f t="shared" si="4"/>
        <v>50882.421240000003</v>
      </c>
      <c r="AE33" s="109">
        <f t="shared" si="5"/>
        <v>0</v>
      </c>
      <c r="AF33" s="109">
        <f t="shared" si="6"/>
        <v>6595.8694200000009</v>
      </c>
      <c r="AG33" s="109">
        <f t="shared" si="7"/>
        <v>30309.590430000004</v>
      </c>
      <c r="AH33" s="109">
        <v>154.22999999999999</v>
      </c>
      <c r="AI33" s="109">
        <f>((AA33*'CALCULO GERAL'!$C$11))*0.08+20</f>
        <v>2549.576</v>
      </c>
      <c r="AJ33" s="109">
        <v>1010</v>
      </c>
      <c r="AK33" s="109">
        <v>2500</v>
      </c>
      <c r="AL33" s="109">
        <f>(AA33*('CALCULO GERAL'!$C$11*1.02))-(AA33*'CALCULO GERAL'!$C$11)</f>
        <v>632.39400000000387</v>
      </c>
      <c r="AM33" s="109">
        <v>1800</v>
      </c>
      <c r="AN33" s="109">
        <v>2600</v>
      </c>
      <c r="AO33" s="109">
        <v>9400</v>
      </c>
      <c r="AP33" s="109">
        <v>1000</v>
      </c>
      <c r="AQ33" s="109">
        <f t="shared" si="21"/>
        <v>-6595.8694200000009</v>
      </c>
      <c r="AR33" s="109">
        <f t="shared" si="22"/>
        <v>-30309.590430000004</v>
      </c>
      <c r="AS33" s="109"/>
      <c r="AT33" s="109">
        <f t="shared" si="23"/>
        <v>386617.64124000003</v>
      </c>
      <c r="AU33" s="111">
        <f t="shared" si="8"/>
        <v>57.704125558208958</v>
      </c>
      <c r="AV33" s="109">
        <f>IFERROR((BS33*'CALCULO GERAL'!$E$11)/N33,0)</f>
        <v>1.5829926000000003</v>
      </c>
      <c r="AW33" s="109">
        <f>AU33/'CALCULO GERAL'!$C$11</f>
        <v>11.497135994861319</v>
      </c>
      <c r="AX33" s="109">
        <f>BP33-BB33-BD33*'CALCULO GERAL'!$C$11</f>
        <v>77.962385550000008</v>
      </c>
      <c r="AY33" s="109">
        <f t="shared" si="24"/>
        <v>1.2863793615750001</v>
      </c>
      <c r="AZ33" s="109">
        <f t="shared" si="9"/>
        <v>5.9251413018000001</v>
      </c>
      <c r="BA33" s="109">
        <f t="shared" si="10"/>
        <v>79.149630000000002</v>
      </c>
      <c r="BB33" s="109">
        <f t="shared" si="11"/>
        <v>1.1872444499999999</v>
      </c>
      <c r="BC33" s="109">
        <f t="shared" si="12"/>
        <v>79.149630000000002</v>
      </c>
      <c r="BD33" s="109">
        <f t="shared" si="13"/>
        <v>0</v>
      </c>
      <c r="BE33" s="109">
        <f t="shared" si="25"/>
        <v>42424.201680000006</v>
      </c>
      <c r="BF33" s="109">
        <f t="shared" si="26"/>
        <v>63636.302520000005</v>
      </c>
      <c r="BG33" s="109">
        <f t="shared" si="14"/>
        <v>0.85481600400000013</v>
      </c>
      <c r="BH33" s="109">
        <f t="shared" si="15"/>
        <v>0.94979556000000009</v>
      </c>
      <c r="BI33" s="109">
        <f t="shared" si="16"/>
        <v>0</v>
      </c>
      <c r="BJ33" s="109">
        <f t="shared" si="27"/>
        <v>11.786369277375002</v>
      </c>
      <c r="BK33" s="109">
        <f t="shared" si="28"/>
        <v>69.490494835583959</v>
      </c>
      <c r="BL33" s="148">
        <v>0.74</v>
      </c>
      <c r="BM33" s="112">
        <f>ROUND((AW33/BL33)+((AW33*BL33)*'CALCULO GERAL'!$E$11)/BL33,2)</f>
        <v>15.77</v>
      </c>
      <c r="BN33" s="186">
        <f t="shared" si="17"/>
        <v>15.77</v>
      </c>
      <c r="BO33" s="186">
        <f t="shared" si="29"/>
        <v>18.477</v>
      </c>
      <c r="BP33" s="109">
        <f>BM33*'CALCULO GERAL'!$C$11</f>
        <v>79.149630000000002</v>
      </c>
      <c r="BQ33" s="109">
        <f>BO33*'CALCULO GERAL'!$C$11</f>
        <v>92.736063000000001</v>
      </c>
      <c r="BR33" s="186">
        <f>BN33*'CALCULO GERAL'!$C$11</f>
        <v>79.149630000000002</v>
      </c>
      <c r="BS33" s="109">
        <f t="shared" si="18"/>
        <v>530302.52100000007</v>
      </c>
      <c r="BT33" s="109">
        <f t="shared" si="30"/>
        <v>143684.87976000004</v>
      </c>
      <c r="BU33" s="109">
        <f t="shared" si="19"/>
        <v>530302.52100000007</v>
      </c>
      <c r="BV33" s="109">
        <f t="shared" si="31"/>
        <v>465586.31539841252</v>
      </c>
      <c r="BW33" s="109">
        <f t="shared" si="32"/>
        <v>64716.205601587542</v>
      </c>
      <c r="BX33" s="114">
        <f t="shared" si="20"/>
        <v>0.12203639062388605</v>
      </c>
      <c r="BY33" s="152">
        <f t="shared" si="33"/>
        <v>0.74</v>
      </c>
      <c r="CA33" s="55"/>
      <c r="CB33" s="113"/>
      <c r="CC33" s="113"/>
      <c r="CE33" s="152">
        <f t="shared" si="34"/>
        <v>0</v>
      </c>
      <c r="CF33" s="152">
        <f t="shared" si="35"/>
        <v>1</v>
      </c>
      <c r="CG33" s="152">
        <f t="shared" si="36"/>
        <v>1</v>
      </c>
      <c r="CH33" s="34"/>
      <c r="CJ33" s="11"/>
      <c r="CK33" s="11"/>
    </row>
    <row r="34" spans="1:89" s="152" customFormat="1" ht="16" x14ac:dyDescent="0.2">
      <c r="A34" s="228" t="s">
        <v>508</v>
      </c>
      <c r="B34" s="187" t="s">
        <v>174</v>
      </c>
      <c r="C34" s="8">
        <v>0.16200000000000001</v>
      </c>
      <c r="D34" s="8">
        <v>0</v>
      </c>
      <c r="E34" s="7">
        <v>2.1000000000000001E-2</v>
      </c>
      <c r="F34" s="7">
        <v>9.6500000000000002E-2</v>
      </c>
      <c r="G34" s="1">
        <v>1.6500000000000001E-2</v>
      </c>
      <c r="H34" s="1">
        <v>7.5999999999999998E-2</v>
      </c>
      <c r="I34" s="1">
        <v>0.18</v>
      </c>
      <c r="J34" s="1">
        <v>0.04</v>
      </c>
      <c r="K34" s="1">
        <v>0.14000000000000001</v>
      </c>
      <c r="L34" s="1">
        <v>1.4999999999999999E-2</v>
      </c>
      <c r="M34" s="2" t="s">
        <v>175</v>
      </c>
      <c r="N34" s="105">
        <v>6700</v>
      </c>
      <c r="O34" s="119">
        <v>9.5399999999999991</v>
      </c>
      <c r="P34" s="119"/>
      <c r="Q34" s="119"/>
      <c r="R34" s="119"/>
      <c r="S34" s="119"/>
      <c r="T34" s="119"/>
      <c r="U34" s="119"/>
      <c r="V34" s="205"/>
      <c r="W34" s="119"/>
      <c r="X34" s="119">
        <f t="shared" si="0"/>
        <v>9.5399999999999991</v>
      </c>
      <c r="Y34" s="118">
        <f t="shared" si="1"/>
        <v>9.5399999999999991</v>
      </c>
      <c r="Z34" s="109">
        <f t="shared" si="2"/>
        <v>63917.999999999993</v>
      </c>
      <c r="AA34" s="109">
        <f>'CALCULO GERAL'!$G$10</f>
        <v>6300</v>
      </c>
      <c r="AB34" s="109">
        <f t="shared" si="3"/>
        <v>70218</v>
      </c>
      <c r="AC34" s="109">
        <f>AB34*'CALCULO GERAL'!$C$11</f>
        <v>352424.14199999999</v>
      </c>
      <c r="AD34" s="109">
        <f t="shared" si="4"/>
        <v>57092.711003999997</v>
      </c>
      <c r="AE34" s="109">
        <f t="shared" si="5"/>
        <v>0</v>
      </c>
      <c r="AF34" s="109">
        <f t="shared" si="6"/>
        <v>7400.9069820000004</v>
      </c>
      <c r="AG34" s="109">
        <f t="shared" si="7"/>
        <v>34008.929703000002</v>
      </c>
      <c r="AH34" s="109">
        <v>154.22999999999999</v>
      </c>
      <c r="AI34" s="109">
        <f>((AA34*'CALCULO GERAL'!$C$11))*0.08+20</f>
        <v>2549.576</v>
      </c>
      <c r="AJ34" s="109">
        <v>1010</v>
      </c>
      <c r="AK34" s="109">
        <v>2500</v>
      </c>
      <c r="AL34" s="109">
        <f>(AA34*('CALCULO GERAL'!$C$11*1.02))-(AA34*'CALCULO GERAL'!$C$11)</f>
        <v>632.39400000000387</v>
      </c>
      <c r="AM34" s="109">
        <v>1800</v>
      </c>
      <c r="AN34" s="109">
        <v>2600</v>
      </c>
      <c r="AO34" s="109">
        <v>9400</v>
      </c>
      <c r="AP34" s="109">
        <v>1000</v>
      </c>
      <c r="AQ34" s="109">
        <f t="shared" si="21"/>
        <v>-7400.9069820000004</v>
      </c>
      <c r="AR34" s="109">
        <f t="shared" si="22"/>
        <v>-34008.929703000002</v>
      </c>
      <c r="AS34" s="109"/>
      <c r="AT34" s="109">
        <f t="shared" si="23"/>
        <v>431163.05300399999</v>
      </c>
      <c r="AU34" s="111">
        <f t="shared" si="8"/>
        <v>64.35269447820896</v>
      </c>
      <c r="AV34" s="109">
        <f>IFERROR((BS34*'CALCULO GERAL'!$E$11)/N34,0)</f>
        <v>1.7646803999999996</v>
      </c>
      <c r="AW34" s="109">
        <f>AU34/'CALCULO GERAL'!$C$11</f>
        <v>12.82181599486132</v>
      </c>
      <c r="AX34" s="109">
        <f>BP34-BB34-BD34*'CALCULO GERAL'!$C$11</f>
        <v>86.910509699999992</v>
      </c>
      <c r="AY34" s="109">
        <f t="shared" si="24"/>
        <v>1.43402341005</v>
      </c>
      <c r="AZ34" s="109">
        <f t="shared" si="9"/>
        <v>6.6051987371999994</v>
      </c>
      <c r="BA34" s="109">
        <f t="shared" si="10"/>
        <v>88.234019999999987</v>
      </c>
      <c r="BB34" s="109">
        <f t="shared" si="11"/>
        <v>1.3235102999999997</v>
      </c>
      <c r="BC34" s="109">
        <f t="shared" si="12"/>
        <v>88.234019999999987</v>
      </c>
      <c r="BD34" s="109">
        <f t="shared" si="13"/>
        <v>0</v>
      </c>
      <c r="BE34" s="109">
        <f t="shared" si="25"/>
        <v>47293.43471999999</v>
      </c>
      <c r="BF34" s="109">
        <f t="shared" si="26"/>
        <v>70940.152079999985</v>
      </c>
      <c r="BG34" s="109">
        <f t="shared" si="14"/>
        <v>0.95292741599999986</v>
      </c>
      <c r="BH34" s="109">
        <f t="shared" si="15"/>
        <v>1.0588082399999996</v>
      </c>
      <c r="BI34" s="109">
        <f t="shared" si="16"/>
        <v>0</v>
      </c>
      <c r="BJ34" s="109">
        <f t="shared" si="27"/>
        <v>13.139148503249999</v>
      </c>
      <c r="BK34" s="109">
        <f t="shared" si="28"/>
        <v>77.491842981458959</v>
      </c>
      <c r="BL34" s="148">
        <v>0.74</v>
      </c>
      <c r="BM34" s="112">
        <f>ROUND((AW34/BL34)+((AW34*BL34)*'CALCULO GERAL'!$E$11)/BL34,2)</f>
        <v>17.579999999999998</v>
      </c>
      <c r="BN34" s="186">
        <f t="shared" si="17"/>
        <v>17.579999999999998</v>
      </c>
      <c r="BO34" s="186">
        <f t="shared" si="29"/>
        <v>20.597999999999999</v>
      </c>
      <c r="BP34" s="109">
        <f>BM34*'CALCULO GERAL'!$C$11</f>
        <v>88.234019999999987</v>
      </c>
      <c r="BQ34" s="109">
        <f>BO34*'CALCULO GERAL'!$C$11</f>
        <v>103.381362</v>
      </c>
      <c r="BR34" s="186">
        <f>BN34*'CALCULO GERAL'!$C$11</f>
        <v>88.234019999999987</v>
      </c>
      <c r="BS34" s="109">
        <f t="shared" si="18"/>
        <v>591167.93399999989</v>
      </c>
      <c r="BT34" s="109">
        <f t="shared" si="30"/>
        <v>160004.88099599991</v>
      </c>
      <c r="BU34" s="109">
        <f t="shared" si="19"/>
        <v>591167.93399999989</v>
      </c>
      <c r="BV34" s="109">
        <f t="shared" si="31"/>
        <v>519195.34797577502</v>
      </c>
      <c r="BW34" s="109">
        <f t="shared" si="32"/>
        <v>71972.586024224875</v>
      </c>
      <c r="BX34" s="114">
        <f t="shared" si="20"/>
        <v>0.12174643089526045</v>
      </c>
      <c r="BY34" s="152">
        <f t="shared" si="33"/>
        <v>0.74</v>
      </c>
      <c r="CA34" s="55"/>
      <c r="CB34" s="113"/>
      <c r="CC34" s="113"/>
      <c r="CE34" s="152">
        <f t="shared" si="34"/>
        <v>0</v>
      </c>
      <c r="CF34" s="152">
        <f t="shared" si="35"/>
        <v>1</v>
      </c>
      <c r="CG34" s="152">
        <f t="shared" si="36"/>
        <v>1</v>
      </c>
      <c r="CH34" s="34"/>
      <c r="CJ34" s="11"/>
      <c r="CK34" s="11"/>
    </row>
    <row r="35" spans="1:89" s="152" customFormat="1" ht="16" x14ac:dyDescent="0.2">
      <c r="A35" s="228" t="s">
        <v>509</v>
      </c>
      <c r="B35" s="187" t="s">
        <v>174</v>
      </c>
      <c r="C35" s="8">
        <v>0.16200000000000001</v>
      </c>
      <c r="D35" s="8">
        <v>0</v>
      </c>
      <c r="E35" s="7">
        <v>2.1000000000000001E-2</v>
      </c>
      <c r="F35" s="7">
        <v>9.6500000000000002E-2</v>
      </c>
      <c r="G35" s="1">
        <v>1.6500000000000001E-2</v>
      </c>
      <c r="H35" s="1">
        <v>7.5999999999999998E-2</v>
      </c>
      <c r="I35" s="1">
        <v>0.18</v>
      </c>
      <c r="J35" s="1">
        <v>0.04</v>
      </c>
      <c r="K35" s="1">
        <v>0.14000000000000001</v>
      </c>
      <c r="L35" s="1">
        <v>1.4999999999999999E-2</v>
      </c>
      <c r="M35" s="2" t="s">
        <v>175</v>
      </c>
      <c r="N35" s="105">
        <v>6700</v>
      </c>
      <c r="O35" s="119">
        <v>10.95</v>
      </c>
      <c r="P35" s="119"/>
      <c r="Q35" s="119"/>
      <c r="R35" s="119"/>
      <c r="S35" s="119"/>
      <c r="T35" s="119"/>
      <c r="U35" s="119"/>
      <c r="V35" s="205"/>
      <c r="W35" s="119"/>
      <c r="X35" s="119">
        <f t="shared" si="0"/>
        <v>10.95</v>
      </c>
      <c r="Y35" s="118">
        <f t="shared" si="1"/>
        <v>10.95</v>
      </c>
      <c r="Z35" s="109">
        <f t="shared" si="2"/>
        <v>73365</v>
      </c>
      <c r="AA35" s="109">
        <f>'CALCULO GERAL'!$G$10</f>
        <v>6300</v>
      </c>
      <c r="AB35" s="109">
        <f t="shared" si="3"/>
        <v>79665</v>
      </c>
      <c r="AC35" s="109">
        <f>AB35*'CALCULO GERAL'!$C$11</f>
        <v>399838.63500000001</v>
      </c>
      <c r="AD35" s="109">
        <f t="shared" si="4"/>
        <v>64773.858870000004</v>
      </c>
      <c r="AE35" s="109">
        <f t="shared" si="5"/>
        <v>0</v>
      </c>
      <c r="AF35" s="109">
        <f t="shared" si="6"/>
        <v>8396.6113350000014</v>
      </c>
      <c r="AG35" s="109">
        <f t="shared" si="7"/>
        <v>38584.428277500003</v>
      </c>
      <c r="AH35" s="109">
        <v>154.22999999999999</v>
      </c>
      <c r="AI35" s="109">
        <f>((AA35*'CALCULO GERAL'!$C$11))*0.08+20</f>
        <v>2549.576</v>
      </c>
      <c r="AJ35" s="109">
        <v>1010</v>
      </c>
      <c r="AK35" s="109">
        <v>2500</v>
      </c>
      <c r="AL35" s="109">
        <f>(AA35*('CALCULO GERAL'!$C$11*1.02))-(AA35*'CALCULO GERAL'!$C$11)</f>
        <v>632.39400000000387</v>
      </c>
      <c r="AM35" s="109">
        <v>1800</v>
      </c>
      <c r="AN35" s="109">
        <v>2600</v>
      </c>
      <c r="AO35" s="109">
        <v>9400</v>
      </c>
      <c r="AP35" s="109">
        <v>1000</v>
      </c>
      <c r="AQ35" s="109">
        <f t="shared" si="21"/>
        <v>-8396.6113350000014</v>
      </c>
      <c r="AR35" s="109">
        <f t="shared" si="22"/>
        <v>-38584.428277500003</v>
      </c>
      <c r="AS35" s="109"/>
      <c r="AT35" s="109">
        <f t="shared" si="23"/>
        <v>486258.69387000008</v>
      </c>
      <c r="AU35" s="111">
        <f t="shared" si="8"/>
        <v>72.575924458208974</v>
      </c>
      <c r="AV35" s="109">
        <f>IFERROR((BS35*'CALCULO GERAL'!$E$11)/N35,0)</f>
        <v>1.9905353999999997</v>
      </c>
      <c r="AW35" s="109">
        <f>AU35/'CALCULO GERAL'!$C$11</f>
        <v>14.460235994861321</v>
      </c>
      <c r="AX35" s="109">
        <f>BP35-BB35-BD35*'CALCULO GERAL'!$C$11</f>
        <v>98.03386845</v>
      </c>
      <c r="AY35" s="109">
        <f t="shared" si="24"/>
        <v>1.6175588294250001</v>
      </c>
      <c r="AZ35" s="109">
        <f t="shared" si="9"/>
        <v>7.4505740021999998</v>
      </c>
      <c r="BA35" s="109">
        <f t="shared" si="10"/>
        <v>99.526769999999999</v>
      </c>
      <c r="BB35" s="109">
        <f t="shared" si="11"/>
        <v>1.49290155</v>
      </c>
      <c r="BC35" s="109">
        <f t="shared" si="12"/>
        <v>99.526769999999999</v>
      </c>
      <c r="BD35" s="109">
        <f t="shared" si="13"/>
        <v>0</v>
      </c>
      <c r="BE35" s="109">
        <f t="shared" ref="BE35:BE66" si="37">BU35*0.08</f>
        <v>53346.348719999995</v>
      </c>
      <c r="BF35" s="109">
        <f t="shared" ref="BF35:BF66" si="38">BU35*0.12</f>
        <v>80019.523079999984</v>
      </c>
      <c r="BG35" s="109">
        <f t="shared" si="14"/>
        <v>1.0748891159999998</v>
      </c>
      <c r="BH35" s="109">
        <f t="shared" si="15"/>
        <v>1.1943212399999998</v>
      </c>
      <c r="BI35" s="109">
        <f t="shared" si="16"/>
        <v>0</v>
      </c>
      <c r="BJ35" s="109">
        <f t="shared" si="27"/>
        <v>14.820780137624997</v>
      </c>
      <c r="BK35" s="109">
        <f t="shared" si="28"/>
        <v>87.396704595833967</v>
      </c>
      <c r="BL35" s="148">
        <v>0.74</v>
      </c>
      <c r="BM35" s="112">
        <f>ROUND((AW35/BL35)+((AW35*BL35)*'CALCULO GERAL'!$E$11)/BL35,2)</f>
        <v>19.829999999999998</v>
      </c>
      <c r="BN35" s="186">
        <f t="shared" si="17"/>
        <v>19.829999999999998</v>
      </c>
      <c r="BO35" s="186">
        <f t="shared" si="29"/>
        <v>23.234000000000002</v>
      </c>
      <c r="BP35" s="109">
        <f>BM35*'CALCULO GERAL'!$C$11</f>
        <v>99.526769999999999</v>
      </c>
      <c r="BQ35" s="109">
        <f>BO35*'CALCULO GERAL'!$C$11</f>
        <v>116.61144600000002</v>
      </c>
      <c r="BR35" s="186">
        <f>BN35*'CALCULO GERAL'!$C$11</f>
        <v>99.526769999999999</v>
      </c>
      <c r="BS35" s="109">
        <f t="shared" si="18"/>
        <v>666829.35899999994</v>
      </c>
      <c r="BT35" s="109">
        <f t="shared" si="30"/>
        <v>180570.66512999986</v>
      </c>
      <c r="BU35" s="109">
        <f t="shared" si="19"/>
        <v>666829.35899999994</v>
      </c>
      <c r="BV35" s="109">
        <f t="shared" si="31"/>
        <v>585557.92079208756</v>
      </c>
      <c r="BW35" s="109">
        <f t="shared" si="32"/>
        <v>81271.438207912375</v>
      </c>
      <c r="BX35" s="114">
        <f t="shared" si="20"/>
        <v>0.12187741453044269</v>
      </c>
      <c r="BY35" s="152">
        <f t="shared" si="33"/>
        <v>0.74</v>
      </c>
      <c r="CA35" s="55"/>
      <c r="CB35" s="113"/>
      <c r="CC35" s="113"/>
      <c r="CE35" s="152">
        <f t="shared" si="34"/>
        <v>0</v>
      </c>
      <c r="CF35" s="152">
        <f t="shared" si="35"/>
        <v>1</v>
      </c>
      <c r="CG35" s="152">
        <f t="shared" si="36"/>
        <v>1</v>
      </c>
      <c r="CH35" s="34"/>
      <c r="CJ35" s="11"/>
      <c r="CK35" s="11"/>
    </row>
    <row r="36" spans="1:89" s="152" customFormat="1" ht="16" x14ac:dyDescent="0.2">
      <c r="A36" s="228" t="s">
        <v>510</v>
      </c>
      <c r="B36" s="187" t="s">
        <v>174</v>
      </c>
      <c r="C36" s="8">
        <v>0.16200000000000001</v>
      </c>
      <c r="D36" s="8">
        <v>0</v>
      </c>
      <c r="E36" s="7">
        <v>2.1000000000000001E-2</v>
      </c>
      <c r="F36" s="7">
        <v>9.6500000000000002E-2</v>
      </c>
      <c r="G36" s="1">
        <v>1.6500000000000001E-2</v>
      </c>
      <c r="H36" s="1">
        <v>7.5999999999999998E-2</v>
      </c>
      <c r="I36" s="1">
        <v>0.18</v>
      </c>
      <c r="J36" s="1">
        <v>0.04</v>
      </c>
      <c r="K36" s="1">
        <v>0.14000000000000001</v>
      </c>
      <c r="L36" s="1">
        <v>1.4999999999999999E-2</v>
      </c>
      <c r="M36" s="2" t="s">
        <v>175</v>
      </c>
      <c r="N36" s="105">
        <v>6700</v>
      </c>
      <c r="O36" s="119">
        <v>10.199999999999999</v>
      </c>
      <c r="P36" s="119"/>
      <c r="Q36" s="119"/>
      <c r="R36" s="119"/>
      <c r="S36" s="119"/>
      <c r="T36" s="119"/>
      <c r="U36" s="119"/>
      <c r="V36" s="205"/>
      <c r="W36" s="119"/>
      <c r="X36" s="119">
        <f t="shared" si="0"/>
        <v>10.199999999999999</v>
      </c>
      <c r="Y36" s="118">
        <f t="shared" si="1"/>
        <v>10.199999999999999</v>
      </c>
      <c r="Z36" s="109">
        <f t="shared" si="2"/>
        <v>68340</v>
      </c>
      <c r="AA36" s="109">
        <f>'CALCULO GERAL'!$G$10</f>
        <v>6300</v>
      </c>
      <c r="AB36" s="109">
        <f t="shared" si="3"/>
        <v>74640</v>
      </c>
      <c r="AC36" s="109">
        <f>AB36*'CALCULO GERAL'!$C$11</f>
        <v>374618.16000000003</v>
      </c>
      <c r="AD36" s="109">
        <f t="shared" si="4"/>
        <v>60688.141920000009</v>
      </c>
      <c r="AE36" s="109">
        <f t="shared" si="5"/>
        <v>0</v>
      </c>
      <c r="AF36" s="109">
        <f t="shared" si="6"/>
        <v>7866.9813600000016</v>
      </c>
      <c r="AG36" s="109">
        <f t="shared" si="7"/>
        <v>36150.652440000005</v>
      </c>
      <c r="AH36" s="109">
        <v>154.22999999999999</v>
      </c>
      <c r="AI36" s="109">
        <f>((AA36*'CALCULO GERAL'!$C$11))*0.08+20</f>
        <v>2549.576</v>
      </c>
      <c r="AJ36" s="109">
        <v>1010</v>
      </c>
      <c r="AK36" s="109">
        <v>2500</v>
      </c>
      <c r="AL36" s="109">
        <f>(AA36*('CALCULO GERAL'!$C$11*1.02))-(AA36*'CALCULO GERAL'!$C$11)</f>
        <v>632.39400000000387</v>
      </c>
      <c r="AM36" s="109">
        <v>1800</v>
      </c>
      <c r="AN36" s="109">
        <v>2600</v>
      </c>
      <c r="AO36" s="109">
        <v>9400</v>
      </c>
      <c r="AP36" s="109">
        <v>1000</v>
      </c>
      <c r="AQ36" s="109">
        <f t="shared" si="21"/>
        <v>-7866.9813600000016</v>
      </c>
      <c r="AR36" s="109">
        <f t="shared" si="22"/>
        <v>-36150.652440000005</v>
      </c>
      <c r="AS36" s="109"/>
      <c r="AT36" s="109">
        <f t="shared" si="23"/>
        <v>456952.50192000007</v>
      </c>
      <c r="AU36" s="111">
        <f t="shared" si="8"/>
        <v>68.20186595820897</v>
      </c>
      <c r="AV36" s="109">
        <f>IFERROR((BS36*'CALCULO GERAL'!$E$11)/N36,0)</f>
        <v>1.8700794000000001</v>
      </c>
      <c r="AW36" s="109">
        <f>AU36/'CALCULO GERAL'!$C$11</f>
        <v>13.58873599486132</v>
      </c>
      <c r="AX36" s="109">
        <f>BP36-BB36-BD36*'CALCULO GERAL'!$C$11</f>
        <v>92.101410449999989</v>
      </c>
      <c r="AY36" s="109">
        <f t="shared" si="24"/>
        <v>1.5196732724249999</v>
      </c>
      <c r="AZ36" s="109">
        <f t="shared" si="9"/>
        <v>6.9997071941999991</v>
      </c>
      <c r="BA36" s="109">
        <f t="shared" si="10"/>
        <v>93.503969999999995</v>
      </c>
      <c r="BB36" s="109">
        <f t="shared" si="11"/>
        <v>1.4025595499999999</v>
      </c>
      <c r="BC36" s="109">
        <f t="shared" si="12"/>
        <v>93.503969999999995</v>
      </c>
      <c r="BD36" s="109">
        <f t="shared" si="13"/>
        <v>0</v>
      </c>
      <c r="BE36" s="109">
        <f t="shared" si="37"/>
        <v>50118.127919999999</v>
      </c>
      <c r="BF36" s="109">
        <f t="shared" si="38"/>
        <v>75177.191879999984</v>
      </c>
      <c r="BG36" s="109">
        <f t="shared" si="14"/>
        <v>1.0098428759999998</v>
      </c>
      <c r="BH36" s="109">
        <f t="shared" si="15"/>
        <v>1.1220476399999999</v>
      </c>
      <c r="BI36" s="109">
        <f t="shared" si="16"/>
        <v>0</v>
      </c>
      <c r="BJ36" s="109">
        <f t="shared" si="27"/>
        <v>13.923909932624998</v>
      </c>
      <c r="BK36" s="109">
        <f t="shared" si="28"/>
        <v>82.125775890833964</v>
      </c>
      <c r="BL36" s="148">
        <v>0.74</v>
      </c>
      <c r="BM36" s="112">
        <f>ROUND((AW36/BL36)+((AW36*BL36)*'CALCULO GERAL'!$E$11)/BL36,2)</f>
        <v>18.63</v>
      </c>
      <c r="BN36" s="186">
        <f t="shared" si="17"/>
        <v>18.63</v>
      </c>
      <c r="BO36" s="186">
        <f t="shared" si="29"/>
        <v>21.827999999999999</v>
      </c>
      <c r="BP36" s="109">
        <f>BM36*'CALCULO GERAL'!$C$11</f>
        <v>93.503969999999995</v>
      </c>
      <c r="BQ36" s="109">
        <f>BO36*'CALCULO GERAL'!$C$11</f>
        <v>109.554732</v>
      </c>
      <c r="BR36" s="186">
        <f>BN36*'CALCULO GERAL'!$C$11</f>
        <v>93.503969999999995</v>
      </c>
      <c r="BS36" s="109">
        <f t="shared" si="18"/>
        <v>626476.59899999993</v>
      </c>
      <c r="BT36" s="109">
        <f t="shared" si="30"/>
        <v>169524.09707999986</v>
      </c>
      <c r="BU36" s="109">
        <f t="shared" si="19"/>
        <v>626476.59899999993</v>
      </c>
      <c r="BV36" s="109">
        <f t="shared" si="31"/>
        <v>550242.69846858759</v>
      </c>
      <c r="BW36" s="109">
        <f t="shared" si="32"/>
        <v>76233.900531412335</v>
      </c>
      <c r="BX36" s="114">
        <f t="shared" si="20"/>
        <v>0.12168674879971429</v>
      </c>
      <c r="BY36" s="152">
        <f t="shared" si="33"/>
        <v>0.74</v>
      </c>
      <c r="CA36" s="55"/>
      <c r="CB36" s="113"/>
      <c r="CC36" s="113"/>
      <c r="CE36" s="152">
        <f t="shared" si="34"/>
        <v>0</v>
      </c>
      <c r="CF36" s="152">
        <f t="shared" si="35"/>
        <v>1</v>
      </c>
      <c r="CG36" s="152">
        <f t="shared" si="36"/>
        <v>1</v>
      </c>
      <c r="CH36" s="34"/>
      <c r="CJ36" s="11"/>
      <c r="CK36" s="11"/>
    </row>
    <row r="37" spans="1:89" s="152" customFormat="1" ht="16" x14ac:dyDescent="0.2">
      <c r="A37" s="228" t="s">
        <v>511</v>
      </c>
      <c r="B37" s="187" t="s">
        <v>174</v>
      </c>
      <c r="C37" s="8">
        <v>0.16200000000000001</v>
      </c>
      <c r="D37" s="8">
        <v>0</v>
      </c>
      <c r="E37" s="7">
        <v>2.1000000000000001E-2</v>
      </c>
      <c r="F37" s="7">
        <v>9.6500000000000002E-2</v>
      </c>
      <c r="G37" s="1">
        <v>1.6500000000000001E-2</v>
      </c>
      <c r="H37" s="1">
        <v>7.5999999999999998E-2</v>
      </c>
      <c r="I37" s="1">
        <v>0.18</v>
      </c>
      <c r="J37" s="1">
        <v>0.04</v>
      </c>
      <c r="K37" s="1">
        <v>0.14000000000000001</v>
      </c>
      <c r="L37" s="1">
        <v>1.4999999999999999E-2</v>
      </c>
      <c r="M37" s="2" t="s">
        <v>175</v>
      </c>
      <c r="N37" s="105">
        <v>6700</v>
      </c>
      <c r="O37" s="119">
        <v>13.25</v>
      </c>
      <c r="P37" s="119"/>
      <c r="Q37" s="119"/>
      <c r="R37" s="119"/>
      <c r="S37" s="119"/>
      <c r="T37" s="119"/>
      <c r="U37" s="119"/>
      <c r="V37" s="205"/>
      <c r="W37" s="119"/>
      <c r="X37" s="119">
        <f t="shared" si="0"/>
        <v>13.25</v>
      </c>
      <c r="Y37" s="118">
        <f t="shared" si="1"/>
        <v>13.25</v>
      </c>
      <c r="Z37" s="109">
        <f t="shared" si="2"/>
        <v>88775</v>
      </c>
      <c r="AA37" s="109">
        <f>'CALCULO GERAL'!$G$10</f>
        <v>6300</v>
      </c>
      <c r="AB37" s="109">
        <f t="shared" si="3"/>
        <v>95075</v>
      </c>
      <c r="AC37" s="109">
        <f>AB37*'CALCULO GERAL'!$C$11</f>
        <v>477181.42499999999</v>
      </c>
      <c r="AD37" s="109">
        <f t="shared" si="4"/>
        <v>77303.390849999996</v>
      </c>
      <c r="AE37" s="109">
        <f t="shared" si="5"/>
        <v>0</v>
      </c>
      <c r="AF37" s="109">
        <f t="shared" si="6"/>
        <v>10020.809925</v>
      </c>
      <c r="AG37" s="109">
        <f t="shared" si="7"/>
        <v>46048.0075125</v>
      </c>
      <c r="AH37" s="109">
        <v>154.22999999999999</v>
      </c>
      <c r="AI37" s="109">
        <f>((AA37*'CALCULO GERAL'!$C$11))*0.08+20</f>
        <v>2549.576</v>
      </c>
      <c r="AJ37" s="109">
        <v>1010</v>
      </c>
      <c r="AK37" s="109">
        <v>2500</v>
      </c>
      <c r="AL37" s="109">
        <f>(AA37*('CALCULO GERAL'!$C$11*1.02))-(AA37*'CALCULO GERAL'!$C$11)</f>
        <v>632.39400000000387</v>
      </c>
      <c r="AM37" s="109">
        <v>1800</v>
      </c>
      <c r="AN37" s="109">
        <v>2600</v>
      </c>
      <c r="AO37" s="109">
        <v>9400</v>
      </c>
      <c r="AP37" s="109">
        <v>1000</v>
      </c>
      <c r="AQ37" s="109">
        <f t="shared" si="21"/>
        <v>-10020.809925</v>
      </c>
      <c r="AR37" s="109">
        <f t="shared" si="22"/>
        <v>-46048.0075125</v>
      </c>
      <c r="AS37" s="109"/>
      <c r="AT37" s="109">
        <f t="shared" si="23"/>
        <v>576131.01584999997</v>
      </c>
      <c r="AU37" s="111">
        <f t="shared" si="8"/>
        <v>85.989703858208955</v>
      </c>
      <c r="AV37" s="109">
        <f>IFERROR((BS37*'CALCULO GERAL'!$E$11)/N37,0)</f>
        <v>2.3589300000000004</v>
      </c>
      <c r="AW37" s="109">
        <f>AU37/'CALCULO GERAL'!$C$11</f>
        <v>17.132835994861317</v>
      </c>
      <c r="AX37" s="109">
        <f>BP37-BB37-BD37*'CALCULO GERAL'!$C$11</f>
        <v>116.1773025</v>
      </c>
      <c r="AY37" s="109">
        <f t="shared" si="24"/>
        <v>1.91692549125</v>
      </c>
      <c r="AZ37" s="109">
        <f t="shared" si="9"/>
        <v>8.8294749899999996</v>
      </c>
      <c r="BA37" s="109">
        <f t="shared" si="10"/>
        <v>117.9465</v>
      </c>
      <c r="BB37" s="109">
        <f t="shared" si="11"/>
        <v>1.7691975</v>
      </c>
      <c r="BC37" s="109">
        <f t="shared" si="12"/>
        <v>117.9465</v>
      </c>
      <c r="BD37" s="109">
        <f t="shared" si="13"/>
        <v>0</v>
      </c>
      <c r="BE37" s="109">
        <f t="shared" si="37"/>
        <v>63219.324000000008</v>
      </c>
      <c r="BF37" s="109">
        <f t="shared" si="38"/>
        <v>94828.986000000004</v>
      </c>
      <c r="BG37" s="109">
        <f t="shared" si="14"/>
        <v>1.2738221999999999</v>
      </c>
      <c r="BH37" s="109">
        <f t="shared" si="15"/>
        <v>1.4153580000000001</v>
      </c>
      <c r="BI37" s="109">
        <f t="shared" si="16"/>
        <v>-4.8049761194030004E-2</v>
      </c>
      <c r="BJ37" s="109">
        <f t="shared" si="27"/>
        <v>17.515658420055974</v>
      </c>
      <c r="BK37" s="109">
        <f t="shared" si="28"/>
        <v>103.50536227826493</v>
      </c>
      <c r="BL37" s="148">
        <v>0.74</v>
      </c>
      <c r="BM37" s="112">
        <f>ROUND((AW37/BL37)+((AW37*BL37)*'CALCULO GERAL'!$E$11)/BL37,2)</f>
        <v>23.5</v>
      </c>
      <c r="BN37" s="186">
        <f t="shared" si="17"/>
        <v>23.5</v>
      </c>
      <c r="BO37" s="186">
        <f t="shared" si="29"/>
        <v>27.533999999999999</v>
      </c>
      <c r="BP37" s="109">
        <f>BM37*'CALCULO GERAL'!$C$11</f>
        <v>117.9465</v>
      </c>
      <c r="BQ37" s="109">
        <f>BO37*'CALCULO GERAL'!$C$11</f>
        <v>138.19314599999998</v>
      </c>
      <c r="BR37" s="186">
        <f>BN37*'CALCULO GERAL'!$C$11</f>
        <v>117.9465</v>
      </c>
      <c r="BS37" s="109">
        <f t="shared" si="18"/>
        <v>790241.55</v>
      </c>
      <c r="BT37" s="109">
        <f t="shared" si="30"/>
        <v>214110.53415000008</v>
      </c>
      <c r="BU37" s="109">
        <f t="shared" si="19"/>
        <v>790241.55</v>
      </c>
      <c r="BV37" s="109">
        <f t="shared" si="31"/>
        <v>693485.92726437503</v>
      </c>
      <c r="BW37" s="109">
        <f t="shared" si="32"/>
        <v>96755.622735625017</v>
      </c>
      <c r="BX37" s="114">
        <f t="shared" si="20"/>
        <v>0.12243803522559021</v>
      </c>
      <c r="BY37" s="152">
        <f t="shared" si="33"/>
        <v>0.74</v>
      </c>
      <c r="CA37" s="55"/>
      <c r="CB37" s="113"/>
      <c r="CC37" s="113"/>
      <c r="CE37" s="152">
        <f t="shared" si="34"/>
        <v>0</v>
      </c>
      <c r="CF37" s="152">
        <f t="shared" si="35"/>
        <v>1</v>
      </c>
      <c r="CG37" s="152">
        <f t="shared" si="36"/>
        <v>1</v>
      </c>
      <c r="CH37" s="34"/>
      <c r="CJ37" s="11"/>
      <c r="CK37" s="11"/>
    </row>
    <row r="38" spans="1:89" s="152" customFormat="1" ht="16" x14ac:dyDescent="0.2">
      <c r="A38" s="228" t="s">
        <v>512</v>
      </c>
      <c r="B38" s="187" t="s">
        <v>174</v>
      </c>
      <c r="C38" s="8">
        <v>0.16200000000000001</v>
      </c>
      <c r="D38" s="8">
        <v>0</v>
      </c>
      <c r="E38" s="7">
        <v>2.1000000000000001E-2</v>
      </c>
      <c r="F38" s="7">
        <v>9.6500000000000002E-2</v>
      </c>
      <c r="G38" s="1">
        <v>1.6500000000000001E-2</v>
      </c>
      <c r="H38" s="1">
        <v>7.5999999999999998E-2</v>
      </c>
      <c r="I38" s="1">
        <v>0.18</v>
      </c>
      <c r="J38" s="1">
        <v>0.04</v>
      </c>
      <c r="K38" s="1">
        <v>0.14000000000000001</v>
      </c>
      <c r="L38" s="1">
        <v>1.4999999999999999E-2</v>
      </c>
      <c r="M38" s="2" t="s">
        <v>175</v>
      </c>
      <c r="N38" s="105">
        <v>6700</v>
      </c>
      <c r="O38" s="119">
        <v>7.5</v>
      </c>
      <c r="P38" s="119"/>
      <c r="Q38" s="119"/>
      <c r="R38" s="119"/>
      <c r="S38" s="119"/>
      <c r="T38" s="119"/>
      <c r="U38" s="119"/>
      <c r="V38" s="205"/>
      <c r="W38" s="119"/>
      <c r="X38" s="119">
        <f t="shared" si="0"/>
        <v>7.5</v>
      </c>
      <c r="Y38" s="118">
        <f t="shared" si="1"/>
        <v>7.5</v>
      </c>
      <c r="Z38" s="109">
        <f t="shared" si="2"/>
        <v>50250</v>
      </c>
      <c r="AA38" s="109">
        <f>'CALCULO GERAL'!$G$10</f>
        <v>6300</v>
      </c>
      <c r="AB38" s="109">
        <f t="shared" si="3"/>
        <v>56550</v>
      </c>
      <c r="AC38" s="109">
        <f>AB38*'CALCULO GERAL'!$C$11</f>
        <v>283824.45</v>
      </c>
      <c r="AD38" s="109">
        <f t="shared" si="4"/>
        <v>45979.560900000004</v>
      </c>
      <c r="AE38" s="109">
        <f t="shared" si="5"/>
        <v>0</v>
      </c>
      <c r="AF38" s="109">
        <f t="shared" si="6"/>
        <v>5960.3134500000006</v>
      </c>
      <c r="AG38" s="109">
        <f t="shared" si="7"/>
        <v>27389.059425000003</v>
      </c>
      <c r="AH38" s="109">
        <v>154.22999999999999</v>
      </c>
      <c r="AI38" s="109">
        <f>((AA38*'CALCULO GERAL'!$C$11))*0.08+20</f>
        <v>2549.576</v>
      </c>
      <c r="AJ38" s="109">
        <v>1010</v>
      </c>
      <c r="AK38" s="109">
        <v>2500</v>
      </c>
      <c r="AL38" s="109">
        <f>(AA38*('CALCULO GERAL'!$C$11*1.02))-(AA38*'CALCULO GERAL'!$C$11)</f>
        <v>632.39400000000387</v>
      </c>
      <c r="AM38" s="109">
        <v>1800</v>
      </c>
      <c r="AN38" s="109">
        <v>2600</v>
      </c>
      <c r="AO38" s="109">
        <v>9400</v>
      </c>
      <c r="AP38" s="109">
        <v>1000</v>
      </c>
      <c r="AQ38" s="109">
        <f t="shared" si="21"/>
        <v>-5960.3134500000006</v>
      </c>
      <c r="AR38" s="109">
        <f t="shared" si="22"/>
        <v>-27389.059425000003</v>
      </c>
      <c r="AS38" s="109"/>
      <c r="AT38" s="109">
        <f t="shared" si="23"/>
        <v>351450.21090000001</v>
      </c>
      <c r="AU38" s="111">
        <f t="shared" si="8"/>
        <v>52.455255358208959</v>
      </c>
      <c r="AV38" s="109">
        <f>IFERROR((BS38*'CALCULO GERAL'!$E$11)/N38,0)</f>
        <v>1.4384454</v>
      </c>
      <c r="AW38" s="109">
        <f>AU38/'CALCULO GERAL'!$C$11</f>
        <v>10.451335994861319</v>
      </c>
      <c r="AX38" s="109">
        <f>BP38-BB38-BD38*'CALCULO GERAL'!$C$11</f>
        <v>70.84343595</v>
      </c>
      <c r="AY38" s="109">
        <f t="shared" si="24"/>
        <v>1.1689166931750001</v>
      </c>
      <c r="AZ38" s="109">
        <f t="shared" si="9"/>
        <v>5.3841011321999996</v>
      </c>
      <c r="BA38" s="109">
        <f t="shared" si="10"/>
        <v>71.922269999999997</v>
      </c>
      <c r="BB38" s="109">
        <f t="shared" si="11"/>
        <v>1.07883405</v>
      </c>
      <c r="BC38" s="109">
        <f t="shared" si="12"/>
        <v>71.922269999999997</v>
      </c>
      <c r="BD38" s="109">
        <f t="shared" si="13"/>
        <v>0</v>
      </c>
      <c r="BE38" s="109">
        <f t="shared" si="37"/>
        <v>38550.336719999999</v>
      </c>
      <c r="BF38" s="109">
        <f t="shared" si="38"/>
        <v>57825.505079999995</v>
      </c>
      <c r="BG38" s="109">
        <f t="shared" si="14"/>
        <v>0.77676051599999985</v>
      </c>
      <c r="BH38" s="109">
        <f t="shared" si="15"/>
        <v>0.8630672399999999</v>
      </c>
      <c r="BI38" s="109">
        <f t="shared" si="16"/>
        <v>0</v>
      </c>
      <c r="BJ38" s="109">
        <f t="shared" si="27"/>
        <v>10.710125031375</v>
      </c>
      <c r="BK38" s="109">
        <f t="shared" si="28"/>
        <v>63.165380389583959</v>
      </c>
      <c r="BL38" s="148">
        <v>0.74</v>
      </c>
      <c r="BM38" s="112">
        <f>ROUND((AW38/BL38)+((AW38*BL38)*'CALCULO GERAL'!$E$11)/BL38,2)</f>
        <v>14.33</v>
      </c>
      <c r="BN38" s="186">
        <f t="shared" si="17"/>
        <v>14.33</v>
      </c>
      <c r="BO38" s="186">
        <f t="shared" si="29"/>
        <v>16.79</v>
      </c>
      <c r="BP38" s="109">
        <f>BM38*'CALCULO GERAL'!$C$11</f>
        <v>71.922269999999997</v>
      </c>
      <c r="BQ38" s="109">
        <f>BO38*'CALCULO GERAL'!$C$11</f>
        <v>84.269009999999994</v>
      </c>
      <c r="BR38" s="186">
        <f>BN38*'CALCULO GERAL'!$C$11</f>
        <v>71.922269999999997</v>
      </c>
      <c r="BS38" s="109">
        <f t="shared" si="18"/>
        <v>481879.20899999997</v>
      </c>
      <c r="BT38" s="109">
        <f t="shared" si="30"/>
        <v>130428.99809999997</v>
      </c>
      <c r="BU38" s="109">
        <f t="shared" si="19"/>
        <v>481879.20899999997</v>
      </c>
      <c r="BV38" s="109">
        <f t="shared" si="31"/>
        <v>423208.04861021251</v>
      </c>
      <c r="BW38" s="109">
        <f t="shared" si="32"/>
        <v>58671.160389787459</v>
      </c>
      <c r="BX38" s="114">
        <f t="shared" si="20"/>
        <v>0.12175491138441596</v>
      </c>
      <c r="BY38" s="152">
        <f t="shared" si="33"/>
        <v>0.74</v>
      </c>
      <c r="CA38" s="55"/>
      <c r="CB38" s="113"/>
      <c r="CC38" s="113"/>
      <c r="CE38" s="152">
        <f t="shared" si="34"/>
        <v>0</v>
      </c>
      <c r="CF38" s="152">
        <f t="shared" si="35"/>
        <v>1</v>
      </c>
      <c r="CG38" s="152">
        <f t="shared" si="36"/>
        <v>1</v>
      </c>
      <c r="CH38" s="34"/>
      <c r="CJ38" s="11"/>
      <c r="CK38" s="11"/>
    </row>
    <row r="39" spans="1:89" s="152" customFormat="1" ht="16" x14ac:dyDescent="0.2">
      <c r="A39" s="228" t="s">
        <v>513</v>
      </c>
      <c r="B39" s="187" t="s">
        <v>174</v>
      </c>
      <c r="C39" s="8">
        <v>0.16200000000000001</v>
      </c>
      <c r="D39" s="8">
        <v>0</v>
      </c>
      <c r="E39" s="7">
        <v>2.1000000000000001E-2</v>
      </c>
      <c r="F39" s="7">
        <v>9.6500000000000002E-2</v>
      </c>
      <c r="G39" s="1">
        <v>1.6500000000000001E-2</v>
      </c>
      <c r="H39" s="1">
        <v>7.5999999999999998E-2</v>
      </c>
      <c r="I39" s="1">
        <v>0.18</v>
      </c>
      <c r="J39" s="1">
        <v>0.04</v>
      </c>
      <c r="K39" s="1">
        <v>0.14000000000000001</v>
      </c>
      <c r="L39" s="1">
        <v>1.4999999999999999E-2</v>
      </c>
      <c r="M39" s="2" t="s">
        <v>175</v>
      </c>
      <c r="N39" s="105">
        <v>6700</v>
      </c>
      <c r="O39" s="119">
        <v>8.4</v>
      </c>
      <c r="P39" s="119"/>
      <c r="Q39" s="119"/>
      <c r="R39" s="119"/>
      <c r="S39" s="119"/>
      <c r="T39" s="119"/>
      <c r="U39" s="119"/>
      <c r="V39" s="205"/>
      <c r="W39" s="119"/>
      <c r="X39" s="119">
        <f t="shared" si="0"/>
        <v>8.4</v>
      </c>
      <c r="Y39" s="118">
        <f t="shared" si="1"/>
        <v>8.4</v>
      </c>
      <c r="Z39" s="109">
        <f t="shared" si="2"/>
        <v>56280</v>
      </c>
      <c r="AA39" s="109">
        <f>'CALCULO GERAL'!$G$10</f>
        <v>6300</v>
      </c>
      <c r="AB39" s="109">
        <f t="shared" si="3"/>
        <v>62580</v>
      </c>
      <c r="AC39" s="109">
        <f>AB39*'CALCULO GERAL'!$C$11</f>
        <v>314089.02</v>
      </c>
      <c r="AD39" s="109">
        <f t="shared" si="4"/>
        <v>50882.421240000003</v>
      </c>
      <c r="AE39" s="109">
        <f t="shared" si="5"/>
        <v>0</v>
      </c>
      <c r="AF39" s="109">
        <f t="shared" si="6"/>
        <v>6595.8694200000009</v>
      </c>
      <c r="AG39" s="109">
        <f t="shared" si="7"/>
        <v>30309.590430000004</v>
      </c>
      <c r="AH39" s="109">
        <v>154.22999999999999</v>
      </c>
      <c r="AI39" s="109">
        <f>((AA39*'CALCULO GERAL'!$C$11))*0.08+20</f>
        <v>2549.576</v>
      </c>
      <c r="AJ39" s="109">
        <v>1010</v>
      </c>
      <c r="AK39" s="109">
        <v>2500</v>
      </c>
      <c r="AL39" s="109">
        <f>(AA39*('CALCULO GERAL'!$C$11*1.02))-(AA39*'CALCULO GERAL'!$C$11)</f>
        <v>632.39400000000387</v>
      </c>
      <c r="AM39" s="109">
        <v>1800</v>
      </c>
      <c r="AN39" s="109">
        <v>2600</v>
      </c>
      <c r="AO39" s="109">
        <v>9400</v>
      </c>
      <c r="AP39" s="109">
        <v>1000</v>
      </c>
      <c r="AQ39" s="109">
        <f t="shared" si="21"/>
        <v>-6595.8694200000009</v>
      </c>
      <c r="AR39" s="109">
        <f t="shared" si="22"/>
        <v>-30309.590430000004</v>
      </c>
      <c r="AS39" s="109"/>
      <c r="AT39" s="109">
        <f t="shared" si="23"/>
        <v>386617.64124000003</v>
      </c>
      <c r="AU39" s="111">
        <f t="shared" si="8"/>
        <v>57.704125558208958</v>
      </c>
      <c r="AV39" s="109">
        <f>IFERROR((BS39*'CALCULO GERAL'!$E$11)/N39,0)</f>
        <v>1.5829926000000003</v>
      </c>
      <c r="AW39" s="109">
        <f>AU39/'CALCULO GERAL'!$C$11</f>
        <v>11.497135994861319</v>
      </c>
      <c r="AX39" s="109">
        <f>BP39-BB39-BD39*'CALCULO GERAL'!$C$11</f>
        <v>77.962385550000008</v>
      </c>
      <c r="AY39" s="109">
        <f t="shared" si="24"/>
        <v>1.2863793615750001</v>
      </c>
      <c r="AZ39" s="109">
        <f t="shared" si="9"/>
        <v>5.9251413018000001</v>
      </c>
      <c r="BA39" s="109">
        <f t="shared" si="10"/>
        <v>79.149630000000002</v>
      </c>
      <c r="BB39" s="109">
        <f t="shared" si="11"/>
        <v>1.1872444499999999</v>
      </c>
      <c r="BC39" s="109">
        <f t="shared" si="12"/>
        <v>79.149630000000002</v>
      </c>
      <c r="BD39" s="109">
        <f t="shared" si="13"/>
        <v>0</v>
      </c>
      <c r="BE39" s="109">
        <f t="shared" si="37"/>
        <v>42424.201680000006</v>
      </c>
      <c r="BF39" s="109">
        <f t="shared" si="38"/>
        <v>63636.302520000005</v>
      </c>
      <c r="BG39" s="109">
        <f t="shared" si="14"/>
        <v>0.85481600400000013</v>
      </c>
      <c r="BH39" s="109">
        <f t="shared" si="15"/>
        <v>0.94979556000000009</v>
      </c>
      <c r="BI39" s="109">
        <f t="shared" si="16"/>
        <v>0</v>
      </c>
      <c r="BJ39" s="109">
        <f t="shared" si="27"/>
        <v>11.786369277375002</v>
      </c>
      <c r="BK39" s="109">
        <f t="shared" si="28"/>
        <v>69.490494835583959</v>
      </c>
      <c r="BL39" s="148">
        <v>0.74</v>
      </c>
      <c r="BM39" s="112">
        <f>ROUND((AW39/BL39)+((AW39*BL39)*'CALCULO GERAL'!$E$11)/BL39,2)</f>
        <v>15.77</v>
      </c>
      <c r="BN39" s="186">
        <f t="shared" si="17"/>
        <v>15.77</v>
      </c>
      <c r="BO39" s="186">
        <f t="shared" si="29"/>
        <v>18.477</v>
      </c>
      <c r="BP39" s="109">
        <f>BM39*'CALCULO GERAL'!$C$11</f>
        <v>79.149630000000002</v>
      </c>
      <c r="BQ39" s="109">
        <f>BO39*'CALCULO GERAL'!$C$11</f>
        <v>92.736063000000001</v>
      </c>
      <c r="BR39" s="186">
        <f>BN39*'CALCULO GERAL'!$C$11</f>
        <v>79.149630000000002</v>
      </c>
      <c r="BS39" s="109">
        <f t="shared" si="18"/>
        <v>530302.52100000007</v>
      </c>
      <c r="BT39" s="109">
        <f t="shared" si="30"/>
        <v>143684.87976000004</v>
      </c>
      <c r="BU39" s="109">
        <f t="shared" si="19"/>
        <v>530302.52100000007</v>
      </c>
      <c r="BV39" s="109">
        <f t="shared" si="31"/>
        <v>465586.31539841252</v>
      </c>
      <c r="BW39" s="109">
        <f t="shared" si="32"/>
        <v>64716.205601587542</v>
      </c>
      <c r="BX39" s="114">
        <f t="shared" si="20"/>
        <v>0.12203639062388605</v>
      </c>
      <c r="BY39" s="152">
        <f t="shared" si="33"/>
        <v>0.74</v>
      </c>
      <c r="CA39" s="55"/>
      <c r="CB39" s="113"/>
      <c r="CC39" s="113"/>
      <c r="CE39" s="152">
        <f t="shared" si="34"/>
        <v>0</v>
      </c>
      <c r="CF39" s="152">
        <f t="shared" si="35"/>
        <v>1</v>
      </c>
      <c r="CG39" s="152">
        <f t="shared" si="36"/>
        <v>1</v>
      </c>
      <c r="CH39" s="34"/>
      <c r="CJ39" s="11"/>
      <c r="CK39" s="11"/>
    </row>
    <row r="40" spans="1:89" s="152" customFormat="1" ht="16" x14ac:dyDescent="0.2">
      <c r="A40" s="228" t="s">
        <v>514</v>
      </c>
      <c r="B40" s="187" t="s">
        <v>174</v>
      </c>
      <c r="C40" s="8">
        <v>0.16200000000000001</v>
      </c>
      <c r="D40" s="8">
        <v>0</v>
      </c>
      <c r="E40" s="7">
        <v>2.1000000000000001E-2</v>
      </c>
      <c r="F40" s="7">
        <v>9.6500000000000002E-2</v>
      </c>
      <c r="G40" s="1">
        <v>1.6500000000000001E-2</v>
      </c>
      <c r="H40" s="1">
        <v>7.5999999999999998E-2</v>
      </c>
      <c r="I40" s="1">
        <v>0.18</v>
      </c>
      <c r="J40" s="1">
        <v>0.04</v>
      </c>
      <c r="K40" s="1">
        <v>0.14000000000000001</v>
      </c>
      <c r="L40" s="1">
        <v>1.4999999999999999E-2</v>
      </c>
      <c r="M40" s="2" t="s">
        <v>175</v>
      </c>
      <c r="N40" s="105">
        <v>6700</v>
      </c>
      <c r="O40" s="119">
        <v>9.5399999999999991</v>
      </c>
      <c r="P40" s="119"/>
      <c r="Q40" s="119"/>
      <c r="R40" s="119"/>
      <c r="S40" s="119"/>
      <c r="T40" s="119"/>
      <c r="U40" s="119"/>
      <c r="V40" s="205"/>
      <c r="W40" s="119"/>
      <c r="X40" s="119">
        <f t="shared" si="0"/>
        <v>9.5399999999999991</v>
      </c>
      <c r="Y40" s="118">
        <f t="shared" si="1"/>
        <v>9.5399999999999991</v>
      </c>
      <c r="Z40" s="109">
        <f t="shared" si="2"/>
        <v>63917.999999999993</v>
      </c>
      <c r="AA40" s="109">
        <f>'CALCULO GERAL'!$G$10</f>
        <v>6300</v>
      </c>
      <c r="AB40" s="109">
        <f t="shared" si="3"/>
        <v>70218</v>
      </c>
      <c r="AC40" s="109">
        <f>AB40*'CALCULO GERAL'!$C$11</f>
        <v>352424.14199999999</v>
      </c>
      <c r="AD40" s="109">
        <f t="shared" si="4"/>
        <v>57092.711003999997</v>
      </c>
      <c r="AE40" s="109">
        <f t="shared" si="5"/>
        <v>0</v>
      </c>
      <c r="AF40" s="109">
        <f t="shared" si="6"/>
        <v>7400.9069820000004</v>
      </c>
      <c r="AG40" s="109">
        <f t="shared" si="7"/>
        <v>34008.929703000002</v>
      </c>
      <c r="AH40" s="109">
        <v>154.22999999999999</v>
      </c>
      <c r="AI40" s="109">
        <f>((AA40*'CALCULO GERAL'!$C$11))*0.08+20</f>
        <v>2549.576</v>
      </c>
      <c r="AJ40" s="109">
        <v>1010</v>
      </c>
      <c r="AK40" s="109">
        <v>2500</v>
      </c>
      <c r="AL40" s="109">
        <f>(AA40*('CALCULO GERAL'!$C$11*1.02))-(AA40*'CALCULO GERAL'!$C$11)</f>
        <v>632.39400000000387</v>
      </c>
      <c r="AM40" s="109">
        <v>1800</v>
      </c>
      <c r="AN40" s="109">
        <v>2600</v>
      </c>
      <c r="AO40" s="109">
        <v>9400</v>
      </c>
      <c r="AP40" s="109">
        <v>1000</v>
      </c>
      <c r="AQ40" s="109">
        <f t="shared" si="21"/>
        <v>-7400.9069820000004</v>
      </c>
      <c r="AR40" s="109">
        <f t="shared" si="22"/>
        <v>-34008.929703000002</v>
      </c>
      <c r="AS40" s="109"/>
      <c r="AT40" s="109">
        <f t="shared" si="23"/>
        <v>431163.05300399999</v>
      </c>
      <c r="AU40" s="111">
        <f t="shared" si="8"/>
        <v>64.35269447820896</v>
      </c>
      <c r="AV40" s="109">
        <f>IFERROR((BS40*'CALCULO GERAL'!$E$11)/N40,0)</f>
        <v>1.7646803999999996</v>
      </c>
      <c r="AW40" s="109">
        <f>AU40/'CALCULO GERAL'!$C$11</f>
        <v>12.82181599486132</v>
      </c>
      <c r="AX40" s="109">
        <f>BP40-BB40-BD40*'CALCULO GERAL'!$C$11</f>
        <v>86.910509699999992</v>
      </c>
      <c r="AY40" s="109">
        <f t="shared" si="24"/>
        <v>1.43402341005</v>
      </c>
      <c r="AZ40" s="109">
        <f t="shared" si="9"/>
        <v>6.6051987371999994</v>
      </c>
      <c r="BA40" s="109">
        <f t="shared" si="10"/>
        <v>88.234019999999987</v>
      </c>
      <c r="BB40" s="109">
        <f t="shared" si="11"/>
        <v>1.3235102999999997</v>
      </c>
      <c r="BC40" s="109">
        <f t="shared" si="12"/>
        <v>88.234019999999987</v>
      </c>
      <c r="BD40" s="109">
        <f t="shared" si="13"/>
        <v>0</v>
      </c>
      <c r="BE40" s="109">
        <f t="shared" si="37"/>
        <v>47293.43471999999</v>
      </c>
      <c r="BF40" s="109">
        <f t="shared" si="38"/>
        <v>70940.152079999985</v>
      </c>
      <c r="BG40" s="109">
        <f t="shared" si="14"/>
        <v>0.95292741599999986</v>
      </c>
      <c r="BH40" s="109">
        <f t="shared" si="15"/>
        <v>1.0588082399999996</v>
      </c>
      <c r="BI40" s="109">
        <f t="shared" si="16"/>
        <v>0</v>
      </c>
      <c r="BJ40" s="109">
        <f t="shared" si="27"/>
        <v>13.139148503249999</v>
      </c>
      <c r="BK40" s="109">
        <f t="shared" si="28"/>
        <v>77.491842981458959</v>
      </c>
      <c r="BL40" s="148">
        <v>0.74</v>
      </c>
      <c r="BM40" s="112">
        <f>ROUND((AW40/BL40)+((AW40*BL40)*'CALCULO GERAL'!$E$11)/BL40,2)</f>
        <v>17.579999999999998</v>
      </c>
      <c r="BN40" s="186">
        <f t="shared" si="17"/>
        <v>17.579999999999998</v>
      </c>
      <c r="BO40" s="186">
        <f t="shared" si="29"/>
        <v>20.597999999999999</v>
      </c>
      <c r="BP40" s="109">
        <f>BM40*'CALCULO GERAL'!$C$11</f>
        <v>88.234019999999987</v>
      </c>
      <c r="BQ40" s="109">
        <f>BO40*'CALCULO GERAL'!$C$11</f>
        <v>103.381362</v>
      </c>
      <c r="BR40" s="186">
        <f>BN40*'CALCULO GERAL'!$C$11</f>
        <v>88.234019999999987</v>
      </c>
      <c r="BS40" s="109">
        <f t="shared" si="18"/>
        <v>591167.93399999989</v>
      </c>
      <c r="BT40" s="109">
        <f t="shared" si="30"/>
        <v>160004.88099599991</v>
      </c>
      <c r="BU40" s="109">
        <f t="shared" si="19"/>
        <v>591167.93399999989</v>
      </c>
      <c r="BV40" s="109">
        <f t="shared" si="31"/>
        <v>519195.34797577502</v>
      </c>
      <c r="BW40" s="109">
        <f t="shared" si="32"/>
        <v>71972.586024224875</v>
      </c>
      <c r="BX40" s="114">
        <f t="shared" si="20"/>
        <v>0.12174643089526045</v>
      </c>
      <c r="BY40" s="152">
        <f t="shared" si="33"/>
        <v>0.74</v>
      </c>
      <c r="CA40" s="55"/>
      <c r="CB40" s="113"/>
      <c r="CC40" s="113"/>
      <c r="CE40" s="152">
        <f t="shared" si="34"/>
        <v>0</v>
      </c>
      <c r="CF40" s="152">
        <f t="shared" si="35"/>
        <v>1</v>
      </c>
      <c r="CG40" s="152">
        <f t="shared" si="36"/>
        <v>1</v>
      </c>
      <c r="CH40" s="34"/>
      <c r="CJ40" s="11"/>
      <c r="CK40" s="11"/>
    </row>
    <row r="41" spans="1:89" s="152" customFormat="1" ht="16" x14ac:dyDescent="0.2">
      <c r="A41" s="228" t="s">
        <v>515</v>
      </c>
      <c r="B41" s="187" t="s">
        <v>174</v>
      </c>
      <c r="C41" s="8">
        <v>0.16200000000000001</v>
      </c>
      <c r="D41" s="8">
        <v>0</v>
      </c>
      <c r="E41" s="7">
        <v>2.1000000000000001E-2</v>
      </c>
      <c r="F41" s="7">
        <v>9.6500000000000002E-2</v>
      </c>
      <c r="G41" s="1">
        <v>1.6500000000000001E-2</v>
      </c>
      <c r="H41" s="1">
        <v>7.5999999999999998E-2</v>
      </c>
      <c r="I41" s="1">
        <v>0.18</v>
      </c>
      <c r="J41" s="1">
        <v>0.04</v>
      </c>
      <c r="K41" s="1">
        <v>0.14000000000000001</v>
      </c>
      <c r="L41" s="1">
        <v>1.4999999999999999E-2</v>
      </c>
      <c r="M41" s="2" t="s">
        <v>175</v>
      </c>
      <c r="N41" s="105">
        <v>6700</v>
      </c>
      <c r="O41" s="119">
        <v>10.95</v>
      </c>
      <c r="P41" s="119"/>
      <c r="Q41" s="119"/>
      <c r="R41" s="119"/>
      <c r="S41" s="119"/>
      <c r="T41" s="119"/>
      <c r="U41" s="119"/>
      <c r="V41" s="205"/>
      <c r="W41" s="119"/>
      <c r="X41" s="119">
        <f t="shared" si="0"/>
        <v>10.95</v>
      </c>
      <c r="Y41" s="118">
        <f t="shared" si="1"/>
        <v>10.95</v>
      </c>
      <c r="Z41" s="109">
        <f t="shared" si="2"/>
        <v>73365</v>
      </c>
      <c r="AA41" s="109">
        <f>'CALCULO GERAL'!$G$10</f>
        <v>6300</v>
      </c>
      <c r="AB41" s="109">
        <f t="shared" si="3"/>
        <v>79665</v>
      </c>
      <c r="AC41" s="109">
        <f>AB41*'CALCULO GERAL'!$C$11</f>
        <v>399838.63500000001</v>
      </c>
      <c r="AD41" s="109">
        <f t="shared" si="4"/>
        <v>64773.858870000004</v>
      </c>
      <c r="AE41" s="109">
        <f t="shared" si="5"/>
        <v>0</v>
      </c>
      <c r="AF41" s="109">
        <f t="shared" si="6"/>
        <v>8396.6113350000014</v>
      </c>
      <c r="AG41" s="109">
        <f t="shared" si="7"/>
        <v>38584.428277500003</v>
      </c>
      <c r="AH41" s="109">
        <v>154.22999999999999</v>
      </c>
      <c r="AI41" s="109">
        <f>((AA41*'CALCULO GERAL'!$C$11))*0.08+20</f>
        <v>2549.576</v>
      </c>
      <c r="AJ41" s="109">
        <v>1010</v>
      </c>
      <c r="AK41" s="109">
        <v>2500</v>
      </c>
      <c r="AL41" s="109">
        <f>(AA41*('CALCULO GERAL'!$C$11*1.02))-(AA41*'CALCULO GERAL'!$C$11)</f>
        <v>632.39400000000387</v>
      </c>
      <c r="AM41" s="109">
        <v>1800</v>
      </c>
      <c r="AN41" s="109">
        <v>2600</v>
      </c>
      <c r="AO41" s="109">
        <v>9400</v>
      </c>
      <c r="AP41" s="109">
        <v>1000</v>
      </c>
      <c r="AQ41" s="109">
        <f t="shared" si="21"/>
        <v>-8396.6113350000014</v>
      </c>
      <c r="AR41" s="109">
        <f t="shared" si="22"/>
        <v>-38584.428277500003</v>
      </c>
      <c r="AS41" s="109"/>
      <c r="AT41" s="109">
        <f t="shared" si="23"/>
        <v>486258.69387000008</v>
      </c>
      <c r="AU41" s="111">
        <f t="shared" si="8"/>
        <v>72.575924458208974</v>
      </c>
      <c r="AV41" s="109">
        <f>IFERROR((BS41*'CALCULO GERAL'!$E$11)/N41,0)</f>
        <v>1.9905353999999997</v>
      </c>
      <c r="AW41" s="109">
        <f>AU41/'CALCULO GERAL'!$C$11</f>
        <v>14.460235994861321</v>
      </c>
      <c r="AX41" s="109">
        <f>BP41-BB41-BD41*'CALCULO GERAL'!$C$11</f>
        <v>98.03386845</v>
      </c>
      <c r="AY41" s="109">
        <f t="shared" si="24"/>
        <v>1.6175588294250001</v>
      </c>
      <c r="AZ41" s="109">
        <f t="shared" si="9"/>
        <v>7.4505740021999998</v>
      </c>
      <c r="BA41" s="109">
        <f t="shared" si="10"/>
        <v>99.526769999999999</v>
      </c>
      <c r="BB41" s="109">
        <f t="shared" si="11"/>
        <v>1.49290155</v>
      </c>
      <c r="BC41" s="109">
        <f t="shared" si="12"/>
        <v>99.526769999999999</v>
      </c>
      <c r="BD41" s="109">
        <f t="shared" si="13"/>
        <v>0</v>
      </c>
      <c r="BE41" s="109">
        <f t="shared" si="37"/>
        <v>53346.348719999995</v>
      </c>
      <c r="BF41" s="109">
        <f t="shared" si="38"/>
        <v>80019.523079999984</v>
      </c>
      <c r="BG41" s="109">
        <f t="shared" si="14"/>
        <v>1.0748891159999998</v>
      </c>
      <c r="BH41" s="109">
        <f t="shared" si="15"/>
        <v>1.1943212399999998</v>
      </c>
      <c r="BI41" s="109">
        <f t="shared" si="16"/>
        <v>0</v>
      </c>
      <c r="BJ41" s="109">
        <f t="shared" si="27"/>
        <v>14.820780137624997</v>
      </c>
      <c r="BK41" s="109">
        <f t="shared" si="28"/>
        <v>87.396704595833967</v>
      </c>
      <c r="BL41" s="148">
        <v>0.74</v>
      </c>
      <c r="BM41" s="112">
        <f>ROUND((AW41/BL41)+((AW41*BL41)*'CALCULO GERAL'!$E$11)/BL41,2)</f>
        <v>19.829999999999998</v>
      </c>
      <c r="BN41" s="186">
        <f t="shared" si="17"/>
        <v>19.829999999999998</v>
      </c>
      <c r="BO41" s="186">
        <f t="shared" si="29"/>
        <v>23.234000000000002</v>
      </c>
      <c r="BP41" s="109">
        <f>BM41*'CALCULO GERAL'!$C$11</f>
        <v>99.526769999999999</v>
      </c>
      <c r="BQ41" s="109">
        <f>BO41*'CALCULO GERAL'!$C$11</f>
        <v>116.61144600000002</v>
      </c>
      <c r="BR41" s="186">
        <f>BN41*'CALCULO GERAL'!$C$11</f>
        <v>99.526769999999999</v>
      </c>
      <c r="BS41" s="109">
        <f t="shared" si="18"/>
        <v>666829.35899999994</v>
      </c>
      <c r="BT41" s="109">
        <f t="shared" si="30"/>
        <v>180570.66512999986</v>
      </c>
      <c r="BU41" s="109">
        <f t="shared" si="19"/>
        <v>666829.35899999994</v>
      </c>
      <c r="BV41" s="109">
        <f t="shared" si="31"/>
        <v>585557.92079208756</v>
      </c>
      <c r="BW41" s="109">
        <f t="shared" si="32"/>
        <v>81271.438207912375</v>
      </c>
      <c r="BX41" s="114">
        <f t="shared" si="20"/>
        <v>0.12187741453044269</v>
      </c>
      <c r="BY41" s="152">
        <f t="shared" si="33"/>
        <v>0.74</v>
      </c>
      <c r="CA41" s="55"/>
      <c r="CB41" s="113"/>
      <c r="CC41" s="113"/>
      <c r="CE41" s="152">
        <f t="shared" si="34"/>
        <v>0</v>
      </c>
      <c r="CF41" s="152">
        <f t="shared" si="35"/>
        <v>1</v>
      </c>
      <c r="CG41" s="152">
        <f t="shared" si="36"/>
        <v>1</v>
      </c>
      <c r="CH41" s="34"/>
      <c r="CJ41" s="11"/>
      <c r="CK41" s="11"/>
    </row>
    <row r="42" spans="1:89" s="152" customFormat="1" ht="16" x14ac:dyDescent="0.2">
      <c r="A42" s="228" t="s">
        <v>187</v>
      </c>
      <c r="B42" s="187" t="s">
        <v>188</v>
      </c>
      <c r="C42" s="8">
        <v>0.35</v>
      </c>
      <c r="D42" s="8">
        <v>0</v>
      </c>
      <c r="E42" s="7">
        <v>2.1000000000000001E-2</v>
      </c>
      <c r="F42" s="7">
        <v>0.1065</v>
      </c>
      <c r="G42" s="1">
        <v>1.6500000000000001E-2</v>
      </c>
      <c r="H42" s="1">
        <v>7.5999999999999998E-2</v>
      </c>
      <c r="I42" s="1">
        <v>0.18</v>
      </c>
      <c r="J42" s="1">
        <v>0.04</v>
      </c>
      <c r="K42" s="1">
        <v>0.14000000000000001</v>
      </c>
      <c r="L42" s="1">
        <v>1.4999999999999999E-2</v>
      </c>
      <c r="M42" s="2" t="s">
        <v>175</v>
      </c>
      <c r="N42" s="105">
        <v>24000</v>
      </c>
      <c r="O42" s="119"/>
      <c r="P42" s="119"/>
      <c r="Q42" s="119"/>
      <c r="R42" s="119"/>
      <c r="S42" s="119"/>
      <c r="T42" s="119"/>
      <c r="U42" s="119">
        <v>6.75</v>
      </c>
      <c r="V42" s="205"/>
      <c r="W42" s="119"/>
      <c r="X42" s="119">
        <f t="shared" si="0"/>
        <v>6.75</v>
      </c>
      <c r="Y42" s="118">
        <f t="shared" si="1"/>
        <v>6.75</v>
      </c>
      <c r="Z42" s="109">
        <f t="shared" si="2"/>
        <v>162000</v>
      </c>
      <c r="AA42" s="109">
        <f>'CALCULO GERAL'!$G$10</f>
        <v>6300</v>
      </c>
      <c r="AB42" s="109">
        <f t="shared" si="3"/>
        <v>168300</v>
      </c>
      <c r="AC42" s="109">
        <f>AB42*'CALCULO GERAL'!$C$11</f>
        <v>844697.70000000007</v>
      </c>
      <c r="AD42" s="109">
        <f t="shared" si="4"/>
        <v>295644.19500000001</v>
      </c>
      <c r="AE42" s="109">
        <f t="shared" si="5"/>
        <v>0</v>
      </c>
      <c r="AF42" s="109">
        <f t="shared" si="6"/>
        <v>17738.651700000002</v>
      </c>
      <c r="AG42" s="109">
        <f t="shared" si="7"/>
        <v>89960.30505000001</v>
      </c>
      <c r="AH42" s="109">
        <v>154.22999999999999</v>
      </c>
      <c r="AI42" s="109">
        <f>((AA42*'CALCULO GERAL'!$C$11))*0.08+20</f>
        <v>2549.576</v>
      </c>
      <c r="AJ42" s="109">
        <v>1010</v>
      </c>
      <c r="AK42" s="109">
        <v>2500</v>
      </c>
      <c r="AL42" s="109">
        <f>(AA42*('CALCULO GERAL'!$C$11*1.02))-(AA42*'CALCULO GERAL'!$C$11)</f>
        <v>632.39400000000387</v>
      </c>
      <c r="AM42" s="109">
        <v>1800</v>
      </c>
      <c r="AN42" s="109">
        <v>2600</v>
      </c>
      <c r="AO42" s="109">
        <v>9400</v>
      </c>
      <c r="AP42" s="109">
        <v>1000</v>
      </c>
      <c r="AQ42" s="109">
        <f t="shared" si="21"/>
        <v>-17738.651700000002</v>
      </c>
      <c r="AR42" s="109">
        <f t="shared" si="22"/>
        <v>-89960.30505000001</v>
      </c>
      <c r="AS42" s="109"/>
      <c r="AT42" s="109">
        <f t="shared" si="23"/>
        <v>1161988.095</v>
      </c>
      <c r="AU42" s="111">
        <f t="shared" si="8"/>
        <v>48.416170624999999</v>
      </c>
      <c r="AV42" s="109">
        <f>IFERROR((BS42*'CALCULO GERAL'!$E$11)/N42,0)</f>
        <v>1.3280273999999999</v>
      </c>
      <c r="AW42" s="109">
        <f>AU42/'CALCULO GERAL'!$C$11</f>
        <v>9.6465771318987841</v>
      </c>
      <c r="AX42" s="109">
        <f>BP42-BB42-BD42*'CALCULO GERAL'!$C$11</f>
        <v>65.405349450000003</v>
      </c>
      <c r="AY42" s="109">
        <f t="shared" si="24"/>
        <v>1.0791882659250001</v>
      </c>
      <c r="AZ42" s="109">
        <f t="shared" si="9"/>
        <v>4.9708065582000005</v>
      </c>
      <c r="BA42" s="109">
        <f t="shared" si="10"/>
        <v>66.40137</v>
      </c>
      <c r="BB42" s="109">
        <f t="shared" si="11"/>
        <v>0.99602055</v>
      </c>
      <c r="BC42" s="109">
        <f t="shared" si="12"/>
        <v>66.40137</v>
      </c>
      <c r="BD42" s="109">
        <f t="shared" si="13"/>
        <v>0</v>
      </c>
      <c r="BE42" s="109">
        <f t="shared" si="37"/>
        <v>127490.63039999999</v>
      </c>
      <c r="BF42" s="109">
        <f t="shared" si="38"/>
        <v>191235.94559999998</v>
      </c>
      <c r="BG42" s="109">
        <f t="shared" si="14"/>
        <v>0.71713479599999985</v>
      </c>
      <c r="BH42" s="109">
        <f t="shared" si="15"/>
        <v>0.79681643999999996</v>
      </c>
      <c r="BI42" s="109">
        <f t="shared" si="16"/>
        <v>-0.28121100166666674</v>
      </c>
      <c r="BJ42" s="109">
        <f t="shared" si="27"/>
        <v>9.6067830084583345</v>
      </c>
      <c r="BK42" s="109">
        <f t="shared" si="28"/>
        <v>58.022953633458336</v>
      </c>
      <c r="BL42" s="148">
        <v>0.74</v>
      </c>
      <c r="BM42" s="112">
        <f>ROUND((AW42/BL42)+((AW42*BL42)*'CALCULO GERAL'!$E$11)/BL42,2)</f>
        <v>13.23</v>
      </c>
      <c r="BN42" s="186">
        <f t="shared" si="17"/>
        <v>13.23</v>
      </c>
      <c r="BO42" s="186">
        <f t="shared" si="29"/>
        <v>15.500999999999999</v>
      </c>
      <c r="BP42" s="109">
        <f>BM42*'CALCULO GERAL'!$C$11</f>
        <v>66.40137</v>
      </c>
      <c r="BQ42" s="109">
        <f>BO42*'CALCULO GERAL'!$C$11</f>
        <v>77.799519000000004</v>
      </c>
      <c r="BR42" s="186">
        <f>BN42*'CALCULO GERAL'!$C$11</f>
        <v>66.40137</v>
      </c>
      <c r="BS42" s="109">
        <f t="shared" si="18"/>
        <v>1593632.88</v>
      </c>
      <c r="BT42" s="109">
        <f t="shared" si="30"/>
        <v>431644.78499999992</v>
      </c>
      <c r="BU42" s="109">
        <f t="shared" si="19"/>
        <v>1593632.88</v>
      </c>
      <c r="BV42" s="109">
        <f t="shared" si="31"/>
        <v>1392550.887203</v>
      </c>
      <c r="BW42" s="109">
        <f t="shared" si="32"/>
        <v>201081.99279699987</v>
      </c>
      <c r="BX42" s="114">
        <f t="shared" si="20"/>
        <v>0.12617836599669047</v>
      </c>
      <c r="BY42" s="152">
        <f t="shared" si="33"/>
        <v>0.74</v>
      </c>
      <c r="CA42" s="55"/>
      <c r="CB42" s="113"/>
      <c r="CC42" s="113"/>
      <c r="CE42" s="152">
        <f t="shared" si="34"/>
        <v>0</v>
      </c>
      <c r="CF42" s="152">
        <f t="shared" si="35"/>
        <v>1</v>
      </c>
      <c r="CG42" s="152">
        <f t="shared" si="36"/>
        <v>1</v>
      </c>
      <c r="CH42" s="34"/>
      <c r="CJ42" s="11"/>
      <c r="CK42" s="11"/>
    </row>
    <row r="43" spans="1:89" s="152" customFormat="1" ht="16" x14ac:dyDescent="0.2">
      <c r="A43" s="228" t="s">
        <v>189</v>
      </c>
      <c r="B43" s="187" t="s">
        <v>190</v>
      </c>
      <c r="C43" s="8">
        <v>0.125</v>
      </c>
      <c r="D43" s="8">
        <v>0</v>
      </c>
      <c r="E43" s="7">
        <v>2.1000000000000001E-2</v>
      </c>
      <c r="F43" s="7">
        <v>0.1065</v>
      </c>
      <c r="G43" s="1">
        <v>1.6500000000000001E-2</v>
      </c>
      <c r="H43" s="1">
        <v>7.5999999999999998E-2</v>
      </c>
      <c r="I43" s="1">
        <v>0.18</v>
      </c>
      <c r="J43" s="1">
        <v>0.04</v>
      </c>
      <c r="K43" s="1">
        <v>0.14000000000000001</v>
      </c>
      <c r="L43" s="1">
        <v>1.4999999999999999E-2</v>
      </c>
      <c r="M43" s="2" t="s">
        <v>175</v>
      </c>
      <c r="N43" s="105">
        <v>24000</v>
      </c>
      <c r="O43" s="119"/>
      <c r="P43" s="119"/>
      <c r="Q43" s="119"/>
      <c r="R43" s="119"/>
      <c r="S43" s="119"/>
      <c r="T43" s="119"/>
      <c r="U43" s="119"/>
      <c r="V43" s="205">
        <v>0.92</v>
      </c>
      <c r="W43" s="119"/>
      <c r="X43" s="119">
        <f t="shared" si="0"/>
        <v>0.92</v>
      </c>
      <c r="Y43" s="118">
        <f t="shared" si="1"/>
        <v>0.92</v>
      </c>
      <c r="Z43" s="109">
        <f t="shared" si="2"/>
        <v>22080</v>
      </c>
      <c r="AA43" s="109">
        <f>'CALCULO GERAL'!$G$10</f>
        <v>6300</v>
      </c>
      <c r="AB43" s="109">
        <f t="shared" si="3"/>
        <v>28380</v>
      </c>
      <c r="AC43" s="109">
        <f>AB43*'CALCULO GERAL'!$C$11</f>
        <v>142439.22</v>
      </c>
      <c r="AD43" s="109">
        <f t="shared" si="4"/>
        <v>17804.9025</v>
      </c>
      <c r="AE43" s="109">
        <f t="shared" si="5"/>
        <v>0</v>
      </c>
      <c r="AF43" s="109">
        <f t="shared" si="6"/>
        <v>2991.2236200000002</v>
      </c>
      <c r="AG43" s="109">
        <f t="shared" si="7"/>
        <v>15169.77693</v>
      </c>
      <c r="AH43" s="109">
        <v>154.22999999999999</v>
      </c>
      <c r="AI43" s="109">
        <f>((AA43*'CALCULO GERAL'!$C$11))*0.08+20</f>
        <v>2549.576</v>
      </c>
      <c r="AJ43" s="109">
        <v>1010</v>
      </c>
      <c r="AK43" s="109">
        <v>2500</v>
      </c>
      <c r="AL43" s="109">
        <f>(AA43*('CALCULO GERAL'!$C$11*1.02))-(AA43*'CALCULO GERAL'!$C$11)</f>
        <v>632.39400000000387</v>
      </c>
      <c r="AM43" s="109">
        <v>1800</v>
      </c>
      <c r="AN43" s="109">
        <v>2600</v>
      </c>
      <c r="AO43" s="109">
        <v>9400</v>
      </c>
      <c r="AP43" s="109">
        <v>1000</v>
      </c>
      <c r="AQ43" s="109">
        <f t="shared" si="21"/>
        <v>-2991.2236200000002</v>
      </c>
      <c r="AR43" s="109">
        <f t="shared" si="22"/>
        <v>-15169.77693</v>
      </c>
      <c r="AS43" s="109"/>
      <c r="AT43" s="109">
        <f t="shared" si="23"/>
        <v>181890.32250000001</v>
      </c>
      <c r="AU43" s="111">
        <f t="shared" si="8"/>
        <v>7.5787634375000001</v>
      </c>
      <c r="AV43" s="109">
        <f>IFERROR((BS43*'CALCULO GERAL'!$E$11)/N43,0)</f>
        <v>0.20778659999999999</v>
      </c>
      <c r="AW43" s="109">
        <f>AU43/'CALCULO GERAL'!$C$11</f>
        <v>1.5100146318987846</v>
      </c>
      <c r="AX43" s="109">
        <f>BP43-BB43-BD43*'CALCULO GERAL'!$C$11</f>
        <v>10.233490049999999</v>
      </c>
      <c r="AY43" s="109">
        <f t="shared" si="24"/>
        <v>0.16885258582499998</v>
      </c>
      <c r="AZ43" s="109">
        <f t="shared" si="9"/>
        <v>0.77774524379999987</v>
      </c>
      <c r="BA43" s="109">
        <f t="shared" si="10"/>
        <v>10.389329999999999</v>
      </c>
      <c r="BB43" s="109">
        <f t="shared" si="11"/>
        <v>0.15583994999999998</v>
      </c>
      <c r="BC43" s="109">
        <f t="shared" si="12"/>
        <v>10.389329999999999</v>
      </c>
      <c r="BD43" s="109">
        <f t="shared" si="13"/>
        <v>0</v>
      </c>
      <c r="BE43" s="109">
        <f t="shared" si="37"/>
        <v>19947.513599999998</v>
      </c>
      <c r="BF43" s="109">
        <f t="shared" si="38"/>
        <v>29921.270399999998</v>
      </c>
      <c r="BG43" s="109">
        <f t="shared" si="14"/>
        <v>0.112204764</v>
      </c>
      <c r="BH43" s="109">
        <f t="shared" si="15"/>
        <v>0.12467196</v>
      </c>
      <c r="BI43" s="109">
        <f t="shared" si="16"/>
        <v>0</v>
      </c>
      <c r="BJ43" s="109">
        <f t="shared" si="27"/>
        <v>1.5471011036249995</v>
      </c>
      <c r="BK43" s="109">
        <f t="shared" si="28"/>
        <v>9.125864541124999</v>
      </c>
      <c r="BL43" s="148">
        <v>0.74</v>
      </c>
      <c r="BM43" s="112">
        <f>ROUND((AW43/BL43)+((AW43*BL43)*'CALCULO GERAL'!$E$11)/BL43,2)</f>
        <v>2.0699999999999998</v>
      </c>
      <c r="BN43" s="186">
        <f t="shared" si="17"/>
        <v>2.0699999999999998</v>
      </c>
      <c r="BO43" s="186">
        <f t="shared" si="29"/>
        <v>2.4249999999999998</v>
      </c>
      <c r="BP43" s="109">
        <f>BM43*'CALCULO GERAL'!$C$11</f>
        <v>10.389329999999999</v>
      </c>
      <c r="BQ43" s="109">
        <f>BO43*'CALCULO GERAL'!$C$11</f>
        <v>12.171075</v>
      </c>
      <c r="BR43" s="186">
        <f>BN43*'CALCULO GERAL'!$C$11</f>
        <v>10.389329999999999</v>
      </c>
      <c r="BS43" s="109">
        <f t="shared" si="18"/>
        <v>249343.91999999998</v>
      </c>
      <c r="BT43" s="109">
        <f t="shared" si="30"/>
        <v>67453.597499999974</v>
      </c>
      <c r="BU43" s="109">
        <f t="shared" si="19"/>
        <v>249343.91999999998</v>
      </c>
      <c r="BV43" s="109">
        <f t="shared" si="31"/>
        <v>219020.74898699997</v>
      </c>
      <c r="BW43" s="109">
        <f t="shared" si="32"/>
        <v>30323.171013000014</v>
      </c>
      <c r="BX43" s="114">
        <f t="shared" si="20"/>
        <v>0.12161183241604615</v>
      </c>
      <c r="BY43" s="152">
        <f t="shared" si="33"/>
        <v>0.74</v>
      </c>
      <c r="CA43" s="55"/>
      <c r="CB43" s="113"/>
      <c r="CC43" s="113"/>
      <c r="CE43" s="152">
        <f t="shared" si="34"/>
        <v>0</v>
      </c>
      <c r="CF43" s="152">
        <f t="shared" si="35"/>
        <v>1</v>
      </c>
      <c r="CG43" s="152">
        <f t="shared" si="36"/>
        <v>1</v>
      </c>
      <c r="CH43" s="34"/>
      <c r="CJ43" s="11"/>
      <c r="CK43" s="11"/>
    </row>
    <row r="44" spans="1:89" s="152" customFormat="1" ht="16" x14ac:dyDescent="0.2">
      <c r="A44" s="228" t="s">
        <v>468</v>
      </c>
      <c r="B44" s="187" t="s">
        <v>469</v>
      </c>
      <c r="C44" s="8">
        <v>0.02</v>
      </c>
      <c r="D44" s="8">
        <v>0</v>
      </c>
      <c r="E44" s="7">
        <v>2.1000000000000001E-2</v>
      </c>
      <c r="F44" s="7">
        <v>0.1065</v>
      </c>
      <c r="G44" s="1">
        <v>1.6500000000000001E-2</v>
      </c>
      <c r="H44" s="1">
        <v>7.5999999999999998E-2</v>
      </c>
      <c r="I44" s="1">
        <v>0.18</v>
      </c>
      <c r="J44" s="1">
        <v>0.04</v>
      </c>
      <c r="K44" s="1">
        <v>0.14000000000000001</v>
      </c>
      <c r="L44" s="1">
        <v>1.4999999999999999E-2</v>
      </c>
      <c r="M44" s="2" t="s">
        <v>175</v>
      </c>
      <c r="N44" s="105">
        <v>24000</v>
      </c>
      <c r="O44" s="119"/>
      <c r="P44" s="119"/>
      <c r="Q44" s="119"/>
      <c r="R44" s="119"/>
      <c r="S44" s="119"/>
      <c r="T44" s="119"/>
      <c r="U44" s="119"/>
      <c r="V44" s="205">
        <v>0.92</v>
      </c>
      <c r="W44" s="119"/>
      <c r="X44" s="119">
        <f t="shared" si="0"/>
        <v>0.92</v>
      </c>
      <c r="Y44" s="118">
        <f t="shared" si="1"/>
        <v>0.92</v>
      </c>
      <c r="Z44" s="109">
        <f t="shared" si="2"/>
        <v>22080</v>
      </c>
      <c r="AA44" s="109">
        <f>'CALCULO GERAL'!$G$10</f>
        <v>6300</v>
      </c>
      <c r="AB44" s="109">
        <f t="shared" si="3"/>
        <v>28380</v>
      </c>
      <c r="AC44" s="109">
        <f>AB44*'CALCULO GERAL'!$C$11</f>
        <v>142439.22</v>
      </c>
      <c r="AD44" s="109">
        <f t="shared" si="4"/>
        <v>2848.7844</v>
      </c>
      <c r="AE44" s="109">
        <f t="shared" si="5"/>
        <v>0</v>
      </c>
      <c r="AF44" s="109">
        <f t="shared" si="6"/>
        <v>2991.2236200000002</v>
      </c>
      <c r="AG44" s="109">
        <f t="shared" si="7"/>
        <v>15169.77693</v>
      </c>
      <c r="AH44" s="109">
        <v>154.22999999999999</v>
      </c>
      <c r="AI44" s="109">
        <f>((AA44*'CALCULO GERAL'!$C$11))*0.08+20</f>
        <v>2549.576</v>
      </c>
      <c r="AJ44" s="109">
        <v>1010</v>
      </c>
      <c r="AK44" s="109">
        <v>2500</v>
      </c>
      <c r="AL44" s="109">
        <f>(AA44*('CALCULO GERAL'!$C$11*1.02))-(AA44*'CALCULO GERAL'!$C$11)</f>
        <v>632.39400000000387</v>
      </c>
      <c r="AM44" s="109">
        <v>1800</v>
      </c>
      <c r="AN44" s="109">
        <v>2600</v>
      </c>
      <c r="AO44" s="109">
        <v>9400</v>
      </c>
      <c r="AP44" s="109">
        <v>1000</v>
      </c>
      <c r="AQ44" s="109">
        <f t="shared" si="21"/>
        <v>-2991.2236200000002</v>
      </c>
      <c r="AR44" s="109">
        <f t="shared" si="22"/>
        <v>-15169.77693</v>
      </c>
      <c r="AS44" s="109"/>
      <c r="AT44" s="109">
        <f t="shared" si="23"/>
        <v>166934.20440000002</v>
      </c>
      <c r="AU44" s="111">
        <f t="shared" si="8"/>
        <v>6.9555918500000011</v>
      </c>
      <c r="AV44" s="109">
        <f>IFERROR((BS44*'CALCULO GERAL'!$E$11)/N44,0)</f>
        <v>0.19072200000000003</v>
      </c>
      <c r="AW44" s="109">
        <f>AU44/'CALCULO GERAL'!$C$11</f>
        <v>1.3858521318987849</v>
      </c>
      <c r="AX44" s="109">
        <f>BP44-BB44-BD44*'CALCULO GERAL'!$C$11</f>
        <v>9.3930584999999986</v>
      </c>
      <c r="AY44" s="109">
        <f t="shared" si="24"/>
        <v>0.15498546524999998</v>
      </c>
      <c r="AZ44" s="109">
        <f t="shared" si="9"/>
        <v>0.71387244599999988</v>
      </c>
      <c r="BA44" s="109">
        <f t="shared" si="10"/>
        <v>9.5360999999999994</v>
      </c>
      <c r="BB44" s="109">
        <f t="shared" si="11"/>
        <v>0.14304149999999999</v>
      </c>
      <c r="BC44" s="109">
        <f t="shared" si="12"/>
        <v>9.5360999999999994</v>
      </c>
      <c r="BD44" s="109">
        <f t="shared" si="13"/>
        <v>0</v>
      </c>
      <c r="BE44" s="109">
        <f t="shared" si="37"/>
        <v>18309.312000000002</v>
      </c>
      <c r="BF44" s="109">
        <f t="shared" si="38"/>
        <v>27463.967999999997</v>
      </c>
      <c r="BG44" s="109">
        <f t="shared" si="14"/>
        <v>0.10298987999999999</v>
      </c>
      <c r="BH44" s="109">
        <f t="shared" si="15"/>
        <v>0.1144332</v>
      </c>
      <c r="BI44" s="109">
        <f t="shared" si="16"/>
        <v>0</v>
      </c>
      <c r="BJ44" s="109">
        <f t="shared" si="27"/>
        <v>1.4200444912499999</v>
      </c>
      <c r="BK44" s="109">
        <f t="shared" si="28"/>
        <v>8.3756363412500008</v>
      </c>
      <c r="BL44" s="148">
        <v>0.74</v>
      </c>
      <c r="BM44" s="112">
        <f>ROUND((AW44/BL44)+((AW44*BL44)*'CALCULO GERAL'!$E$11)/BL44,2)</f>
        <v>1.9</v>
      </c>
      <c r="BN44" s="186">
        <f t="shared" si="17"/>
        <v>1.9</v>
      </c>
      <c r="BO44" s="186">
        <f t="shared" si="29"/>
        <v>2.226</v>
      </c>
      <c r="BP44" s="109">
        <f>BM44*'CALCULO GERAL'!$C$11</f>
        <v>9.5360999999999994</v>
      </c>
      <c r="BQ44" s="109">
        <f>BO44*'CALCULO GERAL'!$C$11</f>
        <v>11.172294000000001</v>
      </c>
      <c r="BR44" s="186">
        <f>BN44*'CALCULO GERAL'!$C$11</f>
        <v>9.5360999999999994</v>
      </c>
      <c r="BS44" s="109">
        <f t="shared" si="18"/>
        <v>228866.4</v>
      </c>
      <c r="BT44" s="109">
        <f t="shared" si="30"/>
        <v>61932.195599999977</v>
      </c>
      <c r="BU44" s="109">
        <f t="shared" si="19"/>
        <v>228866.4</v>
      </c>
      <c r="BV44" s="109">
        <f t="shared" si="31"/>
        <v>201015.27219000002</v>
      </c>
      <c r="BW44" s="109">
        <f t="shared" si="32"/>
        <v>27851.127809999976</v>
      </c>
      <c r="BX44" s="114">
        <f t="shared" si="20"/>
        <v>0.12169164110590273</v>
      </c>
      <c r="BY44" s="152">
        <f t="shared" si="33"/>
        <v>0.74</v>
      </c>
      <c r="CA44" s="55"/>
      <c r="CB44" s="113"/>
      <c r="CC44" s="113"/>
      <c r="CE44" s="152">
        <f t="shared" si="34"/>
        <v>0</v>
      </c>
      <c r="CF44" s="152">
        <f t="shared" si="35"/>
        <v>1</v>
      </c>
      <c r="CG44" s="152">
        <f t="shared" si="36"/>
        <v>1</v>
      </c>
      <c r="CH44" s="34"/>
      <c r="CJ44" s="11"/>
      <c r="CK44" s="11"/>
    </row>
    <row r="45" spans="1:89" x14ac:dyDescent="0.2">
      <c r="A45" s="228" t="s">
        <v>191</v>
      </c>
      <c r="B45" s="187" t="s">
        <v>192</v>
      </c>
      <c r="C45" s="6">
        <v>0.18</v>
      </c>
      <c r="D45" s="8">
        <v>0</v>
      </c>
      <c r="E45" s="7">
        <v>2.1000000000000001E-2</v>
      </c>
      <c r="F45" s="7">
        <v>9.6500000000000002E-2</v>
      </c>
      <c r="G45" s="1">
        <v>1.6500000000000001E-2</v>
      </c>
      <c r="H45" s="1">
        <v>7.5999999999999998E-2</v>
      </c>
      <c r="I45" s="1">
        <v>0.18</v>
      </c>
      <c r="J45" s="1">
        <v>0.04</v>
      </c>
      <c r="K45" s="1">
        <v>0.14000000000000001</v>
      </c>
      <c r="L45" s="1">
        <v>1.4999999999999999E-2</v>
      </c>
      <c r="M45" s="2" t="s">
        <v>175</v>
      </c>
      <c r="N45" s="105">
        <v>22000</v>
      </c>
      <c r="O45" s="119"/>
      <c r="P45" s="119"/>
      <c r="Q45" s="119"/>
      <c r="R45" s="119"/>
      <c r="S45" s="119">
        <v>1.34</v>
      </c>
      <c r="T45" s="119"/>
      <c r="U45" s="119"/>
      <c r="V45" s="119"/>
      <c r="W45" s="119"/>
      <c r="X45" s="119">
        <f>MIN(O45:W45)</f>
        <v>1.34</v>
      </c>
      <c r="Y45" s="118">
        <f>AVERAGE(O45:W45)</f>
        <v>1.34</v>
      </c>
      <c r="Z45" s="109">
        <f>Y45*N45</f>
        <v>29480</v>
      </c>
      <c r="AA45" s="109">
        <f>'CALCULO GERAL'!$G$10</f>
        <v>6300</v>
      </c>
      <c r="AB45" s="109">
        <f>Z45+AA45</f>
        <v>35780</v>
      </c>
      <c r="AC45" s="109">
        <f>AB45*'CALCULO GERAL'!$C$11</f>
        <v>179579.82</v>
      </c>
      <c r="AD45" s="109">
        <f>AC45*C45</f>
        <v>32324.367600000001</v>
      </c>
      <c r="AE45" s="109">
        <f>(AC45+AD45)*D45</f>
        <v>0</v>
      </c>
      <c r="AF45" s="109">
        <f>AC45*E45</f>
        <v>3771.1762200000003</v>
      </c>
      <c r="AG45" s="109">
        <f>AC45*F45</f>
        <v>17329.45263</v>
      </c>
      <c r="AH45" s="109">
        <v>154.22999999999999</v>
      </c>
      <c r="AI45" s="109">
        <f>((AA45*'CALCULO GERAL'!$C$11))*0.08+20</f>
        <v>2549.576</v>
      </c>
      <c r="AJ45" s="109">
        <v>1010</v>
      </c>
      <c r="AK45" s="109">
        <v>2500</v>
      </c>
      <c r="AL45" s="109">
        <f>(AA45*('CALCULO GERAL'!$C$11*1.02))-(AA45*'CALCULO GERAL'!$C$11)</f>
        <v>632.39400000000387</v>
      </c>
      <c r="AM45" s="109">
        <v>1800</v>
      </c>
      <c r="AN45" s="109">
        <v>2600</v>
      </c>
      <c r="AO45" s="109">
        <v>9400</v>
      </c>
      <c r="AP45" s="109">
        <v>1000</v>
      </c>
      <c r="AQ45" s="109">
        <f t="shared" si="21"/>
        <v>-3771.1762200000003</v>
      </c>
      <c r="AR45" s="109">
        <f t="shared" si="22"/>
        <v>-17329.45263</v>
      </c>
      <c r="AS45" s="109"/>
      <c r="AT45" s="109">
        <f t="shared" si="23"/>
        <v>233550.38760000002</v>
      </c>
      <c r="AU45" s="111">
        <f>IFERROR((AT45/N45),0)</f>
        <v>10.61592670909091</v>
      </c>
      <c r="AV45" s="109">
        <f>IFERROR((BS45*'CALCULO GERAL'!$E$11)/N45,0)</f>
        <v>0.27303360000000004</v>
      </c>
      <c r="AW45" s="109">
        <f>AU45/'CALCULO GERAL'!$C$11</f>
        <v>2.1151477802532197</v>
      </c>
      <c r="AX45" s="109">
        <f>BP45-BB45-BD45*'CALCULO GERAL'!$C$11</f>
        <v>13.4469048</v>
      </c>
      <c r="AY45" s="109">
        <f>AX45*G45</f>
        <v>0.22187392920000001</v>
      </c>
      <c r="AZ45" s="109">
        <f>AX45*H45</f>
        <v>1.0219647648000001</v>
      </c>
      <c r="BA45" s="109">
        <f>BP45-BD45</f>
        <v>13.651680000000001</v>
      </c>
      <c r="BB45" s="109">
        <f>BA45*L45</f>
        <v>0.20477519999999999</v>
      </c>
      <c r="BC45" s="109">
        <f>BP45/(1+D45)</f>
        <v>13.651680000000001</v>
      </c>
      <c r="BD45" s="109">
        <f>BC45*D45</f>
        <v>0</v>
      </c>
      <c r="BE45" s="109">
        <f t="shared" si="37"/>
        <v>24026.956800000004</v>
      </c>
      <c r="BF45" s="109">
        <f t="shared" si="38"/>
        <v>36040.4352</v>
      </c>
      <c r="BG45" s="109">
        <f>(BF45*0.09)/N45</f>
        <v>0.14743814399999999</v>
      </c>
      <c r="BH45" s="109">
        <f>(BE45*0.15)/N45</f>
        <v>0.16382016000000002</v>
      </c>
      <c r="BI45" s="109">
        <f>IF(BE45&gt;=$BY$1,($BY$1-BE45)*0.1,IF(BE45&lt;=$BY$1,($BY$1*0)))/N45</f>
        <v>0</v>
      </c>
      <c r="BJ45" s="109">
        <f>(AY45+AZ45+BB45+AV45+BD45+BG45+BH45+BI45)</f>
        <v>2.0329057980000003</v>
      </c>
      <c r="BK45" s="109">
        <f>BJ45+AU45</f>
        <v>12.64883250709091</v>
      </c>
      <c r="BL45" s="148">
        <v>0.79</v>
      </c>
      <c r="BM45" s="112">
        <f>ROUND((AW45/BL45)+((AW45*BL45)*'CALCULO GERAL'!$E$11)/BL45,2)</f>
        <v>2.72</v>
      </c>
      <c r="BN45" s="186">
        <f t="shared" si="17"/>
        <v>2.72</v>
      </c>
      <c r="BO45" s="186">
        <f t="shared" si="29"/>
        <v>3.1869999999999998</v>
      </c>
      <c r="BP45" s="109">
        <f>BM45*'CALCULO GERAL'!$C$11</f>
        <v>13.651680000000001</v>
      </c>
      <c r="BQ45" s="109">
        <f>BO45*'CALCULO GERAL'!$C$11</f>
        <v>15.995552999999999</v>
      </c>
      <c r="BR45" s="186">
        <f>BN45*'CALCULO GERAL'!$C$11</f>
        <v>13.651680000000001</v>
      </c>
      <c r="BS45" s="109">
        <f>BP45*N45</f>
        <v>300336.96000000002</v>
      </c>
      <c r="BT45" s="109">
        <f t="shared" si="30"/>
        <v>66786.572400000005</v>
      </c>
      <c r="BU45" s="109">
        <f>BR45*N45</f>
        <v>300336.96000000002</v>
      </c>
      <c r="BV45" s="109">
        <f t="shared" si="31"/>
        <v>278274.31515600003</v>
      </c>
      <c r="BW45" s="109">
        <f t="shared" si="32"/>
        <v>22062.644843999995</v>
      </c>
      <c r="BX45" s="114">
        <f>(((BK45*N45)-BS45)/BS45*-1)</f>
        <v>7.3459639612786898E-2</v>
      </c>
      <c r="BY45" s="152">
        <f t="shared" si="33"/>
        <v>0.79</v>
      </c>
      <c r="BZ45" s="152"/>
      <c r="CA45" s="55"/>
      <c r="CB45" s="113"/>
      <c r="CC45" s="113"/>
      <c r="CD45" s="152"/>
      <c r="CE45" s="152">
        <f t="shared" si="34"/>
        <v>0</v>
      </c>
      <c r="CF45" s="152">
        <f t="shared" si="35"/>
        <v>1</v>
      </c>
      <c r="CG45" s="152">
        <f t="shared" si="36"/>
        <v>1</v>
      </c>
      <c r="CH45" s="34"/>
    </row>
    <row r="46" spans="1:89" s="152" customFormat="1" ht="16" x14ac:dyDescent="0.2">
      <c r="A46" s="344" t="s">
        <v>562</v>
      </c>
      <c r="B46" s="338" t="s">
        <v>194</v>
      </c>
      <c r="C46" s="346">
        <v>0.35</v>
      </c>
      <c r="D46" s="346">
        <v>0</v>
      </c>
      <c r="E46" s="339">
        <v>2.1000000000000001E-2</v>
      </c>
      <c r="F46" s="339">
        <v>0.1065</v>
      </c>
      <c r="G46" s="1">
        <v>1.6500000000000001E-2</v>
      </c>
      <c r="H46" s="1">
        <v>7.5999999999999998E-2</v>
      </c>
      <c r="I46" s="1">
        <v>0.18</v>
      </c>
      <c r="J46" s="1">
        <v>0.04</v>
      </c>
      <c r="K46" s="1">
        <v>0.14000000000000001</v>
      </c>
      <c r="L46" s="1">
        <v>1.4999999999999999E-2</v>
      </c>
      <c r="M46" s="2" t="s">
        <v>175</v>
      </c>
      <c r="N46" s="105">
        <v>9000</v>
      </c>
      <c r="O46" s="119"/>
      <c r="P46" s="119"/>
      <c r="Q46" s="119"/>
      <c r="R46" s="119"/>
      <c r="S46" s="119"/>
      <c r="T46" s="119">
        <v>3.28</v>
      </c>
      <c r="U46" s="119"/>
      <c r="V46" s="205"/>
      <c r="W46" s="119"/>
      <c r="X46" s="119">
        <f>MIN(O46:W46)</f>
        <v>3.28</v>
      </c>
      <c r="Y46" s="118">
        <f>AVERAGE(O46:W46)</f>
        <v>3.28</v>
      </c>
      <c r="Z46" s="109">
        <f>Y46*N46</f>
        <v>29520</v>
      </c>
      <c r="AA46" s="109">
        <f>'CALCULO GERAL'!$G$10</f>
        <v>6300</v>
      </c>
      <c r="AB46" s="109">
        <f>Z46+AA46</f>
        <v>35820</v>
      </c>
      <c r="AC46" s="109">
        <f>AB46*'CALCULO GERAL'!$C$11</f>
        <v>179780.58000000002</v>
      </c>
      <c r="AD46" s="109">
        <f>AC46*C46</f>
        <v>62923.203000000001</v>
      </c>
      <c r="AE46" s="109">
        <f>(AC46+AD46)*D46</f>
        <v>0</v>
      </c>
      <c r="AF46" s="109">
        <f>AC46*E46</f>
        <v>3775.3921800000007</v>
      </c>
      <c r="AG46" s="109">
        <f>AC46*F46</f>
        <v>19146.63177</v>
      </c>
      <c r="AH46" s="109">
        <v>154.22999999999999</v>
      </c>
      <c r="AI46" s="109">
        <f>((AA46*'CALCULO GERAL'!$C$11))*0.08+20</f>
        <v>2549.576</v>
      </c>
      <c r="AJ46" s="109">
        <v>1010</v>
      </c>
      <c r="AK46" s="109">
        <v>2500</v>
      </c>
      <c r="AL46" s="109">
        <f>(AA46*('CALCULO GERAL'!$C$11*1.02))-(AA46*'CALCULO GERAL'!$C$11)</f>
        <v>632.39400000000387</v>
      </c>
      <c r="AM46" s="109">
        <v>1800</v>
      </c>
      <c r="AN46" s="109">
        <v>2600</v>
      </c>
      <c r="AO46" s="109">
        <v>9400</v>
      </c>
      <c r="AP46" s="109">
        <v>1000</v>
      </c>
      <c r="AQ46" s="109">
        <f t="shared" si="21"/>
        <v>-3775.3921800000007</v>
      </c>
      <c r="AR46" s="109">
        <f t="shared" si="22"/>
        <v>-19146.63177</v>
      </c>
      <c r="AS46" s="109"/>
      <c r="AT46" s="109">
        <f>SUM(AC46:AS46)</f>
        <v>264349.98300000001</v>
      </c>
      <c r="AU46" s="111">
        <f>IFERROR((AT46/N46),0)</f>
        <v>29.372220333333335</v>
      </c>
      <c r="AV46" s="109">
        <f>IFERROR((BS46*'CALCULO GERAL'!$E$11)/N46,0)</f>
        <v>0.80605139999999986</v>
      </c>
      <c r="AW46" s="109">
        <f>AU46/'CALCULO GERAL'!$C$11</f>
        <v>5.8522056850634261</v>
      </c>
      <c r="AX46" s="109">
        <f>BP46-BB46-BD46*'CALCULO GERAL'!$C$11</f>
        <v>39.698031449999995</v>
      </c>
      <c r="AY46" s="109">
        <f>AX46*G46</f>
        <v>0.65501751892499993</v>
      </c>
      <c r="AZ46" s="109">
        <f>AX46*H46</f>
        <v>3.0170503901999997</v>
      </c>
      <c r="BA46" s="109">
        <f>BP46-BD46</f>
        <v>40.302569999999996</v>
      </c>
      <c r="BB46" s="109">
        <f>BA46*L46</f>
        <v>0.6045385499999999</v>
      </c>
      <c r="BC46" s="109">
        <f>BP46/(1+D46)</f>
        <v>40.302569999999996</v>
      </c>
      <c r="BD46" s="109">
        <f>BC46*D46</f>
        <v>0</v>
      </c>
      <c r="BE46" s="109">
        <f t="shared" si="37"/>
        <v>29017.850399999996</v>
      </c>
      <c r="BF46" s="109">
        <f t="shared" si="38"/>
        <v>43526.775599999994</v>
      </c>
      <c r="BG46" s="109">
        <f>(BF46*0.09)/N46</f>
        <v>0.43526775599999995</v>
      </c>
      <c r="BH46" s="109">
        <f>(BE46*0.15)/N46</f>
        <v>0.4836308399999999</v>
      </c>
      <c r="BI46" s="109">
        <f>IF(BE46&gt;=$BY$1,($BY$1-BE46)*0.1,IF(BE46&lt;=$BY$1,($BY$1*0)))/N46</f>
        <v>0</v>
      </c>
      <c r="BJ46" s="109">
        <f>(AY46+AZ46+BB46+AV46+BD46+BG46+BH46+BI46)</f>
        <v>6.0015564551249998</v>
      </c>
      <c r="BK46" s="109">
        <f>BJ46+AU46</f>
        <v>35.373776788458336</v>
      </c>
      <c r="BL46" s="148">
        <v>0.74</v>
      </c>
      <c r="BM46" s="112">
        <f>ROUND((AW46/BL46)+((AW46*BL46)*'CALCULO GERAL'!$E$11)/BL46,2)</f>
        <v>8.0299999999999994</v>
      </c>
      <c r="BN46" s="186">
        <f>BM46</f>
        <v>8.0299999999999994</v>
      </c>
      <c r="BO46" s="186">
        <f>ROUND(FV(0.02,8,,BN46)*-1,3)</f>
        <v>9.4079999999999995</v>
      </c>
      <c r="BP46" s="109">
        <f>BM46*'CALCULO GERAL'!$C$11</f>
        <v>40.302569999999996</v>
      </c>
      <c r="BQ46" s="109">
        <f>BO46*'CALCULO GERAL'!$C$11</f>
        <v>47.218752000000002</v>
      </c>
      <c r="BR46" s="186">
        <f>BN46*'CALCULO GERAL'!$C$11</f>
        <v>40.302569999999996</v>
      </c>
      <c r="BS46" s="109">
        <f>BP46*N46</f>
        <v>362723.12999999995</v>
      </c>
      <c r="BT46" s="109">
        <f t="shared" si="30"/>
        <v>98373.146999999939</v>
      </c>
      <c r="BU46" s="109">
        <f>BR46*N46</f>
        <v>362723.12999999995</v>
      </c>
      <c r="BV46" s="109">
        <f>BK46*N46</f>
        <v>318363.99109612504</v>
      </c>
      <c r="BW46" s="109">
        <f>BS46-BV46</f>
        <v>44359.138903874904</v>
      </c>
      <c r="BX46" s="114">
        <f>(((BK46*N46)-BS46)/BS46*-1)</f>
        <v>0.12229476213406879</v>
      </c>
      <c r="BY46" s="152">
        <f>ROUND(BL46,2)</f>
        <v>0.74</v>
      </c>
      <c r="CA46" s="55"/>
      <c r="CB46" s="113"/>
      <c r="CC46" s="113"/>
      <c r="CE46" s="152">
        <f>CC46/BY46</f>
        <v>0</v>
      </c>
      <c r="CF46" s="152">
        <f>100%-CE46</f>
        <v>1</v>
      </c>
      <c r="CG46" s="152">
        <f>AVERAGE(CF46,CD46)</f>
        <v>1</v>
      </c>
      <c r="CH46" s="34"/>
      <c r="CJ46" s="11"/>
      <c r="CK46" s="11"/>
    </row>
    <row r="47" spans="1:89" s="152" customFormat="1" ht="16" x14ac:dyDescent="0.2">
      <c r="A47" s="344" t="s">
        <v>563</v>
      </c>
      <c r="B47" s="338" t="s">
        <v>194</v>
      </c>
      <c r="C47" s="346">
        <v>0.35</v>
      </c>
      <c r="D47" s="346">
        <v>0</v>
      </c>
      <c r="E47" s="339">
        <v>2.1000000000000001E-2</v>
      </c>
      <c r="F47" s="339">
        <v>0.1065</v>
      </c>
      <c r="G47" s="1">
        <v>1.6500000000000001E-2</v>
      </c>
      <c r="H47" s="1">
        <v>7.5999999999999998E-2</v>
      </c>
      <c r="I47" s="1">
        <v>0.18</v>
      </c>
      <c r="J47" s="1">
        <v>0.04</v>
      </c>
      <c r="K47" s="1">
        <v>0.14000000000000001</v>
      </c>
      <c r="L47" s="1">
        <v>1.4999999999999999E-2</v>
      </c>
      <c r="M47" s="2" t="s">
        <v>175</v>
      </c>
      <c r="N47" s="105">
        <v>9000</v>
      </c>
      <c r="O47" s="119"/>
      <c r="P47" s="119"/>
      <c r="Q47" s="119"/>
      <c r="R47" s="119"/>
      <c r="S47" s="119"/>
      <c r="T47" s="119">
        <v>4.04</v>
      </c>
      <c r="U47" s="119"/>
      <c r="V47" s="205"/>
      <c r="W47" s="119"/>
      <c r="X47" s="119">
        <f>MIN(O47:W47)</f>
        <v>4.04</v>
      </c>
      <c r="Y47" s="118">
        <f>AVERAGE(O47:W47)</f>
        <v>4.04</v>
      </c>
      <c r="Z47" s="109">
        <f>Y47*N47</f>
        <v>36360</v>
      </c>
      <c r="AA47" s="109">
        <f>'CALCULO GERAL'!$G$10</f>
        <v>6300</v>
      </c>
      <c r="AB47" s="109">
        <f>Z47+AA47</f>
        <v>42660</v>
      </c>
      <c r="AC47" s="109">
        <f>AB47*'CALCULO GERAL'!$C$11</f>
        <v>214110.54</v>
      </c>
      <c r="AD47" s="109">
        <f>AC47*C47</f>
        <v>74938.688999999998</v>
      </c>
      <c r="AE47" s="109">
        <f>(AC47+AD47)*D47</f>
        <v>0</v>
      </c>
      <c r="AF47" s="109">
        <f>AC47*E47</f>
        <v>4496.3213400000004</v>
      </c>
      <c r="AG47" s="109">
        <f>AC47*F47</f>
        <v>22802.772509999999</v>
      </c>
      <c r="AH47" s="109">
        <v>154.22999999999999</v>
      </c>
      <c r="AI47" s="109">
        <f>((AA47*'CALCULO GERAL'!$C$11))*0.08+20</f>
        <v>2549.576</v>
      </c>
      <c r="AJ47" s="109">
        <v>1010</v>
      </c>
      <c r="AK47" s="109">
        <v>2500</v>
      </c>
      <c r="AL47" s="109">
        <f>(AA47*('CALCULO GERAL'!$C$11*1.02))-(AA47*'CALCULO GERAL'!$C$11)</f>
        <v>632.39400000000387</v>
      </c>
      <c r="AM47" s="109">
        <v>1800</v>
      </c>
      <c r="AN47" s="109">
        <v>2600</v>
      </c>
      <c r="AO47" s="109">
        <v>9400</v>
      </c>
      <c r="AP47" s="109">
        <v>1000</v>
      </c>
      <c r="AQ47" s="109">
        <f t="shared" si="21"/>
        <v>-4496.3213400000004</v>
      </c>
      <c r="AR47" s="109">
        <f t="shared" si="22"/>
        <v>-22802.772509999999</v>
      </c>
      <c r="AS47" s="109"/>
      <c r="AT47" s="109">
        <f>SUM(AC47:AS47)</f>
        <v>310695.429</v>
      </c>
      <c r="AU47" s="111">
        <f>IFERROR((AT47/N47),0)</f>
        <v>34.521714333333335</v>
      </c>
      <c r="AV47" s="109">
        <f>IFERROR((BS47*'CALCULO GERAL'!$E$11)/N47,0)</f>
        <v>0.94658339999999996</v>
      </c>
      <c r="AW47" s="109">
        <f>AU47/'CALCULO GERAL'!$C$11</f>
        <v>6.8782056850634259</v>
      </c>
      <c r="AX47" s="109">
        <f>BP47-BB47-BD47*'CALCULO GERAL'!$C$11</f>
        <v>46.619232449999998</v>
      </c>
      <c r="AY47" s="109">
        <f>AX47*G47</f>
        <v>0.76921733542500004</v>
      </c>
      <c r="AZ47" s="109">
        <f>AX47*H47</f>
        <v>3.5430616661999998</v>
      </c>
      <c r="BA47" s="109">
        <f>BP47-BD47</f>
        <v>47.329169999999998</v>
      </c>
      <c r="BB47" s="109">
        <f>BA47*L47</f>
        <v>0.70993754999999992</v>
      </c>
      <c r="BC47" s="109">
        <f>BP47/(1+D47)</f>
        <v>47.329169999999998</v>
      </c>
      <c r="BD47" s="109">
        <f>BC47*D47</f>
        <v>0</v>
      </c>
      <c r="BE47" s="109">
        <f t="shared" si="37"/>
        <v>34077.002399999998</v>
      </c>
      <c r="BF47" s="109">
        <f t="shared" si="38"/>
        <v>51115.503599999996</v>
      </c>
      <c r="BG47" s="109">
        <f>(BF47*0.09)/N47</f>
        <v>0.5111550359999999</v>
      </c>
      <c r="BH47" s="109">
        <f>(BE47*0.15)/N47</f>
        <v>0.56795003999999993</v>
      </c>
      <c r="BI47" s="109">
        <f>IF(BE47&gt;=$BY$1,($BY$1-BE47)*0.1,IF(BE47&lt;=$BY$1,($BY$1*0)))/N47</f>
        <v>0</v>
      </c>
      <c r="BJ47" s="109">
        <f>(AY47+AZ47+BB47+AV47+BD47+BG47+BH47+BI47)</f>
        <v>7.0479050276249993</v>
      </c>
      <c r="BK47" s="109">
        <f>BJ47+AU47</f>
        <v>41.569619360958335</v>
      </c>
      <c r="BL47" s="148">
        <v>0.74</v>
      </c>
      <c r="BM47" s="112">
        <f>ROUND((AW47/BL47)+((AW47*BL47)*'CALCULO GERAL'!$E$11)/BL47,2)</f>
        <v>9.43</v>
      </c>
      <c r="BN47" s="186">
        <f>BM47</f>
        <v>9.43</v>
      </c>
      <c r="BO47" s="186">
        <f>ROUND(FV(0.02,8,,BN47)*-1,3)</f>
        <v>11.048999999999999</v>
      </c>
      <c r="BP47" s="109">
        <f>BM47*'CALCULO GERAL'!$C$11</f>
        <v>47.329169999999998</v>
      </c>
      <c r="BQ47" s="109">
        <f>BO47*'CALCULO GERAL'!$C$11</f>
        <v>55.454931000000002</v>
      </c>
      <c r="BR47" s="186">
        <f>BN47*'CALCULO GERAL'!$C$11</f>
        <v>47.329169999999998</v>
      </c>
      <c r="BS47" s="109">
        <f>BP47*N47</f>
        <v>425962.52999999997</v>
      </c>
      <c r="BT47" s="109">
        <f t="shared" si="30"/>
        <v>115267.10099999997</v>
      </c>
      <c r="BU47" s="109">
        <f>BR47*N47</f>
        <v>425962.52999999997</v>
      </c>
      <c r="BV47" s="109">
        <f>BK47*N47</f>
        <v>374126.57424862502</v>
      </c>
      <c r="BW47" s="109">
        <f>BS47-BV47</f>
        <v>51835.955751374946</v>
      </c>
      <c r="BX47" s="114">
        <f>(((BK47*N47)-BS47)/BS47*-1)</f>
        <v>0.12169135100069706</v>
      </c>
      <c r="BY47" s="152">
        <f>ROUND(BL47,2)</f>
        <v>0.74</v>
      </c>
      <c r="CA47" s="55"/>
      <c r="CB47" s="113"/>
      <c r="CC47" s="113"/>
      <c r="CE47" s="152">
        <f>CC47/BY47</f>
        <v>0</v>
      </c>
      <c r="CF47" s="152">
        <f>100%-CE47</f>
        <v>1</v>
      </c>
      <c r="CG47" s="152">
        <f>AVERAGE(CF47,CD47)</f>
        <v>1</v>
      </c>
      <c r="CH47" s="34"/>
      <c r="CJ47" s="11"/>
      <c r="CK47" s="11"/>
    </row>
    <row r="48" spans="1:89" s="152" customFormat="1" ht="16" x14ac:dyDescent="0.2">
      <c r="A48" s="344" t="s">
        <v>564</v>
      </c>
      <c r="B48" s="338" t="s">
        <v>194</v>
      </c>
      <c r="C48" s="346">
        <v>0.35</v>
      </c>
      <c r="D48" s="346">
        <v>0</v>
      </c>
      <c r="E48" s="339">
        <v>2.1000000000000001E-2</v>
      </c>
      <c r="F48" s="339">
        <v>0.1065</v>
      </c>
      <c r="G48" s="1">
        <v>1.6500000000000001E-2</v>
      </c>
      <c r="H48" s="1">
        <v>7.5999999999999998E-2</v>
      </c>
      <c r="I48" s="1">
        <v>0.18</v>
      </c>
      <c r="J48" s="1">
        <v>0.04</v>
      </c>
      <c r="K48" s="1">
        <v>0.14000000000000001</v>
      </c>
      <c r="L48" s="1">
        <v>1.4999999999999999E-2</v>
      </c>
      <c r="M48" s="2" t="s">
        <v>175</v>
      </c>
      <c r="N48" s="105">
        <v>9000</v>
      </c>
      <c r="O48" s="119"/>
      <c r="P48" s="119"/>
      <c r="Q48" s="119"/>
      <c r="R48" s="119"/>
      <c r="S48" s="119"/>
      <c r="T48" s="119">
        <v>4.4000000000000004</v>
      </c>
      <c r="U48" s="119"/>
      <c r="V48" s="205"/>
      <c r="W48" s="119"/>
      <c r="X48" s="119">
        <f>MIN(O48:W48)</f>
        <v>4.4000000000000004</v>
      </c>
      <c r="Y48" s="118">
        <f>AVERAGE(O48:W48)</f>
        <v>4.4000000000000004</v>
      </c>
      <c r="Z48" s="109">
        <f>Y48*N48</f>
        <v>39600</v>
      </c>
      <c r="AA48" s="109">
        <f>'CALCULO GERAL'!$G$10</f>
        <v>6300</v>
      </c>
      <c r="AB48" s="109">
        <f>Z48+AA48</f>
        <v>45900</v>
      </c>
      <c r="AC48" s="109">
        <f>AB48*'CALCULO GERAL'!$C$11</f>
        <v>230372.1</v>
      </c>
      <c r="AD48" s="109">
        <f>AC48*C48</f>
        <v>80630.235000000001</v>
      </c>
      <c r="AE48" s="109">
        <f>(AC48+AD48)*D48</f>
        <v>0</v>
      </c>
      <c r="AF48" s="109">
        <f>AC48*E48</f>
        <v>4837.8141000000005</v>
      </c>
      <c r="AG48" s="109">
        <f>AC48*F48</f>
        <v>24534.628649999999</v>
      </c>
      <c r="AH48" s="109">
        <v>154.22999999999999</v>
      </c>
      <c r="AI48" s="109">
        <f>((AA48*'CALCULO GERAL'!$C$11))*0.08+20</f>
        <v>2549.576</v>
      </c>
      <c r="AJ48" s="109">
        <v>1010</v>
      </c>
      <c r="AK48" s="109">
        <v>2500</v>
      </c>
      <c r="AL48" s="109">
        <f>(AA48*('CALCULO GERAL'!$C$11*1.02))-(AA48*'CALCULO GERAL'!$C$11)</f>
        <v>632.39400000000387</v>
      </c>
      <c r="AM48" s="109">
        <v>1800</v>
      </c>
      <c r="AN48" s="109">
        <v>2600</v>
      </c>
      <c r="AO48" s="109">
        <v>9400</v>
      </c>
      <c r="AP48" s="109">
        <v>1000</v>
      </c>
      <c r="AQ48" s="109">
        <f t="shared" si="21"/>
        <v>-4837.8141000000005</v>
      </c>
      <c r="AR48" s="109">
        <f t="shared" si="22"/>
        <v>-24534.628649999999</v>
      </c>
      <c r="AS48" s="109"/>
      <c r="AT48" s="109">
        <f>SUM(AC48:AS48)</f>
        <v>332648.53500000003</v>
      </c>
      <c r="AU48" s="111">
        <f>IFERROR((AT48/N48),0)</f>
        <v>36.960948333333334</v>
      </c>
      <c r="AV48" s="109">
        <f>IFERROR((BS48*'CALCULO GERAL'!$E$11)/N48,0)</f>
        <v>1.013838</v>
      </c>
      <c r="AW48" s="109">
        <f>AU48/'CALCULO GERAL'!$C$11</f>
        <v>7.3642056850634257</v>
      </c>
      <c r="AX48" s="109">
        <f>BP48-BB48-BD48*'CALCULO GERAL'!$C$11</f>
        <v>49.931521499999995</v>
      </c>
      <c r="AY48" s="109">
        <f>AX48*G48</f>
        <v>0.82387010475</v>
      </c>
      <c r="AZ48" s="109">
        <f>AX48*H48</f>
        <v>3.7947956339999998</v>
      </c>
      <c r="BA48" s="109">
        <f>BP48-BD48</f>
        <v>50.691899999999997</v>
      </c>
      <c r="BB48" s="109">
        <f>BA48*L48</f>
        <v>0.76037849999999996</v>
      </c>
      <c r="BC48" s="109">
        <f>BP48/(1+D48)</f>
        <v>50.691899999999997</v>
      </c>
      <c r="BD48" s="109">
        <f>BC48*D48</f>
        <v>0</v>
      </c>
      <c r="BE48" s="109">
        <f t="shared" si="37"/>
        <v>36498.167999999998</v>
      </c>
      <c r="BF48" s="109">
        <f t="shared" si="38"/>
        <v>54747.251999999993</v>
      </c>
      <c r="BG48" s="109">
        <f>(BF48*0.09)/N48</f>
        <v>0.54747251999999991</v>
      </c>
      <c r="BH48" s="109">
        <f>(BE48*0.15)/N48</f>
        <v>0.60830280000000003</v>
      </c>
      <c r="BI48" s="109">
        <f>IF(BE48&gt;=$BY$1,($BY$1-BE48)*0.1,IF(BE48&lt;=$BY$1,($BY$1*0)))/N48</f>
        <v>0</v>
      </c>
      <c r="BJ48" s="109">
        <f>(AY48+AZ48+BB48+AV48+BD48+BG48+BH48+BI48)</f>
        <v>7.5486575587499987</v>
      </c>
      <c r="BK48" s="109">
        <f>BJ48+AU48</f>
        <v>44.509605892083336</v>
      </c>
      <c r="BL48" s="148">
        <v>0.74</v>
      </c>
      <c r="BM48" s="112">
        <f>ROUND((AW48/BL48)+((AW48*BL48)*'CALCULO GERAL'!$E$11)/BL48,2)</f>
        <v>10.1</v>
      </c>
      <c r="BN48" s="186">
        <f>BM48</f>
        <v>10.1</v>
      </c>
      <c r="BO48" s="186">
        <f>ROUND(FV(0.02,8,,BN48)*-1,3)</f>
        <v>11.834</v>
      </c>
      <c r="BP48" s="109">
        <f>BM48*'CALCULO GERAL'!$C$11</f>
        <v>50.691899999999997</v>
      </c>
      <c r="BQ48" s="109">
        <f>BO48*'CALCULO GERAL'!$C$11</f>
        <v>59.394846000000001</v>
      </c>
      <c r="BR48" s="186">
        <f>BN48*'CALCULO GERAL'!$C$11</f>
        <v>50.691899999999997</v>
      </c>
      <c r="BS48" s="109">
        <f>BP48*N48</f>
        <v>456227.1</v>
      </c>
      <c r="BT48" s="109">
        <f t="shared" si="30"/>
        <v>123578.56499999994</v>
      </c>
      <c r="BU48" s="109">
        <f>BR48*N48</f>
        <v>456227.1</v>
      </c>
      <c r="BV48" s="109">
        <f>BK48*N48</f>
        <v>400586.45302875002</v>
      </c>
      <c r="BW48" s="109">
        <f>BS48-BV48</f>
        <v>55640.646971249953</v>
      </c>
      <c r="BX48" s="114">
        <f>(((BK48*N48)-BS48)/BS48*-1)</f>
        <v>0.12195822425114587</v>
      </c>
      <c r="BY48" s="152">
        <f>ROUND(BL48,2)</f>
        <v>0.74</v>
      </c>
      <c r="CA48" s="55"/>
      <c r="CB48" s="113"/>
      <c r="CC48" s="113"/>
      <c r="CE48" s="152">
        <f>CC48/BY48</f>
        <v>0</v>
      </c>
      <c r="CF48" s="152">
        <f>100%-CE48</f>
        <v>1</v>
      </c>
      <c r="CG48" s="152">
        <f>AVERAGE(CF48,CD48)</f>
        <v>1</v>
      </c>
      <c r="CH48" s="34"/>
      <c r="CJ48" s="11"/>
      <c r="CK48" s="11"/>
    </row>
    <row r="49" spans="1:89" s="152" customFormat="1" ht="16" x14ac:dyDescent="0.2">
      <c r="A49" s="344" t="s">
        <v>565</v>
      </c>
      <c r="B49" s="338" t="s">
        <v>194</v>
      </c>
      <c r="C49" s="346">
        <v>0.35</v>
      </c>
      <c r="D49" s="346">
        <v>0</v>
      </c>
      <c r="E49" s="339">
        <v>2.1000000000000001E-2</v>
      </c>
      <c r="F49" s="339">
        <v>0.1065</v>
      </c>
      <c r="G49" s="1">
        <v>1.6500000000000001E-2</v>
      </c>
      <c r="H49" s="1">
        <v>7.5999999999999998E-2</v>
      </c>
      <c r="I49" s="1">
        <v>0.18</v>
      </c>
      <c r="J49" s="1">
        <v>0.04</v>
      </c>
      <c r="K49" s="1">
        <v>0.14000000000000001</v>
      </c>
      <c r="L49" s="1">
        <v>1.4999999999999999E-2</v>
      </c>
      <c r="M49" s="2" t="s">
        <v>175</v>
      </c>
      <c r="N49" s="105">
        <v>9000</v>
      </c>
      <c r="O49" s="119"/>
      <c r="P49" s="119"/>
      <c r="Q49" s="119"/>
      <c r="R49" s="119"/>
      <c r="S49" s="119"/>
      <c r="T49" s="119">
        <v>5.34</v>
      </c>
      <c r="U49" s="119"/>
      <c r="V49" s="205"/>
      <c r="W49" s="119"/>
      <c r="X49" s="119">
        <f>MIN(O49:W49)</f>
        <v>5.34</v>
      </c>
      <c r="Y49" s="118">
        <f>AVERAGE(O49:W49)</f>
        <v>5.34</v>
      </c>
      <c r="Z49" s="109">
        <f>Y49*N49</f>
        <v>48060</v>
      </c>
      <c r="AA49" s="109">
        <f>'CALCULO GERAL'!$G$10</f>
        <v>6300</v>
      </c>
      <c r="AB49" s="109">
        <f>Z49+AA49</f>
        <v>54360</v>
      </c>
      <c r="AC49" s="109">
        <f>AB49*'CALCULO GERAL'!$C$11</f>
        <v>272832.84000000003</v>
      </c>
      <c r="AD49" s="109">
        <f>AC49*C49</f>
        <v>95491.494000000006</v>
      </c>
      <c r="AE49" s="109">
        <f>(AC49+AD49)*D49</f>
        <v>0</v>
      </c>
      <c r="AF49" s="109">
        <f>AC49*E49</f>
        <v>5729.4896400000007</v>
      </c>
      <c r="AG49" s="109">
        <f>AC49*F49</f>
        <v>29056.697460000003</v>
      </c>
      <c r="AH49" s="109">
        <v>154.22999999999999</v>
      </c>
      <c r="AI49" s="109">
        <f>((AA49*'CALCULO GERAL'!$C$11))*0.08+20</f>
        <v>2549.576</v>
      </c>
      <c r="AJ49" s="109">
        <v>1010</v>
      </c>
      <c r="AK49" s="109">
        <v>2500</v>
      </c>
      <c r="AL49" s="109">
        <f>(AA49*('CALCULO GERAL'!$C$11*1.02))-(AA49*'CALCULO GERAL'!$C$11)</f>
        <v>632.39400000000387</v>
      </c>
      <c r="AM49" s="109">
        <v>1800</v>
      </c>
      <c r="AN49" s="109">
        <v>2600</v>
      </c>
      <c r="AO49" s="109">
        <v>9400</v>
      </c>
      <c r="AP49" s="109">
        <v>1000</v>
      </c>
      <c r="AQ49" s="109">
        <f t="shared" si="21"/>
        <v>-5729.4896400000007</v>
      </c>
      <c r="AR49" s="109">
        <f t="shared" si="22"/>
        <v>-29056.697460000003</v>
      </c>
      <c r="AS49" s="109"/>
      <c r="AT49" s="109">
        <f>SUM(AC49:AS49)</f>
        <v>389970.53400000004</v>
      </c>
      <c r="AU49" s="111">
        <f>IFERROR((AT49/N49),0)</f>
        <v>43.330059333333338</v>
      </c>
      <c r="AV49" s="109">
        <f>IFERROR((BS49*'CALCULO GERAL'!$E$11)/N49,0)</f>
        <v>1.1884992000000001</v>
      </c>
      <c r="AW49" s="109">
        <f>AU49/'CALCULO GERAL'!$C$11</f>
        <v>8.6332056850634267</v>
      </c>
      <c r="AX49" s="109">
        <f>BP49-BB49-BD49*'CALCULO GERAL'!$C$11</f>
        <v>58.533585600000002</v>
      </c>
      <c r="AY49" s="109">
        <f>AX49*G49</f>
        <v>0.96580416240000011</v>
      </c>
      <c r="AZ49" s="109">
        <f>AX49*H49</f>
        <v>4.4485525056000004</v>
      </c>
      <c r="BA49" s="109">
        <f>BP49-BD49</f>
        <v>59.424959999999999</v>
      </c>
      <c r="BB49" s="109">
        <f>BA49*L49</f>
        <v>0.8913743999999999</v>
      </c>
      <c r="BC49" s="109">
        <f>BP49/(1+D49)</f>
        <v>59.424959999999999</v>
      </c>
      <c r="BD49" s="109">
        <f>BC49*D49</f>
        <v>0</v>
      </c>
      <c r="BE49" s="109">
        <f t="shared" si="37"/>
        <v>42785.9712</v>
      </c>
      <c r="BF49" s="109">
        <f t="shared" si="38"/>
        <v>64178.9568</v>
      </c>
      <c r="BG49" s="109">
        <f>(BF49*0.09)/N49</f>
        <v>0.64178956799999998</v>
      </c>
      <c r="BH49" s="109">
        <f>(BE49*0.15)/N49</f>
        <v>0.71309951999999999</v>
      </c>
      <c r="BI49" s="109">
        <f>IF(BE49&gt;=$BY$1,($BY$1-BE49)*0.1,IF(BE49&lt;=$BY$1,($BY$1*0)))/N49</f>
        <v>0</v>
      </c>
      <c r="BJ49" s="109">
        <f>(AY49+AZ49+BB49+AV49+BD49+BG49+BH49+BI49)</f>
        <v>8.849119356000001</v>
      </c>
      <c r="BK49" s="109">
        <f>BJ49+AU49</f>
        <v>52.179178689333341</v>
      </c>
      <c r="BL49" s="148">
        <v>0.74</v>
      </c>
      <c r="BM49" s="112">
        <f>ROUND((AW49/BL49)+((AW49*BL49)*'CALCULO GERAL'!$E$11)/BL49,2)</f>
        <v>11.84</v>
      </c>
      <c r="BN49" s="186">
        <f>BM49</f>
        <v>11.84</v>
      </c>
      <c r="BO49" s="186">
        <f>ROUND(FV(0.02,8,,BN49)*-1,3)</f>
        <v>13.872</v>
      </c>
      <c r="BP49" s="109">
        <f>BM49*'CALCULO GERAL'!$C$11</f>
        <v>59.424959999999999</v>
      </c>
      <c r="BQ49" s="109">
        <f>BO49*'CALCULO GERAL'!$C$11</f>
        <v>69.623568000000006</v>
      </c>
      <c r="BR49" s="186">
        <f>BN49*'CALCULO GERAL'!$C$11</f>
        <v>59.424959999999999</v>
      </c>
      <c r="BS49" s="109">
        <f>BP49*N49</f>
        <v>534824.64</v>
      </c>
      <c r="BT49" s="109">
        <f t="shared" si="30"/>
        <v>144854.10599999997</v>
      </c>
      <c r="BU49" s="109">
        <f>BR49*N49</f>
        <v>534824.64</v>
      </c>
      <c r="BV49" s="109">
        <f>BK49*N49</f>
        <v>469612.60820400005</v>
      </c>
      <c r="BW49" s="109">
        <f>BS49-BV49</f>
        <v>65212.031795999967</v>
      </c>
      <c r="BX49" s="114">
        <f>(((BK49*N49)-BS49)/BS49*-1)</f>
        <v>0.12193161443721061</v>
      </c>
      <c r="BY49" s="152">
        <f>ROUND(BL49,2)</f>
        <v>0.74</v>
      </c>
      <c r="CA49" s="55"/>
      <c r="CB49" s="113"/>
      <c r="CC49" s="113"/>
      <c r="CE49" s="152">
        <f>CC49/BY49</f>
        <v>0</v>
      </c>
      <c r="CF49" s="152">
        <f>100%-CE49</f>
        <v>1</v>
      </c>
      <c r="CG49" s="152">
        <f>AVERAGE(CF49,CD49)</f>
        <v>1</v>
      </c>
      <c r="CH49" s="34"/>
      <c r="CJ49" s="11"/>
      <c r="CK49" s="11"/>
    </row>
    <row r="50" spans="1:89" s="152" customFormat="1" ht="16" x14ac:dyDescent="0.2">
      <c r="A50" s="228" t="s">
        <v>193</v>
      </c>
      <c r="B50" s="187" t="s">
        <v>194</v>
      </c>
      <c r="C50" s="8">
        <v>0.35</v>
      </c>
      <c r="D50" s="8">
        <v>0</v>
      </c>
      <c r="E50" s="7">
        <v>2.1000000000000001E-2</v>
      </c>
      <c r="F50" s="7">
        <v>0.1065</v>
      </c>
      <c r="G50" s="1">
        <v>1.6500000000000001E-2</v>
      </c>
      <c r="H50" s="1">
        <v>7.5999999999999998E-2</v>
      </c>
      <c r="I50" s="1">
        <v>0.18</v>
      </c>
      <c r="J50" s="1">
        <v>0.04</v>
      </c>
      <c r="K50" s="1">
        <v>0.14000000000000001</v>
      </c>
      <c r="L50" s="1">
        <v>1.4999999999999999E-2</v>
      </c>
      <c r="M50" s="2" t="s">
        <v>175</v>
      </c>
      <c r="N50" s="105">
        <v>16000</v>
      </c>
      <c r="O50" s="119"/>
      <c r="P50" s="119"/>
      <c r="Q50" s="119"/>
      <c r="R50" s="119"/>
      <c r="S50" s="119"/>
      <c r="T50" s="119">
        <v>3.5</v>
      </c>
      <c r="U50" s="119"/>
      <c r="V50" s="205"/>
      <c r="W50" s="119"/>
      <c r="X50" s="119">
        <f t="shared" si="0"/>
        <v>3.5</v>
      </c>
      <c r="Y50" s="118">
        <f t="shared" si="1"/>
        <v>3.5</v>
      </c>
      <c r="Z50" s="109">
        <f t="shared" si="2"/>
        <v>56000</v>
      </c>
      <c r="AA50" s="109">
        <f>'CALCULO GERAL'!$G$10</f>
        <v>6300</v>
      </c>
      <c r="AB50" s="109">
        <f t="shared" si="3"/>
        <v>62300</v>
      </c>
      <c r="AC50" s="109">
        <f>AB50*'CALCULO GERAL'!$C$11</f>
        <v>312683.7</v>
      </c>
      <c r="AD50" s="109">
        <f t="shared" si="4"/>
        <v>109439.295</v>
      </c>
      <c r="AE50" s="109">
        <f t="shared" si="5"/>
        <v>0</v>
      </c>
      <c r="AF50" s="109">
        <f t="shared" si="6"/>
        <v>6566.3577000000005</v>
      </c>
      <c r="AG50" s="109">
        <f t="shared" si="7"/>
        <v>33300.814050000001</v>
      </c>
      <c r="AH50" s="109">
        <v>154.22999999999999</v>
      </c>
      <c r="AI50" s="109">
        <f>((AA50*'CALCULO GERAL'!$C$11))*0.08+20</f>
        <v>2549.576</v>
      </c>
      <c r="AJ50" s="109">
        <v>1010</v>
      </c>
      <c r="AK50" s="109">
        <v>2500</v>
      </c>
      <c r="AL50" s="109">
        <f>(AA50*('CALCULO GERAL'!$C$11*1.02))-(AA50*'CALCULO GERAL'!$C$11)</f>
        <v>632.39400000000387</v>
      </c>
      <c r="AM50" s="109">
        <v>1800</v>
      </c>
      <c r="AN50" s="109">
        <v>2600</v>
      </c>
      <c r="AO50" s="109">
        <v>9400</v>
      </c>
      <c r="AP50" s="109">
        <v>1000</v>
      </c>
      <c r="AQ50" s="109">
        <f t="shared" si="21"/>
        <v>-6566.3577000000005</v>
      </c>
      <c r="AR50" s="109">
        <f t="shared" si="22"/>
        <v>-33300.814050000001</v>
      </c>
      <c r="AS50" s="109"/>
      <c r="AT50" s="109">
        <f t="shared" si="23"/>
        <v>443769.19500000001</v>
      </c>
      <c r="AU50" s="111">
        <f t="shared" si="8"/>
        <v>27.735574687500002</v>
      </c>
      <c r="AV50" s="109">
        <f>IFERROR((BS50*'CALCULO GERAL'!$E$11)/N50,0)</f>
        <v>0.76088040000000012</v>
      </c>
      <c r="AW50" s="109">
        <f>AU50/'CALCULO GERAL'!$C$11</f>
        <v>5.5261156978481774</v>
      </c>
      <c r="AX50" s="109">
        <f>BP50-BB50-BD50*'CALCULO GERAL'!$C$11</f>
        <v>37.473359700000003</v>
      </c>
      <c r="AY50" s="109">
        <f t="shared" si="24"/>
        <v>0.61831043505000005</v>
      </c>
      <c r="AZ50" s="109">
        <f t="shared" si="9"/>
        <v>2.8479753372000003</v>
      </c>
      <c r="BA50" s="109">
        <f t="shared" si="10"/>
        <v>38.044020000000003</v>
      </c>
      <c r="BB50" s="109">
        <f t="shared" si="11"/>
        <v>0.57066030000000001</v>
      </c>
      <c r="BC50" s="109">
        <f t="shared" si="12"/>
        <v>38.044020000000003</v>
      </c>
      <c r="BD50" s="109">
        <f t="shared" si="13"/>
        <v>0</v>
      </c>
      <c r="BE50" s="109">
        <f t="shared" si="37"/>
        <v>48696.345600000008</v>
      </c>
      <c r="BF50" s="109">
        <f t="shared" si="38"/>
        <v>73044.518400000001</v>
      </c>
      <c r="BG50" s="109">
        <f t="shared" si="14"/>
        <v>0.41087541599999999</v>
      </c>
      <c r="BH50" s="109">
        <f t="shared" si="15"/>
        <v>0.45652824000000003</v>
      </c>
      <c r="BI50" s="109">
        <f t="shared" si="16"/>
        <v>0</v>
      </c>
      <c r="BJ50" s="109">
        <f t="shared" si="27"/>
        <v>5.6652301282500002</v>
      </c>
      <c r="BK50" s="109">
        <f t="shared" si="28"/>
        <v>33.40080481575</v>
      </c>
      <c r="BL50" s="148">
        <v>0.74</v>
      </c>
      <c r="BM50" s="112">
        <f>ROUND((AW50/BL50)+((AW50*BL50)*'CALCULO GERAL'!$E$11)/BL50,2)</f>
        <v>7.58</v>
      </c>
      <c r="BN50" s="186">
        <f t="shared" si="17"/>
        <v>7.58</v>
      </c>
      <c r="BO50" s="186">
        <f t="shared" si="29"/>
        <v>8.8810000000000002</v>
      </c>
      <c r="BP50" s="109">
        <f>BM50*'CALCULO GERAL'!$C$11</f>
        <v>38.044020000000003</v>
      </c>
      <c r="BQ50" s="109">
        <f>BO50*'CALCULO GERAL'!$C$11</f>
        <v>44.573739000000003</v>
      </c>
      <c r="BR50" s="186">
        <f>BN50*'CALCULO GERAL'!$C$11</f>
        <v>38.044020000000003</v>
      </c>
      <c r="BS50" s="109">
        <f t="shared" si="18"/>
        <v>608704.32000000007</v>
      </c>
      <c r="BT50" s="109">
        <f t="shared" si="30"/>
        <v>164935.12500000006</v>
      </c>
      <c r="BU50" s="109">
        <f t="shared" si="19"/>
        <v>608704.32000000007</v>
      </c>
      <c r="BV50" s="109">
        <f t="shared" si="31"/>
        <v>534412.87705200003</v>
      </c>
      <c r="BW50" s="109">
        <f t="shared" si="32"/>
        <v>74291.44294800004</v>
      </c>
      <c r="BX50" s="114">
        <f t="shared" si="20"/>
        <v>0.12204848972979201</v>
      </c>
      <c r="BY50" s="152">
        <f t="shared" si="33"/>
        <v>0.74</v>
      </c>
      <c r="CA50" s="55"/>
      <c r="CB50" s="113"/>
      <c r="CC50" s="113"/>
      <c r="CE50" s="152">
        <f t="shared" si="34"/>
        <v>0</v>
      </c>
      <c r="CF50" s="152">
        <f t="shared" si="35"/>
        <v>1</v>
      </c>
      <c r="CG50" s="152">
        <f t="shared" si="36"/>
        <v>1</v>
      </c>
      <c r="CH50" s="34"/>
      <c r="CJ50" s="11"/>
      <c r="CK50" s="11"/>
    </row>
    <row r="51" spans="1:89" s="152" customFormat="1" ht="16" x14ac:dyDescent="0.2">
      <c r="A51" s="228" t="s">
        <v>195</v>
      </c>
      <c r="B51" s="187" t="s">
        <v>194</v>
      </c>
      <c r="C51" s="8">
        <v>0.35</v>
      </c>
      <c r="D51" s="8">
        <v>0</v>
      </c>
      <c r="E51" s="7">
        <v>2.1000000000000001E-2</v>
      </c>
      <c r="F51" s="7">
        <v>0.1065</v>
      </c>
      <c r="G51" s="1">
        <v>1.6500000000000001E-2</v>
      </c>
      <c r="H51" s="1">
        <v>7.5999999999999998E-2</v>
      </c>
      <c r="I51" s="1">
        <v>0.18</v>
      </c>
      <c r="J51" s="1">
        <v>0.04</v>
      </c>
      <c r="K51" s="1">
        <v>0.14000000000000001</v>
      </c>
      <c r="L51" s="1">
        <v>1.4999999999999999E-2</v>
      </c>
      <c r="M51" s="2" t="s">
        <v>175</v>
      </c>
      <c r="N51" s="105">
        <v>16000</v>
      </c>
      <c r="O51" s="119"/>
      <c r="P51" s="119"/>
      <c r="Q51" s="119"/>
      <c r="R51" s="119"/>
      <c r="S51" s="119"/>
      <c r="T51" s="119">
        <v>3.95</v>
      </c>
      <c r="U51" s="119"/>
      <c r="V51" s="205"/>
      <c r="W51" s="119"/>
      <c r="X51" s="119">
        <f t="shared" si="0"/>
        <v>3.95</v>
      </c>
      <c r="Y51" s="118">
        <f t="shared" si="1"/>
        <v>3.95</v>
      </c>
      <c r="Z51" s="109">
        <f t="shared" si="2"/>
        <v>63200</v>
      </c>
      <c r="AA51" s="109">
        <f>'CALCULO GERAL'!$G$10</f>
        <v>6300</v>
      </c>
      <c r="AB51" s="109">
        <f t="shared" si="3"/>
        <v>69500</v>
      </c>
      <c r="AC51" s="109">
        <f>AB51*'CALCULO GERAL'!$C$11</f>
        <v>348820.5</v>
      </c>
      <c r="AD51" s="109">
        <f t="shared" si="4"/>
        <v>122087.17499999999</v>
      </c>
      <c r="AE51" s="109">
        <f t="shared" si="5"/>
        <v>0</v>
      </c>
      <c r="AF51" s="109">
        <f t="shared" si="6"/>
        <v>7325.2305000000006</v>
      </c>
      <c r="AG51" s="109">
        <f t="shared" si="7"/>
        <v>37149.383249999999</v>
      </c>
      <c r="AH51" s="109">
        <v>154.22999999999999</v>
      </c>
      <c r="AI51" s="109">
        <f>((AA51*'CALCULO GERAL'!$C$11))*0.08+20</f>
        <v>2549.576</v>
      </c>
      <c r="AJ51" s="109">
        <v>1010</v>
      </c>
      <c r="AK51" s="109">
        <v>2500</v>
      </c>
      <c r="AL51" s="109">
        <f>(AA51*('CALCULO GERAL'!$C$11*1.02))-(AA51*'CALCULO GERAL'!$C$11)</f>
        <v>632.39400000000387</v>
      </c>
      <c r="AM51" s="109">
        <v>1800</v>
      </c>
      <c r="AN51" s="109">
        <v>2600</v>
      </c>
      <c r="AO51" s="109">
        <v>9400</v>
      </c>
      <c r="AP51" s="109">
        <v>1000</v>
      </c>
      <c r="AQ51" s="109">
        <f t="shared" si="21"/>
        <v>-7325.2305000000006</v>
      </c>
      <c r="AR51" s="109">
        <f t="shared" si="22"/>
        <v>-37149.383249999999</v>
      </c>
      <c r="AS51" s="109"/>
      <c r="AT51" s="109">
        <f t="shared" si="23"/>
        <v>492553.87500000006</v>
      </c>
      <c r="AU51" s="111">
        <f t="shared" si="8"/>
        <v>30.784617187500004</v>
      </c>
      <c r="AV51" s="109">
        <f>IFERROR((BS51*'CALCULO GERAL'!$E$11)/N51,0)</f>
        <v>0.84419580000000016</v>
      </c>
      <c r="AW51" s="109">
        <f>AU51/'CALCULO GERAL'!$C$11</f>
        <v>6.1336156978481773</v>
      </c>
      <c r="AX51" s="109">
        <f>BP51-BB51-BD51*'CALCULO GERAL'!$C$11</f>
        <v>41.576643150000002</v>
      </c>
      <c r="AY51" s="109">
        <f t="shared" si="24"/>
        <v>0.68601461197500002</v>
      </c>
      <c r="AZ51" s="109">
        <f t="shared" si="9"/>
        <v>3.1598248793999999</v>
      </c>
      <c r="BA51" s="109">
        <f t="shared" si="10"/>
        <v>42.209790000000005</v>
      </c>
      <c r="BB51" s="109">
        <f t="shared" si="11"/>
        <v>0.63314685000000004</v>
      </c>
      <c r="BC51" s="109">
        <f t="shared" si="12"/>
        <v>42.209790000000005</v>
      </c>
      <c r="BD51" s="109">
        <f t="shared" si="13"/>
        <v>0</v>
      </c>
      <c r="BE51" s="109">
        <f t="shared" si="37"/>
        <v>54028.531200000012</v>
      </c>
      <c r="BF51" s="109">
        <f t="shared" si="38"/>
        <v>81042.796800000011</v>
      </c>
      <c r="BG51" s="109">
        <f t="shared" si="14"/>
        <v>0.45586573200000002</v>
      </c>
      <c r="BH51" s="109">
        <f t="shared" si="15"/>
        <v>0.50651748000000008</v>
      </c>
      <c r="BI51" s="109">
        <f t="shared" si="16"/>
        <v>0</v>
      </c>
      <c r="BJ51" s="109">
        <f t="shared" si="27"/>
        <v>6.2855653533750013</v>
      </c>
      <c r="BK51" s="109">
        <f t="shared" si="28"/>
        <v>37.070182540875003</v>
      </c>
      <c r="BL51" s="148">
        <v>0.74</v>
      </c>
      <c r="BM51" s="112">
        <f>ROUND((AW51/BL51)+((AW51*BL51)*'CALCULO GERAL'!$E$11)/BL51,2)</f>
        <v>8.41</v>
      </c>
      <c r="BN51" s="186">
        <f t="shared" si="17"/>
        <v>8.41</v>
      </c>
      <c r="BO51" s="186">
        <f t="shared" si="29"/>
        <v>9.8539999999999992</v>
      </c>
      <c r="BP51" s="109">
        <f>BM51*'CALCULO GERAL'!$C$11</f>
        <v>42.209790000000005</v>
      </c>
      <c r="BQ51" s="109">
        <f>BO51*'CALCULO GERAL'!$C$11</f>
        <v>49.457225999999999</v>
      </c>
      <c r="BR51" s="186">
        <f>BN51*'CALCULO GERAL'!$C$11</f>
        <v>42.209790000000005</v>
      </c>
      <c r="BS51" s="109">
        <f t="shared" si="18"/>
        <v>675356.64000000013</v>
      </c>
      <c r="BT51" s="109">
        <f t="shared" si="30"/>
        <v>182802.76500000007</v>
      </c>
      <c r="BU51" s="109">
        <f t="shared" si="19"/>
        <v>675356.64000000013</v>
      </c>
      <c r="BV51" s="109">
        <f t="shared" si="31"/>
        <v>593122.92065400002</v>
      </c>
      <c r="BW51" s="109">
        <f t="shared" si="32"/>
        <v>82233.719346000114</v>
      </c>
      <c r="BX51" s="114">
        <f t="shared" si="20"/>
        <v>0.12176339799664974</v>
      </c>
      <c r="BY51" s="152">
        <f t="shared" si="33"/>
        <v>0.74</v>
      </c>
      <c r="CA51" s="55"/>
      <c r="CB51" s="113"/>
      <c r="CC51" s="113"/>
      <c r="CE51" s="152">
        <f t="shared" si="34"/>
        <v>0</v>
      </c>
      <c r="CF51" s="152">
        <f t="shared" si="35"/>
        <v>1</v>
      </c>
      <c r="CG51" s="152">
        <f t="shared" si="36"/>
        <v>1</v>
      </c>
      <c r="CH51" s="34"/>
      <c r="CJ51" s="11"/>
      <c r="CK51" s="11"/>
    </row>
    <row r="52" spans="1:89" s="152" customFormat="1" ht="16" x14ac:dyDescent="0.2">
      <c r="A52" s="228" t="s">
        <v>196</v>
      </c>
      <c r="B52" s="187" t="s">
        <v>194</v>
      </c>
      <c r="C52" s="8">
        <v>0.35</v>
      </c>
      <c r="D52" s="8">
        <v>0</v>
      </c>
      <c r="E52" s="7">
        <v>2.1000000000000001E-2</v>
      </c>
      <c r="F52" s="7">
        <v>0.1065</v>
      </c>
      <c r="G52" s="1">
        <v>1.6500000000000001E-2</v>
      </c>
      <c r="H52" s="1">
        <v>7.5999999999999998E-2</v>
      </c>
      <c r="I52" s="1">
        <v>0.18</v>
      </c>
      <c r="J52" s="1">
        <v>0.04</v>
      </c>
      <c r="K52" s="1">
        <v>0.14000000000000001</v>
      </c>
      <c r="L52" s="1">
        <v>1.4999999999999999E-2</v>
      </c>
      <c r="M52" s="2" t="s">
        <v>175</v>
      </c>
      <c r="N52" s="105">
        <v>16000</v>
      </c>
      <c r="O52" s="119"/>
      <c r="P52" s="119"/>
      <c r="Q52" s="119"/>
      <c r="R52" s="119"/>
      <c r="S52" s="119"/>
      <c r="T52" s="119">
        <v>4.42</v>
      </c>
      <c r="U52" s="119"/>
      <c r="V52" s="205"/>
      <c r="W52" s="119"/>
      <c r="X52" s="119">
        <f t="shared" si="0"/>
        <v>4.42</v>
      </c>
      <c r="Y52" s="118">
        <f t="shared" si="1"/>
        <v>4.42</v>
      </c>
      <c r="Z52" s="109">
        <f t="shared" si="2"/>
        <v>70720</v>
      </c>
      <c r="AA52" s="109">
        <f>'CALCULO GERAL'!$G$10</f>
        <v>6300</v>
      </c>
      <c r="AB52" s="109">
        <f t="shared" si="3"/>
        <v>77020</v>
      </c>
      <c r="AC52" s="109">
        <f>AB52*'CALCULO GERAL'!$C$11</f>
        <v>386563.38</v>
      </c>
      <c r="AD52" s="109">
        <f t="shared" si="4"/>
        <v>135297.18299999999</v>
      </c>
      <c r="AE52" s="109">
        <f t="shared" si="5"/>
        <v>0</v>
      </c>
      <c r="AF52" s="109">
        <f t="shared" si="6"/>
        <v>8117.8309800000006</v>
      </c>
      <c r="AG52" s="109">
        <f t="shared" si="7"/>
        <v>41168.999969999997</v>
      </c>
      <c r="AH52" s="109">
        <v>154.22999999999999</v>
      </c>
      <c r="AI52" s="109">
        <f>((AA52*'CALCULO GERAL'!$C$11))*0.08+20</f>
        <v>2549.576</v>
      </c>
      <c r="AJ52" s="109">
        <v>1010</v>
      </c>
      <c r="AK52" s="109">
        <v>2500</v>
      </c>
      <c r="AL52" s="109">
        <f>(AA52*('CALCULO GERAL'!$C$11*1.02))-(AA52*'CALCULO GERAL'!$C$11)</f>
        <v>632.39400000000387</v>
      </c>
      <c r="AM52" s="109">
        <v>1800</v>
      </c>
      <c r="AN52" s="109">
        <v>2600</v>
      </c>
      <c r="AO52" s="109">
        <v>9400</v>
      </c>
      <c r="AP52" s="109">
        <v>1000</v>
      </c>
      <c r="AQ52" s="109">
        <f t="shared" si="21"/>
        <v>-8117.8309800000006</v>
      </c>
      <c r="AR52" s="109">
        <f t="shared" si="22"/>
        <v>-41168.999969999997</v>
      </c>
      <c r="AS52" s="109"/>
      <c r="AT52" s="109">
        <f t="shared" si="23"/>
        <v>543506.76299999992</v>
      </c>
      <c r="AU52" s="111">
        <f t="shared" si="8"/>
        <v>33.969172687499992</v>
      </c>
      <c r="AV52" s="109">
        <f>IFERROR((BS52*'CALCULO GERAL'!$E$11)/N52,0)</f>
        <v>0.93152639999999987</v>
      </c>
      <c r="AW52" s="109">
        <f>AU52/'CALCULO GERAL'!$C$11</f>
        <v>6.7681156978481747</v>
      </c>
      <c r="AX52" s="109">
        <f>BP52-BB52-BD52*'CALCULO GERAL'!$C$11</f>
        <v>45.877675199999999</v>
      </c>
      <c r="AY52" s="109">
        <f t="shared" si="24"/>
        <v>0.75698164079999997</v>
      </c>
      <c r="AZ52" s="109">
        <f t="shared" si="9"/>
        <v>3.4867033151999998</v>
      </c>
      <c r="BA52" s="109">
        <f t="shared" si="10"/>
        <v>46.576319999999996</v>
      </c>
      <c r="BB52" s="109">
        <f t="shared" si="11"/>
        <v>0.69864479999999995</v>
      </c>
      <c r="BC52" s="109">
        <f t="shared" si="12"/>
        <v>46.576319999999996</v>
      </c>
      <c r="BD52" s="109">
        <f t="shared" si="13"/>
        <v>0</v>
      </c>
      <c r="BE52" s="109">
        <f t="shared" si="37"/>
        <v>59617.689599999991</v>
      </c>
      <c r="BF52" s="109">
        <f t="shared" si="38"/>
        <v>89426.534399999975</v>
      </c>
      <c r="BG52" s="109">
        <f t="shared" si="14"/>
        <v>0.50302425599999989</v>
      </c>
      <c r="BH52" s="109">
        <f t="shared" si="15"/>
        <v>0.55891583999999994</v>
      </c>
      <c r="BI52" s="109">
        <f t="shared" si="16"/>
        <v>0</v>
      </c>
      <c r="BJ52" s="109">
        <f t="shared" si="27"/>
        <v>6.9357962520000003</v>
      </c>
      <c r="BK52" s="109">
        <f t="shared" si="28"/>
        <v>40.904968939499994</v>
      </c>
      <c r="BL52" s="148">
        <v>0.74</v>
      </c>
      <c r="BM52" s="112">
        <f>ROUND((AW52/BL52)+((AW52*BL52)*'CALCULO GERAL'!$E$11)/BL52,2)</f>
        <v>9.2799999999999994</v>
      </c>
      <c r="BN52" s="186">
        <f t="shared" si="17"/>
        <v>9.2799999999999994</v>
      </c>
      <c r="BO52" s="186">
        <f t="shared" si="29"/>
        <v>10.872999999999999</v>
      </c>
      <c r="BP52" s="109">
        <f>BM52*'CALCULO GERAL'!$C$11</f>
        <v>46.576319999999996</v>
      </c>
      <c r="BQ52" s="109">
        <f>BO52*'CALCULO GERAL'!$C$11</f>
        <v>54.571587000000001</v>
      </c>
      <c r="BR52" s="186">
        <f>BN52*'CALCULO GERAL'!$C$11</f>
        <v>46.576319999999996</v>
      </c>
      <c r="BS52" s="109">
        <f t="shared" si="18"/>
        <v>745221.11999999988</v>
      </c>
      <c r="BT52" s="109">
        <f t="shared" si="30"/>
        <v>201714.35699999996</v>
      </c>
      <c r="BU52" s="109">
        <f t="shared" si="19"/>
        <v>745221.11999999988</v>
      </c>
      <c r="BV52" s="109">
        <f t="shared" si="31"/>
        <v>654479.50303199992</v>
      </c>
      <c r="BW52" s="109">
        <f t="shared" si="32"/>
        <v>90741.616967999958</v>
      </c>
      <c r="BX52" s="114">
        <f t="shared" si="20"/>
        <v>0.12176468773187744</v>
      </c>
      <c r="BY52" s="152">
        <f t="shared" si="33"/>
        <v>0.74</v>
      </c>
      <c r="CA52" s="55"/>
      <c r="CB52" s="113"/>
      <c r="CC52" s="113"/>
      <c r="CE52" s="152">
        <f t="shared" si="34"/>
        <v>0</v>
      </c>
      <c r="CF52" s="152">
        <f t="shared" si="35"/>
        <v>1</v>
      </c>
      <c r="CG52" s="152">
        <f t="shared" si="36"/>
        <v>1</v>
      </c>
      <c r="CH52" s="34"/>
      <c r="CJ52" s="11"/>
      <c r="CK52" s="11"/>
    </row>
    <row r="53" spans="1:89" s="152" customFormat="1" ht="16" x14ac:dyDescent="0.2">
      <c r="A53" s="228" t="s">
        <v>197</v>
      </c>
      <c r="B53" s="187" t="s">
        <v>194</v>
      </c>
      <c r="C53" s="8">
        <v>0.35</v>
      </c>
      <c r="D53" s="8">
        <v>0</v>
      </c>
      <c r="E53" s="7">
        <v>2.1000000000000001E-2</v>
      </c>
      <c r="F53" s="7">
        <v>0.1065</v>
      </c>
      <c r="G53" s="1">
        <v>1.6500000000000001E-2</v>
      </c>
      <c r="H53" s="1">
        <v>7.5999999999999998E-2</v>
      </c>
      <c r="I53" s="1">
        <v>0.18</v>
      </c>
      <c r="J53" s="1">
        <v>0.04</v>
      </c>
      <c r="K53" s="1">
        <v>0.14000000000000001</v>
      </c>
      <c r="L53" s="1">
        <v>1.4999999999999999E-2</v>
      </c>
      <c r="M53" s="2" t="s">
        <v>175</v>
      </c>
      <c r="N53" s="105">
        <v>16000</v>
      </c>
      <c r="O53" s="119"/>
      <c r="P53" s="119"/>
      <c r="Q53" s="119"/>
      <c r="R53" s="119"/>
      <c r="S53" s="119"/>
      <c r="T53" s="119">
        <v>5.0599999999999996</v>
      </c>
      <c r="U53" s="119"/>
      <c r="V53" s="205"/>
      <c r="W53" s="119"/>
      <c r="X53" s="119">
        <f t="shared" si="0"/>
        <v>5.0599999999999996</v>
      </c>
      <c r="Y53" s="118">
        <f t="shared" si="1"/>
        <v>5.0599999999999996</v>
      </c>
      <c r="Z53" s="109">
        <f t="shared" si="2"/>
        <v>80960</v>
      </c>
      <c r="AA53" s="109">
        <f>'CALCULO GERAL'!$G$10</f>
        <v>6300</v>
      </c>
      <c r="AB53" s="109">
        <f t="shared" si="3"/>
        <v>87260</v>
      </c>
      <c r="AC53" s="109">
        <f>AB53*'CALCULO GERAL'!$C$11</f>
        <v>437957.94</v>
      </c>
      <c r="AD53" s="109">
        <f t="shared" si="4"/>
        <v>153285.27899999998</v>
      </c>
      <c r="AE53" s="109">
        <f t="shared" si="5"/>
        <v>0</v>
      </c>
      <c r="AF53" s="109">
        <f t="shared" si="6"/>
        <v>9197.1167400000013</v>
      </c>
      <c r="AG53" s="109">
        <f t="shared" si="7"/>
        <v>46642.52061</v>
      </c>
      <c r="AH53" s="109">
        <v>154.22999999999999</v>
      </c>
      <c r="AI53" s="109">
        <f>((AA53*'CALCULO GERAL'!$C$11))*0.08+20</f>
        <v>2549.576</v>
      </c>
      <c r="AJ53" s="109">
        <v>1010</v>
      </c>
      <c r="AK53" s="109">
        <v>2500</v>
      </c>
      <c r="AL53" s="109">
        <f>(AA53*('CALCULO GERAL'!$C$11*1.02))-(AA53*'CALCULO GERAL'!$C$11)</f>
        <v>632.39400000000387</v>
      </c>
      <c r="AM53" s="109">
        <v>1800</v>
      </c>
      <c r="AN53" s="109">
        <v>2600</v>
      </c>
      <c r="AO53" s="109">
        <v>9400</v>
      </c>
      <c r="AP53" s="109">
        <v>1000</v>
      </c>
      <c r="AQ53" s="109">
        <f t="shared" si="21"/>
        <v>-9197.1167400000013</v>
      </c>
      <c r="AR53" s="109">
        <f t="shared" si="22"/>
        <v>-46642.52061</v>
      </c>
      <c r="AS53" s="109"/>
      <c r="AT53" s="109">
        <f t="shared" si="23"/>
        <v>612889.41899999999</v>
      </c>
      <c r="AU53" s="111">
        <f t="shared" si="8"/>
        <v>38.305588687499998</v>
      </c>
      <c r="AV53" s="109">
        <f>IFERROR((BS53*'CALCULO GERAL'!$E$11)/N53,0)</f>
        <v>1.0509786000000001</v>
      </c>
      <c r="AW53" s="109">
        <f>AU53/'CALCULO GERAL'!$C$11</f>
        <v>7.6321156978481763</v>
      </c>
      <c r="AX53" s="109">
        <f>BP53-BB53-BD53*'CALCULO GERAL'!$C$11</f>
        <v>51.760696050000007</v>
      </c>
      <c r="AY53" s="109">
        <f t="shared" si="24"/>
        <v>0.85405148482500015</v>
      </c>
      <c r="AZ53" s="109">
        <f t="shared" si="9"/>
        <v>3.9338128998000004</v>
      </c>
      <c r="BA53" s="109">
        <f t="shared" si="10"/>
        <v>52.548930000000006</v>
      </c>
      <c r="BB53" s="109">
        <f t="shared" si="11"/>
        <v>0.78823395000000007</v>
      </c>
      <c r="BC53" s="109">
        <f t="shared" si="12"/>
        <v>52.548930000000006</v>
      </c>
      <c r="BD53" s="109">
        <f t="shared" si="13"/>
        <v>0</v>
      </c>
      <c r="BE53" s="109">
        <f t="shared" si="37"/>
        <v>67262.630400000009</v>
      </c>
      <c r="BF53" s="109">
        <f t="shared" si="38"/>
        <v>100893.94560000001</v>
      </c>
      <c r="BG53" s="109">
        <f t="shared" si="14"/>
        <v>0.56752844400000002</v>
      </c>
      <c r="BH53" s="109">
        <f t="shared" si="15"/>
        <v>0.63058716000000004</v>
      </c>
      <c r="BI53" s="109">
        <f t="shared" si="16"/>
        <v>-4.5391502500000069E-2</v>
      </c>
      <c r="BJ53" s="109">
        <f t="shared" si="27"/>
        <v>7.7798010361249998</v>
      </c>
      <c r="BK53" s="109">
        <f t="shared" si="28"/>
        <v>46.085389723624999</v>
      </c>
      <c r="BL53" s="148">
        <v>0.74</v>
      </c>
      <c r="BM53" s="112">
        <f>ROUND((AW53/BL53)+((AW53*BL53)*'CALCULO GERAL'!$E$11)/BL53,2)</f>
        <v>10.47</v>
      </c>
      <c r="BN53" s="186">
        <f t="shared" si="17"/>
        <v>10.47</v>
      </c>
      <c r="BO53" s="186">
        <f t="shared" si="29"/>
        <v>12.266999999999999</v>
      </c>
      <c r="BP53" s="109">
        <f>BM53*'CALCULO GERAL'!$C$11</f>
        <v>52.548930000000006</v>
      </c>
      <c r="BQ53" s="109">
        <f>BO53*'CALCULO GERAL'!$C$11</f>
        <v>61.568072999999998</v>
      </c>
      <c r="BR53" s="186">
        <f>BN53*'CALCULO GERAL'!$C$11</f>
        <v>52.548930000000006</v>
      </c>
      <c r="BS53" s="109">
        <f t="shared" si="18"/>
        <v>840782.88000000012</v>
      </c>
      <c r="BT53" s="109">
        <f t="shared" si="30"/>
        <v>227893.46100000013</v>
      </c>
      <c r="BU53" s="109">
        <f t="shared" si="19"/>
        <v>840782.88000000012</v>
      </c>
      <c r="BV53" s="109">
        <f t="shared" si="31"/>
        <v>737366.23557799996</v>
      </c>
      <c r="BW53" s="109">
        <f t="shared" si="32"/>
        <v>103416.64442200016</v>
      </c>
      <c r="BX53" s="114">
        <f t="shared" si="20"/>
        <v>0.12300041649516001</v>
      </c>
      <c r="BY53" s="152">
        <f t="shared" si="33"/>
        <v>0.74</v>
      </c>
      <c r="CA53" s="55"/>
      <c r="CB53" s="113"/>
      <c r="CC53" s="113"/>
      <c r="CE53" s="152">
        <f t="shared" si="34"/>
        <v>0</v>
      </c>
      <c r="CF53" s="152">
        <f t="shared" si="35"/>
        <v>1</v>
      </c>
      <c r="CG53" s="152">
        <f t="shared" si="36"/>
        <v>1</v>
      </c>
      <c r="CH53" s="34"/>
      <c r="CJ53" s="11"/>
      <c r="CK53" s="11"/>
    </row>
    <row r="54" spans="1:89" s="152" customFormat="1" ht="16" x14ac:dyDescent="0.2">
      <c r="A54" s="228" t="s">
        <v>516</v>
      </c>
      <c r="B54" s="187" t="s">
        <v>194</v>
      </c>
      <c r="C54" s="8">
        <v>0.35</v>
      </c>
      <c r="D54" s="8">
        <v>0</v>
      </c>
      <c r="E54" s="7">
        <v>2.1000000000000001E-2</v>
      </c>
      <c r="F54" s="7">
        <v>0.1065</v>
      </c>
      <c r="G54" s="1">
        <v>1.6500000000000001E-2</v>
      </c>
      <c r="H54" s="1">
        <v>7.5999999999999998E-2</v>
      </c>
      <c r="I54" s="1">
        <v>0.18</v>
      </c>
      <c r="J54" s="1">
        <v>0.04</v>
      </c>
      <c r="K54" s="1">
        <v>0.14000000000000001</v>
      </c>
      <c r="L54" s="1">
        <v>1.4999999999999999E-2</v>
      </c>
      <c r="M54" s="2" t="s">
        <v>175</v>
      </c>
      <c r="N54" s="105">
        <v>16000</v>
      </c>
      <c r="O54" s="119"/>
      <c r="P54" s="119"/>
      <c r="Q54" s="119"/>
      <c r="R54" s="119"/>
      <c r="S54" s="119"/>
      <c r="T54" s="119">
        <v>5.01</v>
      </c>
      <c r="U54" s="119"/>
      <c r="V54" s="205"/>
      <c r="W54" s="119"/>
      <c r="X54" s="119">
        <f t="shared" si="0"/>
        <v>5.01</v>
      </c>
      <c r="Y54" s="118">
        <f t="shared" si="1"/>
        <v>5.01</v>
      </c>
      <c r="Z54" s="109">
        <f t="shared" si="2"/>
        <v>80160</v>
      </c>
      <c r="AA54" s="109">
        <f>'CALCULO GERAL'!$G$10</f>
        <v>6300</v>
      </c>
      <c r="AB54" s="109">
        <f t="shared" si="3"/>
        <v>86460</v>
      </c>
      <c r="AC54" s="109">
        <f>AB54*'CALCULO GERAL'!$C$11</f>
        <v>433942.74</v>
      </c>
      <c r="AD54" s="109">
        <f t="shared" si="4"/>
        <v>151879.95899999997</v>
      </c>
      <c r="AE54" s="109">
        <f t="shared" si="5"/>
        <v>0</v>
      </c>
      <c r="AF54" s="109">
        <f t="shared" si="6"/>
        <v>9112.7975399999996</v>
      </c>
      <c r="AG54" s="109">
        <f t="shared" si="7"/>
        <v>46214.901809999996</v>
      </c>
      <c r="AH54" s="109">
        <v>154.22999999999999</v>
      </c>
      <c r="AI54" s="109">
        <f>((AA54*'CALCULO GERAL'!$C$11))*0.08+20</f>
        <v>2549.576</v>
      </c>
      <c r="AJ54" s="109">
        <v>1010</v>
      </c>
      <c r="AK54" s="109">
        <v>2500</v>
      </c>
      <c r="AL54" s="109">
        <f>(AA54*('CALCULO GERAL'!$C$11*1.02))-(AA54*'CALCULO GERAL'!$C$11)</f>
        <v>632.39400000000387</v>
      </c>
      <c r="AM54" s="109">
        <v>1800</v>
      </c>
      <c r="AN54" s="109">
        <v>2600</v>
      </c>
      <c r="AO54" s="109">
        <v>9400</v>
      </c>
      <c r="AP54" s="109">
        <v>1000</v>
      </c>
      <c r="AQ54" s="109">
        <f t="shared" si="21"/>
        <v>-9112.7975399999996</v>
      </c>
      <c r="AR54" s="109">
        <f t="shared" si="22"/>
        <v>-46214.901809999996</v>
      </c>
      <c r="AS54" s="109"/>
      <c r="AT54" s="109">
        <f t="shared" si="23"/>
        <v>607468.89899999998</v>
      </c>
      <c r="AU54" s="111">
        <f t="shared" si="8"/>
        <v>37.966806187499998</v>
      </c>
      <c r="AV54" s="109">
        <f>IFERROR((BS54*'CALCULO GERAL'!$E$11)/N54,0)</f>
        <v>1.0409405999999999</v>
      </c>
      <c r="AW54" s="109">
        <f>AU54/'CALCULO GERAL'!$C$11</f>
        <v>7.5646156978481764</v>
      </c>
      <c r="AX54" s="109">
        <f>BP54-BB54-BD54*'CALCULO GERAL'!$C$11</f>
        <v>51.26632455</v>
      </c>
      <c r="AY54" s="109">
        <f t="shared" si="24"/>
        <v>0.84589435507499999</v>
      </c>
      <c r="AZ54" s="109">
        <f t="shared" si="9"/>
        <v>3.8962406657999997</v>
      </c>
      <c r="BA54" s="109">
        <f t="shared" si="10"/>
        <v>52.047029999999999</v>
      </c>
      <c r="BB54" s="109">
        <f t="shared" si="11"/>
        <v>0.78070544999999991</v>
      </c>
      <c r="BC54" s="109">
        <f t="shared" si="12"/>
        <v>52.047029999999999</v>
      </c>
      <c r="BD54" s="109">
        <f t="shared" si="13"/>
        <v>0</v>
      </c>
      <c r="BE54" s="109">
        <f t="shared" si="37"/>
        <v>66620.198399999994</v>
      </c>
      <c r="BF54" s="109">
        <f t="shared" si="38"/>
        <v>99930.297599999991</v>
      </c>
      <c r="BG54" s="109">
        <f t="shared" si="14"/>
        <v>0.56210792399999987</v>
      </c>
      <c r="BH54" s="109">
        <f t="shared" si="15"/>
        <v>0.62456435999999993</v>
      </c>
      <c r="BI54" s="109">
        <f t="shared" si="16"/>
        <v>-4.1376302499999983E-2</v>
      </c>
      <c r="BJ54" s="109">
        <f t="shared" si="27"/>
        <v>7.7090770523750001</v>
      </c>
      <c r="BK54" s="109">
        <f t="shared" si="28"/>
        <v>45.675883239874999</v>
      </c>
      <c r="BL54" s="148">
        <v>0.74</v>
      </c>
      <c r="BM54" s="112">
        <f>ROUND((AW54/BL54)+((AW54*BL54)*'CALCULO GERAL'!$E$11)/BL54,2)</f>
        <v>10.37</v>
      </c>
      <c r="BN54" s="186">
        <f t="shared" si="17"/>
        <v>10.37</v>
      </c>
      <c r="BO54" s="186">
        <f t="shared" si="29"/>
        <v>12.15</v>
      </c>
      <c r="BP54" s="109">
        <f>BM54*'CALCULO GERAL'!$C$11</f>
        <v>52.047029999999999</v>
      </c>
      <c r="BQ54" s="109">
        <f>BO54*'CALCULO GERAL'!$C$11</f>
        <v>60.980850000000004</v>
      </c>
      <c r="BR54" s="186">
        <f>BN54*'CALCULO GERAL'!$C$11</f>
        <v>52.047029999999999</v>
      </c>
      <c r="BS54" s="109">
        <f t="shared" si="18"/>
        <v>832752.48</v>
      </c>
      <c r="BT54" s="109">
        <f t="shared" si="30"/>
        <v>225283.58100000001</v>
      </c>
      <c r="BU54" s="109">
        <f t="shared" si="19"/>
        <v>832752.48</v>
      </c>
      <c r="BV54" s="109">
        <f t="shared" si="31"/>
        <v>730814.13183800003</v>
      </c>
      <c r="BW54" s="109">
        <f t="shared" si="32"/>
        <v>101938.34816199995</v>
      </c>
      <c r="BX54" s="114">
        <f t="shared" si="20"/>
        <v>0.12241134143725391</v>
      </c>
      <c r="BY54" s="152">
        <f t="shared" si="33"/>
        <v>0.74</v>
      </c>
      <c r="CA54" s="55"/>
      <c r="CB54" s="113"/>
      <c r="CC54" s="113"/>
      <c r="CE54" s="152">
        <f t="shared" si="34"/>
        <v>0</v>
      </c>
      <c r="CF54" s="152">
        <f t="shared" si="35"/>
        <v>1</v>
      </c>
      <c r="CG54" s="152">
        <f t="shared" si="36"/>
        <v>1</v>
      </c>
      <c r="CH54" s="34"/>
      <c r="CJ54" s="11"/>
      <c r="CK54" s="11"/>
    </row>
    <row r="55" spans="1:89" s="152" customFormat="1" ht="16" x14ac:dyDescent="0.2">
      <c r="A55" s="228" t="s">
        <v>517</v>
      </c>
      <c r="B55" s="187" t="s">
        <v>194</v>
      </c>
      <c r="C55" s="8">
        <v>0.35</v>
      </c>
      <c r="D55" s="8">
        <v>0</v>
      </c>
      <c r="E55" s="7">
        <v>2.1000000000000001E-2</v>
      </c>
      <c r="F55" s="7">
        <v>0.1065</v>
      </c>
      <c r="G55" s="1">
        <v>1.6500000000000001E-2</v>
      </c>
      <c r="H55" s="1">
        <v>7.5999999999999998E-2</v>
      </c>
      <c r="I55" s="1">
        <v>0.18</v>
      </c>
      <c r="J55" s="1">
        <v>0.04</v>
      </c>
      <c r="K55" s="1">
        <v>0.14000000000000001</v>
      </c>
      <c r="L55" s="1">
        <v>1.4999999999999999E-2</v>
      </c>
      <c r="M55" s="2" t="s">
        <v>175</v>
      </c>
      <c r="N55" s="105">
        <v>16000</v>
      </c>
      <c r="O55" s="119"/>
      <c r="P55" s="119"/>
      <c r="Q55" s="119"/>
      <c r="R55" s="119"/>
      <c r="S55" s="119"/>
      <c r="T55" s="119">
        <v>5.58</v>
      </c>
      <c r="U55" s="119"/>
      <c r="V55" s="205"/>
      <c r="W55" s="119"/>
      <c r="X55" s="119">
        <f t="shared" si="0"/>
        <v>5.58</v>
      </c>
      <c r="Y55" s="118">
        <f t="shared" si="1"/>
        <v>5.58</v>
      </c>
      <c r="Z55" s="109">
        <f t="shared" si="2"/>
        <v>89280</v>
      </c>
      <c r="AA55" s="109">
        <f>'CALCULO GERAL'!$G$10</f>
        <v>6300</v>
      </c>
      <c r="AB55" s="109">
        <f t="shared" si="3"/>
        <v>95580</v>
      </c>
      <c r="AC55" s="109">
        <f>AB55*'CALCULO GERAL'!$C$11</f>
        <v>479716.02</v>
      </c>
      <c r="AD55" s="109">
        <f t="shared" si="4"/>
        <v>167900.60699999999</v>
      </c>
      <c r="AE55" s="109">
        <f t="shared" si="5"/>
        <v>0</v>
      </c>
      <c r="AF55" s="109">
        <f t="shared" si="6"/>
        <v>10074.03642</v>
      </c>
      <c r="AG55" s="109">
        <f t="shared" si="7"/>
        <v>51089.756130000002</v>
      </c>
      <c r="AH55" s="109">
        <v>154.22999999999999</v>
      </c>
      <c r="AI55" s="109">
        <f>((AA55*'CALCULO GERAL'!$C$11))*0.08+20</f>
        <v>2549.576</v>
      </c>
      <c r="AJ55" s="109">
        <v>1010</v>
      </c>
      <c r="AK55" s="109">
        <v>2500</v>
      </c>
      <c r="AL55" s="109">
        <f>(AA55*('CALCULO GERAL'!$C$11*1.02))-(AA55*'CALCULO GERAL'!$C$11)</f>
        <v>632.39400000000387</v>
      </c>
      <c r="AM55" s="109">
        <v>1800</v>
      </c>
      <c r="AN55" s="109">
        <v>2600</v>
      </c>
      <c r="AO55" s="109">
        <v>9400</v>
      </c>
      <c r="AP55" s="109">
        <v>1000</v>
      </c>
      <c r="AQ55" s="109">
        <f t="shared" si="21"/>
        <v>-10074.03642</v>
      </c>
      <c r="AR55" s="109">
        <f t="shared" si="22"/>
        <v>-51089.756130000002</v>
      </c>
      <c r="AS55" s="109"/>
      <c r="AT55" s="109">
        <f t="shared" si="23"/>
        <v>669262.82699999993</v>
      </c>
      <c r="AU55" s="111">
        <f t="shared" si="8"/>
        <v>41.828926687499994</v>
      </c>
      <c r="AV55" s="109">
        <f>IFERROR((BS55*'CALCULO GERAL'!$E$11)/N55,0)</f>
        <v>1.1473434</v>
      </c>
      <c r="AW55" s="109">
        <f>AU55/'CALCULO GERAL'!$C$11</f>
        <v>8.3341156978481763</v>
      </c>
      <c r="AX55" s="109">
        <f>BP55-BB55-BD55*'CALCULO GERAL'!$C$11</f>
        <v>56.50666245</v>
      </c>
      <c r="AY55" s="109">
        <f t="shared" si="24"/>
        <v>0.93235993042500009</v>
      </c>
      <c r="AZ55" s="109">
        <f t="shared" si="9"/>
        <v>4.2945063461999995</v>
      </c>
      <c r="BA55" s="109">
        <f t="shared" si="10"/>
        <v>57.367170000000002</v>
      </c>
      <c r="BB55" s="109">
        <f t="shared" si="11"/>
        <v>0.86050755000000001</v>
      </c>
      <c r="BC55" s="109">
        <f t="shared" si="12"/>
        <v>57.367170000000002</v>
      </c>
      <c r="BD55" s="109">
        <f t="shared" si="13"/>
        <v>0</v>
      </c>
      <c r="BE55" s="109">
        <f t="shared" si="37"/>
        <v>73429.977599999998</v>
      </c>
      <c r="BF55" s="109">
        <f t="shared" si="38"/>
        <v>110144.96639999999</v>
      </c>
      <c r="BG55" s="109">
        <f t="shared" si="14"/>
        <v>0.61956543600000002</v>
      </c>
      <c r="BH55" s="109">
        <f t="shared" si="15"/>
        <v>0.68840603999999994</v>
      </c>
      <c r="BI55" s="109">
        <f t="shared" si="16"/>
        <v>-8.3937422500000011E-2</v>
      </c>
      <c r="BJ55" s="109">
        <f t="shared" si="27"/>
        <v>8.458751280125</v>
      </c>
      <c r="BK55" s="109">
        <f t="shared" si="28"/>
        <v>50.287677967624994</v>
      </c>
      <c r="BL55" s="148">
        <v>0.74</v>
      </c>
      <c r="BM55" s="112">
        <f>ROUND((AW55/BL55)+((AW55*BL55)*'CALCULO GERAL'!$E$11)/BL55,2)</f>
        <v>11.43</v>
      </c>
      <c r="BN55" s="186">
        <f t="shared" si="17"/>
        <v>11.43</v>
      </c>
      <c r="BO55" s="186">
        <f t="shared" si="29"/>
        <v>13.391999999999999</v>
      </c>
      <c r="BP55" s="109">
        <f>BM55*'CALCULO GERAL'!$C$11</f>
        <v>57.367170000000002</v>
      </c>
      <c r="BQ55" s="109">
        <f>BO55*'CALCULO GERAL'!$C$11</f>
        <v>67.214448000000004</v>
      </c>
      <c r="BR55" s="186">
        <f>BN55*'CALCULO GERAL'!$C$11</f>
        <v>57.367170000000002</v>
      </c>
      <c r="BS55" s="109">
        <f t="shared" si="18"/>
        <v>917874.72</v>
      </c>
      <c r="BT55" s="109">
        <f t="shared" si="30"/>
        <v>248611.89300000004</v>
      </c>
      <c r="BU55" s="109">
        <f t="shared" si="19"/>
        <v>917874.72</v>
      </c>
      <c r="BV55" s="109">
        <f t="shared" si="31"/>
        <v>804602.8474819999</v>
      </c>
      <c r="BW55" s="109">
        <f t="shared" si="32"/>
        <v>113271.87251800008</v>
      </c>
      <c r="BX55" s="114">
        <f t="shared" si="20"/>
        <v>0.12340668072653758</v>
      </c>
      <c r="BY55" s="152">
        <f t="shared" si="33"/>
        <v>0.74</v>
      </c>
      <c r="CA55" s="55"/>
      <c r="CB55" s="113"/>
      <c r="CC55" s="113"/>
      <c r="CE55" s="152">
        <f t="shared" si="34"/>
        <v>0</v>
      </c>
      <c r="CF55" s="152">
        <f t="shared" si="35"/>
        <v>1</v>
      </c>
      <c r="CG55" s="152">
        <f t="shared" si="36"/>
        <v>1</v>
      </c>
      <c r="CH55" s="34"/>
      <c r="CJ55" s="11"/>
      <c r="CK55" s="11"/>
    </row>
    <row r="56" spans="1:89" s="152" customFormat="1" ht="16" x14ac:dyDescent="0.2">
      <c r="A56" s="228" t="s">
        <v>518</v>
      </c>
      <c r="B56" s="187" t="s">
        <v>194</v>
      </c>
      <c r="C56" s="8">
        <v>0.35</v>
      </c>
      <c r="D56" s="8">
        <v>0</v>
      </c>
      <c r="E56" s="7">
        <v>2.1000000000000001E-2</v>
      </c>
      <c r="F56" s="7">
        <v>0.1065</v>
      </c>
      <c r="G56" s="1">
        <v>1.6500000000000001E-2</v>
      </c>
      <c r="H56" s="1">
        <v>7.5999999999999998E-2</v>
      </c>
      <c r="I56" s="1">
        <v>0.18</v>
      </c>
      <c r="J56" s="1">
        <v>0.04</v>
      </c>
      <c r="K56" s="1">
        <v>0.14000000000000001</v>
      </c>
      <c r="L56" s="1">
        <v>1.4999999999999999E-2</v>
      </c>
      <c r="M56" s="2" t="s">
        <v>175</v>
      </c>
      <c r="N56" s="105">
        <v>16000</v>
      </c>
      <c r="O56" s="119"/>
      <c r="P56" s="119"/>
      <c r="Q56" s="119"/>
      <c r="R56" s="119"/>
      <c r="S56" s="119"/>
      <c r="T56" s="119">
        <v>6.19</v>
      </c>
      <c r="U56" s="119"/>
      <c r="V56" s="205"/>
      <c r="W56" s="119"/>
      <c r="X56" s="119">
        <f t="shared" si="0"/>
        <v>6.19</v>
      </c>
      <c r="Y56" s="118">
        <f t="shared" si="1"/>
        <v>6.19</v>
      </c>
      <c r="Z56" s="109">
        <f t="shared" si="2"/>
        <v>99040</v>
      </c>
      <c r="AA56" s="109">
        <f>'CALCULO GERAL'!$G$10</f>
        <v>6300</v>
      </c>
      <c r="AB56" s="109">
        <f t="shared" si="3"/>
        <v>105340</v>
      </c>
      <c r="AC56" s="109">
        <f>AB56*'CALCULO GERAL'!$C$11</f>
        <v>528701.46</v>
      </c>
      <c r="AD56" s="109">
        <f t="shared" si="4"/>
        <v>185045.51099999997</v>
      </c>
      <c r="AE56" s="109">
        <f t="shared" si="5"/>
        <v>0</v>
      </c>
      <c r="AF56" s="109">
        <f t="shared" si="6"/>
        <v>11102.730659999999</v>
      </c>
      <c r="AG56" s="109">
        <f t="shared" si="7"/>
        <v>56306.705489999993</v>
      </c>
      <c r="AH56" s="109">
        <v>154.22999999999999</v>
      </c>
      <c r="AI56" s="109">
        <f>((AA56*'CALCULO GERAL'!$C$11))*0.08+20</f>
        <v>2549.576</v>
      </c>
      <c r="AJ56" s="109">
        <v>1010</v>
      </c>
      <c r="AK56" s="109">
        <v>2500</v>
      </c>
      <c r="AL56" s="109">
        <f>(AA56*('CALCULO GERAL'!$C$11*1.02))-(AA56*'CALCULO GERAL'!$C$11)</f>
        <v>632.39400000000387</v>
      </c>
      <c r="AM56" s="109">
        <v>1800</v>
      </c>
      <c r="AN56" s="109">
        <v>2600</v>
      </c>
      <c r="AO56" s="109">
        <v>9400</v>
      </c>
      <c r="AP56" s="109">
        <v>1000</v>
      </c>
      <c r="AQ56" s="109">
        <f t="shared" si="21"/>
        <v>-11102.730659999999</v>
      </c>
      <c r="AR56" s="109">
        <f t="shared" si="22"/>
        <v>-56306.705489999993</v>
      </c>
      <c r="AS56" s="109"/>
      <c r="AT56" s="109">
        <f t="shared" si="23"/>
        <v>735393.17099999986</v>
      </c>
      <c r="AU56" s="111">
        <f t="shared" si="8"/>
        <v>45.962073187499989</v>
      </c>
      <c r="AV56" s="109">
        <f>IFERROR((BS56*'CALCULO GERAL'!$E$11)/N56,0)</f>
        <v>1.2607728</v>
      </c>
      <c r="AW56" s="109">
        <f>AU56/'CALCULO GERAL'!$C$11</f>
        <v>9.1576156978481738</v>
      </c>
      <c r="AX56" s="109">
        <f>BP56-BB56-BD56*'CALCULO GERAL'!$C$11</f>
        <v>62.093060399999999</v>
      </c>
      <c r="AY56" s="109">
        <f t="shared" si="24"/>
        <v>1.0245354966</v>
      </c>
      <c r="AZ56" s="109">
        <f t="shared" si="9"/>
        <v>4.7190725903999997</v>
      </c>
      <c r="BA56" s="109">
        <f t="shared" si="10"/>
        <v>63.038640000000001</v>
      </c>
      <c r="BB56" s="109">
        <f t="shared" si="11"/>
        <v>0.94557959999999996</v>
      </c>
      <c r="BC56" s="109">
        <f t="shared" si="12"/>
        <v>63.038640000000001</v>
      </c>
      <c r="BD56" s="109">
        <f t="shared" si="13"/>
        <v>0</v>
      </c>
      <c r="BE56" s="109">
        <f t="shared" si="37"/>
        <v>80689.459199999998</v>
      </c>
      <c r="BF56" s="109">
        <f t="shared" si="38"/>
        <v>121034.18879999999</v>
      </c>
      <c r="BG56" s="109">
        <f t="shared" si="14"/>
        <v>0.68081731199999995</v>
      </c>
      <c r="BH56" s="109">
        <f t="shared" si="15"/>
        <v>0.75646367999999997</v>
      </c>
      <c r="BI56" s="109">
        <f t="shared" si="16"/>
        <v>-0.12930918249999998</v>
      </c>
      <c r="BJ56" s="109">
        <f t="shared" si="27"/>
        <v>9.2579322964999999</v>
      </c>
      <c r="BK56" s="109">
        <f t="shared" si="28"/>
        <v>55.220005483999991</v>
      </c>
      <c r="BL56" s="148">
        <v>0.74</v>
      </c>
      <c r="BM56" s="112">
        <f>ROUND((AW56/BL56)+((AW56*BL56)*'CALCULO GERAL'!$E$11)/BL56,2)</f>
        <v>12.56</v>
      </c>
      <c r="BN56" s="186">
        <f t="shared" si="17"/>
        <v>12.56</v>
      </c>
      <c r="BO56" s="186">
        <f t="shared" si="29"/>
        <v>14.715999999999999</v>
      </c>
      <c r="BP56" s="109">
        <f>BM56*'CALCULO GERAL'!$C$11</f>
        <v>63.038640000000001</v>
      </c>
      <c r="BQ56" s="109">
        <f>BO56*'CALCULO GERAL'!$C$11</f>
        <v>73.859604000000004</v>
      </c>
      <c r="BR56" s="186">
        <f>BN56*'CALCULO GERAL'!$C$11</f>
        <v>63.038640000000001</v>
      </c>
      <c r="BS56" s="109">
        <f t="shared" si="18"/>
        <v>1008618.24</v>
      </c>
      <c r="BT56" s="109">
        <f t="shared" si="30"/>
        <v>273225.06900000013</v>
      </c>
      <c r="BU56" s="109">
        <f t="shared" si="19"/>
        <v>1008618.24</v>
      </c>
      <c r="BV56" s="109">
        <f t="shared" si="31"/>
        <v>883520.0877439999</v>
      </c>
      <c r="BW56" s="109">
        <f t="shared" si="32"/>
        <v>125098.15225600009</v>
      </c>
      <c r="BX56" s="114">
        <f t="shared" si="20"/>
        <v>0.12402923851149082</v>
      </c>
      <c r="BY56" s="152">
        <f t="shared" si="33"/>
        <v>0.74</v>
      </c>
      <c r="CA56" s="55"/>
      <c r="CB56" s="113"/>
      <c r="CC56" s="113"/>
      <c r="CE56" s="152">
        <f t="shared" si="34"/>
        <v>0</v>
      </c>
      <c r="CF56" s="152">
        <f t="shared" si="35"/>
        <v>1</v>
      </c>
      <c r="CG56" s="152">
        <f t="shared" si="36"/>
        <v>1</v>
      </c>
      <c r="CH56" s="34"/>
      <c r="CJ56" s="11"/>
      <c r="CK56" s="11"/>
    </row>
    <row r="57" spans="1:89" s="152" customFormat="1" ht="16" x14ac:dyDescent="0.2">
      <c r="A57" s="228" t="s">
        <v>519</v>
      </c>
      <c r="B57" s="187" t="s">
        <v>194</v>
      </c>
      <c r="C57" s="8">
        <v>0.35</v>
      </c>
      <c r="D57" s="8">
        <v>0</v>
      </c>
      <c r="E57" s="7">
        <v>2.1000000000000001E-2</v>
      </c>
      <c r="F57" s="7">
        <v>0.1065</v>
      </c>
      <c r="G57" s="1">
        <v>1.6500000000000001E-2</v>
      </c>
      <c r="H57" s="1">
        <v>7.5999999999999998E-2</v>
      </c>
      <c r="I57" s="1">
        <v>0.18</v>
      </c>
      <c r="J57" s="1">
        <v>0.04</v>
      </c>
      <c r="K57" s="1">
        <v>0.14000000000000001</v>
      </c>
      <c r="L57" s="1">
        <v>1.4999999999999999E-2</v>
      </c>
      <c r="M57" s="2" t="s">
        <v>175</v>
      </c>
      <c r="N57" s="105">
        <v>16000</v>
      </c>
      <c r="O57" s="119"/>
      <c r="P57" s="119"/>
      <c r="Q57" s="119"/>
      <c r="R57" s="119"/>
      <c r="S57" s="119"/>
      <c r="T57" s="119">
        <v>6.98</v>
      </c>
      <c r="U57" s="119"/>
      <c r="V57" s="205"/>
      <c r="W57" s="119"/>
      <c r="X57" s="119">
        <f t="shared" si="0"/>
        <v>6.98</v>
      </c>
      <c r="Y57" s="118">
        <f t="shared" si="1"/>
        <v>6.98</v>
      </c>
      <c r="Z57" s="109">
        <f t="shared" si="2"/>
        <v>111680</v>
      </c>
      <c r="AA57" s="109">
        <f>'CALCULO GERAL'!$G$10</f>
        <v>6300</v>
      </c>
      <c r="AB57" s="109">
        <f t="shared" si="3"/>
        <v>117980</v>
      </c>
      <c r="AC57" s="109">
        <f>AB57*'CALCULO GERAL'!$C$11</f>
        <v>592141.62</v>
      </c>
      <c r="AD57" s="109">
        <f t="shared" si="4"/>
        <v>207249.56699999998</v>
      </c>
      <c r="AE57" s="109">
        <f t="shared" si="5"/>
        <v>0</v>
      </c>
      <c r="AF57" s="109">
        <f t="shared" si="6"/>
        <v>12434.974020000001</v>
      </c>
      <c r="AG57" s="109">
        <f t="shared" si="7"/>
        <v>63063.08253</v>
      </c>
      <c r="AH57" s="109">
        <v>154.22999999999999</v>
      </c>
      <c r="AI57" s="109">
        <f>((AA57*'CALCULO GERAL'!$C$11))*0.08+20</f>
        <v>2549.576</v>
      </c>
      <c r="AJ57" s="109">
        <v>1010</v>
      </c>
      <c r="AK57" s="109">
        <v>2500</v>
      </c>
      <c r="AL57" s="109">
        <f>(AA57*('CALCULO GERAL'!$C$11*1.02))-(AA57*'CALCULO GERAL'!$C$11)</f>
        <v>632.39400000000387</v>
      </c>
      <c r="AM57" s="109">
        <v>1800</v>
      </c>
      <c r="AN57" s="109">
        <v>2600</v>
      </c>
      <c r="AO57" s="109">
        <v>9400</v>
      </c>
      <c r="AP57" s="109">
        <v>1000</v>
      </c>
      <c r="AQ57" s="109">
        <f t="shared" si="21"/>
        <v>-12434.974020000001</v>
      </c>
      <c r="AR57" s="109">
        <f t="shared" si="22"/>
        <v>-63063.08253</v>
      </c>
      <c r="AS57" s="109"/>
      <c r="AT57" s="109">
        <f t="shared" si="23"/>
        <v>821037.38699999987</v>
      </c>
      <c r="AU57" s="111">
        <f t="shared" si="8"/>
        <v>51.314836687499991</v>
      </c>
      <c r="AV57" s="109">
        <f>IFERROR((BS57*'CALCULO GERAL'!$E$11)/N57,0)</f>
        <v>1.4073276000000001</v>
      </c>
      <c r="AW57" s="109">
        <f>AU57/'CALCULO GERAL'!$C$11</f>
        <v>10.224115697848175</v>
      </c>
      <c r="AX57" s="109">
        <f>BP57-BB57-BD57*'CALCULO GERAL'!$C$11</f>
        <v>69.310884300000012</v>
      </c>
      <c r="AY57" s="109">
        <f t="shared" si="24"/>
        <v>1.1436295909500003</v>
      </c>
      <c r="AZ57" s="109">
        <f t="shared" si="9"/>
        <v>5.2676272068000012</v>
      </c>
      <c r="BA57" s="109">
        <f t="shared" si="10"/>
        <v>70.366380000000007</v>
      </c>
      <c r="BB57" s="109">
        <f t="shared" si="11"/>
        <v>1.0554957</v>
      </c>
      <c r="BC57" s="109">
        <f t="shared" si="12"/>
        <v>70.366380000000007</v>
      </c>
      <c r="BD57" s="109">
        <f t="shared" si="13"/>
        <v>0</v>
      </c>
      <c r="BE57" s="109">
        <f t="shared" si="37"/>
        <v>90068.966400000005</v>
      </c>
      <c r="BF57" s="109">
        <f t="shared" si="38"/>
        <v>135103.44959999999</v>
      </c>
      <c r="BG57" s="109">
        <f t="shared" si="14"/>
        <v>0.75995690399999993</v>
      </c>
      <c r="BH57" s="109">
        <f t="shared" si="15"/>
        <v>0.84439656000000007</v>
      </c>
      <c r="BI57" s="109">
        <f t="shared" si="16"/>
        <v>-0.18793110250000006</v>
      </c>
      <c r="BJ57" s="109">
        <f t="shared" si="27"/>
        <v>10.29050245925</v>
      </c>
      <c r="BK57" s="109">
        <f t="shared" si="28"/>
        <v>61.605339146749991</v>
      </c>
      <c r="BL57" s="148">
        <v>0.74</v>
      </c>
      <c r="BM57" s="112">
        <f>ROUND((AW57/BL57)+((AW57*BL57)*'CALCULO GERAL'!$E$11)/BL57,2)</f>
        <v>14.02</v>
      </c>
      <c r="BN57" s="186">
        <f t="shared" si="17"/>
        <v>14.02</v>
      </c>
      <c r="BO57" s="186">
        <f t="shared" si="29"/>
        <v>16.427</v>
      </c>
      <c r="BP57" s="109">
        <f>BM57*'CALCULO GERAL'!$C$11</f>
        <v>70.366380000000007</v>
      </c>
      <c r="BQ57" s="109">
        <f>BO57*'CALCULO GERAL'!$C$11</f>
        <v>82.447113000000002</v>
      </c>
      <c r="BR57" s="186">
        <f>BN57*'CALCULO GERAL'!$C$11</f>
        <v>70.366380000000007</v>
      </c>
      <c r="BS57" s="109">
        <f t="shared" si="18"/>
        <v>1125862.08</v>
      </c>
      <c r="BT57" s="109">
        <f t="shared" si="30"/>
        <v>304824.6930000002</v>
      </c>
      <c r="BU57" s="109">
        <f t="shared" si="19"/>
        <v>1125862.08</v>
      </c>
      <c r="BV57" s="109">
        <f t="shared" si="31"/>
        <v>985685.42634799983</v>
      </c>
      <c r="BW57" s="109">
        <f t="shared" si="32"/>
        <v>140176.65365200024</v>
      </c>
      <c r="BX57" s="114">
        <f t="shared" si="20"/>
        <v>0.12450606174781216</v>
      </c>
      <c r="BY57" s="152">
        <f t="shared" si="33"/>
        <v>0.74</v>
      </c>
      <c r="CA57" s="55"/>
      <c r="CB57" s="113"/>
      <c r="CC57" s="113"/>
      <c r="CE57" s="152">
        <f t="shared" si="34"/>
        <v>0</v>
      </c>
      <c r="CF57" s="152">
        <f t="shared" si="35"/>
        <v>1</v>
      </c>
      <c r="CG57" s="152">
        <f t="shared" si="36"/>
        <v>1</v>
      </c>
      <c r="CH57" s="34"/>
      <c r="CJ57" s="11"/>
      <c r="CK57" s="11"/>
    </row>
    <row r="58" spans="1:89" s="152" customFormat="1" ht="16" x14ac:dyDescent="0.2">
      <c r="A58" s="228" t="s">
        <v>520</v>
      </c>
      <c r="B58" s="187" t="s">
        <v>194</v>
      </c>
      <c r="C58" s="8">
        <v>0.35</v>
      </c>
      <c r="D58" s="8">
        <v>0</v>
      </c>
      <c r="E58" s="7">
        <v>2.1000000000000001E-2</v>
      </c>
      <c r="F58" s="7">
        <v>0.1065</v>
      </c>
      <c r="G58" s="1">
        <v>1.6500000000000001E-2</v>
      </c>
      <c r="H58" s="1">
        <v>7.5999999999999998E-2</v>
      </c>
      <c r="I58" s="1">
        <v>0.18</v>
      </c>
      <c r="J58" s="1">
        <v>0.04</v>
      </c>
      <c r="K58" s="1">
        <v>0.14000000000000001</v>
      </c>
      <c r="L58" s="1">
        <v>1.4999999999999999E-2</v>
      </c>
      <c r="M58" s="2" t="s">
        <v>175</v>
      </c>
      <c r="N58" s="105">
        <v>16000</v>
      </c>
      <c r="O58" s="119"/>
      <c r="P58" s="119"/>
      <c r="Q58" s="119"/>
      <c r="R58" s="119"/>
      <c r="S58" s="119"/>
      <c r="T58" s="119">
        <v>2.02</v>
      </c>
      <c r="U58" s="119"/>
      <c r="V58" s="205"/>
      <c r="W58" s="119"/>
      <c r="X58" s="119">
        <f t="shared" si="0"/>
        <v>2.02</v>
      </c>
      <c r="Y58" s="118">
        <f t="shared" si="1"/>
        <v>2.02</v>
      </c>
      <c r="Z58" s="109">
        <f t="shared" si="2"/>
        <v>32320</v>
      </c>
      <c r="AA58" s="109">
        <f>'CALCULO GERAL'!$G$10</f>
        <v>6300</v>
      </c>
      <c r="AB58" s="109">
        <f t="shared" si="3"/>
        <v>38620</v>
      </c>
      <c r="AC58" s="109">
        <f>AB58*'CALCULO GERAL'!$C$11</f>
        <v>193833.78</v>
      </c>
      <c r="AD58" s="109">
        <f t="shared" si="4"/>
        <v>67841.822999999989</v>
      </c>
      <c r="AE58" s="109">
        <f t="shared" si="5"/>
        <v>0</v>
      </c>
      <c r="AF58" s="109">
        <f t="shared" si="6"/>
        <v>4070.5093800000004</v>
      </c>
      <c r="AG58" s="109">
        <f t="shared" si="7"/>
        <v>20643.297569999999</v>
      </c>
      <c r="AH58" s="109">
        <v>154.22999999999999</v>
      </c>
      <c r="AI58" s="109">
        <f>((AA58*'CALCULO GERAL'!$C$11))*0.08+20</f>
        <v>2549.576</v>
      </c>
      <c r="AJ58" s="109">
        <v>1010</v>
      </c>
      <c r="AK58" s="109">
        <v>2500</v>
      </c>
      <c r="AL58" s="109">
        <f>(AA58*('CALCULO GERAL'!$C$11*1.02))-(AA58*'CALCULO GERAL'!$C$11)</f>
        <v>632.39400000000387</v>
      </c>
      <c r="AM58" s="109">
        <v>1800</v>
      </c>
      <c r="AN58" s="109">
        <v>2600</v>
      </c>
      <c r="AO58" s="109">
        <v>9400</v>
      </c>
      <c r="AP58" s="109">
        <v>1000</v>
      </c>
      <c r="AQ58" s="109">
        <f t="shared" si="21"/>
        <v>-4070.5093800000004</v>
      </c>
      <c r="AR58" s="109">
        <f t="shared" si="22"/>
        <v>-20643.297569999999</v>
      </c>
      <c r="AS58" s="109"/>
      <c r="AT58" s="109">
        <f t="shared" si="23"/>
        <v>283321.80300000001</v>
      </c>
      <c r="AU58" s="111">
        <f t="shared" si="8"/>
        <v>17.707612687499999</v>
      </c>
      <c r="AV58" s="109">
        <f>IFERROR((BS58*'CALCULO GERAL'!$E$11)/N58,0)</f>
        <v>0.48583920000000003</v>
      </c>
      <c r="AW58" s="109">
        <f>AU58/'CALCULO GERAL'!$C$11</f>
        <v>3.5281156978481767</v>
      </c>
      <c r="AX58" s="109">
        <f>BP58-BB58-BD58*'CALCULO GERAL'!$C$11</f>
        <v>23.927580599999999</v>
      </c>
      <c r="AY58" s="109">
        <f t="shared" si="24"/>
        <v>0.39480507990000002</v>
      </c>
      <c r="AZ58" s="109">
        <f t="shared" si="9"/>
        <v>1.8184961255999998</v>
      </c>
      <c r="BA58" s="109">
        <f t="shared" si="10"/>
        <v>24.29196</v>
      </c>
      <c r="BB58" s="109">
        <f t="shared" si="11"/>
        <v>0.36437939999999996</v>
      </c>
      <c r="BC58" s="109">
        <f t="shared" si="12"/>
        <v>24.29196</v>
      </c>
      <c r="BD58" s="109">
        <f t="shared" si="13"/>
        <v>0</v>
      </c>
      <c r="BE58" s="109">
        <f t="shared" si="37"/>
        <v>31093.7088</v>
      </c>
      <c r="BF58" s="109">
        <f t="shared" si="38"/>
        <v>46640.563199999997</v>
      </c>
      <c r="BG58" s="109">
        <f t="shared" si="14"/>
        <v>0.26235316799999997</v>
      </c>
      <c r="BH58" s="109">
        <f t="shared" si="15"/>
        <v>0.29150351999999996</v>
      </c>
      <c r="BI58" s="109">
        <f t="shared" si="16"/>
        <v>0</v>
      </c>
      <c r="BJ58" s="109">
        <f t="shared" si="27"/>
        <v>3.6173764934999992</v>
      </c>
      <c r="BK58" s="109">
        <f t="shared" si="28"/>
        <v>21.324989180999999</v>
      </c>
      <c r="BL58" s="148">
        <v>0.74</v>
      </c>
      <c r="BM58" s="112">
        <f>ROUND((AW58/BL58)+((AW58*BL58)*'CALCULO GERAL'!$E$11)/BL58,2)</f>
        <v>4.84</v>
      </c>
      <c r="BN58" s="186">
        <f t="shared" si="17"/>
        <v>4.84</v>
      </c>
      <c r="BO58" s="186">
        <f t="shared" si="29"/>
        <v>5.6710000000000003</v>
      </c>
      <c r="BP58" s="109">
        <f>BM58*'CALCULO GERAL'!$C$11</f>
        <v>24.29196</v>
      </c>
      <c r="BQ58" s="109">
        <f>BO58*'CALCULO GERAL'!$C$11</f>
        <v>28.462749000000002</v>
      </c>
      <c r="BR58" s="186">
        <f>BN58*'CALCULO GERAL'!$C$11</f>
        <v>24.29196</v>
      </c>
      <c r="BS58" s="109">
        <f t="shared" si="18"/>
        <v>388671.36</v>
      </c>
      <c r="BT58" s="109">
        <f t="shared" si="30"/>
        <v>105349.55699999997</v>
      </c>
      <c r="BU58" s="109">
        <f t="shared" si="19"/>
        <v>388671.36</v>
      </c>
      <c r="BV58" s="109">
        <f t="shared" si="31"/>
        <v>341199.82689600001</v>
      </c>
      <c r="BW58" s="109">
        <f t="shared" si="32"/>
        <v>47471.533103999973</v>
      </c>
      <c r="BX58" s="114">
        <f t="shared" si="20"/>
        <v>0.12213797565120305</v>
      </c>
      <c r="BY58" s="152">
        <f t="shared" si="33"/>
        <v>0.74</v>
      </c>
      <c r="CA58" s="55"/>
      <c r="CB58" s="113"/>
      <c r="CC58" s="113"/>
      <c r="CE58" s="152">
        <f t="shared" si="34"/>
        <v>0</v>
      </c>
      <c r="CF58" s="152">
        <f t="shared" si="35"/>
        <v>1</v>
      </c>
      <c r="CG58" s="152">
        <f t="shared" si="36"/>
        <v>1</v>
      </c>
      <c r="CH58" s="34"/>
      <c r="CJ58" s="11"/>
      <c r="CK58" s="11"/>
    </row>
    <row r="59" spans="1:89" s="152" customFormat="1" ht="16" x14ac:dyDescent="0.2">
      <c r="A59" s="228" t="s">
        <v>521</v>
      </c>
      <c r="B59" s="187" t="s">
        <v>194</v>
      </c>
      <c r="C59" s="8">
        <v>0.35</v>
      </c>
      <c r="D59" s="8">
        <v>0</v>
      </c>
      <c r="E59" s="7">
        <v>2.1000000000000001E-2</v>
      </c>
      <c r="F59" s="7">
        <v>0.1065</v>
      </c>
      <c r="G59" s="1">
        <v>1.6500000000000001E-2</v>
      </c>
      <c r="H59" s="1">
        <v>7.5999999999999998E-2</v>
      </c>
      <c r="I59" s="1">
        <v>0.18</v>
      </c>
      <c r="J59" s="1">
        <v>0.04</v>
      </c>
      <c r="K59" s="1">
        <v>0.14000000000000001</v>
      </c>
      <c r="L59" s="1">
        <v>1.4999999999999999E-2</v>
      </c>
      <c r="M59" s="2" t="s">
        <v>175</v>
      </c>
      <c r="N59" s="105">
        <v>16000</v>
      </c>
      <c r="O59" s="119"/>
      <c r="P59" s="119"/>
      <c r="Q59" s="119"/>
      <c r="R59" s="119"/>
      <c r="S59" s="119"/>
      <c r="T59" s="119">
        <v>2.73</v>
      </c>
      <c r="U59" s="119"/>
      <c r="V59" s="205"/>
      <c r="W59" s="119"/>
      <c r="X59" s="119">
        <f t="shared" si="0"/>
        <v>2.73</v>
      </c>
      <c r="Y59" s="118">
        <f t="shared" si="1"/>
        <v>2.73</v>
      </c>
      <c r="Z59" s="109">
        <f t="shared" si="2"/>
        <v>43680</v>
      </c>
      <c r="AA59" s="109">
        <f>'CALCULO GERAL'!$G$10</f>
        <v>6300</v>
      </c>
      <c r="AB59" s="109">
        <f t="shared" si="3"/>
        <v>49980</v>
      </c>
      <c r="AC59" s="109">
        <f>AB59*'CALCULO GERAL'!$C$11</f>
        <v>250849.62</v>
      </c>
      <c r="AD59" s="109">
        <f t="shared" si="4"/>
        <v>87797.366999999998</v>
      </c>
      <c r="AE59" s="109">
        <f t="shared" si="5"/>
        <v>0</v>
      </c>
      <c r="AF59" s="109">
        <f t="shared" si="6"/>
        <v>5267.84202</v>
      </c>
      <c r="AG59" s="109">
        <f t="shared" si="7"/>
        <v>26715.484529999998</v>
      </c>
      <c r="AH59" s="109">
        <v>154.22999999999999</v>
      </c>
      <c r="AI59" s="109">
        <f>((AA59*'CALCULO GERAL'!$C$11))*0.08+20</f>
        <v>2549.576</v>
      </c>
      <c r="AJ59" s="109">
        <v>1010</v>
      </c>
      <c r="AK59" s="109">
        <v>2500</v>
      </c>
      <c r="AL59" s="109">
        <f>(AA59*('CALCULO GERAL'!$C$11*1.02))-(AA59*'CALCULO GERAL'!$C$11)</f>
        <v>632.39400000000387</v>
      </c>
      <c r="AM59" s="109">
        <v>1800</v>
      </c>
      <c r="AN59" s="109">
        <v>2600</v>
      </c>
      <c r="AO59" s="109">
        <v>9400</v>
      </c>
      <c r="AP59" s="109">
        <v>1000</v>
      </c>
      <c r="AQ59" s="109">
        <f t="shared" si="21"/>
        <v>-5267.84202</v>
      </c>
      <c r="AR59" s="109">
        <f t="shared" si="22"/>
        <v>-26715.484529999998</v>
      </c>
      <c r="AS59" s="109"/>
      <c r="AT59" s="109">
        <f t="shared" si="23"/>
        <v>360293.18699999998</v>
      </c>
      <c r="AU59" s="111">
        <f t="shared" si="8"/>
        <v>22.518324187499999</v>
      </c>
      <c r="AV59" s="109">
        <f>IFERROR((BS59*'CALCULO GERAL'!$E$11)/N59,0)</f>
        <v>0.61733700000000014</v>
      </c>
      <c r="AW59" s="109">
        <f>AU59/'CALCULO GERAL'!$C$11</f>
        <v>4.486615697848177</v>
      </c>
      <c r="AX59" s="109">
        <f>BP59-BB59-BD59*'CALCULO GERAL'!$C$11</f>
        <v>30.403847250000002</v>
      </c>
      <c r="AY59" s="109">
        <f t="shared" si="24"/>
        <v>0.50166347962500002</v>
      </c>
      <c r="AZ59" s="109">
        <f t="shared" si="9"/>
        <v>2.3106923909999999</v>
      </c>
      <c r="BA59" s="109">
        <f t="shared" si="10"/>
        <v>30.866850000000003</v>
      </c>
      <c r="BB59" s="109">
        <f t="shared" si="11"/>
        <v>0.46300275000000002</v>
      </c>
      <c r="BC59" s="109">
        <f t="shared" si="12"/>
        <v>30.866850000000003</v>
      </c>
      <c r="BD59" s="109">
        <f t="shared" si="13"/>
        <v>0</v>
      </c>
      <c r="BE59" s="109">
        <f t="shared" si="37"/>
        <v>39509.568000000007</v>
      </c>
      <c r="BF59" s="109">
        <f t="shared" si="38"/>
        <v>59264.351999999999</v>
      </c>
      <c r="BG59" s="109">
        <f t="shared" si="14"/>
        <v>0.33336197999999995</v>
      </c>
      <c r="BH59" s="109">
        <f t="shared" si="15"/>
        <v>0.37040220000000007</v>
      </c>
      <c r="BI59" s="109">
        <f t="shared" si="16"/>
        <v>0</v>
      </c>
      <c r="BJ59" s="109">
        <f t="shared" si="27"/>
        <v>4.5964598006250004</v>
      </c>
      <c r="BK59" s="109">
        <f t="shared" si="28"/>
        <v>27.114783988124998</v>
      </c>
      <c r="BL59" s="148">
        <v>0.74</v>
      </c>
      <c r="BM59" s="112">
        <f>ROUND((AW59/BL59)+((AW59*BL59)*'CALCULO GERAL'!$E$11)/BL59,2)</f>
        <v>6.15</v>
      </c>
      <c r="BN59" s="186">
        <f t="shared" si="17"/>
        <v>6.15</v>
      </c>
      <c r="BO59" s="186">
        <f t="shared" si="29"/>
        <v>7.2060000000000004</v>
      </c>
      <c r="BP59" s="109">
        <f>BM59*'CALCULO GERAL'!$C$11</f>
        <v>30.866850000000003</v>
      </c>
      <c r="BQ59" s="109">
        <f>BO59*'CALCULO GERAL'!$C$11</f>
        <v>36.166914000000006</v>
      </c>
      <c r="BR59" s="186">
        <f>BN59*'CALCULO GERAL'!$C$11</f>
        <v>30.866850000000003</v>
      </c>
      <c r="BS59" s="109">
        <f t="shared" si="18"/>
        <v>493869.60000000003</v>
      </c>
      <c r="BT59" s="109">
        <f t="shared" si="30"/>
        <v>133576.41300000006</v>
      </c>
      <c r="BU59" s="109">
        <f t="shared" si="19"/>
        <v>493869.60000000003</v>
      </c>
      <c r="BV59" s="109">
        <f t="shared" si="31"/>
        <v>433836.54380999994</v>
      </c>
      <c r="BW59" s="109">
        <f t="shared" si="32"/>
        <v>60033.05619000009</v>
      </c>
      <c r="BX59" s="114">
        <f t="shared" si="20"/>
        <v>0.1215564922198088</v>
      </c>
      <c r="BY59" s="152">
        <f t="shared" si="33"/>
        <v>0.74</v>
      </c>
      <c r="CA59" s="55"/>
      <c r="CB59" s="113"/>
      <c r="CC59" s="113"/>
      <c r="CE59" s="152">
        <f t="shared" si="34"/>
        <v>0</v>
      </c>
      <c r="CF59" s="152">
        <f t="shared" si="35"/>
        <v>1</v>
      </c>
      <c r="CG59" s="152">
        <f t="shared" si="36"/>
        <v>1</v>
      </c>
      <c r="CH59" s="34"/>
      <c r="CJ59" s="11"/>
      <c r="CK59" s="11"/>
    </row>
    <row r="60" spans="1:89" s="152" customFormat="1" ht="16" x14ac:dyDescent="0.2">
      <c r="A60" s="228" t="s">
        <v>522</v>
      </c>
      <c r="B60" s="187" t="s">
        <v>194</v>
      </c>
      <c r="C60" s="8">
        <v>0.35</v>
      </c>
      <c r="D60" s="8">
        <v>0</v>
      </c>
      <c r="E60" s="7">
        <v>2.1000000000000001E-2</v>
      </c>
      <c r="F60" s="7">
        <v>0.1065</v>
      </c>
      <c r="G60" s="1">
        <v>1.6500000000000001E-2</v>
      </c>
      <c r="H60" s="1">
        <v>7.5999999999999998E-2</v>
      </c>
      <c r="I60" s="1">
        <v>0.18</v>
      </c>
      <c r="J60" s="1">
        <v>0.04</v>
      </c>
      <c r="K60" s="1">
        <v>0.14000000000000001</v>
      </c>
      <c r="L60" s="1">
        <v>1.4999999999999999E-2</v>
      </c>
      <c r="M60" s="2" t="s">
        <v>175</v>
      </c>
      <c r="N60" s="105">
        <v>14500</v>
      </c>
      <c r="O60" s="119"/>
      <c r="P60" s="119"/>
      <c r="Q60" s="119"/>
      <c r="R60" s="119"/>
      <c r="S60" s="119"/>
      <c r="T60" s="119">
        <v>3</v>
      </c>
      <c r="U60" s="119"/>
      <c r="V60" s="205"/>
      <c r="W60" s="119"/>
      <c r="X60" s="119">
        <f t="shared" si="0"/>
        <v>3</v>
      </c>
      <c r="Y60" s="118">
        <f t="shared" si="1"/>
        <v>3</v>
      </c>
      <c r="Z60" s="109">
        <f t="shared" si="2"/>
        <v>43500</v>
      </c>
      <c r="AA60" s="109">
        <f>'CALCULO GERAL'!$G$10</f>
        <v>6300</v>
      </c>
      <c r="AB60" s="109">
        <f t="shared" si="3"/>
        <v>49800</v>
      </c>
      <c r="AC60" s="109">
        <f>AB60*'CALCULO GERAL'!$C$11</f>
        <v>249946.2</v>
      </c>
      <c r="AD60" s="109">
        <f t="shared" si="4"/>
        <v>87481.17</v>
      </c>
      <c r="AE60" s="109">
        <f t="shared" si="5"/>
        <v>0</v>
      </c>
      <c r="AF60" s="109">
        <f t="shared" si="6"/>
        <v>5248.8702000000003</v>
      </c>
      <c r="AG60" s="109">
        <f t="shared" si="7"/>
        <v>26619.2703</v>
      </c>
      <c r="AH60" s="109">
        <v>154.22999999999999</v>
      </c>
      <c r="AI60" s="109">
        <f>((AA60*'CALCULO GERAL'!$C$11))*0.08+20</f>
        <v>2549.576</v>
      </c>
      <c r="AJ60" s="109">
        <v>1010</v>
      </c>
      <c r="AK60" s="109">
        <v>2500</v>
      </c>
      <c r="AL60" s="109">
        <f>(AA60*('CALCULO GERAL'!$C$11*1.02))-(AA60*'CALCULO GERAL'!$C$11)</f>
        <v>632.39400000000387</v>
      </c>
      <c r="AM60" s="109">
        <v>1800</v>
      </c>
      <c r="AN60" s="109">
        <v>2600</v>
      </c>
      <c r="AO60" s="109">
        <v>9400</v>
      </c>
      <c r="AP60" s="109">
        <v>1000</v>
      </c>
      <c r="AQ60" s="109">
        <f t="shared" si="21"/>
        <v>-5248.8702000000003</v>
      </c>
      <c r="AR60" s="109">
        <f t="shared" si="22"/>
        <v>-26619.2703</v>
      </c>
      <c r="AS60" s="109"/>
      <c r="AT60" s="109">
        <f t="shared" si="23"/>
        <v>359073.57</v>
      </c>
      <c r="AU60" s="111">
        <f t="shared" si="8"/>
        <v>24.76369448275862</v>
      </c>
      <c r="AV60" s="109">
        <f>IFERROR((BS60*'CALCULO GERAL'!$E$11)/N60,0)</f>
        <v>0.67957259999999986</v>
      </c>
      <c r="AW60" s="109">
        <f>AU60/'CALCULO GERAL'!$C$11</f>
        <v>4.9339897355566089</v>
      </c>
      <c r="AX60" s="109">
        <f>BP60-BB60-BD60*'CALCULO GERAL'!$C$11</f>
        <v>33.468950549999995</v>
      </c>
      <c r="AY60" s="109">
        <f t="shared" si="24"/>
        <v>0.55223768407499996</v>
      </c>
      <c r="AZ60" s="109">
        <f t="shared" si="9"/>
        <v>2.5436402417999995</v>
      </c>
      <c r="BA60" s="109">
        <f t="shared" si="10"/>
        <v>33.978629999999995</v>
      </c>
      <c r="BB60" s="109">
        <f t="shared" si="11"/>
        <v>0.50967944999999992</v>
      </c>
      <c r="BC60" s="109">
        <f t="shared" si="12"/>
        <v>33.978629999999995</v>
      </c>
      <c r="BD60" s="109">
        <f t="shared" si="13"/>
        <v>0</v>
      </c>
      <c r="BE60" s="109">
        <f t="shared" si="37"/>
        <v>39415.210799999993</v>
      </c>
      <c r="BF60" s="109">
        <f t="shared" si="38"/>
        <v>59122.816199999994</v>
      </c>
      <c r="BG60" s="109">
        <f t="shared" si="14"/>
        <v>0.36696920399999994</v>
      </c>
      <c r="BH60" s="109">
        <f t="shared" si="15"/>
        <v>0.40774355999999989</v>
      </c>
      <c r="BI60" s="109">
        <f t="shared" si="16"/>
        <v>0</v>
      </c>
      <c r="BJ60" s="109">
        <f t="shared" si="27"/>
        <v>5.0598427398750001</v>
      </c>
      <c r="BK60" s="109">
        <f t="shared" si="28"/>
        <v>29.823537222633618</v>
      </c>
      <c r="BL60" s="148">
        <v>0.74</v>
      </c>
      <c r="BM60" s="112">
        <f>ROUND((AW60/BL60)+((AW60*BL60)*'CALCULO GERAL'!$E$11)/BL60,2)</f>
        <v>6.77</v>
      </c>
      <c r="BN60" s="186">
        <f t="shared" si="17"/>
        <v>6.77</v>
      </c>
      <c r="BO60" s="186">
        <f t="shared" si="29"/>
        <v>7.9320000000000004</v>
      </c>
      <c r="BP60" s="109">
        <f>BM60*'CALCULO GERAL'!$C$11</f>
        <v>33.978629999999995</v>
      </c>
      <c r="BQ60" s="109">
        <f>BO60*'CALCULO GERAL'!$C$11</f>
        <v>39.810708000000005</v>
      </c>
      <c r="BR60" s="186">
        <f>BN60*'CALCULO GERAL'!$C$11</f>
        <v>33.978629999999995</v>
      </c>
      <c r="BS60" s="109">
        <f t="shared" si="18"/>
        <v>492690.13499999995</v>
      </c>
      <c r="BT60" s="109">
        <f t="shared" si="30"/>
        <v>133616.56499999994</v>
      </c>
      <c r="BU60" s="109">
        <f t="shared" si="19"/>
        <v>492690.13499999995</v>
      </c>
      <c r="BV60" s="109">
        <f t="shared" si="31"/>
        <v>432441.28972818749</v>
      </c>
      <c r="BW60" s="109">
        <f t="shared" si="32"/>
        <v>60248.845271812461</v>
      </c>
      <c r="BX60" s="114">
        <f t="shared" si="20"/>
        <v>0.12228547111423789</v>
      </c>
      <c r="BY60" s="152">
        <f t="shared" si="33"/>
        <v>0.74</v>
      </c>
      <c r="CA60" s="55"/>
      <c r="CB60" s="113"/>
      <c r="CC60" s="113"/>
      <c r="CE60" s="152">
        <f t="shared" si="34"/>
        <v>0</v>
      </c>
      <c r="CF60" s="152">
        <f t="shared" si="35"/>
        <v>1</v>
      </c>
      <c r="CG60" s="152">
        <f t="shared" si="36"/>
        <v>1</v>
      </c>
      <c r="CH60" s="34"/>
      <c r="CJ60" s="11"/>
      <c r="CK60" s="11"/>
    </row>
    <row r="61" spans="1:89" s="152" customFormat="1" ht="16" x14ac:dyDescent="0.2">
      <c r="A61" s="228" t="s">
        <v>523</v>
      </c>
      <c r="B61" s="187" t="s">
        <v>194</v>
      </c>
      <c r="C61" s="8">
        <v>0.35</v>
      </c>
      <c r="D61" s="8">
        <v>0</v>
      </c>
      <c r="E61" s="7">
        <v>2.1000000000000001E-2</v>
      </c>
      <c r="F61" s="7">
        <v>0.1065</v>
      </c>
      <c r="G61" s="1">
        <v>1.6500000000000001E-2</v>
      </c>
      <c r="H61" s="1">
        <v>7.5999999999999998E-2</v>
      </c>
      <c r="I61" s="1">
        <v>0.18</v>
      </c>
      <c r="J61" s="1">
        <v>0.04</v>
      </c>
      <c r="K61" s="1">
        <v>0.14000000000000001</v>
      </c>
      <c r="L61" s="1">
        <v>1.4999999999999999E-2</v>
      </c>
      <c r="M61" s="2" t="s">
        <v>175</v>
      </c>
      <c r="N61" s="105">
        <v>12500</v>
      </c>
      <c r="O61" s="119"/>
      <c r="P61" s="119"/>
      <c r="Q61" s="119"/>
      <c r="R61" s="119"/>
      <c r="S61" s="119"/>
      <c r="T61" s="119">
        <v>3.26</v>
      </c>
      <c r="U61" s="119"/>
      <c r="V61" s="205"/>
      <c r="W61" s="119"/>
      <c r="X61" s="119">
        <f t="shared" si="0"/>
        <v>3.26</v>
      </c>
      <c r="Y61" s="118">
        <f t="shared" si="1"/>
        <v>3.26</v>
      </c>
      <c r="Z61" s="109">
        <f t="shared" si="2"/>
        <v>40750</v>
      </c>
      <c r="AA61" s="109">
        <f>'CALCULO GERAL'!$G$10</f>
        <v>6300</v>
      </c>
      <c r="AB61" s="109">
        <f t="shared" si="3"/>
        <v>47050</v>
      </c>
      <c r="AC61" s="109">
        <f>AB61*'CALCULO GERAL'!$C$11</f>
        <v>236143.95</v>
      </c>
      <c r="AD61" s="109">
        <f t="shared" si="4"/>
        <v>82650.382499999992</v>
      </c>
      <c r="AE61" s="109">
        <f t="shared" si="5"/>
        <v>0</v>
      </c>
      <c r="AF61" s="109">
        <f t="shared" si="6"/>
        <v>4959.0229500000005</v>
      </c>
      <c r="AG61" s="109">
        <f t="shared" si="7"/>
        <v>25149.330675000001</v>
      </c>
      <c r="AH61" s="109">
        <v>154.22999999999999</v>
      </c>
      <c r="AI61" s="109">
        <f>((AA61*'CALCULO GERAL'!$C$11))*0.08+20</f>
        <v>2549.576</v>
      </c>
      <c r="AJ61" s="109">
        <v>1010</v>
      </c>
      <c r="AK61" s="109">
        <v>2500</v>
      </c>
      <c r="AL61" s="109">
        <f>(AA61*('CALCULO GERAL'!$C$11*1.02))-(AA61*'CALCULO GERAL'!$C$11)</f>
        <v>632.39400000000387</v>
      </c>
      <c r="AM61" s="109">
        <v>1800</v>
      </c>
      <c r="AN61" s="109">
        <v>2600</v>
      </c>
      <c r="AO61" s="109">
        <v>9400</v>
      </c>
      <c r="AP61" s="109">
        <v>1000</v>
      </c>
      <c r="AQ61" s="109">
        <f t="shared" si="21"/>
        <v>-4959.0229500000005</v>
      </c>
      <c r="AR61" s="109">
        <f t="shared" si="22"/>
        <v>-25149.330675000001</v>
      </c>
      <c r="AS61" s="109"/>
      <c r="AT61" s="109">
        <f t="shared" si="23"/>
        <v>340440.53250000003</v>
      </c>
      <c r="AU61" s="111">
        <f t="shared" si="8"/>
        <v>27.235242600000003</v>
      </c>
      <c r="AV61" s="109">
        <f>IFERROR((BS61*'CALCULO GERAL'!$E$11)/N61,0)</f>
        <v>0.74682720000000002</v>
      </c>
      <c r="AW61" s="109">
        <f>AU61/'CALCULO GERAL'!$C$11</f>
        <v>5.4264280932456668</v>
      </c>
      <c r="AX61" s="109">
        <f>BP61-BB61-BD61*'CALCULO GERAL'!$C$11</f>
        <v>36.781239599999999</v>
      </c>
      <c r="AY61" s="109">
        <f t="shared" si="24"/>
        <v>0.60689045340000003</v>
      </c>
      <c r="AZ61" s="109">
        <f t="shared" si="9"/>
        <v>2.7953742095999998</v>
      </c>
      <c r="BA61" s="109">
        <f t="shared" si="10"/>
        <v>37.341360000000002</v>
      </c>
      <c r="BB61" s="109">
        <f t="shared" si="11"/>
        <v>0.56012039999999996</v>
      </c>
      <c r="BC61" s="109">
        <f t="shared" si="12"/>
        <v>37.341360000000002</v>
      </c>
      <c r="BD61" s="109">
        <f t="shared" si="13"/>
        <v>0</v>
      </c>
      <c r="BE61" s="109">
        <f t="shared" si="37"/>
        <v>37341.360000000001</v>
      </c>
      <c r="BF61" s="109">
        <f t="shared" si="38"/>
        <v>56012.04</v>
      </c>
      <c r="BG61" s="109">
        <f t="shared" si="14"/>
        <v>0.403286688</v>
      </c>
      <c r="BH61" s="109">
        <f t="shared" si="15"/>
        <v>0.44809631999999999</v>
      </c>
      <c r="BI61" s="109">
        <f t="shared" si="16"/>
        <v>0</v>
      </c>
      <c r="BJ61" s="109">
        <f t="shared" si="27"/>
        <v>5.5605952710000004</v>
      </c>
      <c r="BK61" s="109">
        <f t="shared" si="28"/>
        <v>32.795837871000003</v>
      </c>
      <c r="BL61" s="148">
        <v>0.74</v>
      </c>
      <c r="BM61" s="112">
        <f>ROUND((AW61/BL61)+((AW61*BL61)*'CALCULO GERAL'!$E$11)/BL61,2)</f>
        <v>7.44</v>
      </c>
      <c r="BN61" s="186">
        <f t="shared" si="17"/>
        <v>7.44</v>
      </c>
      <c r="BO61" s="186">
        <f t="shared" si="29"/>
        <v>8.7170000000000005</v>
      </c>
      <c r="BP61" s="109">
        <f>BM61*'CALCULO GERAL'!$C$11</f>
        <v>37.341360000000002</v>
      </c>
      <c r="BQ61" s="109">
        <f>BO61*'CALCULO GERAL'!$C$11</f>
        <v>43.750623000000004</v>
      </c>
      <c r="BR61" s="186">
        <f>BN61*'CALCULO GERAL'!$C$11</f>
        <v>37.341360000000002</v>
      </c>
      <c r="BS61" s="109">
        <f t="shared" si="18"/>
        <v>466767</v>
      </c>
      <c r="BT61" s="109">
        <f t="shared" si="30"/>
        <v>126326.46749999997</v>
      </c>
      <c r="BU61" s="109">
        <f t="shared" si="19"/>
        <v>466767</v>
      </c>
      <c r="BV61" s="109">
        <f t="shared" si="31"/>
        <v>409947.97338750004</v>
      </c>
      <c r="BW61" s="109">
        <f t="shared" si="32"/>
        <v>56819.026612499962</v>
      </c>
      <c r="BX61" s="114">
        <f t="shared" si="20"/>
        <v>0.1217288853164426</v>
      </c>
      <c r="BY61" s="152">
        <f t="shared" si="33"/>
        <v>0.74</v>
      </c>
      <c r="CA61" s="55"/>
      <c r="CB61" s="113"/>
      <c r="CC61" s="113"/>
      <c r="CE61" s="152">
        <f t="shared" si="34"/>
        <v>0</v>
      </c>
      <c r="CF61" s="152">
        <f t="shared" si="35"/>
        <v>1</v>
      </c>
      <c r="CG61" s="152">
        <f t="shared" si="36"/>
        <v>1</v>
      </c>
      <c r="CH61" s="34"/>
      <c r="CJ61" s="11"/>
      <c r="CK61" s="11"/>
    </row>
    <row r="62" spans="1:89" s="152" customFormat="1" ht="16" x14ac:dyDescent="0.2">
      <c r="A62" s="228" t="s">
        <v>198</v>
      </c>
      <c r="B62" s="187" t="s">
        <v>194</v>
      </c>
      <c r="C62" s="8">
        <v>0.35</v>
      </c>
      <c r="D62" s="8">
        <v>0</v>
      </c>
      <c r="E62" s="7">
        <v>2.1000000000000001E-2</v>
      </c>
      <c r="F62" s="7">
        <v>0.1065</v>
      </c>
      <c r="G62" s="1">
        <v>1.6500000000000001E-2</v>
      </c>
      <c r="H62" s="1">
        <v>7.5999999999999998E-2</v>
      </c>
      <c r="I62" s="1">
        <v>0.18</v>
      </c>
      <c r="J62" s="1">
        <v>0.04</v>
      </c>
      <c r="K62" s="1">
        <v>0.14000000000000001</v>
      </c>
      <c r="L62" s="1">
        <v>1.4999999999999999E-2</v>
      </c>
      <c r="M62" s="2" t="s">
        <v>175</v>
      </c>
      <c r="N62" s="105">
        <v>10500</v>
      </c>
      <c r="O62" s="119"/>
      <c r="P62" s="119"/>
      <c r="Q62" s="119"/>
      <c r="R62" s="119"/>
      <c r="S62" s="119"/>
      <c r="T62" s="119">
        <v>3.01</v>
      </c>
      <c r="U62" s="119"/>
      <c r="V62" s="205"/>
      <c r="W62" s="119"/>
      <c r="X62" s="119">
        <f t="shared" si="0"/>
        <v>3.01</v>
      </c>
      <c r="Y62" s="118">
        <f t="shared" si="1"/>
        <v>3.01</v>
      </c>
      <c r="Z62" s="109">
        <f t="shared" si="2"/>
        <v>31604.999999999996</v>
      </c>
      <c r="AA62" s="109">
        <f>'CALCULO GERAL'!$G$10</f>
        <v>6300</v>
      </c>
      <c r="AB62" s="109">
        <f t="shared" si="3"/>
        <v>37905</v>
      </c>
      <c r="AC62" s="109">
        <f>AB62*'CALCULO GERAL'!$C$11</f>
        <v>190245.19500000001</v>
      </c>
      <c r="AD62" s="109">
        <f t="shared" si="4"/>
        <v>66585.818249999997</v>
      </c>
      <c r="AE62" s="109">
        <f t="shared" si="5"/>
        <v>0</v>
      </c>
      <c r="AF62" s="109">
        <f t="shared" si="6"/>
        <v>3995.1490950000002</v>
      </c>
      <c r="AG62" s="109">
        <f t="shared" si="7"/>
        <v>20261.113267500001</v>
      </c>
      <c r="AH62" s="109">
        <v>154.22999999999999</v>
      </c>
      <c r="AI62" s="109">
        <f>((AA62*'CALCULO GERAL'!$C$11))*0.08+20</f>
        <v>2549.576</v>
      </c>
      <c r="AJ62" s="109">
        <v>1010</v>
      </c>
      <c r="AK62" s="109">
        <v>2500</v>
      </c>
      <c r="AL62" s="109">
        <f>(AA62*('CALCULO GERAL'!$C$11*1.02))-(AA62*'CALCULO GERAL'!$C$11)</f>
        <v>632.39400000000387</v>
      </c>
      <c r="AM62" s="109">
        <v>1800</v>
      </c>
      <c r="AN62" s="109">
        <v>2600</v>
      </c>
      <c r="AO62" s="109">
        <v>9400</v>
      </c>
      <c r="AP62" s="109">
        <v>1000</v>
      </c>
      <c r="AQ62" s="109">
        <f t="shared" si="21"/>
        <v>-3995.1490950000002</v>
      </c>
      <c r="AR62" s="109">
        <f t="shared" si="22"/>
        <v>-20261.113267500001</v>
      </c>
      <c r="AS62" s="109"/>
      <c r="AT62" s="109">
        <f t="shared" si="23"/>
        <v>278477.21325000003</v>
      </c>
      <c r="AU62" s="111">
        <f t="shared" si="8"/>
        <v>26.52163935714286</v>
      </c>
      <c r="AV62" s="109">
        <f>IFERROR((BS62*'CALCULO GERAL'!$E$11)/N62,0)</f>
        <v>0.72775500000000015</v>
      </c>
      <c r="AW62" s="109">
        <f>AU62/'CALCULO GERAL'!$C$11</f>
        <v>5.2842477300543651</v>
      </c>
      <c r="AX62" s="109">
        <f>BP62-BB62-BD62*'CALCULO GERAL'!$C$11</f>
        <v>35.841933750000003</v>
      </c>
      <c r="AY62" s="109">
        <f t="shared" si="24"/>
        <v>0.5913919068750001</v>
      </c>
      <c r="AZ62" s="109">
        <f t="shared" si="9"/>
        <v>2.7239869649999999</v>
      </c>
      <c r="BA62" s="109">
        <f t="shared" si="10"/>
        <v>36.387750000000004</v>
      </c>
      <c r="BB62" s="109">
        <f t="shared" si="11"/>
        <v>0.54581625</v>
      </c>
      <c r="BC62" s="109">
        <f t="shared" si="12"/>
        <v>36.387750000000004</v>
      </c>
      <c r="BD62" s="109">
        <f t="shared" si="13"/>
        <v>0</v>
      </c>
      <c r="BE62" s="109">
        <f t="shared" si="37"/>
        <v>30565.710000000006</v>
      </c>
      <c r="BF62" s="109">
        <f t="shared" si="38"/>
        <v>45848.565000000002</v>
      </c>
      <c r="BG62" s="109">
        <f t="shared" si="14"/>
        <v>0.39298770000000005</v>
      </c>
      <c r="BH62" s="109">
        <f t="shared" si="15"/>
        <v>0.43665300000000007</v>
      </c>
      <c r="BI62" s="109">
        <f t="shared" si="16"/>
        <v>0</v>
      </c>
      <c r="BJ62" s="109">
        <f t="shared" si="27"/>
        <v>5.4185908218750001</v>
      </c>
      <c r="BK62" s="109">
        <f t="shared" si="28"/>
        <v>31.94023017901786</v>
      </c>
      <c r="BL62" s="148">
        <v>0.74</v>
      </c>
      <c r="BM62" s="112">
        <f>ROUND((AW62/BL62)+((AW62*BL62)*'CALCULO GERAL'!$E$11)/BL62,2)</f>
        <v>7.25</v>
      </c>
      <c r="BN62" s="186">
        <f t="shared" si="17"/>
        <v>7.25</v>
      </c>
      <c r="BO62" s="186">
        <f t="shared" si="29"/>
        <v>8.4949999999999992</v>
      </c>
      <c r="BP62" s="109">
        <f>BM62*'CALCULO GERAL'!$C$11</f>
        <v>36.387750000000004</v>
      </c>
      <c r="BQ62" s="109">
        <f>BO62*'CALCULO GERAL'!$C$11</f>
        <v>42.636404999999996</v>
      </c>
      <c r="BR62" s="186">
        <f>BN62*'CALCULO GERAL'!$C$11</f>
        <v>36.387750000000004</v>
      </c>
      <c r="BS62" s="109">
        <f t="shared" si="18"/>
        <v>382071.37500000006</v>
      </c>
      <c r="BT62" s="109">
        <f t="shared" si="30"/>
        <v>103594.16175000003</v>
      </c>
      <c r="BU62" s="109">
        <f t="shared" si="19"/>
        <v>382071.37500000006</v>
      </c>
      <c r="BV62" s="109">
        <f t="shared" si="31"/>
        <v>335372.41687968752</v>
      </c>
      <c r="BW62" s="109">
        <f t="shared" si="32"/>
        <v>46698.958120312542</v>
      </c>
      <c r="BX62" s="114">
        <f t="shared" si="20"/>
        <v>0.12222574413043252</v>
      </c>
      <c r="BY62" s="152">
        <f t="shared" si="33"/>
        <v>0.74</v>
      </c>
      <c r="CA62" s="55"/>
      <c r="CB62" s="113"/>
      <c r="CC62" s="113"/>
      <c r="CE62" s="152">
        <f t="shared" si="34"/>
        <v>0</v>
      </c>
      <c r="CF62" s="152">
        <f t="shared" si="35"/>
        <v>1</v>
      </c>
      <c r="CG62" s="152">
        <f t="shared" si="36"/>
        <v>1</v>
      </c>
      <c r="CH62" s="34"/>
      <c r="CJ62" s="11"/>
      <c r="CK62" s="11"/>
    </row>
    <row r="63" spans="1:89" s="152" customFormat="1" ht="16" x14ac:dyDescent="0.2">
      <c r="A63" s="228" t="s">
        <v>199</v>
      </c>
      <c r="B63" s="187" t="s">
        <v>194</v>
      </c>
      <c r="C63" s="8">
        <v>0.35</v>
      </c>
      <c r="D63" s="8">
        <v>0</v>
      </c>
      <c r="E63" s="7">
        <v>2.1000000000000001E-2</v>
      </c>
      <c r="F63" s="7">
        <v>0.1065</v>
      </c>
      <c r="G63" s="1">
        <v>1.6500000000000001E-2</v>
      </c>
      <c r="H63" s="1">
        <v>7.5999999999999998E-2</v>
      </c>
      <c r="I63" s="1">
        <v>0.18</v>
      </c>
      <c r="J63" s="1">
        <v>0.04</v>
      </c>
      <c r="K63" s="1">
        <v>0.14000000000000001</v>
      </c>
      <c r="L63" s="1">
        <v>1.4999999999999999E-2</v>
      </c>
      <c r="M63" s="2" t="s">
        <v>175</v>
      </c>
      <c r="N63" s="105">
        <v>10500</v>
      </c>
      <c r="O63" s="119"/>
      <c r="P63" s="119"/>
      <c r="Q63" s="119"/>
      <c r="R63" s="119"/>
      <c r="S63" s="119"/>
      <c r="T63" s="119">
        <v>3.72</v>
      </c>
      <c r="U63" s="119"/>
      <c r="V63" s="205"/>
      <c r="W63" s="119"/>
      <c r="X63" s="119">
        <f t="shared" si="0"/>
        <v>3.72</v>
      </c>
      <c r="Y63" s="118">
        <f t="shared" si="1"/>
        <v>3.72</v>
      </c>
      <c r="Z63" s="109">
        <f t="shared" si="2"/>
        <v>39060</v>
      </c>
      <c r="AA63" s="109">
        <f>'CALCULO GERAL'!$G$10</f>
        <v>6300</v>
      </c>
      <c r="AB63" s="109">
        <f t="shared" si="3"/>
        <v>45360</v>
      </c>
      <c r="AC63" s="109">
        <f>AB63*'CALCULO GERAL'!$C$11</f>
        <v>227661.84</v>
      </c>
      <c r="AD63" s="109">
        <f t="shared" si="4"/>
        <v>79681.644</v>
      </c>
      <c r="AE63" s="109">
        <f t="shared" si="5"/>
        <v>0</v>
      </c>
      <c r="AF63" s="109">
        <f t="shared" si="6"/>
        <v>4780.8986400000003</v>
      </c>
      <c r="AG63" s="109">
        <f t="shared" si="7"/>
        <v>24245.985959999998</v>
      </c>
      <c r="AH63" s="109">
        <v>154.22999999999999</v>
      </c>
      <c r="AI63" s="109">
        <f>((AA63*'CALCULO GERAL'!$C$11))*0.08+20</f>
        <v>2549.576</v>
      </c>
      <c r="AJ63" s="109">
        <v>1010</v>
      </c>
      <c r="AK63" s="109">
        <v>2500</v>
      </c>
      <c r="AL63" s="109">
        <f>(AA63*('CALCULO GERAL'!$C$11*1.02))-(AA63*'CALCULO GERAL'!$C$11)</f>
        <v>632.39400000000387</v>
      </c>
      <c r="AM63" s="109">
        <v>1800</v>
      </c>
      <c r="AN63" s="109">
        <v>2600</v>
      </c>
      <c r="AO63" s="109">
        <v>9400</v>
      </c>
      <c r="AP63" s="109">
        <v>1000</v>
      </c>
      <c r="AQ63" s="109">
        <f t="shared" si="21"/>
        <v>-4780.8986400000003</v>
      </c>
      <c r="AR63" s="109">
        <f t="shared" si="22"/>
        <v>-24245.985959999998</v>
      </c>
      <c r="AS63" s="109"/>
      <c r="AT63" s="109">
        <f t="shared" si="23"/>
        <v>328989.68400000001</v>
      </c>
      <c r="AU63" s="111">
        <f t="shared" si="8"/>
        <v>31.332350857142856</v>
      </c>
      <c r="AV63" s="109">
        <f>IFERROR((BS63*'CALCULO GERAL'!$E$11)/N63,0)</f>
        <v>0.85925280000000015</v>
      </c>
      <c r="AW63" s="109">
        <f>AU63/'CALCULO GERAL'!$C$11</f>
        <v>6.2427477300543641</v>
      </c>
      <c r="AX63" s="109">
        <f>BP63-BB63-BD63*'CALCULO GERAL'!$C$11</f>
        <v>42.318200400000002</v>
      </c>
      <c r="AY63" s="109">
        <f t="shared" si="24"/>
        <v>0.69825030660000009</v>
      </c>
      <c r="AZ63" s="109">
        <f t="shared" si="9"/>
        <v>3.2161832304</v>
      </c>
      <c r="BA63" s="109">
        <f t="shared" si="10"/>
        <v>42.96264</v>
      </c>
      <c r="BB63" s="109">
        <f t="shared" si="11"/>
        <v>0.6444396</v>
      </c>
      <c r="BC63" s="109">
        <f t="shared" si="12"/>
        <v>42.96264</v>
      </c>
      <c r="BD63" s="109">
        <f t="shared" si="13"/>
        <v>0</v>
      </c>
      <c r="BE63" s="109">
        <f t="shared" si="37"/>
        <v>36088.617600000005</v>
      </c>
      <c r="BF63" s="109">
        <f t="shared" si="38"/>
        <v>54132.926400000004</v>
      </c>
      <c r="BG63" s="109">
        <f t="shared" si="14"/>
        <v>0.46399651200000008</v>
      </c>
      <c r="BH63" s="109">
        <f t="shared" si="15"/>
        <v>0.51555168000000007</v>
      </c>
      <c r="BI63" s="109">
        <f t="shared" si="16"/>
        <v>0</v>
      </c>
      <c r="BJ63" s="109">
        <f t="shared" si="27"/>
        <v>6.3976741290000003</v>
      </c>
      <c r="BK63" s="109">
        <f t="shared" si="28"/>
        <v>37.730024986142858</v>
      </c>
      <c r="BL63" s="148">
        <v>0.74</v>
      </c>
      <c r="BM63" s="112">
        <f>ROUND((AW63/BL63)+((AW63*BL63)*'CALCULO GERAL'!$E$11)/BL63,2)</f>
        <v>8.56</v>
      </c>
      <c r="BN63" s="186">
        <f t="shared" si="17"/>
        <v>8.56</v>
      </c>
      <c r="BO63" s="186">
        <f t="shared" si="29"/>
        <v>10.029</v>
      </c>
      <c r="BP63" s="109">
        <f>BM63*'CALCULO GERAL'!$C$11</f>
        <v>42.96264</v>
      </c>
      <c r="BQ63" s="109">
        <f>BO63*'CALCULO GERAL'!$C$11</f>
        <v>50.335551000000002</v>
      </c>
      <c r="BR63" s="186">
        <f>BN63*'CALCULO GERAL'!$C$11</f>
        <v>42.96264</v>
      </c>
      <c r="BS63" s="109">
        <f t="shared" si="18"/>
        <v>451107.72000000003</v>
      </c>
      <c r="BT63" s="109">
        <f t="shared" si="30"/>
        <v>122118.03600000002</v>
      </c>
      <c r="BU63" s="109">
        <f t="shared" si="19"/>
        <v>451107.72000000003</v>
      </c>
      <c r="BV63" s="109">
        <f t="shared" si="31"/>
        <v>396165.26235450001</v>
      </c>
      <c r="BW63" s="109">
        <f t="shared" si="32"/>
        <v>54942.457645500021</v>
      </c>
      <c r="BX63" s="114">
        <f t="shared" si="20"/>
        <v>0.12179454088149948</v>
      </c>
      <c r="BY63" s="152">
        <f t="shared" si="33"/>
        <v>0.74</v>
      </c>
      <c r="CA63" s="55"/>
      <c r="CB63" s="113"/>
      <c r="CC63" s="113"/>
      <c r="CE63" s="152">
        <f t="shared" si="34"/>
        <v>0</v>
      </c>
      <c r="CF63" s="152">
        <f t="shared" si="35"/>
        <v>1</v>
      </c>
      <c r="CG63" s="152">
        <f t="shared" si="36"/>
        <v>1</v>
      </c>
      <c r="CH63" s="34"/>
      <c r="CJ63" s="11"/>
      <c r="CK63" s="11"/>
    </row>
    <row r="64" spans="1:89" s="152" customFormat="1" ht="16" x14ac:dyDescent="0.2">
      <c r="A64" s="228" t="s">
        <v>200</v>
      </c>
      <c r="B64" s="187" t="s">
        <v>194</v>
      </c>
      <c r="C64" s="8">
        <v>0.35</v>
      </c>
      <c r="D64" s="8">
        <v>0</v>
      </c>
      <c r="E64" s="7">
        <v>2.1000000000000001E-2</v>
      </c>
      <c r="F64" s="7">
        <v>0.1065</v>
      </c>
      <c r="G64" s="1">
        <v>1.6500000000000001E-2</v>
      </c>
      <c r="H64" s="1">
        <v>7.5999999999999998E-2</v>
      </c>
      <c r="I64" s="1">
        <v>0.18</v>
      </c>
      <c r="J64" s="1">
        <v>0.04</v>
      </c>
      <c r="K64" s="1">
        <v>0.14000000000000001</v>
      </c>
      <c r="L64" s="1">
        <v>1.4999999999999999E-2</v>
      </c>
      <c r="M64" s="2" t="s">
        <v>175</v>
      </c>
      <c r="N64" s="105">
        <v>8500</v>
      </c>
      <c r="O64" s="119"/>
      <c r="P64" s="119"/>
      <c r="Q64" s="119"/>
      <c r="R64" s="119"/>
      <c r="S64" s="119"/>
      <c r="T64" s="119">
        <v>4.08</v>
      </c>
      <c r="U64" s="119"/>
      <c r="V64" s="205"/>
      <c r="W64" s="119"/>
      <c r="X64" s="119">
        <f t="shared" si="0"/>
        <v>4.08</v>
      </c>
      <c r="Y64" s="118">
        <f t="shared" si="1"/>
        <v>4.08</v>
      </c>
      <c r="Z64" s="109">
        <f t="shared" si="2"/>
        <v>34680</v>
      </c>
      <c r="AA64" s="109">
        <f>'CALCULO GERAL'!$G$10</f>
        <v>6300</v>
      </c>
      <c r="AB64" s="109">
        <f t="shared" si="3"/>
        <v>40980</v>
      </c>
      <c r="AC64" s="109">
        <f>AB64*'CALCULO GERAL'!$C$11</f>
        <v>205678.62</v>
      </c>
      <c r="AD64" s="109">
        <f t="shared" si="4"/>
        <v>71987.516999999993</v>
      </c>
      <c r="AE64" s="109">
        <f t="shared" si="5"/>
        <v>0</v>
      </c>
      <c r="AF64" s="109">
        <f t="shared" si="6"/>
        <v>4319.2510200000006</v>
      </c>
      <c r="AG64" s="109">
        <f t="shared" si="7"/>
        <v>21904.77303</v>
      </c>
      <c r="AH64" s="109">
        <v>154.22999999999999</v>
      </c>
      <c r="AI64" s="109">
        <f>((AA64*'CALCULO GERAL'!$C$11))*0.08+20</f>
        <v>2549.576</v>
      </c>
      <c r="AJ64" s="109">
        <v>1010</v>
      </c>
      <c r="AK64" s="109">
        <v>2500</v>
      </c>
      <c r="AL64" s="109">
        <f>(AA64*('CALCULO GERAL'!$C$11*1.02))-(AA64*'CALCULO GERAL'!$C$11)</f>
        <v>632.39400000000387</v>
      </c>
      <c r="AM64" s="109">
        <v>1800</v>
      </c>
      <c r="AN64" s="109">
        <v>2600</v>
      </c>
      <c r="AO64" s="109">
        <v>9400</v>
      </c>
      <c r="AP64" s="109">
        <v>1000</v>
      </c>
      <c r="AQ64" s="109">
        <f t="shared" si="21"/>
        <v>-4319.2510200000006</v>
      </c>
      <c r="AR64" s="109">
        <f t="shared" si="22"/>
        <v>-21904.77303</v>
      </c>
      <c r="AS64" s="109"/>
      <c r="AT64" s="109">
        <f t="shared" si="23"/>
        <v>299312.337</v>
      </c>
      <c r="AU64" s="111">
        <f t="shared" si="8"/>
        <v>35.213216117647058</v>
      </c>
      <c r="AV64" s="109">
        <f>IFERROR((BS64*'CALCULO GERAL'!$E$11)/N64,0)</f>
        <v>0.96565559999999995</v>
      </c>
      <c r="AW64" s="109">
        <f>AU64/'CALCULO GERAL'!$C$11</f>
        <v>7.0159824900671559</v>
      </c>
      <c r="AX64" s="109">
        <f>BP64-BB64-BD64*'CALCULO GERAL'!$C$11</f>
        <v>47.558538299999995</v>
      </c>
      <c r="AY64" s="109">
        <f t="shared" si="24"/>
        <v>0.78471588194999997</v>
      </c>
      <c r="AZ64" s="109">
        <f t="shared" si="9"/>
        <v>3.6144489107999997</v>
      </c>
      <c r="BA64" s="109">
        <f t="shared" si="10"/>
        <v>48.282779999999995</v>
      </c>
      <c r="BB64" s="109">
        <f t="shared" si="11"/>
        <v>0.72424169999999988</v>
      </c>
      <c r="BC64" s="109">
        <f t="shared" si="12"/>
        <v>48.282779999999995</v>
      </c>
      <c r="BD64" s="109">
        <f t="shared" si="13"/>
        <v>0</v>
      </c>
      <c r="BE64" s="109">
        <f t="shared" si="37"/>
        <v>32832.290399999998</v>
      </c>
      <c r="BF64" s="109">
        <f t="shared" si="38"/>
        <v>49248.43559999999</v>
      </c>
      <c r="BG64" s="109">
        <f t="shared" si="14"/>
        <v>0.52145402399999985</v>
      </c>
      <c r="BH64" s="109">
        <f t="shared" si="15"/>
        <v>0.57939335999999997</v>
      </c>
      <c r="BI64" s="109">
        <f t="shared" si="16"/>
        <v>0</v>
      </c>
      <c r="BJ64" s="109">
        <f t="shared" si="27"/>
        <v>7.1899094767499996</v>
      </c>
      <c r="BK64" s="109">
        <f t="shared" si="28"/>
        <v>42.403125594397054</v>
      </c>
      <c r="BL64" s="148">
        <v>0.74</v>
      </c>
      <c r="BM64" s="112">
        <f>ROUND((AW64/BL64)+((AW64*BL64)*'CALCULO GERAL'!$E$11)/BL64,2)</f>
        <v>9.6199999999999992</v>
      </c>
      <c r="BN64" s="186">
        <f t="shared" si="17"/>
        <v>9.6199999999999992</v>
      </c>
      <c r="BO64" s="186">
        <f t="shared" si="29"/>
        <v>11.271000000000001</v>
      </c>
      <c r="BP64" s="109">
        <f>BM64*'CALCULO GERAL'!$C$11</f>
        <v>48.282779999999995</v>
      </c>
      <c r="BQ64" s="109">
        <f>BO64*'CALCULO GERAL'!$C$11</f>
        <v>56.569149000000003</v>
      </c>
      <c r="BR64" s="186">
        <f>BN64*'CALCULO GERAL'!$C$11</f>
        <v>48.282779999999995</v>
      </c>
      <c r="BS64" s="109">
        <f t="shared" si="18"/>
        <v>410403.62999999995</v>
      </c>
      <c r="BT64" s="109">
        <f t="shared" si="30"/>
        <v>111091.29299999995</v>
      </c>
      <c r="BU64" s="109">
        <f t="shared" si="19"/>
        <v>410403.62999999995</v>
      </c>
      <c r="BV64" s="109">
        <f t="shared" si="31"/>
        <v>360426.56755237497</v>
      </c>
      <c r="BW64" s="109">
        <f t="shared" si="32"/>
        <v>49977.06244762498</v>
      </c>
      <c r="BX64" s="114">
        <f t="shared" si="20"/>
        <v>0.12177539084540989</v>
      </c>
      <c r="BY64" s="152">
        <f t="shared" si="33"/>
        <v>0.74</v>
      </c>
      <c r="CA64" s="55"/>
      <c r="CB64" s="113"/>
      <c r="CC64" s="113"/>
      <c r="CE64" s="152">
        <f t="shared" si="34"/>
        <v>0</v>
      </c>
      <c r="CF64" s="152">
        <f t="shared" si="35"/>
        <v>1</v>
      </c>
      <c r="CG64" s="152">
        <f t="shared" si="36"/>
        <v>1</v>
      </c>
      <c r="CH64" s="34"/>
      <c r="CJ64" s="11"/>
      <c r="CK64" s="11"/>
    </row>
    <row r="65" spans="1:89" s="152" customFormat="1" ht="16" x14ac:dyDescent="0.2">
      <c r="A65" s="228" t="s">
        <v>201</v>
      </c>
      <c r="B65" s="187" t="s">
        <v>194</v>
      </c>
      <c r="C65" s="8">
        <v>0.35</v>
      </c>
      <c r="D65" s="8">
        <v>0</v>
      </c>
      <c r="E65" s="7">
        <v>2.1000000000000001E-2</v>
      </c>
      <c r="F65" s="7">
        <v>0.1065</v>
      </c>
      <c r="G65" s="1">
        <v>1.6500000000000001E-2</v>
      </c>
      <c r="H65" s="1">
        <v>7.5999999999999998E-2</v>
      </c>
      <c r="I65" s="1">
        <v>0.18</v>
      </c>
      <c r="J65" s="1">
        <v>0.04</v>
      </c>
      <c r="K65" s="1">
        <v>0.14000000000000001</v>
      </c>
      <c r="L65" s="1">
        <v>1.4999999999999999E-2</v>
      </c>
      <c r="M65" s="2" t="s">
        <v>175</v>
      </c>
      <c r="N65" s="105">
        <v>7000</v>
      </c>
      <c r="O65" s="119"/>
      <c r="P65" s="119"/>
      <c r="Q65" s="119"/>
      <c r="R65" s="119"/>
      <c r="S65" s="119"/>
      <c r="T65" s="119">
        <v>4.42</v>
      </c>
      <c r="U65" s="119"/>
      <c r="V65" s="205"/>
      <c r="W65" s="119"/>
      <c r="X65" s="119">
        <f t="shared" si="0"/>
        <v>4.42</v>
      </c>
      <c r="Y65" s="118">
        <f t="shared" si="1"/>
        <v>4.42</v>
      </c>
      <c r="Z65" s="109">
        <f t="shared" si="2"/>
        <v>30940</v>
      </c>
      <c r="AA65" s="109">
        <f>'CALCULO GERAL'!$G$10</f>
        <v>6300</v>
      </c>
      <c r="AB65" s="109">
        <f t="shared" si="3"/>
        <v>37240</v>
      </c>
      <c r="AC65" s="109">
        <f>AB65*'CALCULO GERAL'!$C$11</f>
        <v>186907.56</v>
      </c>
      <c r="AD65" s="109">
        <f t="shared" si="4"/>
        <v>65417.645999999993</v>
      </c>
      <c r="AE65" s="109">
        <f t="shared" si="5"/>
        <v>0</v>
      </c>
      <c r="AF65" s="109">
        <f t="shared" si="6"/>
        <v>3925.0587600000003</v>
      </c>
      <c r="AG65" s="109">
        <f t="shared" si="7"/>
        <v>19905.655139999999</v>
      </c>
      <c r="AH65" s="109">
        <v>154.22999999999999</v>
      </c>
      <c r="AI65" s="109">
        <f>((AA65*'CALCULO GERAL'!$C$11))*0.08+20</f>
        <v>2549.576</v>
      </c>
      <c r="AJ65" s="109">
        <v>1010</v>
      </c>
      <c r="AK65" s="109">
        <v>2500</v>
      </c>
      <c r="AL65" s="109">
        <f>(AA65*('CALCULO GERAL'!$C$11*1.02))-(AA65*'CALCULO GERAL'!$C$11)</f>
        <v>632.39400000000387</v>
      </c>
      <c r="AM65" s="109">
        <v>1800</v>
      </c>
      <c r="AN65" s="109">
        <v>2600</v>
      </c>
      <c r="AO65" s="109">
        <v>9400</v>
      </c>
      <c r="AP65" s="109">
        <v>1000</v>
      </c>
      <c r="AQ65" s="109">
        <f t="shared" si="21"/>
        <v>-3925.0587600000003</v>
      </c>
      <c r="AR65" s="109">
        <f t="shared" si="22"/>
        <v>-19905.655139999999</v>
      </c>
      <c r="AS65" s="109"/>
      <c r="AT65" s="109">
        <f t="shared" si="23"/>
        <v>273971.40600000008</v>
      </c>
      <c r="AU65" s="111">
        <f t="shared" si="8"/>
        <v>39.138772285714296</v>
      </c>
      <c r="AV65" s="109">
        <f>IFERROR((BS65*'CALCULO GERAL'!$E$11)/N65,0)</f>
        <v>1.0730621999999999</v>
      </c>
      <c r="AW65" s="109">
        <f>AU65/'CALCULO GERAL'!$C$11</f>
        <v>7.7981215950815495</v>
      </c>
      <c r="AX65" s="109">
        <f>BP65-BB65-BD65*'CALCULO GERAL'!$C$11</f>
        <v>52.848313349999998</v>
      </c>
      <c r="AY65" s="109">
        <f t="shared" si="24"/>
        <v>0.87199717027500001</v>
      </c>
      <c r="AZ65" s="109">
        <f t="shared" si="9"/>
        <v>4.0164718146</v>
      </c>
      <c r="BA65" s="109">
        <f t="shared" si="10"/>
        <v>53.653109999999998</v>
      </c>
      <c r="BB65" s="109">
        <f t="shared" si="11"/>
        <v>0.80479664999999989</v>
      </c>
      <c r="BC65" s="109">
        <f t="shared" si="12"/>
        <v>53.653109999999998</v>
      </c>
      <c r="BD65" s="109">
        <f t="shared" si="13"/>
        <v>0</v>
      </c>
      <c r="BE65" s="109">
        <f t="shared" si="37"/>
        <v>30045.741599999998</v>
      </c>
      <c r="BF65" s="109">
        <f t="shared" si="38"/>
        <v>45068.612399999991</v>
      </c>
      <c r="BG65" s="109">
        <f t="shared" si="14"/>
        <v>0.57945358799999991</v>
      </c>
      <c r="BH65" s="109">
        <f t="shared" si="15"/>
        <v>0.64383731999999994</v>
      </c>
      <c r="BI65" s="109">
        <f t="shared" si="16"/>
        <v>0</v>
      </c>
      <c r="BJ65" s="109">
        <f t="shared" si="27"/>
        <v>7.9896187428749998</v>
      </c>
      <c r="BK65" s="109">
        <f t="shared" si="28"/>
        <v>47.128391028589299</v>
      </c>
      <c r="BL65" s="148">
        <v>0.74</v>
      </c>
      <c r="BM65" s="112">
        <f>ROUND((AW65/BL65)+((AW65*BL65)*'CALCULO GERAL'!$E$11)/BL65,2)</f>
        <v>10.69</v>
      </c>
      <c r="BN65" s="186">
        <f t="shared" si="17"/>
        <v>10.69</v>
      </c>
      <c r="BO65" s="186">
        <f t="shared" si="29"/>
        <v>12.525</v>
      </c>
      <c r="BP65" s="109">
        <f>BM65*'CALCULO GERAL'!$C$11</f>
        <v>53.653109999999998</v>
      </c>
      <c r="BQ65" s="109">
        <f>BO65*'CALCULO GERAL'!$C$11</f>
        <v>62.862975000000006</v>
      </c>
      <c r="BR65" s="186">
        <f>BN65*'CALCULO GERAL'!$C$11</f>
        <v>53.653109999999998</v>
      </c>
      <c r="BS65" s="109">
        <f t="shared" si="18"/>
        <v>375571.76999999996</v>
      </c>
      <c r="BT65" s="109">
        <f t="shared" si="30"/>
        <v>101600.36399999988</v>
      </c>
      <c r="BU65" s="109">
        <f t="shared" si="19"/>
        <v>375571.76999999996</v>
      </c>
      <c r="BV65" s="109">
        <f t="shared" si="31"/>
        <v>329898.73720012506</v>
      </c>
      <c r="BW65" s="109">
        <f t="shared" si="32"/>
        <v>45673.032799874898</v>
      </c>
      <c r="BX65" s="114">
        <f t="shared" si="20"/>
        <v>0.12160933394934051</v>
      </c>
      <c r="BY65" s="152">
        <f t="shared" si="33"/>
        <v>0.74</v>
      </c>
      <c r="CA65" s="55"/>
      <c r="CB65" s="113"/>
      <c r="CC65" s="113"/>
      <c r="CE65" s="152">
        <f t="shared" si="34"/>
        <v>0</v>
      </c>
      <c r="CF65" s="152">
        <f t="shared" si="35"/>
        <v>1</v>
      </c>
      <c r="CG65" s="152">
        <f t="shared" si="36"/>
        <v>1</v>
      </c>
      <c r="CH65" s="34"/>
      <c r="CJ65" s="11"/>
      <c r="CK65" s="11"/>
    </row>
    <row r="66" spans="1:89" s="152" customFormat="1" ht="16" x14ac:dyDescent="0.2">
      <c r="A66" s="228" t="s">
        <v>202</v>
      </c>
      <c r="B66" s="187" t="s">
        <v>194</v>
      </c>
      <c r="C66" s="8">
        <v>0.35</v>
      </c>
      <c r="D66" s="8">
        <v>0</v>
      </c>
      <c r="E66" s="7">
        <v>2.1000000000000001E-2</v>
      </c>
      <c r="F66" s="7">
        <v>0.1065</v>
      </c>
      <c r="G66" s="1">
        <v>1.6500000000000001E-2</v>
      </c>
      <c r="H66" s="1">
        <v>7.5999999999999998E-2</v>
      </c>
      <c r="I66" s="1">
        <v>0.18</v>
      </c>
      <c r="J66" s="1">
        <v>0.04</v>
      </c>
      <c r="K66" s="1">
        <v>0.14000000000000001</v>
      </c>
      <c r="L66" s="1">
        <v>1.4999999999999999E-2</v>
      </c>
      <c r="M66" s="2" t="s">
        <v>175</v>
      </c>
      <c r="N66" s="105">
        <v>7000</v>
      </c>
      <c r="O66" s="119"/>
      <c r="P66" s="119"/>
      <c r="Q66" s="119"/>
      <c r="R66" s="119"/>
      <c r="S66" s="119"/>
      <c r="T66" s="119">
        <v>3.7450000000000001</v>
      </c>
      <c r="U66" s="119"/>
      <c r="V66" s="205"/>
      <c r="W66" s="119"/>
      <c r="X66" s="119">
        <f t="shared" si="0"/>
        <v>3.7450000000000001</v>
      </c>
      <c r="Y66" s="118">
        <f t="shared" si="1"/>
        <v>3.7450000000000001</v>
      </c>
      <c r="Z66" s="109">
        <f t="shared" si="2"/>
        <v>26215</v>
      </c>
      <c r="AA66" s="109">
        <f>'CALCULO GERAL'!$G$10</f>
        <v>6300</v>
      </c>
      <c r="AB66" s="109">
        <f t="shared" si="3"/>
        <v>32515</v>
      </c>
      <c r="AC66" s="109">
        <f>AB66*'CALCULO GERAL'!$C$11</f>
        <v>163192.785</v>
      </c>
      <c r="AD66" s="109">
        <f t="shared" si="4"/>
        <v>57117.474750000001</v>
      </c>
      <c r="AE66" s="109">
        <f t="shared" si="5"/>
        <v>0</v>
      </c>
      <c r="AF66" s="109">
        <f t="shared" si="6"/>
        <v>3427.0484850000003</v>
      </c>
      <c r="AG66" s="109">
        <f t="shared" si="7"/>
        <v>17380.031602499999</v>
      </c>
      <c r="AH66" s="109">
        <v>154.22999999999999</v>
      </c>
      <c r="AI66" s="109">
        <f>((AA66*'CALCULO GERAL'!$C$11))*0.08+20</f>
        <v>2549.576</v>
      </c>
      <c r="AJ66" s="109">
        <v>1010</v>
      </c>
      <c r="AK66" s="109">
        <v>2500</v>
      </c>
      <c r="AL66" s="109">
        <f>(AA66*('CALCULO GERAL'!$C$11*1.02))-(AA66*'CALCULO GERAL'!$C$11)</f>
        <v>632.39400000000387</v>
      </c>
      <c r="AM66" s="109">
        <v>1800</v>
      </c>
      <c r="AN66" s="109">
        <v>2600</v>
      </c>
      <c r="AO66" s="109">
        <v>9400</v>
      </c>
      <c r="AP66" s="109">
        <v>1000</v>
      </c>
      <c r="AQ66" s="109">
        <f t="shared" si="21"/>
        <v>-3427.0484850000003</v>
      </c>
      <c r="AR66" s="109">
        <f t="shared" si="22"/>
        <v>-17380.031602499999</v>
      </c>
      <c r="AS66" s="109"/>
      <c r="AT66" s="109">
        <f t="shared" si="23"/>
        <v>241956.45975000001</v>
      </c>
      <c r="AU66" s="111">
        <f t="shared" si="8"/>
        <v>34.565208535714284</v>
      </c>
      <c r="AV66" s="109">
        <f>IFERROR((BS66*'CALCULO GERAL'!$E$11)/N66,0)</f>
        <v>0.94758719999999996</v>
      </c>
      <c r="AW66" s="109">
        <f>AU66/'CALCULO GERAL'!$C$11</f>
        <v>6.8868715950815469</v>
      </c>
      <c r="AX66" s="109">
        <f>BP66-BB66-BD66*'CALCULO GERAL'!$C$11</f>
        <v>46.668669600000001</v>
      </c>
      <c r="AY66" s="109">
        <f t="shared" si="24"/>
        <v>0.77003304840000009</v>
      </c>
      <c r="AZ66" s="109">
        <f t="shared" si="9"/>
        <v>3.5468188895999999</v>
      </c>
      <c r="BA66" s="109">
        <f t="shared" si="10"/>
        <v>47.379359999999998</v>
      </c>
      <c r="BB66" s="109">
        <f t="shared" si="11"/>
        <v>0.71069039999999994</v>
      </c>
      <c r="BC66" s="109">
        <f t="shared" si="12"/>
        <v>47.379359999999998</v>
      </c>
      <c r="BD66" s="109">
        <f t="shared" si="13"/>
        <v>0</v>
      </c>
      <c r="BE66" s="109">
        <f t="shared" si="37"/>
        <v>26532.441599999998</v>
      </c>
      <c r="BF66" s="109">
        <f t="shared" si="38"/>
        <v>39798.662399999994</v>
      </c>
      <c r="BG66" s="109">
        <f t="shared" si="14"/>
        <v>0.51169708799999991</v>
      </c>
      <c r="BH66" s="109">
        <f t="shared" si="15"/>
        <v>0.56855231999999989</v>
      </c>
      <c r="BI66" s="109">
        <f t="shared" si="16"/>
        <v>0</v>
      </c>
      <c r="BJ66" s="109">
        <f t="shared" si="27"/>
        <v>7.0553789460000003</v>
      </c>
      <c r="BK66" s="109">
        <f t="shared" si="28"/>
        <v>41.620587481714281</v>
      </c>
      <c r="BL66" s="148">
        <v>0.74</v>
      </c>
      <c r="BM66" s="112">
        <f>ROUND((AW66/BL66)+((AW66*BL66)*'CALCULO GERAL'!$E$11)/BL66,2)</f>
        <v>9.44</v>
      </c>
      <c r="BN66" s="186">
        <f t="shared" si="17"/>
        <v>9.44</v>
      </c>
      <c r="BO66" s="186">
        <f t="shared" si="29"/>
        <v>11.06</v>
      </c>
      <c r="BP66" s="109">
        <f>BM66*'CALCULO GERAL'!$C$11</f>
        <v>47.379359999999998</v>
      </c>
      <c r="BQ66" s="109">
        <f>BO66*'CALCULO GERAL'!$C$11</f>
        <v>55.510140000000007</v>
      </c>
      <c r="BR66" s="186">
        <f>BN66*'CALCULO GERAL'!$C$11</f>
        <v>47.379359999999998</v>
      </c>
      <c r="BS66" s="109">
        <f t="shared" si="18"/>
        <v>331655.51999999996</v>
      </c>
      <c r="BT66" s="109">
        <f t="shared" si="30"/>
        <v>89699.060249999951</v>
      </c>
      <c r="BU66" s="109">
        <f t="shared" si="19"/>
        <v>331655.51999999996</v>
      </c>
      <c r="BV66" s="109">
        <f t="shared" si="31"/>
        <v>291344.11237199995</v>
      </c>
      <c r="BW66" s="109">
        <f t="shared" si="32"/>
        <v>40311.407628000015</v>
      </c>
      <c r="BX66" s="114">
        <f t="shared" si="20"/>
        <v>0.12154601747017514</v>
      </c>
      <c r="BY66" s="152">
        <f t="shared" si="33"/>
        <v>0.74</v>
      </c>
      <c r="CA66" s="55"/>
      <c r="CB66" s="113"/>
      <c r="CC66" s="113"/>
      <c r="CE66" s="152">
        <f t="shared" si="34"/>
        <v>0</v>
      </c>
      <c r="CF66" s="152">
        <f t="shared" si="35"/>
        <v>1</v>
      </c>
      <c r="CG66" s="152">
        <f t="shared" si="36"/>
        <v>1</v>
      </c>
      <c r="CH66" s="34"/>
      <c r="CJ66" s="11"/>
      <c r="CK66" s="11"/>
    </row>
    <row r="67" spans="1:89" s="152" customFormat="1" ht="16" x14ac:dyDescent="0.2">
      <c r="A67" s="228" t="s">
        <v>203</v>
      </c>
      <c r="B67" s="187" t="s">
        <v>194</v>
      </c>
      <c r="C67" s="8">
        <v>0.35</v>
      </c>
      <c r="D67" s="8">
        <v>0</v>
      </c>
      <c r="E67" s="7">
        <v>2.1000000000000001E-2</v>
      </c>
      <c r="F67" s="7">
        <v>0.1065</v>
      </c>
      <c r="G67" s="1">
        <v>1.6500000000000001E-2</v>
      </c>
      <c r="H67" s="1">
        <v>7.5999999999999998E-2</v>
      </c>
      <c r="I67" s="1">
        <v>0.18</v>
      </c>
      <c r="J67" s="1">
        <v>0.04</v>
      </c>
      <c r="K67" s="1">
        <v>0.14000000000000001</v>
      </c>
      <c r="L67" s="1">
        <v>1.4999999999999999E-2</v>
      </c>
      <c r="M67" s="2" t="s">
        <v>175</v>
      </c>
      <c r="N67" s="105">
        <v>7000</v>
      </c>
      <c r="O67" s="119"/>
      <c r="P67" s="119"/>
      <c r="Q67" s="119"/>
      <c r="R67" s="119"/>
      <c r="S67" s="119"/>
      <c r="T67" s="119">
        <v>4.2270000000000003</v>
      </c>
      <c r="U67" s="119"/>
      <c r="V67" s="205"/>
      <c r="W67" s="119"/>
      <c r="X67" s="119">
        <f t="shared" si="0"/>
        <v>4.2270000000000003</v>
      </c>
      <c r="Y67" s="118">
        <f t="shared" si="1"/>
        <v>4.2270000000000003</v>
      </c>
      <c r="Z67" s="109">
        <f t="shared" si="2"/>
        <v>29589.000000000004</v>
      </c>
      <c r="AA67" s="109">
        <f>'CALCULO GERAL'!$G$10</f>
        <v>6300</v>
      </c>
      <c r="AB67" s="109">
        <f t="shared" si="3"/>
        <v>35889</v>
      </c>
      <c r="AC67" s="109">
        <f>AB67*'CALCULO GERAL'!$C$11</f>
        <v>180126.891</v>
      </c>
      <c r="AD67" s="109">
        <f t="shared" si="4"/>
        <v>63044.411849999997</v>
      </c>
      <c r="AE67" s="109">
        <f t="shared" si="5"/>
        <v>0</v>
      </c>
      <c r="AF67" s="109">
        <f t="shared" si="6"/>
        <v>3782.6647110000004</v>
      </c>
      <c r="AG67" s="109">
        <f t="shared" si="7"/>
        <v>19183.513891499999</v>
      </c>
      <c r="AH67" s="109">
        <v>154.22999999999999</v>
      </c>
      <c r="AI67" s="109">
        <f>((AA67*'CALCULO GERAL'!$C$11))*0.08+20</f>
        <v>2549.576</v>
      </c>
      <c r="AJ67" s="109">
        <v>1010</v>
      </c>
      <c r="AK67" s="109">
        <v>2500</v>
      </c>
      <c r="AL67" s="109">
        <f>(AA67*('CALCULO GERAL'!$C$11*1.02))-(AA67*'CALCULO GERAL'!$C$11)</f>
        <v>632.39400000000387</v>
      </c>
      <c r="AM67" s="109">
        <v>1800</v>
      </c>
      <c r="AN67" s="109">
        <v>2600</v>
      </c>
      <c r="AO67" s="109">
        <v>9400</v>
      </c>
      <c r="AP67" s="109">
        <v>1000</v>
      </c>
      <c r="AQ67" s="109">
        <f t="shared" ref="AQ67:AQ120" si="39">-AF67</f>
        <v>-3782.6647110000004</v>
      </c>
      <c r="AR67" s="109">
        <f t="shared" ref="AR67:AR120" si="40">-AG67</f>
        <v>-19183.513891499999</v>
      </c>
      <c r="AS67" s="109"/>
      <c r="AT67" s="109">
        <f t="shared" si="23"/>
        <v>264817.50284999999</v>
      </c>
      <c r="AU67" s="111">
        <f t="shared" si="8"/>
        <v>37.831071835714283</v>
      </c>
      <c r="AV67" s="109">
        <f>IFERROR((BS67*'CALCULO GERAL'!$E$11)/N67,0)</f>
        <v>1.0379292</v>
      </c>
      <c r="AW67" s="109">
        <f>AU67/'CALCULO GERAL'!$C$11</f>
        <v>7.5375715950815465</v>
      </c>
      <c r="AX67" s="109">
        <f>BP67-BB67-BD67*'CALCULO GERAL'!$C$11</f>
        <v>51.118013099999999</v>
      </c>
      <c r="AY67" s="109">
        <f t="shared" si="24"/>
        <v>0.84344721615000007</v>
      </c>
      <c r="AZ67" s="109">
        <f t="shared" si="9"/>
        <v>3.8849689956</v>
      </c>
      <c r="BA67" s="109">
        <f t="shared" si="10"/>
        <v>51.896459999999998</v>
      </c>
      <c r="BB67" s="109">
        <f t="shared" si="11"/>
        <v>0.77844689999999994</v>
      </c>
      <c r="BC67" s="109">
        <f t="shared" si="12"/>
        <v>51.896459999999998</v>
      </c>
      <c r="BD67" s="109">
        <f t="shared" si="13"/>
        <v>0</v>
      </c>
      <c r="BE67" s="109">
        <f t="shared" ref="BE67:BE85" si="41">BU67*0.08</f>
        <v>29062.017599999999</v>
      </c>
      <c r="BF67" s="109">
        <f t="shared" ref="BF67:BF85" si="42">BU67*0.12</f>
        <v>43593.026399999995</v>
      </c>
      <c r="BG67" s="109">
        <f t="shared" si="14"/>
        <v>0.56048176799999994</v>
      </c>
      <c r="BH67" s="109">
        <f t="shared" si="15"/>
        <v>0.62275751999999995</v>
      </c>
      <c r="BI67" s="109">
        <f t="shared" si="16"/>
        <v>0</v>
      </c>
      <c r="BJ67" s="109">
        <f t="shared" si="27"/>
        <v>7.7280315997499986</v>
      </c>
      <c r="BK67" s="109">
        <f t="shared" si="28"/>
        <v>45.55910343546428</v>
      </c>
      <c r="BL67" s="148">
        <v>0.74</v>
      </c>
      <c r="BM67" s="112">
        <f>ROUND((AW67/BL67)+((AW67*BL67)*'CALCULO GERAL'!$E$11)/BL67,2)</f>
        <v>10.34</v>
      </c>
      <c r="BN67" s="186">
        <f t="shared" si="17"/>
        <v>10.34</v>
      </c>
      <c r="BO67" s="186">
        <f t="shared" si="29"/>
        <v>12.115</v>
      </c>
      <c r="BP67" s="109">
        <f>BM67*'CALCULO GERAL'!$C$11</f>
        <v>51.896459999999998</v>
      </c>
      <c r="BQ67" s="109">
        <f>BO67*'CALCULO GERAL'!$C$11</f>
        <v>60.805185000000002</v>
      </c>
      <c r="BR67" s="186">
        <f>BN67*'CALCULO GERAL'!$C$11</f>
        <v>51.896459999999998</v>
      </c>
      <c r="BS67" s="109">
        <f t="shared" si="18"/>
        <v>363275.22</v>
      </c>
      <c r="BT67" s="109">
        <f t="shared" ref="BT67:BT131" si="43">BS67-AT67</f>
        <v>98457.717149999982</v>
      </c>
      <c r="BU67" s="109">
        <f t="shared" si="19"/>
        <v>363275.22</v>
      </c>
      <c r="BV67" s="109">
        <f t="shared" si="31"/>
        <v>318913.72404824995</v>
      </c>
      <c r="BW67" s="109">
        <f t="shared" si="32"/>
        <v>44361.495951750025</v>
      </c>
      <c r="BX67" s="114">
        <f t="shared" si="20"/>
        <v>0.12211539215845779</v>
      </c>
      <c r="BY67" s="152">
        <f t="shared" si="33"/>
        <v>0.74</v>
      </c>
      <c r="CA67" s="55"/>
      <c r="CB67" s="113"/>
      <c r="CC67" s="113"/>
      <c r="CE67" s="152">
        <f t="shared" si="34"/>
        <v>0</v>
      </c>
      <c r="CF67" s="152">
        <f t="shared" si="35"/>
        <v>1</v>
      </c>
      <c r="CG67" s="152">
        <f t="shared" si="36"/>
        <v>1</v>
      </c>
      <c r="CH67" s="34"/>
      <c r="CJ67" s="11"/>
      <c r="CK67" s="11"/>
    </row>
    <row r="68" spans="1:89" s="152" customFormat="1" ht="16" x14ac:dyDescent="0.2">
      <c r="A68" s="228" t="s">
        <v>204</v>
      </c>
      <c r="B68" s="187" t="s">
        <v>194</v>
      </c>
      <c r="C68" s="8">
        <v>0.35</v>
      </c>
      <c r="D68" s="8">
        <v>0</v>
      </c>
      <c r="E68" s="7">
        <v>2.1000000000000001E-2</v>
      </c>
      <c r="F68" s="7">
        <v>0.1065</v>
      </c>
      <c r="G68" s="1">
        <v>1.6500000000000001E-2</v>
      </c>
      <c r="H68" s="1">
        <v>7.5999999999999998E-2</v>
      </c>
      <c r="I68" s="1">
        <v>0.18</v>
      </c>
      <c r="J68" s="1">
        <v>0.04</v>
      </c>
      <c r="K68" s="1">
        <v>0.14000000000000001</v>
      </c>
      <c r="L68" s="1">
        <v>1.4999999999999999E-2</v>
      </c>
      <c r="M68" s="2" t="s">
        <v>175</v>
      </c>
      <c r="N68" s="105">
        <v>7000</v>
      </c>
      <c r="O68" s="119"/>
      <c r="P68" s="119"/>
      <c r="Q68" s="119"/>
      <c r="R68" s="119"/>
      <c r="S68" s="119"/>
      <c r="T68" s="119">
        <v>4.7290000000000001</v>
      </c>
      <c r="U68" s="119"/>
      <c r="V68" s="205"/>
      <c r="W68" s="119"/>
      <c r="X68" s="119">
        <f t="shared" si="0"/>
        <v>4.7290000000000001</v>
      </c>
      <c r="Y68" s="118">
        <f t="shared" si="1"/>
        <v>4.7290000000000001</v>
      </c>
      <c r="Z68" s="109">
        <f t="shared" si="2"/>
        <v>33103</v>
      </c>
      <c r="AA68" s="109">
        <f>'CALCULO GERAL'!$G$10</f>
        <v>6300</v>
      </c>
      <c r="AB68" s="109">
        <f t="shared" si="3"/>
        <v>39403</v>
      </c>
      <c r="AC68" s="109">
        <f>AB68*'CALCULO GERAL'!$C$11</f>
        <v>197763.65700000001</v>
      </c>
      <c r="AD68" s="109">
        <f t="shared" si="4"/>
        <v>69217.279949999996</v>
      </c>
      <c r="AE68" s="109">
        <f t="shared" si="5"/>
        <v>0</v>
      </c>
      <c r="AF68" s="109">
        <f t="shared" si="6"/>
        <v>4153.0367970000007</v>
      </c>
      <c r="AG68" s="109">
        <f t="shared" si="7"/>
        <v>21061.829470500001</v>
      </c>
      <c r="AH68" s="109">
        <v>154.22999999999999</v>
      </c>
      <c r="AI68" s="109">
        <f>((AA68*'CALCULO GERAL'!$C$11))*0.08+20</f>
        <v>2549.576</v>
      </c>
      <c r="AJ68" s="109">
        <v>1010</v>
      </c>
      <c r="AK68" s="109">
        <v>2500</v>
      </c>
      <c r="AL68" s="109">
        <f>(AA68*('CALCULO GERAL'!$C$11*1.02))-(AA68*'CALCULO GERAL'!$C$11)</f>
        <v>632.39400000000387</v>
      </c>
      <c r="AM68" s="109">
        <v>1800</v>
      </c>
      <c r="AN68" s="109">
        <v>2600</v>
      </c>
      <c r="AO68" s="109">
        <v>9400</v>
      </c>
      <c r="AP68" s="109">
        <v>1000</v>
      </c>
      <c r="AQ68" s="109">
        <f t="shared" si="39"/>
        <v>-4153.0367970000007</v>
      </c>
      <c r="AR68" s="109">
        <f t="shared" si="40"/>
        <v>-21061.829470500001</v>
      </c>
      <c r="AS68" s="109"/>
      <c r="AT68" s="109">
        <f t="shared" si="23"/>
        <v>288627.13695000001</v>
      </c>
      <c r="AU68" s="111">
        <f t="shared" si="8"/>
        <v>41.232448135714286</v>
      </c>
      <c r="AV68" s="109">
        <f>IFERROR((BS68*'CALCULO GERAL'!$E$11)/N68,0)</f>
        <v>1.1312826</v>
      </c>
      <c r="AW68" s="109">
        <f>AU68/'CALCULO GERAL'!$C$11</f>
        <v>8.2152715950815463</v>
      </c>
      <c r="AX68" s="109">
        <f>BP68-BB68-BD68*'CALCULO GERAL'!$C$11</f>
        <v>55.715668049999998</v>
      </c>
      <c r="AY68" s="109">
        <f t="shared" si="24"/>
        <v>0.91930852282499997</v>
      </c>
      <c r="AZ68" s="109">
        <f t="shared" si="9"/>
        <v>4.2343907717999993</v>
      </c>
      <c r="BA68" s="109">
        <f t="shared" si="10"/>
        <v>56.564129999999999</v>
      </c>
      <c r="BB68" s="109">
        <f t="shared" si="11"/>
        <v>0.84846194999999991</v>
      </c>
      <c r="BC68" s="109">
        <f t="shared" si="12"/>
        <v>56.564129999999999</v>
      </c>
      <c r="BD68" s="109">
        <f t="shared" si="13"/>
        <v>0</v>
      </c>
      <c r="BE68" s="109">
        <f t="shared" si="41"/>
        <v>31675.912799999998</v>
      </c>
      <c r="BF68" s="109">
        <f t="shared" si="42"/>
        <v>47513.869199999994</v>
      </c>
      <c r="BG68" s="109">
        <f t="shared" si="14"/>
        <v>0.61089260399999989</v>
      </c>
      <c r="BH68" s="109">
        <f t="shared" si="15"/>
        <v>0.67876955999999999</v>
      </c>
      <c r="BI68" s="109">
        <f t="shared" si="16"/>
        <v>0</v>
      </c>
      <c r="BJ68" s="109">
        <f t="shared" si="27"/>
        <v>8.4231060086249983</v>
      </c>
      <c r="BK68" s="109">
        <f t="shared" si="28"/>
        <v>49.655554144339284</v>
      </c>
      <c r="BL68" s="148">
        <v>0.74</v>
      </c>
      <c r="BM68" s="112">
        <f>ROUND((AW68/BL68)+((AW68*BL68)*'CALCULO GERAL'!$E$11)/BL68,2)</f>
        <v>11.27</v>
      </c>
      <c r="BN68" s="186">
        <f t="shared" si="17"/>
        <v>11.27</v>
      </c>
      <c r="BO68" s="186">
        <f t="shared" si="29"/>
        <v>13.205</v>
      </c>
      <c r="BP68" s="109">
        <f>BM68*'CALCULO GERAL'!$C$11</f>
        <v>56.564129999999999</v>
      </c>
      <c r="BQ68" s="109">
        <f>BO68*'CALCULO GERAL'!$C$11</f>
        <v>66.275895000000006</v>
      </c>
      <c r="BR68" s="186">
        <f>BN68*'CALCULO GERAL'!$C$11</f>
        <v>56.564129999999999</v>
      </c>
      <c r="BS68" s="109">
        <f t="shared" si="18"/>
        <v>395948.91</v>
      </c>
      <c r="BT68" s="109">
        <f t="shared" si="43"/>
        <v>107321.77304999996</v>
      </c>
      <c r="BU68" s="109">
        <f t="shared" si="19"/>
        <v>395948.91</v>
      </c>
      <c r="BV68" s="109">
        <f t="shared" si="31"/>
        <v>347588.87901037501</v>
      </c>
      <c r="BW68" s="109">
        <f t="shared" si="32"/>
        <v>48360.030989624967</v>
      </c>
      <c r="BX68" s="114">
        <f t="shared" si="20"/>
        <v>0.12213704790758224</v>
      </c>
      <c r="BY68" s="152">
        <f t="shared" si="33"/>
        <v>0.74</v>
      </c>
      <c r="CA68" s="55"/>
      <c r="CB68" s="113"/>
      <c r="CC68" s="113"/>
      <c r="CE68" s="152">
        <f t="shared" si="34"/>
        <v>0</v>
      </c>
      <c r="CF68" s="152">
        <f t="shared" si="35"/>
        <v>1</v>
      </c>
      <c r="CG68" s="152">
        <f t="shared" si="36"/>
        <v>1</v>
      </c>
      <c r="CH68" s="34"/>
      <c r="CJ68" s="11"/>
      <c r="CK68" s="11"/>
    </row>
    <row r="69" spans="1:89" s="152" customFormat="1" ht="16" x14ac:dyDescent="0.2">
      <c r="A69" s="228" t="s">
        <v>205</v>
      </c>
      <c r="B69" s="187" t="s">
        <v>194</v>
      </c>
      <c r="C69" s="8">
        <v>0.35</v>
      </c>
      <c r="D69" s="8">
        <v>0</v>
      </c>
      <c r="E69" s="7">
        <v>2.1000000000000001E-2</v>
      </c>
      <c r="F69" s="7">
        <v>0.1065</v>
      </c>
      <c r="G69" s="1">
        <v>1.6500000000000001E-2</v>
      </c>
      <c r="H69" s="1">
        <v>7.5999999999999998E-2</v>
      </c>
      <c r="I69" s="1">
        <v>0.18</v>
      </c>
      <c r="J69" s="1">
        <v>0.04</v>
      </c>
      <c r="K69" s="1">
        <v>0.14000000000000001</v>
      </c>
      <c r="L69" s="1">
        <v>1.4999999999999999E-2</v>
      </c>
      <c r="M69" s="2" t="s">
        <v>175</v>
      </c>
      <c r="N69" s="105">
        <v>7000</v>
      </c>
      <c r="O69" s="119"/>
      <c r="P69" s="119"/>
      <c r="Q69" s="119"/>
      <c r="R69" s="119"/>
      <c r="S69" s="119"/>
      <c r="T69" s="119">
        <v>5.4139999999999997</v>
      </c>
      <c r="U69" s="119"/>
      <c r="V69" s="205"/>
      <c r="W69" s="119"/>
      <c r="X69" s="119">
        <f t="shared" si="0"/>
        <v>5.4139999999999997</v>
      </c>
      <c r="Y69" s="118">
        <f t="shared" si="1"/>
        <v>5.4139999999999997</v>
      </c>
      <c r="Z69" s="109">
        <f t="shared" si="2"/>
        <v>37898</v>
      </c>
      <c r="AA69" s="109">
        <f>'CALCULO GERAL'!$G$10</f>
        <v>6300</v>
      </c>
      <c r="AB69" s="109">
        <f t="shared" si="3"/>
        <v>44198</v>
      </c>
      <c r="AC69" s="109">
        <f>AB69*'CALCULO GERAL'!$C$11</f>
        <v>221829.76200000002</v>
      </c>
      <c r="AD69" s="109">
        <f t="shared" si="4"/>
        <v>77640.416700000002</v>
      </c>
      <c r="AE69" s="109">
        <f t="shared" si="5"/>
        <v>0</v>
      </c>
      <c r="AF69" s="109">
        <f t="shared" si="6"/>
        <v>4658.4250020000009</v>
      </c>
      <c r="AG69" s="109">
        <f t="shared" si="7"/>
        <v>23624.869653000002</v>
      </c>
      <c r="AH69" s="109">
        <v>154.22999999999999</v>
      </c>
      <c r="AI69" s="109">
        <f>((AA69*'CALCULO GERAL'!$C$11))*0.08+20</f>
        <v>2549.576</v>
      </c>
      <c r="AJ69" s="109">
        <v>1010</v>
      </c>
      <c r="AK69" s="109">
        <v>2500</v>
      </c>
      <c r="AL69" s="109">
        <f>(AA69*('CALCULO GERAL'!$C$11*1.02))-(AA69*'CALCULO GERAL'!$C$11)</f>
        <v>632.39400000000387</v>
      </c>
      <c r="AM69" s="109">
        <v>1800</v>
      </c>
      <c r="AN69" s="109">
        <v>2600</v>
      </c>
      <c r="AO69" s="109">
        <v>9400</v>
      </c>
      <c r="AP69" s="109">
        <v>1000</v>
      </c>
      <c r="AQ69" s="109">
        <f t="shared" si="39"/>
        <v>-4658.4250020000009</v>
      </c>
      <c r="AR69" s="109">
        <f t="shared" si="40"/>
        <v>-23624.869653000002</v>
      </c>
      <c r="AS69" s="109"/>
      <c r="AT69" s="109">
        <f t="shared" si="23"/>
        <v>321116.3787</v>
      </c>
      <c r="AU69" s="111">
        <f t="shared" si="8"/>
        <v>45.873768385714286</v>
      </c>
      <c r="AV69" s="109">
        <f>IFERROR((BS69*'CALCULO GERAL'!$E$11)/N69,0)</f>
        <v>1.2577613999999999</v>
      </c>
      <c r="AW69" s="109">
        <f>AU69/'CALCULO GERAL'!$C$11</f>
        <v>9.1400215950815475</v>
      </c>
      <c r="AX69" s="109">
        <f>BP69-BB69-BD69*'CALCULO GERAL'!$C$11</f>
        <v>61.944748949999997</v>
      </c>
      <c r="AY69" s="109">
        <f t="shared" si="24"/>
        <v>1.0220883576749999</v>
      </c>
      <c r="AZ69" s="109">
        <f t="shared" si="9"/>
        <v>4.7078009201999995</v>
      </c>
      <c r="BA69" s="109">
        <f t="shared" si="10"/>
        <v>62.888069999999999</v>
      </c>
      <c r="BB69" s="109">
        <f t="shared" si="11"/>
        <v>0.94332104999999999</v>
      </c>
      <c r="BC69" s="109">
        <f t="shared" si="12"/>
        <v>62.888069999999999</v>
      </c>
      <c r="BD69" s="109">
        <f t="shared" si="13"/>
        <v>0</v>
      </c>
      <c r="BE69" s="109">
        <f t="shared" si="41"/>
        <v>35217.319199999998</v>
      </c>
      <c r="BF69" s="109">
        <f t="shared" si="42"/>
        <v>52825.978799999997</v>
      </c>
      <c r="BG69" s="109">
        <f t="shared" si="14"/>
        <v>0.67919115600000002</v>
      </c>
      <c r="BH69" s="109">
        <f t="shared" si="15"/>
        <v>0.75465683999999988</v>
      </c>
      <c r="BI69" s="109">
        <f t="shared" si="16"/>
        <v>0</v>
      </c>
      <c r="BJ69" s="109">
        <f t="shared" si="27"/>
        <v>9.3648197238749979</v>
      </c>
      <c r="BK69" s="109">
        <f t="shared" si="28"/>
        <v>55.238588109589287</v>
      </c>
      <c r="BL69" s="148">
        <v>0.74</v>
      </c>
      <c r="BM69" s="112">
        <f>ROUND((AW69/BL69)+((AW69*BL69)*'CALCULO GERAL'!$E$11)/BL69,2)</f>
        <v>12.53</v>
      </c>
      <c r="BN69" s="186">
        <f t="shared" si="17"/>
        <v>12.53</v>
      </c>
      <c r="BO69" s="186">
        <f t="shared" si="29"/>
        <v>14.680999999999999</v>
      </c>
      <c r="BP69" s="109">
        <f>BM69*'CALCULO GERAL'!$C$11</f>
        <v>62.888069999999999</v>
      </c>
      <c r="BQ69" s="109">
        <f>BO69*'CALCULO GERAL'!$C$11</f>
        <v>73.683938999999995</v>
      </c>
      <c r="BR69" s="186">
        <f>BN69*'CALCULO GERAL'!$C$11</f>
        <v>62.888069999999999</v>
      </c>
      <c r="BS69" s="109">
        <f t="shared" si="18"/>
        <v>440216.49</v>
      </c>
      <c r="BT69" s="109">
        <f t="shared" si="43"/>
        <v>119100.11129999999</v>
      </c>
      <c r="BU69" s="109">
        <f t="shared" si="19"/>
        <v>440216.49</v>
      </c>
      <c r="BV69" s="109">
        <f t="shared" si="31"/>
        <v>386670.11676712503</v>
      </c>
      <c r="BW69" s="109">
        <f t="shared" si="32"/>
        <v>53546.373232874961</v>
      </c>
      <c r="BX69" s="114">
        <f t="shared" si="20"/>
        <v>0.12163645490171203</v>
      </c>
      <c r="BY69" s="152">
        <f t="shared" si="33"/>
        <v>0.74</v>
      </c>
      <c r="CA69" s="55"/>
      <c r="CB69" s="113"/>
      <c r="CC69" s="113"/>
      <c r="CE69" s="152">
        <f t="shared" si="34"/>
        <v>0</v>
      </c>
      <c r="CF69" s="152">
        <f t="shared" si="35"/>
        <v>1</v>
      </c>
      <c r="CG69" s="152">
        <f t="shared" si="36"/>
        <v>1</v>
      </c>
      <c r="CH69" s="34"/>
      <c r="CJ69" s="11"/>
      <c r="CK69" s="11"/>
    </row>
    <row r="70" spans="1:89" s="152" customFormat="1" ht="16" x14ac:dyDescent="0.2">
      <c r="A70" s="228" t="s">
        <v>206</v>
      </c>
      <c r="B70" s="187" t="s">
        <v>194</v>
      </c>
      <c r="C70" s="8">
        <v>0.35</v>
      </c>
      <c r="D70" s="8">
        <v>0</v>
      </c>
      <c r="E70" s="7">
        <v>2.1000000000000001E-2</v>
      </c>
      <c r="F70" s="7">
        <v>0.1065</v>
      </c>
      <c r="G70" s="1">
        <v>1.6500000000000001E-2</v>
      </c>
      <c r="H70" s="1">
        <v>7.5999999999999998E-2</v>
      </c>
      <c r="I70" s="1">
        <v>0.18</v>
      </c>
      <c r="J70" s="1">
        <v>0.04</v>
      </c>
      <c r="K70" s="1">
        <v>0.14000000000000001</v>
      </c>
      <c r="L70" s="1">
        <v>1.4999999999999999E-2</v>
      </c>
      <c r="M70" s="2" t="s">
        <v>175</v>
      </c>
      <c r="N70" s="105">
        <v>16000</v>
      </c>
      <c r="O70" s="119"/>
      <c r="P70" s="119"/>
      <c r="Q70" s="119"/>
      <c r="R70" s="119"/>
      <c r="S70" s="119"/>
      <c r="T70" s="119"/>
      <c r="U70" s="119">
        <v>3.92</v>
      </c>
      <c r="V70" s="205"/>
      <c r="W70" s="119"/>
      <c r="X70" s="119">
        <f t="shared" si="0"/>
        <v>3.92</v>
      </c>
      <c r="Y70" s="118">
        <f t="shared" si="1"/>
        <v>3.92</v>
      </c>
      <c r="Z70" s="109">
        <f t="shared" si="2"/>
        <v>62720</v>
      </c>
      <c r="AA70" s="109">
        <f>'CALCULO GERAL'!$G$10</f>
        <v>6300</v>
      </c>
      <c r="AB70" s="109">
        <f t="shared" si="3"/>
        <v>69020</v>
      </c>
      <c r="AC70" s="109">
        <f>AB70*'CALCULO GERAL'!$C$11</f>
        <v>346411.38</v>
      </c>
      <c r="AD70" s="109">
        <f t="shared" si="4"/>
        <v>121243.98299999999</v>
      </c>
      <c r="AE70" s="109">
        <f t="shared" si="5"/>
        <v>0</v>
      </c>
      <c r="AF70" s="109">
        <f t="shared" si="6"/>
        <v>7274.6389800000006</v>
      </c>
      <c r="AG70" s="109">
        <f t="shared" si="7"/>
        <v>36892.811970000002</v>
      </c>
      <c r="AH70" s="109">
        <v>154.22999999999999</v>
      </c>
      <c r="AI70" s="109">
        <f>((AA70*'CALCULO GERAL'!$C$11))*0.08+20</f>
        <v>2549.576</v>
      </c>
      <c r="AJ70" s="109">
        <v>1010</v>
      </c>
      <c r="AK70" s="109">
        <v>2500</v>
      </c>
      <c r="AL70" s="109">
        <f>(AA70*('CALCULO GERAL'!$C$11*1.02))-(AA70*'CALCULO GERAL'!$C$11)</f>
        <v>632.39400000000387</v>
      </c>
      <c r="AM70" s="109">
        <v>1800</v>
      </c>
      <c r="AN70" s="109">
        <v>2600</v>
      </c>
      <c r="AO70" s="109">
        <v>9400</v>
      </c>
      <c r="AP70" s="109">
        <v>1000</v>
      </c>
      <c r="AQ70" s="109">
        <f t="shared" si="39"/>
        <v>-7274.6389800000006</v>
      </c>
      <c r="AR70" s="109">
        <f t="shared" si="40"/>
        <v>-36892.811970000002</v>
      </c>
      <c r="AS70" s="109"/>
      <c r="AT70" s="109">
        <f t="shared" si="23"/>
        <v>489301.56300000002</v>
      </c>
      <c r="AU70" s="111">
        <f t="shared" si="8"/>
        <v>30.581347687500003</v>
      </c>
      <c r="AV70" s="109">
        <f>IFERROR((BS70*'CALCULO GERAL'!$E$11)/N70,0)</f>
        <v>0.83917679999999995</v>
      </c>
      <c r="AW70" s="109">
        <f>AU70/'CALCULO GERAL'!$C$11</f>
        <v>6.0931156978481775</v>
      </c>
      <c r="AX70" s="109">
        <f>BP70-BB70-BD70*'CALCULO GERAL'!$C$11</f>
        <v>41.329457399999995</v>
      </c>
      <c r="AY70" s="109">
        <f t="shared" si="24"/>
        <v>0.6819360471</v>
      </c>
      <c r="AZ70" s="109">
        <f t="shared" si="9"/>
        <v>3.1410387623999996</v>
      </c>
      <c r="BA70" s="109">
        <f t="shared" si="10"/>
        <v>41.958839999999995</v>
      </c>
      <c r="BB70" s="109">
        <f t="shared" si="11"/>
        <v>0.6293825999999999</v>
      </c>
      <c r="BC70" s="109">
        <f t="shared" si="12"/>
        <v>41.958839999999995</v>
      </c>
      <c r="BD70" s="109">
        <f t="shared" si="13"/>
        <v>0</v>
      </c>
      <c r="BE70" s="109">
        <f t="shared" si="41"/>
        <v>53707.315199999997</v>
      </c>
      <c r="BF70" s="109">
        <f t="shared" si="42"/>
        <v>80560.972799999989</v>
      </c>
      <c r="BG70" s="109">
        <f t="shared" si="14"/>
        <v>0.45315547199999989</v>
      </c>
      <c r="BH70" s="109">
        <f t="shared" si="15"/>
        <v>0.50350607999999997</v>
      </c>
      <c r="BI70" s="109">
        <f t="shared" si="16"/>
        <v>0</v>
      </c>
      <c r="BJ70" s="109">
        <f t="shared" si="27"/>
        <v>6.248195761499999</v>
      </c>
      <c r="BK70" s="109">
        <f t="shared" si="28"/>
        <v>36.829543448999999</v>
      </c>
      <c r="BL70" s="148">
        <v>0.74</v>
      </c>
      <c r="BM70" s="112">
        <f>ROUND((AW70/BL70)+((AW70*BL70)*'CALCULO GERAL'!$E$11)/BL70,2)</f>
        <v>8.36</v>
      </c>
      <c r="BN70" s="186">
        <f t="shared" si="17"/>
        <v>8.36</v>
      </c>
      <c r="BO70" s="186">
        <f t="shared" si="29"/>
        <v>9.7949999999999999</v>
      </c>
      <c r="BP70" s="109">
        <f>BM70*'CALCULO GERAL'!$C$11</f>
        <v>41.958839999999995</v>
      </c>
      <c r="BQ70" s="109">
        <f>BO70*'CALCULO GERAL'!$C$11</f>
        <v>49.161104999999999</v>
      </c>
      <c r="BR70" s="186">
        <f>BN70*'CALCULO GERAL'!$C$11</f>
        <v>41.958839999999995</v>
      </c>
      <c r="BS70" s="109">
        <f t="shared" si="18"/>
        <v>671341.44</v>
      </c>
      <c r="BT70" s="109">
        <f t="shared" si="43"/>
        <v>182039.87699999992</v>
      </c>
      <c r="BU70" s="109">
        <f t="shared" si="19"/>
        <v>671341.44</v>
      </c>
      <c r="BV70" s="109">
        <f t="shared" si="31"/>
        <v>589272.69518399995</v>
      </c>
      <c r="BW70" s="109">
        <f t="shared" si="32"/>
        <v>82068.744815999991</v>
      </c>
      <c r="BX70" s="114">
        <f t="shared" si="20"/>
        <v>0.12224590934830419</v>
      </c>
      <c r="BY70" s="152">
        <f t="shared" si="33"/>
        <v>0.74</v>
      </c>
      <c r="CA70" s="55"/>
      <c r="CB70" s="113"/>
      <c r="CC70" s="113"/>
      <c r="CE70" s="152">
        <f t="shared" si="34"/>
        <v>0</v>
      </c>
      <c r="CF70" s="152">
        <f t="shared" si="35"/>
        <v>1</v>
      </c>
      <c r="CG70" s="152">
        <f t="shared" si="36"/>
        <v>1</v>
      </c>
      <c r="CH70" s="34"/>
      <c r="CJ70" s="11"/>
      <c r="CK70" s="11"/>
    </row>
    <row r="71" spans="1:89" s="152" customFormat="1" ht="16" x14ac:dyDescent="0.2">
      <c r="A71" s="228" t="s">
        <v>207</v>
      </c>
      <c r="B71" s="187" t="s">
        <v>194</v>
      </c>
      <c r="C71" s="8">
        <v>0.35</v>
      </c>
      <c r="D71" s="8">
        <v>0</v>
      </c>
      <c r="E71" s="7">
        <v>2.1000000000000001E-2</v>
      </c>
      <c r="F71" s="7">
        <v>0.1065</v>
      </c>
      <c r="G71" s="1">
        <v>1.6500000000000001E-2</v>
      </c>
      <c r="H71" s="1">
        <v>7.5999999999999998E-2</v>
      </c>
      <c r="I71" s="1">
        <v>0.18</v>
      </c>
      <c r="J71" s="1">
        <v>0.04</v>
      </c>
      <c r="K71" s="1">
        <v>0.14000000000000001</v>
      </c>
      <c r="L71" s="1">
        <v>1.4999999999999999E-2</v>
      </c>
      <c r="M71" s="2" t="s">
        <v>175</v>
      </c>
      <c r="N71" s="105">
        <v>14500</v>
      </c>
      <c r="O71" s="119"/>
      <c r="P71" s="119"/>
      <c r="Q71" s="119"/>
      <c r="R71" s="119"/>
      <c r="S71" s="119"/>
      <c r="T71" s="119"/>
      <c r="U71" s="119">
        <v>5.34</v>
      </c>
      <c r="V71" s="205"/>
      <c r="W71" s="119"/>
      <c r="X71" s="119">
        <f t="shared" si="0"/>
        <v>5.34</v>
      </c>
      <c r="Y71" s="118">
        <f t="shared" si="1"/>
        <v>5.34</v>
      </c>
      <c r="Z71" s="109">
        <f t="shared" si="2"/>
        <v>77430</v>
      </c>
      <c r="AA71" s="109">
        <f>'CALCULO GERAL'!$G$10</f>
        <v>6300</v>
      </c>
      <c r="AB71" s="109">
        <f t="shared" si="3"/>
        <v>83730</v>
      </c>
      <c r="AC71" s="109">
        <f>AB71*'CALCULO GERAL'!$C$11</f>
        <v>420240.87</v>
      </c>
      <c r="AD71" s="109">
        <f t="shared" si="4"/>
        <v>147084.3045</v>
      </c>
      <c r="AE71" s="109">
        <f t="shared" si="5"/>
        <v>0</v>
      </c>
      <c r="AF71" s="109">
        <f t="shared" si="6"/>
        <v>8825.0582700000014</v>
      </c>
      <c r="AG71" s="109">
        <f t="shared" si="7"/>
        <v>44755.652654999998</v>
      </c>
      <c r="AH71" s="109">
        <v>154.22999999999999</v>
      </c>
      <c r="AI71" s="109">
        <f>((AA71*'CALCULO GERAL'!$C$11))*0.08+20</f>
        <v>2549.576</v>
      </c>
      <c r="AJ71" s="109">
        <v>1010</v>
      </c>
      <c r="AK71" s="109">
        <v>2500</v>
      </c>
      <c r="AL71" s="109">
        <f>(AA71*('CALCULO GERAL'!$C$11*1.02))-(AA71*'CALCULO GERAL'!$C$11)</f>
        <v>632.39400000000387</v>
      </c>
      <c r="AM71" s="109">
        <v>1800</v>
      </c>
      <c r="AN71" s="109">
        <v>2600</v>
      </c>
      <c r="AO71" s="109">
        <v>9400</v>
      </c>
      <c r="AP71" s="109">
        <v>1000</v>
      </c>
      <c r="AQ71" s="109">
        <f t="shared" si="39"/>
        <v>-8825.0582700000014</v>
      </c>
      <c r="AR71" s="109">
        <f t="shared" si="40"/>
        <v>-44755.652654999998</v>
      </c>
      <c r="AS71" s="109"/>
      <c r="AT71" s="109">
        <f t="shared" ref="AT71:AT158" si="44">SUM(AC71:AS71)</f>
        <v>588971.37449999992</v>
      </c>
      <c r="AU71" s="111">
        <f t="shared" si="8"/>
        <v>40.618715482758617</v>
      </c>
      <c r="AV71" s="109">
        <f>IFERROR((BS71*'CALCULO GERAL'!$E$11)/N71,0)</f>
        <v>1.1142180000000002</v>
      </c>
      <c r="AW71" s="109">
        <f>AU71/'CALCULO GERAL'!$C$11</f>
        <v>8.0929897355566087</v>
      </c>
      <c r="AX71" s="109">
        <f>BP71-BB71-BD71*'CALCULO GERAL'!$C$11</f>
        <v>54.8752365</v>
      </c>
      <c r="AY71" s="109">
        <f t="shared" si="24"/>
        <v>0.90544140225000003</v>
      </c>
      <c r="AZ71" s="109">
        <f t="shared" si="9"/>
        <v>4.170517974</v>
      </c>
      <c r="BA71" s="109">
        <f t="shared" si="10"/>
        <v>55.710900000000002</v>
      </c>
      <c r="BB71" s="109">
        <f t="shared" si="11"/>
        <v>0.8356635</v>
      </c>
      <c r="BC71" s="109">
        <f t="shared" si="12"/>
        <v>55.710900000000002</v>
      </c>
      <c r="BD71" s="109">
        <f t="shared" si="13"/>
        <v>0</v>
      </c>
      <c r="BE71" s="109">
        <f t="shared" si="41"/>
        <v>64624.644000000008</v>
      </c>
      <c r="BF71" s="109">
        <f t="shared" si="42"/>
        <v>96936.966</v>
      </c>
      <c r="BG71" s="109">
        <f t="shared" si="14"/>
        <v>0.60167771999999997</v>
      </c>
      <c r="BH71" s="109">
        <f t="shared" si="15"/>
        <v>0.66853080000000009</v>
      </c>
      <c r="BI71" s="109">
        <f t="shared" si="16"/>
        <v>-3.1894165517241446E-2</v>
      </c>
      <c r="BJ71" s="109">
        <f t="shared" si="27"/>
        <v>8.2641552307327579</v>
      </c>
      <c r="BK71" s="109">
        <f t="shared" ref="BK71:BK81" si="45">BJ71+AU71</f>
        <v>48.882870713491371</v>
      </c>
      <c r="BL71" s="148">
        <v>0.74</v>
      </c>
      <c r="BM71" s="112">
        <f>ROUND((AW71/BL71)+((AW71*BL71)*'CALCULO GERAL'!$E$11)/BL71,2)</f>
        <v>11.1</v>
      </c>
      <c r="BN71" s="186">
        <f t="shared" si="17"/>
        <v>11.1</v>
      </c>
      <c r="BO71" s="186">
        <f t="shared" ref="BO71:BO89" si="46">ROUND(FV(0.02,8,,BN71)*-1,3)</f>
        <v>13.005000000000001</v>
      </c>
      <c r="BP71" s="109">
        <f>BM71*'CALCULO GERAL'!$C$11</f>
        <v>55.710900000000002</v>
      </c>
      <c r="BQ71" s="109">
        <f>BO71*'CALCULO GERAL'!$C$11</f>
        <v>65.272095000000007</v>
      </c>
      <c r="BR71" s="186">
        <f>BN71*'CALCULO GERAL'!$C$11</f>
        <v>55.710900000000002</v>
      </c>
      <c r="BS71" s="109">
        <f t="shared" si="18"/>
        <v>807808.05</v>
      </c>
      <c r="BT71" s="109">
        <f t="shared" si="43"/>
        <v>218836.67550000013</v>
      </c>
      <c r="BU71" s="109">
        <f t="shared" si="19"/>
        <v>807808.05</v>
      </c>
      <c r="BV71" s="109">
        <f t="shared" si="31"/>
        <v>708801.62534562487</v>
      </c>
      <c r="BW71" s="109">
        <f t="shared" ref="BW71:BW158" si="47">BS71-BV71</f>
        <v>99006.42465437518</v>
      </c>
      <c r="BX71" s="114">
        <f t="shared" si="20"/>
        <v>0.12256181979664002</v>
      </c>
      <c r="BY71" s="152">
        <f t="shared" si="33"/>
        <v>0.74</v>
      </c>
      <c r="CA71" s="55"/>
      <c r="CB71" s="113"/>
      <c r="CC71" s="113"/>
      <c r="CE71" s="152">
        <f t="shared" si="34"/>
        <v>0</v>
      </c>
      <c r="CF71" s="152">
        <f t="shared" ref="CF71:CF158" si="48">100%-CE71</f>
        <v>1</v>
      </c>
      <c r="CG71" s="152">
        <f t="shared" ref="CG71:CG158" si="49">AVERAGE(CF71,CD71)</f>
        <v>1</v>
      </c>
      <c r="CH71" s="34"/>
      <c r="CJ71" s="11"/>
      <c r="CK71" s="11"/>
    </row>
    <row r="72" spans="1:89" s="152" customFormat="1" ht="16" x14ac:dyDescent="0.2">
      <c r="A72" s="228" t="s">
        <v>208</v>
      </c>
      <c r="B72" s="187" t="s">
        <v>194</v>
      </c>
      <c r="C72" s="8">
        <v>0.35</v>
      </c>
      <c r="D72" s="8">
        <v>0</v>
      </c>
      <c r="E72" s="7">
        <v>2.1000000000000001E-2</v>
      </c>
      <c r="F72" s="7">
        <v>0.1065</v>
      </c>
      <c r="G72" s="1">
        <v>1.6500000000000001E-2</v>
      </c>
      <c r="H72" s="1">
        <v>7.5999999999999998E-2</v>
      </c>
      <c r="I72" s="1">
        <v>0.18</v>
      </c>
      <c r="J72" s="1">
        <v>0.04</v>
      </c>
      <c r="K72" s="1">
        <v>0.14000000000000001</v>
      </c>
      <c r="L72" s="1">
        <v>1.4999999999999999E-2</v>
      </c>
      <c r="M72" s="2" t="s">
        <v>175</v>
      </c>
      <c r="N72" s="105">
        <v>12500</v>
      </c>
      <c r="O72" s="119"/>
      <c r="P72" s="119"/>
      <c r="Q72" s="119"/>
      <c r="R72" s="119"/>
      <c r="S72" s="119"/>
      <c r="T72" s="119"/>
      <c r="U72" s="119">
        <v>5.92</v>
      </c>
      <c r="V72" s="205"/>
      <c r="W72" s="119"/>
      <c r="X72" s="119">
        <f t="shared" si="0"/>
        <v>5.92</v>
      </c>
      <c r="Y72" s="118">
        <f t="shared" si="1"/>
        <v>5.92</v>
      </c>
      <c r="Z72" s="109">
        <f t="shared" si="2"/>
        <v>74000</v>
      </c>
      <c r="AA72" s="109">
        <f>'CALCULO GERAL'!$G$10</f>
        <v>6300</v>
      </c>
      <c r="AB72" s="109">
        <f t="shared" si="3"/>
        <v>80300</v>
      </c>
      <c r="AC72" s="109">
        <f>AB72*'CALCULO GERAL'!$C$11</f>
        <v>403025.7</v>
      </c>
      <c r="AD72" s="109">
        <f t="shared" si="4"/>
        <v>141058.995</v>
      </c>
      <c r="AE72" s="109">
        <f t="shared" si="5"/>
        <v>0</v>
      </c>
      <c r="AF72" s="109">
        <f t="shared" si="6"/>
        <v>8463.5397000000012</v>
      </c>
      <c r="AG72" s="109">
        <f t="shared" si="7"/>
        <v>42922.237050000003</v>
      </c>
      <c r="AH72" s="109">
        <v>154.22999999999999</v>
      </c>
      <c r="AI72" s="109">
        <f>((AA72*'CALCULO GERAL'!$C$11))*0.08+20</f>
        <v>2549.576</v>
      </c>
      <c r="AJ72" s="109">
        <v>1010</v>
      </c>
      <c r="AK72" s="109">
        <v>2500</v>
      </c>
      <c r="AL72" s="109">
        <f>(AA72*('CALCULO GERAL'!$C$11*1.02))-(AA72*'CALCULO GERAL'!$C$11)</f>
        <v>632.39400000000387</v>
      </c>
      <c r="AM72" s="109">
        <v>1800</v>
      </c>
      <c r="AN72" s="109">
        <v>2600</v>
      </c>
      <c r="AO72" s="109">
        <v>9400</v>
      </c>
      <c r="AP72" s="109">
        <v>1000</v>
      </c>
      <c r="AQ72" s="109">
        <f t="shared" si="39"/>
        <v>-8463.5397000000012</v>
      </c>
      <c r="AR72" s="109">
        <f t="shared" si="40"/>
        <v>-42922.237050000003</v>
      </c>
      <c r="AS72" s="109"/>
      <c r="AT72" s="109">
        <f t="shared" si="44"/>
        <v>565730.89500000002</v>
      </c>
      <c r="AU72" s="111">
        <f t="shared" si="8"/>
        <v>45.2584716</v>
      </c>
      <c r="AV72" s="109">
        <f>IFERROR((BS72*'CALCULO GERAL'!$E$11)/N72,0)</f>
        <v>1.2417005999999999</v>
      </c>
      <c r="AW72" s="109">
        <f>AU72/'CALCULO GERAL'!$C$11</f>
        <v>9.0174280932456661</v>
      </c>
      <c r="AX72" s="109">
        <f>BP72-BB72-BD72*'CALCULO GERAL'!$C$11</f>
        <v>61.153754549999995</v>
      </c>
      <c r="AY72" s="109">
        <f t="shared" si="24"/>
        <v>1.009036950075</v>
      </c>
      <c r="AZ72" s="109">
        <f t="shared" si="9"/>
        <v>4.6476853457999994</v>
      </c>
      <c r="BA72" s="109">
        <f t="shared" si="10"/>
        <v>62.085029999999996</v>
      </c>
      <c r="BB72" s="109">
        <f t="shared" si="11"/>
        <v>0.93127544999999989</v>
      </c>
      <c r="BC72" s="109">
        <f t="shared" si="12"/>
        <v>62.085029999999996</v>
      </c>
      <c r="BD72" s="109">
        <f t="shared" si="13"/>
        <v>0</v>
      </c>
      <c r="BE72" s="109">
        <f t="shared" si="41"/>
        <v>62085.03</v>
      </c>
      <c r="BF72" s="109">
        <f t="shared" si="42"/>
        <v>93127.544999999998</v>
      </c>
      <c r="BG72" s="109">
        <f t="shared" si="14"/>
        <v>0.670518324</v>
      </c>
      <c r="BH72" s="109">
        <f t="shared" si="15"/>
        <v>0.74502035999999994</v>
      </c>
      <c r="BI72" s="109">
        <f t="shared" si="16"/>
        <v>-1.6680320000000009E-2</v>
      </c>
      <c r="BJ72" s="109">
        <f t="shared" si="27"/>
        <v>9.228556709874999</v>
      </c>
      <c r="BK72" s="109">
        <f t="shared" si="45"/>
        <v>54.487028309875001</v>
      </c>
      <c r="BL72" s="148">
        <v>0.74</v>
      </c>
      <c r="BM72" s="112">
        <f>ROUND((AW72/BL72)+((AW72*BL72)*'CALCULO GERAL'!$E$11)/BL72,2)</f>
        <v>12.37</v>
      </c>
      <c r="BN72" s="186">
        <f t="shared" si="17"/>
        <v>12.37</v>
      </c>
      <c r="BO72" s="186">
        <f t="shared" si="46"/>
        <v>14.493</v>
      </c>
      <c r="BP72" s="109">
        <f>BM72*'CALCULO GERAL'!$C$11</f>
        <v>62.085029999999996</v>
      </c>
      <c r="BQ72" s="109">
        <f>BO72*'CALCULO GERAL'!$C$11</f>
        <v>72.740367000000006</v>
      </c>
      <c r="BR72" s="186">
        <f>BN72*'CALCULO GERAL'!$C$11</f>
        <v>62.085029999999996</v>
      </c>
      <c r="BS72" s="109">
        <f t="shared" si="18"/>
        <v>776062.875</v>
      </c>
      <c r="BT72" s="109">
        <f t="shared" si="43"/>
        <v>210331.97999999998</v>
      </c>
      <c r="BU72" s="109">
        <f t="shared" si="19"/>
        <v>776062.875</v>
      </c>
      <c r="BV72" s="109">
        <f t="shared" ref="BV72:BV159" si="50">BK72*N72</f>
        <v>681087.8538734375</v>
      </c>
      <c r="BW72" s="109">
        <f t="shared" si="47"/>
        <v>94975.021126562497</v>
      </c>
      <c r="BX72" s="114">
        <f t="shared" si="20"/>
        <v>0.12238057531944496</v>
      </c>
      <c r="BY72" s="152">
        <f t="shared" ref="BY72:BY159" si="51">ROUND(BL72,2)</f>
        <v>0.74</v>
      </c>
      <c r="CA72" s="55"/>
      <c r="CB72" s="113"/>
      <c r="CC72" s="113"/>
      <c r="CE72" s="152">
        <f t="shared" ref="CE72:CE159" si="52">CC72/BY72</f>
        <v>0</v>
      </c>
      <c r="CF72" s="152">
        <f t="shared" si="48"/>
        <v>1</v>
      </c>
      <c r="CG72" s="152">
        <f t="shared" si="49"/>
        <v>1</v>
      </c>
      <c r="CH72" s="34"/>
      <c r="CJ72" s="11"/>
      <c r="CK72" s="11"/>
    </row>
    <row r="73" spans="1:89" s="152" customFormat="1" ht="16" x14ac:dyDescent="0.2">
      <c r="A73" s="228" t="s">
        <v>209</v>
      </c>
      <c r="B73" s="187" t="s">
        <v>194</v>
      </c>
      <c r="C73" s="8">
        <v>0.35</v>
      </c>
      <c r="D73" s="8">
        <v>0</v>
      </c>
      <c r="E73" s="7">
        <v>2.1000000000000001E-2</v>
      </c>
      <c r="F73" s="7">
        <v>0.1065</v>
      </c>
      <c r="G73" s="1">
        <v>1.6500000000000001E-2</v>
      </c>
      <c r="H73" s="1">
        <v>7.5999999999999998E-2</v>
      </c>
      <c r="I73" s="1">
        <v>0.18</v>
      </c>
      <c r="J73" s="1">
        <v>0.04</v>
      </c>
      <c r="K73" s="1">
        <v>0.14000000000000001</v>
      </c>
      <c r="L73" s="1">
        <v>1.4999999999999999E-2</v>
      </c>
      <c r="M73" s="2" t="s">
        <v>175</v>
      </c>
      <c r="N73" s="105">
        <v>10500</v>
      </c>
      <c r="O73" s="119"/>
      <c r="P73" s="119"/>
      <c r="Q73" s="119"/>
      <c r="R73" s="119"/>
      <c r="S73" s="119"/>
      <c r="T73" s="119"/>
      <c r="U73" s="119">
        <v>6.71</v>
      </c>
      <c r="V73" s="205"/>
      <c r="W73" s="119"/>
      <c r="X73" s="119">
        <f t="shared" si="0"/>
        <v>6.71</v>
      </c>
      <c r="Y73" s="118">
        <f t="shared" si="1"/>
        <v>6.71</v>
      </c>
      <c r="Z73" s="109">
        <f t="shared" si="2"/>
        <v>70455</v>
      </c>
      <c r="AA73" s="109">
        <f>'CALCULO GERAL'!$G$10</f>
        <v>6300</v>
      </c>
      <c r="AB73" s="109">
        <f t="shared" si="3"/>
        <v>76755</v>
      </c>
      <c r="AC73" s="109">
        <f>AB73*'CALCULO GERAL'!$C$11</f>
        <v>385233.34500000003</v>
      </c>
      <c r="AD73" s="109">
        <f t="shared" si="4"/>
        <v>134831.67074999999</v>
      </c>
      <c r="AE73" s="109">
        <f t="shared" si="5"/>
        <v>0</v>
      </c>
      <c r="AF73" s="109">
        <f t="shared" si="6"/>
        <v>8089.9002450000007</v>
      </c>
      <c r="AG73" s="109">
        <f t="shared" si="7"/>
        <v>41027.351242500001</v>
      </c>
      <c r="AH73" s="109">
        <v>154.22999999999999</v>
      </c>
      <c r="AI73" s="109">
        <f>((AA73*'CALCULO GERAL'!$C$11))*0.08+20</f>
        <v>2549.576</v>
      </c>
      <c r="AJ73" s="109">
        <v>1010</v>
      </c>
      <c r="AK73" s="109">
        <v>2500</v>
      </c>
      <c r="AL73" s="109">
        <f>(AA73*('CALCULO GERAL'!$C$11*1.02))-(AA73*'CALCULO GERAL'!$C$11)</f>
        <v>632.39400000000387</v>
      </c>
      <c r="AM73" s="109">
        <v>1800</v>
      </c>
      <c r="AN73" s="109">
        <v>2600</v>
      </c>
      <c r="AO73" s="109">
        <v>9400</v>
      </c>
      <c r="AP73" s="109">
        <v>1000</v>
      </c>
      <c r="AQ73" s="109">
        <f t="shared" si="39"/>
        <v>-8089.9002450000007</v>
      </c>
      <c r="AR73" s="109">
        <f t="shared" si="40"/>
        <v>-41027.351242500001</v>
      </c>
      <c r="AS73" s="109"/>
      <c r="AT73" s="109">
        <f t="shared" si="44"/>
        <v>541711.21574999997</v>
      </c>
      <c r="AU73" s="111">
        <f t="shared" si="8"/>
        <v>51.591544357142851</v>
      </c>
      <c r="AV73" s="109">
        <f>IFERROR((BS73*'CALCULO GERAL'!$E$11)/N73,0)</f>
        <v>1.4153579999999999</v>
      </c>
      <c r="AW73" s="109">
        <f>AU73/'CALCULO GERAL'!$C$11</f>
        <v>10.279247730054363</v>
      </c>
      <c r="AX73" s="109">
        <f>BP73-BB73-BD73*'CALCULO GERAL'!$C$11</f>
        <v>69.706381499999992</v>
      </c>
      <c r="AY73" s="109">
        <f t="shared" si="24"/>
        <v>1.15015529475</v>
      </c>
      <c r="AZ73" s="109">
        <f t="shared" si="9"/>
        <v>5.297684993999999</v>
      </c>
      <c r="BA73" s="109">
        <f t="shared" si="10"/>
        <v>70.767899999999997</v>
      </c>
      <c r="BB73" s="109">
        <f t="shared" si="11"/>
        <v>1.0615185</v>
      </c>
      <c r="BC73" s="109">
        <f t="shared" si="12"/>
        <v>70.767899999999997</v>
      </c>
      <c r="BD73" s="109">
        <f t="shared" si="13"/>
        <v>0</v>
      </c>
      <c r="BE73" s="109">
        <f t="shared" si="41"/>
        <v>59445.036</v>
      </c>
      <c r="BF73" s="109">
        <f t="shared" si="42"/>
        <v>89167.553999999989</v>
      </c>
      <c r="BG73" s="109">
        <f t="shared" si="14"/>
        <v>0.76429331999999994</v>
      </c>
      <c r="BH73" s="109">
        <f t="shared" si="15"/>
        <v>0.84921480000000005</v>
      </c>
      <c r="BI73" s="109">
        <f t="shared" si="16"/>
        <v>0</v>
      </c>
      <c r="BJ73" s="109">
        <f t="shared" si="27"/>
        <v>10.538224908749999</v>
      </c>
      <c r="BK73" s="109">
        <f t="shared" si="45"/>
        <v>62.129769265892847</v>
      </c>
      <c r="BL73" s="148">
        <v>0.74</v>
      </c>
      <c r="BM73" s="112">
        <f>ROUND((AW73/BL73)+((AW73*BL73)*'CALCULO GERAL'!$E$11)/BL73,2)</f>
        <v>14.1</v>
      </c>
      <c r="BN73" s="186">
        <f t="shared" si="17"/>
        <v>14.1</v>
      </c>
      <c r="BO73" s="186">
        <f t="shared" si="46"/>
        <v>16.52</v>
      </c>
      <c r="BP73" s="109">
        <f>BM73*'CALCULO GERAL'!$C$11</f>
        <v>70.767899999999997</v>
      </c>
      <c r="BQ73" s="109">
        <f>BO73*'CALCULO GERAL'!$C$11</f>
        <v>82.913880000000006</v>
      </c>
      <c r="BR73" s="186">
        <f>BN73*'CALCULO GERAL'!$C$11</f>
        <v>70.767899999999997</v>
      </c>
      <c r="BS73" s="109">
        <f t="shared" si="18"/>
        <v>743062.95</v>
      </c>
      <c r="BT73" s="109">
        <f t="shared" si="43"/>
        <v>201351.73424999998</v>
      </c>
      <c r="BU73" s="109">
        <f t="shared" si="19"/>
        <v>743062.95</v>
      </c>
      <c r="BV73" s="109">
        <f t="shared" si="50"/>
        <v>652362.57729187491</v>
      </c>
      <c r="BW73" s="109">
        <f t="shared" si="47"/>
        <v>90700.37270812504</v>
      </c>
      <c r="BX73" s="114">
        <f t="shared" si="20"/>
        <v>0.12206283829401673</v>
      </c>
      <c r="BY73" s="152">
        <f t="shared" si="51"/>
        <v>0.74</v>
      </c>
      <c r="CA73" s="55"/>
      <c r="CB73" s="113"/>
      <c r="CC73" s="113"/>
      <c r="CE73" s="152">
        <f t="shared" si="52"/>
        <v>0</v>
      </c>
      <c r="CF73" s="152">
        <f t="shared" si="48"/>
        <v>1</v>
      </c>
      <c r="CG73" s="152">
        <f t="shared" si="49"/>
        <v>1</v>
      </c>
      <c r="CH73" s="34"/>
      <c r="CJ73" s="11"/>
      <c r="CK73" s="11"/>
    </row>
    <row r="74" spans="1:89" s="152" customFormat="1" ht="16" x14ac:dyDescent="0.2">
      <c r="A74" s="228" t="s">
        <v>524</v>
      </c>
      <c r="B74" s="187" t="s">
        <v>211</v>
      </c>
      <c r="C74" s="8">
        <v>0.35</v>
      </c>
      <c r="D74" s="8">
        <v>0</v>
      </c>
      <c r="E74" s="7">
        <v>2.1000000000000001E-2</v>
      </c>
      <c r="F74" s="7">
        <v>0.1065</v>
      </c>
      <c r="G74" s="1">
        <v>1.6500000000000001E-2</v>
      </c>
      <c r="H74" s="1">
        <v>7.5999999999999998E-2</v>
      </c>
      <c r="I74" s="1">
        <v>0.18</v>
      </c>
      <c r="J74" s="1">
        <v>0.04</v>
      </c>
      <c r="K74" s="1">
        <v>0.14000000000000001</v>
      </c>
      <c r="L74" s="1">
        <v>1.4999999999999999E-2</v>
      </c>
      <c r="M74" s="2" t="s">
        <v>175</v>
      </c>
      <c r="N74" s="105">
        <v>10500</v>
      </c>
      <c r="O74" s="119"/>
      <c r="P74" s="119"/>
      <c r="Q74" s="119"/>
      <c r="R74" s="119"/>
      <c r="S74" s="119"/>
      <c r="T74" s="119"/>
      <c r="U74" s="119"/>
      <c r="V74" s="205">
        <v>15.36</v>
      </c>
      <c r="W74" s="119"/>
      <c r="X74" s="119">
        <f t="shared" si="0"/>
        <v>15.36</v>
      </c>
      <c r="Y74" s="118">
        <f t="shared" si="1"/>
        <v>15.36</v>
      </c>
      <c r="Z74" s="109">
        <f t="shared" si="2"/>
        <v>161280</v>
      </c>
      <c r="AA74" s="109">
        <f>'CALCULO GERAL'!$G$10</f>
        <v>6300</v>
      </c>
      <c r="AB74" s="109">
        <f t="shared" si="3"/>
        <v>167580</v>
      </c>
      <c r="AC74" s="109">
        <f>AB74*'CALCULO GERAL'!$C$11</f>
        <v>841084.02</v>
      </c>
      <c r="AD74" s="109">
        <f t="shared" si="4"/>
        <v>294379.40700000001</v>
      </c>
      <c r="AE74" s="109">
        <f t="shared" si="5"/>
        <v>0</v>
      </c>
      <c r="AF74" s="109">
        <f t="shared" si="6"/>
        <v>17662.764420000003</v>
      </c>
      <c r="AG74" s="109">
        <f t="shared" si="7"/>
        <v>89575.448130000004</v>
      </c>
      <c r="AH74" s="109">
        <v>154.22999999999999</v>
      </c>
      <c r="AI74" s="109">
        <f>((AA74*'CALCULO GERAL'!$C$11))*0.08+20</f>
        <v>2549.576</v>
      </c>
      <c r="AJ74" s="109">
        <v>1010</v>
      </c>
      <c r="AK74" s="109">
        <v>2500</v>
      </c>
      <c r="AL74" s="109">
        <f>(AA74*('CALCULO GERAL'!$C$11*1.02))-(AA74*'CALCULO GERAL'!$C$11)</f>
        <v>632.39400000000387</v>
      </c>
      <c r="AM74" s="109">
        <v>1800</v>
      </c>
      <c r="AN74" s="109">
        <v>2600</v>
      </c>
      <c r="AO74" s="109">
        <v>9400</v>
      </c>
      <c r="AP74" s="109">
        <v>1000</v>
      </c>
      <c r="AQ74" s="109">
        <f t="shared" si="39"/>
        <v>-17662.764420000003</v>
      </c>
      <c r="AR74" s="109">
        <f t="shared" si="40"/>
        <v>-89575.448130000004</v>
      </c>
      <c r="AS74" s="109"/>
      <c r="AT74" s="109">
        <f t="shared" si="44"/>
        <v>1157109.6270000001</v>
      </c>
      <c r="AU74" s="111">
        <f t="shared" si="8"/>
        <v>110.20091685714287</v>
      </c>
      <c r="AV74" s="109">
        <f>IFERROR((BS74*'CALCULO GERAL'!$E$11)/N74,0)</f>
        <v>3.0224418000000002</v>
      </c>
      <c r="AW74" s="109">
        <f>AU74/'CALCULO GERAL'!$C$11</f>
        <v>21.956747730054367</v>
      </c>
      <c r="AX74" s="109">
        <f>BP74-BB74-BD74*'CALCULO GERAL'!$C$11</f>
        <v>148.85525865000002</v>
      </c>
      <c r="AY74" s="109">
        <f t="shared" si="24"/>
        <v>2.4561117677250004</v>
      </c>
      <c r="AZ74" s="109">
        <f t="shared" si="9"/>
        <v>11.312999657400002</v>
      </c>
      <c r="BA74" s="109">
        <f t="shared" si="10"/>
        <v>151.12209000000001</v>
      </c>
      <c r="BB74" s="109">
        <f t="shared" si="11"/>
        <v>2.2668313499999999</v>
      </c>
      <c r="BC74" s="109">
        <f t="shared" si="12"/>
        <v>151.12209000000001</v>
      </c>
      <c r="BD74" s="109">
        <f t="shared" si="13"/>
        <v>0</v>
      </c>
      <c r="BE74" s="109">
        <f t="shared" si="41"/>
        <v>126942.55560000001</v>
      </c>
      <c r="BF74" s="109">
        <f t="shared" si="42"/>
        <v>190413.8334</v>
      </c>
      <c r="BG74" s="109">
        <f t="shared" si="14"/>
        <v>1.632118572</v>
      </c>
      <c r="BH74" s="109">
        <f t="shared" si="15"/>
        <v>1.8134650800000001</v>
      </c>
      <c r="BI74" s="109">
        <f t="shared" si="16"/>
        <v>-0.63754824380952391</v>
      </c>
      <c r="BJ74" s="109">
        <f t="shared" si="27"/>
        <v>21.866419983315478</v>
      </c>
      <c r="BK74" s="109">
        <f t="shared" si="45"/>
        <v>132.06733684045835</v>
      </c>
      <c r="BL74" s="148">
        <v>0.74</v>
      </c>
      <c r="BM74" s="112">
        <f>ROUND((AW74/BL74)+((AW74*BL74)*'CALCULO GERAL'!$E$11)/BL74,2)</f>
        <v>30.11</v>
      </c>
      <c r="BN74" s="186">
        <f t="shared" si="17"/>
        <v>30.11</v>
      </c>
      <c r="BO74" s="186">
        <f t="shared" si="46"/>
        <v>35.279000000000003</v>
      </c>
      <c r="BP74" s="109">
        <f>BM74*'CALCULO GERAL'!$C$11</f>
        <v>151.12209000000001</v>
      </c>
      <c r="BQ74" s="109">
        <f>BO74*'CALCULO GERAL'!$C$11</f>
        <v>177.06530100000003</v>
      </c>
      <c r="BR74" s="186">
        <f>BN74*'CALCULO GERAL'!$C$11</f>
        <v>151.12209000000001</v>
      </c>
      <c r="BS74" s="109">
        <f t="shared" si="18"/>
        <v>1586781.9450000001</v>
      </c>
      <c r="BT74" s="109">
        <f t="shared" si="43"/>
        <v>429672.31799999997</v>
      </c>
      <c r="BU74" s="109">
        <f t="shared" si="19"/>
        <v>1586781.9450000001</v>
      </c>
      <c r="BV74" s="109">
        <f t="shared" si="50"/>
        <v>1386707.0368248126</v>
      </c>
      <c r="BW74" s="109">
        <f t="shared" si="47"/>
        <v>200074.90817518742</v>
      </c>
      <c r="BX74" s="114">
        <f t="shared" si="20"/>
        <v>0.12608847031920786</v>
      </c>
      <c r="BY74" s="152">
        <f t="shared" si="51"/>
        <v>0.74</v>
      </c>
      <c r="CA74" s="55"/>
      <c r="CB74" s="113"/>
      <c r="CC74" s="113"/>
      <c r="CE74" s="152">
        <f t="shared" si="52"/>
        <v>0</v>
      </c>
      <c r="CF74" s="152">
        <f t="shared" si="48"/>
        <v>1</v>
      </c>
      <c r="CG74" s="152">
        <f t="shared" si="49"/>
        <v>1</v>
      </c>
      <c r="CH74" s="34"/>
      <c r="CJ74" s="11"/>
      <c r="CK74" s="11"/>
    </row>
    <row r="75" spans="1:89" s="152" customFormat="1" ht="16" x14ac:dyDescent="0.2">
      <c r="A75" s="228" t="s">
        <v>525</v>
      </c>
      <c r="B75" s="187" t="s">
        <v>211</v>
      </c>
      <c r="C75" s="8">
        <v>0.35</v>
      </c>
      <c r="D75" s="8">
        <v>0</v>
      </c>
      <c r="E75" s="7">
        <v>2.1000000000000001E-2</v>
      </c>
      <c r="F75" s="7">
        <v>0.1065</v>
      </c>
      <c r="G75" s="1">
        <v>1.6500000000000001E-2</v>
      </c>
      <c r="H75" s="1">
        <v>7.5999999999999998E-2</v>
      </c>
      <c r="I75" s="1">
        <v>0.18</v>
      </c>
      <c r="J75" s="1">
        <v>0.04</v>
      </c>
      <c r="K75" s="1">
        <v>0.14000000000000001</v>
      </c>
      <c r="L75" s="1">
        <v>1.4999999999999999E-2</v>
      </c>
      <c r="M75" s="2" t="s">
        <v>175</v>
      </c>
      <c r="N75" s="105">
        <v>8500</v>
      </c>
      <c r="O75" s="119"/>
      <c r="P75" s="119"/>
      <c r="Q75" s="119"/>
      <c r="R75" s="119"/>
      <c r="S75" s="119"/>
      <c r="T75" s="119"/>
      <c r="U75" s="119"/>
      <c r="V75" s="205">
        <v>20.86</v>
      </c>
      <c r="W75" s="119"/>
      <c r="X75" s="119">
        <f t="shared" si="0"/>
        <v>20.86</v>
      </c>
      <c r="Y75" s="118">
        <f t="shared" si="1"/>
        <v>20.86</v>
      </c>
      <c r="Z75" s="109">
        <f t="shared" si="2"/>
        <v>177310</v>
      </c>
      <c r="AA75" s="109">
        <f>'CALCULO GERAL'!$G$10</f>
        <v>6300</v>
      </c>
      <c r="AB75" s="109">
        <f t="shared" si="3"/>
        <v>183610</v>
      </c>
      <c r="AC75" s="109">
        <f>AB75*'CALCULO GERAL'!$C$11</f>
        <v>921538.59</v>
      </c>
      <c r="AD75" s="109">
        <f t="shared" si="4"/>
        <v>322538.50649999996</v>
      </c>
      <c r="AE75" s="109">
        <f t="shared" si="5"/>
        <v>0</v>
      </c>
      <c r="AF75" s="109">
        <f t="shared" si="6"/>
        <v>19352.310389999999</v>
      </c>
      <c r="AG75" s="109">
        <f t="shared" si="7"/>
        <v>98143.859834999996</v>
      </c>
      <c r="AH75" s="109">
        <v>154.22999999999999</v>
      </c>
      <c r="AI75" s="109">
        <f>((AA75*'CALCULO GERAL'!$C$11))*0.08+20</f>
        <v>2549.576</v>
      </c>
      <c r="AJ75" s="109">
        <v>1010</v>
      </c>
      <c r="AK75" s="109">
        <v>2500</v>
      </c>
      <c r="AL75" s="109">
        <f>(AA75*('CALCULO GERAL'!$C$11*1.02))-(AA75*'CALCULO GERAL'!$C$11)</f>
        <v>632.39400000000387</v>
      </c>
      <c r="AM75" s="109">
        <v>1800</v>
      </c>
      <c r="AN75" s="109">
        <v>2600</v>
      </c>
      <c r="AO75" s="109">
        <v>9400</v>
      </c>
      <c r="AP75" s="109">
        <v>1000</v>
      </c>
      <c r="AQ75" s="109">
        <f t="shared" si="39"/>
        <v>-19352.310389999999</v>
      </c>
      <c r="AR75" s="109">
        <f t="shared" si="40"/>
        <v>-98143.859834999996</v>
      </c>
      <c r="AS75" s="109"/>
      <c r="AT75" s="109">
        <f t="shared" si="44"/>
        <v>1265723.2964999999</v>
      </c>
      <c r="AU75" s="111">
        <f t="shared" si="8"/>
        <v>148.90862311764704</v>
      </c>
      <c r="AV75" s="109">
        <f>IFERROR((BS75*'CALCULO GERAL'!$E$11)/N75,0)</f>
        <v>4.0844621999999999</v>
      </c>
      <c r="AW75" s="109">
        <f>AU75/'CALCULO GERAL'!$C$11</f>
        <v>29.668982490067151</v>
      </c>
      <c r="AX75" s="109">
        <f>BP75-BB75-BD75*'CALCULO GERAL'!$C$11</f>
        <v>201.15976334999999</v>
      </c>
      <c r="AY75" s="109">
        <f t="shared" si="24"/>
        <v>3.3191360952750002</v>
      </c>
      <c r="AZ75" s="109">
        <f t="shared" si="9"/>
        <v>15.288142014599998</v>
      </c>
      <c r="BA75" s="109">
        <f t="shared" si="10"/>
        <v>204.22310999999999</v>
      </c>
      <c r="BB75" s="109">
        <f t="shared" si="11"/>
        <v>3.0633466499999997</v>
      </c>
      <c r="BC75" s="109">
        <f t="shared" si="12"/>
        <v>204.22310999999999</v>
      </c>
      <c r="BD75" s="109">
        <f t="shared" si="13"/>
        <v>0</v>
      </c>
      <c r="BE75" s="109">
        <f t="shared" si="41"/>
        <v>138871.71479999999</v>
      </c>
      <c r="BF75" s="109">
        <f t="shared" si="42"/>
        <v>208307.57219999997</v>
      </c>
      <c r="BG75" s="109">
        <f t="shared" si="14"/>
        <v>2.2056095879999993</v>
      </c>
      <c r="BH75" s="109">
        <f t="shared" si="15"/>
        <v>2.4506773199999996</v>
      </c>
      <c r="BI75" s="109">
        <f t="shared" si="16"/>
        <v>-0.92790264470588235</v>
      </c>
      <c r="BJ75" s="109">
        <f t="shared" si="27"/>
        <v>29.483471223169115</v>
      </c>
      <c r="BK75" s="109">
        <f t="shared" si="45"/>
        <v>178.39209434081616</v>
      </c>
      <c r="BL75" s="148">
        <v>0.74</v>
      </c>
      <c r="BM75" s="112">
        <f>ROUND((AW75/BL75)+((AW75*BL75)*'CALCULO GERAL'!$E$11)/BL75,2)</f>
        <v>40.69</v>
      </c>
      <c r="BN75" s="186">
        <f t="shared" si="17"/>
        <v>40.69</v>
      </c>
      <c r="BO75" s="186">
        <f t="shared" si="46"/>
        <v>47.674999999999997</v>
      </c>
      <c r="BP75" s="109">
        <f>BM75*'CALCULO GERAL'!$C$11</f>
        <v>204.22310999999999</v>
      </c>
      <c r="BQ75" s="109">
        <f>BO75*'CALCULO GERAL'!$C$11</f>
        <v>239.28082499999999</v>
      </c>
      <c r="BR75" s="186">
        <f>BN75*'CALCULO GERAL'!$C$11</f>
        <v>204.22310999999999</v>
      </c>
      <c r="BS75" s="109">
        <f t="shared" si="18"/>
        <v>1735896.4349999998</v>
      </c>
      <c r="BT75" s="109">
        <f t="shared" si="43"/>
        <v>470173.13849999988</v>
      </c>
      <c r="BU75" s="109">
        <f t="shared" si="19"/>
        <v>1735896.4349999998</v>
      </c>
      <c r="BV75" s="109">
        <f t="shared" si="50"/>
        <v>1516332.8018969374</v>
      </c>
      <c r="BW75" s="109">
        <f t="shared" si="47"/>
        <v>219563.6331030624</v>
      </c>
      <c r="BX75" s="114">
        <f t="shared" si="20"/>
        <v>0.12648429288528518</v>
      </c>
      <c r="BY75" s="152">
        <f t="shared" si="51"/>
        <v>0.74</v>
      </c>
      <c r="CA75" s="55"/>
      <c r="CB75" s="113"/>
      <c r="CC75" s="113"/>
      <c r="CE75" s="152">
        <f t="shared" si="52"/>
        <v>0</v>
      </c>
      <c r="CF75" s="152">
        <f t="shared" si="48"/>
        <v>1</v>
      </c>
      <c r="CG75" s="152">
        <f t="shared" si="49"/>
        <v>1</v>
      </c>
      <c r="CH75" s="34"/>
      <c r="CJ75" s="11"/>
      <c r="CK75" s="11"/>
    </row>
    <row r="76" spans="1:89" s="152" customFormat="1" ht="16" x14ac:dyDescent="0.2">
      <c r="A76" s="228" t="s">
        <v>526</v>
      </c>
      <c r="B76" s="187" t="s">
        <v>211</v>
      </c>
      <c r="C76" s="8">
        <v>0.35</v>
      </c>
      <c r="D76" s="8">
        <v>0</v>
      </c>
      <c r="E76" s="7">
        <v>2.1000000000000001E-2</v>
      </c>
      <c r="F76" s="7">
        <v>0.1065</v>
      </c>
      <c r="G76" s="1">
        <v>1.6500000000000001E-2</v>
      </c>
      <c r="H76" s="1">
        <v>7.5999999999999998E-2</v>
      </c>
      <c r="I76" s="1">
        <v>0.18</v>
      </c>
      <c r="J76" s="1">
        <v>0.04</v>
      </c>
      <c r="K76" s="1">
        <v>0.14000000000000001</v>
      </c>
      <c r="L76" s="1">
        <v>1.4999999999999999E-2</v>
      </c>
      <c r="M76" s="2" t="s">
        <v>175</v>
      </c>
      <c r="N76" s="105">
        <v>7000</v>
      </c>
      <c r="O76" s="119"/>
      <c r="P76" s="119"/>
      <c r="Q76" s="119"/>
      <c r="R76" s="119"/>
      <c r="S76" s="119"/>
      <c r="T76" s="119"/>
      <c r="U76" s="119"/>
      <c r="V76" s="205">
        <v>22.29</v>
      </c>
      <c r="W76" s="119"/>
      <c r="X76" s="119">
        <f t="shared" si="0"/>
        <v>22.29</v>
      </c>
      <c r="Y76" s="118">
        <f t="shared" si="1"/>
        <v>22.29</v>
      </c>
      <c r="Z76" s="109">
        <f t="shared" si="2"/>
        <v>156030</v>
      </c>
      <c r="AA76" s="109">
        <f>'CALCULO GERAL'!$G$10</f>
        <v>6300</v>
      </c>
      <c r="AB76" s="109">
        <f t="shared" si="3"/>
        <v>162330</v>
      </c>
      <c r="AC76" s="109">
        <f>AB76*'CALCULO GERAL'!$C$11</f>
        <v>814734.27</v>
      </c>
      <c r="AD76" s="109">
        <f t="shared" si="4"/>
        <v>285156.99449999997</v>
      </c>
      <c r="AE76" s="109">
        <f t="shared" si="5"/>
        <v>0</v>
      </c>
      <c r="AF76" s="109">
        <f t="shared" si="6"/>
        <v>17109.419670000003</v>
      </c>
      <c r="AG76" s="109">
        <f t="shared" si="7"/>
        <v>86769.199754999994</v>
      </c>
      <c r="AH76" s="109">
        <v>154.22999999999999</v>
      </c>
      <c r="AI76" s="109">
        <f>((AA76*'CALCULO GERAL'!$C$11))*0.08+20</f>
        <v>2549.576</v>
      </c>
      <c r="AJ76" s="109">
        <v>1010</v>
      </c>
      <c r="AK76" s="109">
        <v>2500</v>
      </c>
      <c r="AL76" s="109">
        <f>(AA76*('CALCULO GERAL'!$C$11*1.02))-(AA76*'CALCULO GERAL'!$C$11)</f>
        <v>632.39400000000387</v>
      </c>
      <c r="AM76" s="109">
        <v>1800</v>
      </c>
      <c r="AN76" s="109">
        <v>2600</v>
      </c>
      <c r="AO76" s="109">
        <v>9400</v>
      </c>
      <c r="AP76" s="109">
        <v>1000</v>
      </c>
      <c r="AQ76" s="109">
        <f t="shared" si="39"/>
        <v>-17109.419670000003</v>
      </c>
      <c r="AR76" s="109">
        <f t="shared" si="40"/>
        <v>-86769.199754999994</v>
      </c>
      <c r="AS76" s="109"/>
      <c r="AT76" s="109">
        <f t="shared" si="44"/>
        <v>1121537.4645</v>
      </c>
      <c r="AU76" s="111">
        <f t="shared" si="8"/>
        <v>160.2196377857143</v>
      </c>
      <c r="AV76" s="109">
        <f>IFERROR((BS76*'CALCULO GERAL'!$E$11)/N76,0)</f>
        <v>4.3946363999999996</v>
      </c>
      <c r="AW76" s="109">
        <f>AU76/'CALCULO GERAL'!$C$11</f>
        <v>31.922621595081548</v>
      </c>
      <c r="AX76" s="109">
        <f>BP76-BB76-BD76*'CALCULO GERAL'!$C$11</f>
        <v>216.43584269999999</v>
      </c>
      <c r="AY76" s="109">
        <f t="shared" si="24"/>
        <v>3.5711914045499999</v>
      </c>
      <c r="AZ76" s="109">
        <f t="shared" si="9"/>
        <v>16.449124045199998</v>
      </c>
      <c r="BA76" s="109">
        <f t="shared" si="10"/>
        <v>219.73182</v>
      </c>
      <c r="BB76" s="109">
        <f t="shared" si="11"/>
        <v>3.2959772999999997</v>
      </c>
      <c r="BC76" s="109">
        <f t="shared" si="12"/>
        <v>219.73182</v>
      </c>
      <c r="BD76" s="109">
        <f t="shared" si="13"/>
        <v>0</v>
      </c>
      <c r="BE76" s="109">
        <f t="shared" si="41"/>
        <v>123049.8192</v>
      </c>
      <c r="BF76" s="109">
        <f t="shared" si="42"/>
        <v>184574.72879999998</v>
      </c>
      <c r="BG76" s="109">
        <f t="shared" si="14"/>
        <v>2.3731036559999996</v>
      </c>
      <c r="BH76" s="109">
        <f t="shared" si="15"/>
        <v>2.6367818399999998</v>
      </c>
      <c r="BI76" s="109">
        <f t="shared" si="16"/>
        <v>-0.90071184571428575</v>
      </c>
      <c r="BJ76" s="109">
        <f t="shared" si="27"/>
        <v>31.820102800035709</v>
      </c>
      <c r="BK76" s="109">
        <f t="shared" si="45"/>
        <v>192.03974058575</v>
      </c>
      <c r="BL76" s="148">
        <v>0.74</v>
      </c>
      <c r="BM76" s="112">
        <f>ROUND((AW76/BL76)+((AW76*BL76)*'CALCULO GERAL'!$E$11)/BL76,2)</f>
        <v>43.78</v>
      </c>
      <c r="BN76" s="186">
        <f t="shared" si="17"/>
        <v>43.78</v>
      </c>
      <c r="BO76" s="186">
        <f t="shared" si="46"/>
        <v>51.295000000000002</v>
      </c>
      <c r="BP76" s="109">
        <f>BM76*'CALCULO GERAL'!$C$11</f>
        <v>219.73182</v>
      </c>
      <c r="BQ76" s="109">
        <f>BO76*'CALCULO GERAL'!$C$11</f>
        <v>257.44960500000002</v>
      </c>
      <c r="BR76" s="186">
        <f>BN76*'CALCULO GERAL'!$C$11</f>
        <v>219.73182</v>
      </c>
      <c r="BS76" s="109">
        <f t="shared" si="18"/>
        <v>1538122.74</v>
      </c>
      <c r="BT76" s="109">
        <f t="shared" si="43"/>
        <v>416585.27549999999</v>
      </c>
      <c r="BU76" s="109">
        <f t="shared" si="19"/>
        <v>1538122.74</v>
      </c>
      <c r="BV76" s="109">
        <f t="shared" si="50"/>
        <v>1344278.18410025</v>
      </c>
      <c r="BW76" s="109">
        <f t="shared" si="47"/>
        <v>193844.55589974998</v>
      </c>
      <c r="BX76" s="114">
        <f t="shared" si="20"/>
        <v>0.12602671481194666</v>
      </c>
      <c r="BY76" s="152">
        <f t="shared" si="51"/>
        <v>0.74</v>
      </c>
      <c r="CA76" s="55"/>
      <c r="CB76" s="113"/>
      <c r="CC76" s="113"/>
      <c r="CE76" s="152">
        <f t="shared" si="52"/>
        <v>0</v>
      </c>
      <c r="CF76" s="152">
        <f t="shared" si="48"/>
        <v>1</v>
      </c>
      <c r="CG76" s="152">
        <f t="shared" si="49"/>
        <v>1</v>
      </c>
      <c r="CH76" s="34"/>
      <c r="CJ76" s="11"/>
      <c r="CK76" s="11"/>
    </row>
    <row r="77" spans="1:89" s="152" customFormat="1" ht="16" x14ac:dyDescent="0.2">
      <c r="A77" s="228" t="s">
        <v>527</v>
      </c>
      <c r="B77" s="187" t="s">
        <v>211</v>
      </c>
      <c r="C77" s="8">
        <v>0.35</v>
      </c>
      <c r="D77" s="8">
        <v>0</v>
      </c>
      <c r="E77" s="7">
        <v>2.1000000000000001E-2</v>
      </c>
      <c r="F77" s="7">
        <v>0.1065</v>
      </c>
      <c r="G77" s="1">
        <v>1.6500000000000001E-2</v>
      </c>
      <c r="H77" s="1">
        <v>7.5999999999999998E-2</v>
      </c>
      <c r="I77" s="1">
        <v>0.18</v>
      </c>
      <c r="J77" s="1">
        <v>0.04</v>
      </c>
      <c r="K77" s="1">
        <v>0.14000000000000001</v>
      </c>
      <c r="L77" s="1">
        <v>1.4999999999999999E-2</v>
      </c>
      <c r="M77" s="2" t="s">
        <v>175</v>
      </c>
      <c r="N77" s="105">
        <v>6200</v>
      </c>
      <c r="O77" s="119"/>
      <c r="P77" s="119"/>
      <c r="Q77" s="119"/>
      <c r="R77" s="119"/>
      <c r="S77" s="119"/>
      <c r="T77" s="119"/>
      <c r="U77" s="119"/>
      <c r="V77" s="205">
        <v>25.48</v>
      </c>
      <c r="W77" s="119"/>
      <c r="X77" s="119">
        <f t="shared" si="0"/>
        <v>25.48</v>
      </c>
      <c r="Y77" s="118">
        <f t="shared" si="1"/>
        <v>25.48</v>
      </c>
      <c r="Z77" s="109">
        <f t="shared" si="2"/>
        <v>157976</v>
      </c>
      <c r="AA77" s="109">
        <f>'CALCULO GERAL'!$G$10</f>
        <v>6300</v>
      </c>
      <c r="AB77" s="109">
        <f t="shared" si="3"/>
        <v>164276</v>
      </c>
      <c r="AC77" s="109">
        <f>AB77*'CALCULO GERAL'!$C$11</f>
        <v>824501.24400000006</v>
      </c>
      <c r="AD77" s="109">
        <f t="shared" si="4"/>
        <v>288575.43540000002</v>
      </c>
      <c r="AE77" s="109">
        <f t="shared" si="5"/>
        <v>0</v>
      </c>
      <c r="AF77" s="109">
        <f t="shared" si="6"/>
        <v>17314.526124000004</v>
      </c>
      <c r="AG77" s="109">
        <f t="shared" si="7"/>
        <v>87809.382486000002</v>
      </c>
      <c r="AH77" s="109">
        <v>154.22999999999999</v>
      </c>
      <c r="AI77" s="109">
        <f>((AA77*'CALCULO GERAL'!$C$11))*0.08+20</f>
        <v>2549.576</v>
      </c>
      <c r="AJ77" s="109">
        <v>1010</v>
      </c>
      <c r="AK77" s="109">
        <v>2500</v>
      </c>
      <c r="AL77" s="109">
        <f>(AA77*('CALCULO GERAL'!$C$11*1.02))-(AA77*'CALCULO GERAL'!$C$11)</f>
        <v>632.39400000000387</v>
      </c>
      <c r="AM77" s="109">
        <v>1800</v>
      </c>
      <c r="AN77" s="109">
        <v>2600</v>
      </c>
      <c r="AO77" s="109">
        <v>9400</v>
      </c>
      <c r="AP77" s="109">
        <v>1000</v>
      </c>
      <c r="AQ77" s="109">
        <f t="shared" si="39"/>
        <v>-17314.526124000004</v>
      </c>
      <c r="AR77" s="109">
        <f t="shared" si="40"/>
        <v>-87809.382486000002</v>
      </c>
      <c r="AS77" s="109"/>
      <c r="AT77" s="109">
        <f t="shared" si="44"/>
        <v>1134722.8794</v>
      </c>
      <c r="AU77" s="111">
        <f t="shared" si="8"/>
        <v>183.0198192580645</v>
      </c>
      <c r="AV77" s="109">
        <f>IFERROR((BS77*'CALCULO GERAL'!$E$11)/N77,0)</f>
        <v>5.0200038000000005</v>
      </c>
      <c r="AW77" s="109">
        <f>AU77/'CALCULO GERAL'!$C$11</f>
        <v>36.465395349285615</v>
      </c>
      <c r="AX77" s="109">
        <f>BP77-BB77-BD77*'CALCULO GERAL'!$C$11</f>
        <v>247.23518715</v>
      </c>
      <c r="AY77" s="109">
        <f t="shared" si="24"/>
        <v>4.0793805879749998</v>
      </c>
      <c r="AZ77" s="109">
        <f t="shared" si="9"/>
        <v>18.789874223399998</v>
      </c>
      <c r="BA77" s="109">
        <f t="shared" si="10"/>
        <v>251.00019</v>
      </c>
      <c r="BB77" s="109">
        <f t="shared" si="11"/>
        <v>3.7650028500000001</v>
      </c>
      <c r="BC77" s="109">
        <f t="shared" si="12"/>
        <v>251.00019</v>
      </c>
      <c r="BD77" s="109">
        <f t="shared" si="13"/>
        <v>0</v>
      </c>
      <c r="BE77" s="109">
        <f t="shared" si="41"/>
        <v>124496.09424000001</v>
      </c>
      <c r="BF77" s="109">
        <f t="shared" si="42"/>
        <v>186744.14136000001</v>
      </c>
      <c r="BG77" s="109">
        <f t="shared" si="14"/>
        <v>2.7108020520000005</v>
      </c>
      <c r="BH77" s="109">
        <f t="shared" si="15"/>
        <v>3.0120022799999999</v>
      </c>
      <c r="BI77" s="109">
        <f t="shared" si="16"/>
        <v>-1.0402597458064518</v>
      </c>
      <c r="BJ77" s="109">
        <f t="shared" si="27"/>
        <v>36.336806047568544</v>
      </c>
      <c r="BK77" s="109">
        <f t="shared" si="45"/>
        <v>219.35662530563303</v>
      </c>
      <c r="BL77" s="148">
        <v>0.74</v>
      </c>
      <c r="BM77" s="112">
        <f>ROUND((AW77/BL77)+((AW77*BL77)*'CALCULO GERAL'!$E$11)/BL77,2)</f>
        <v>50.01</v>
      </c>
      <c r="BN77" s="186">
        <f t="shared" si="17"/>
        <v>50.01</v>
      </c>
      <c r="BO77" s="186">
        <f t="shared" si="46"/>
        <v>58.594999999999999</v>
      </c>
      <c r="BP77" s="109">
        <f>BM77*'CALCULO GERAL'!$C$11</f>
        <v>251.00019</v>
      </c>
      <c r="BQ77" s="109">
        <f>BO77*'CALCULO GERAL'!$C$11</f>
        <v>294.08830499999999</v>
      </c>
      <c r="BR77" s="186">
        <f>BN77*'CALCULO GERAL'!$C$11</f>
        <v>251.00019</v>
      </c>
      <c r="BS77" s="109">
        <f t="shared" si="18"/>
        <v>1556201.1780000001</v>
      </c>
      <c r="BT77" s="109">
        <f t="shared" si="43"/>
        <v>421478.2986000001</v>
      </c>
      <c r="BU77" s="109">
        <f t="shared" si="19"/>
        <v>1556201.1780000001</v>
      </c>
      <c r="BV77" s="109">
        <f t="shared" si="50"/>
        <v>1360011.0768949247</v>
      </c>
      <c r="BW77" s="109">
        <f t="shared" si="47"/>
        <v>196190.10110507533</v>
      </c>
      <c r="BX77" s="114">
        <f t="shared" si="20"/>
        <v>0.12606988343063399</v>
      </c>
      <c r="BY77" s="152">
        <f t="shared" si="51"/>
        <v>0.74</v>
      </c>
      <c r="CA77" s="55"/>
      <c r="CB77" s="113"/>
      <c r="CC77" s="113"/>
      <c r="CE77" s="152">
        <f t="shared" si="52"/>
        <v>0</v>
      </c>
      <c r="CF77" s="152">
        <f t="shared" si="48"/>
        <v>1</v>
      </c>
      <c r="CG77" s="152">
        <f t="shared" si="49"/>
        <v>1</v>
      </c>
      <c r="CH77" s="34"/>
      <c r="CJ77" s="11"/>
      <c r="CK77" s="11"/>
    </row>
    <row r="78" spans="1:89" s="152" customFormat="1" ht="16" x14ac:dyDescent="0.2">
      <c r="A78" s="228" t="s">
        <v>528</v>
      </c>
      <c r="B78" s="187" t="s">
        <v>211</v>
      </c>
      <c r="C78" s="8">
        <v>0.35</v>
      </c>
      <c r="D78" s="8">
        <v>0</v>
      </c>
      <c r="E78" s="7">
        <v>2.1000000000000001E-2</v>
      </c>
      <c r="F78" s="7">
        <v>0.1065</v>
      </c>
      <c r="G78" s="1">
        <v>1.6500000000000001E-2</v>
      </c>
      <c r="H78" s="1">
        <v>7.5999999999999998E-2</v>
      </c>
      <c r="I78" s="1">
        <v>0.18</v>
      </c>
      <c r="J78" s="1">
        <v>0.04</v>
      </c>
      <c r="K78" s="1">
        <v>0.14000000000000001</v>
      </c>
      <c r="L78" s="1">
        <v>1.4999999999999999E-2</v>
      </c>
      <c r="M78" s="2" t="s">
        <v>175</v>
      </c>
      <c r="N78" s="105">
        <v>10000</v>
      </c>
      <c r="O78" s="119"/>
      <c r="P78" s="119"/>
      <c r="Q78" s="119"/>
      <c r="R78" s="119"/>
      <c r="S78" s="119"/>
      <c r="T78" s="119"/>
      <c r="U78" s="119"/>
      <c r="V78" s="205">
        <v>17.59</v>
      </c>
      <c r="W78" s="119"/>
      <c r="X78" s="119">
        <f t="shared" si="0"/>
        <v>17.59</v>
      </c>
      <c r="Y78" s="118">
        <f t="shared" si="1"/>
        <v>17.59</v>
      </c>
      <c r="Z78" s="109">
        <f t="shared" si="2"/>
        <v>175900</v>
      </c>
      <c r="AA78" s="109">
        <f>'CALCULO GERAL'!$G$10</f>
        <v>6300</v>
      </c>
      <c r="AB78" s="109">
        <f t="shared" si="3"/>
        <v>182200</v>
      </c>
      <c r="AC78" s="109">
        <f>AB78*'CALCULO GERAL'!$C$11</f>
        <v>914461.8</v>
      </c>
      <c r="AD78" s="109">
        <f t="shared" si="4"/>
        <v>320061.63</v>
      </c>
      <c r="AE78" s="109">
        <f t="shared" si="5"/>
        <v>0</v>
      </c>
      <c r="AF78" s="109">
        <f t="shared" si="6"/>
        <v>19203.697800000002</v>
      </c>
      <c r="AG78" s="109">
        <f t="shared" si="7"/>
        <v>97390.181700000001</v>
      </c>
      <c r="AH78" s="109">
        <v>154.22999999999999</v>
      </c>
      <c r="AI78" s="109">
        <f>((AA78*'CALCULO GERAL'!$C$11))*0.08+20</f>
        <v>2549.576</v>
      </c>
      <c r="AJ78" s="109">
        <v>1010</v>
      </c>
      <c r="AK78" s="109">
        <v>2500</v>
      </c>
      <c r="AL78" s="109">
        <f>(AA78*('CALCULO GERAL'!$C$11*1.02))-(AA78*'CALCULO GERAL'!$C$11)</f>
        <v>632.39400000000387</v>
      </c>
      <c r="AM78" s="109">
        <v>1800</v>
      </c>
      <c r="AN78" s="109">
        <v>2600</v>
      </c>
      <c r="AO78" s="109">
        <v>9400</v>
      </c>
      <c r="AP78" s="109">
        <v>1000</v>
      </c>
      <c r="AQ78" s="109">
        <f t="shared" si="39"/>
        <v>-19203.697800000002</v>
      </c>
      <c r="AR78" s="109">
        <f t="shared" si="40"/>
        <v>-97390.181700000001</v>
      </c>
      <c r="AS78" s="109"/>
      <c r="AT78" s="109">
        <f t="shared" si="44"/>
        <v>1256169.6300000001</v>
      </c>
      <c r="AU78" s="111">
        <f t="shared" si="8"/>
        <v>125.61696300000001</v>
      </c>
      <c r="AV78" s="109">
        <f>IFERROR((BS78*'CALCULO GERAL'!$E$11)/N78,0)</f>
        <v>3.4450416000000006</v>
      </c>
      <c r="AW78" s="109">
        <f>AU78/'CALCULO GERAL'!$C$11</f>
        <v>25.028285116557086</v>
      </c>
      <c r="AX78" s="109">
        <f>BP78-BB78-BD78*'CALCULO GERAL'!$C$11</f>
        <v>169.6682988</v>
      </c>
      <c r="AY78" s="109">
        <f t="shared" si="24"/>
        <v>2.7995269302000003</v>
      </c>
      <c r="AZ78" s="109">
        <f t="shared" si="9"/>
        <v>12.8947907088</v>
      </c>
      <c r="BA78" s="109">
        <f t="shared" si="10"/>
        <v>172.25208000000001</v>
      </c>
      <c r="BB78" s="109">
        <f t="shared" si="11"/>
        <v>2.5837812000000002</v>
      </c>
      <c r="BC78" s="109">
        <f t="shared" si="12"/>
        <v>172.25208000000001</v>
      </c>
      <c r="BD78" s="109">
        <f t="shared" si="13"/>
        <v>0</v>
      </c>
      <c r="BE78" s="109">
        <f t="shared" si="41"/>
        <v>137801.66400000002</v>
      </c>
      <c r="BF78" s="109">
        <f t="shared" si="42"/>
        <v>206702.49599999998</v>
      </c>
      <c r="BG78" s="109">
        <f t="shared" si="14"/>
        <v>1.8603224639999996</v>
      </c>
      <c r="BH78" s="109">
        <f t="shared" si="15"/>
        <v>2.0670249600000004</v>
      </c>
      <c r="BI78" s="109">
        <f t="shared" si="16"/>
        <v>-0.77801674000000032</v>
      </c>
      <c r="BJ78" s="109">
        <f t="shared" si="27"/>
        <v>24.872471123</v>
      </c>
      <c r="BK78" s="109">
        <f t="shared" si="45"/>
        <v>150.48943412300002</v>
      </c>
      <c r="BL78" s="148">
        <v>0.74</v>
      </c>
      <c r="BM78" s="112">
        <f>ROUND((AW78/BL78)+((AW78*BL78)*'CALCULO GERAL'!$E$11)/BL78,2)</f>
        <v>34.32</v>
      </c>
      <c r="BN78" s="186">
        <f t="shared" si="17"/>
        <v>34.32</v>
      </c>
      <c r="BO78" s="186">
        <f t="shared" si="46"/>
        <v>40.210999999999999</v>
      </c>
      <c r="BP78" s="109">
        <f>BM78*'CALCULO GERAL'!$C$11</f>
        <v>172.25208000000001</v>
      </c>
      <c r="BQ78" s="109">
        <f>BO78*'CALCULO GERAL'!$C$11</f>
        <v>201.81900899999999</v>
      </c>
      <c r="BR78" s="186">
        <f>BN78*'CALCULO GERAL'!$C$11</f>
        <v>172.25208000000001</v>
      </c>
      <c r="BS78" s="109">
        <f t="shared" si="18"/>
        <v>1722520.8</v>
      </c>
      <c r="BT78" s="109">
        <f t="shared" si="43"/>
        <v>466351.16999999993</v>
      </c>
      <c r="BU78" s="109">
        <f t="shared" si="19"/>
        <v>1722520.8</v>
      </c>
      <c r="BV78" s="109">
        <f t="shared" si="50"/>
        <v>1504894.3412300001</v>
      </c>
      <c r="BW78" s="109">
        <f t="shared" si="47"/>
        <v>217626.45876999991</v>
      </c>
      <c r="BX78" s="114">
        <f t="shared" si="20"/>
        <v>0.12634184665288217</v>
      </c>
      <c r="BY78" s="152">
        <f t="shared" si="51"/>
        <v>0.74</v>
      </c>
      <c r="CA78" s="55"/>
      <c r="CB78" s="113"/>
      <c r="CC78" s="113"/>
      <c r="CE78" s="152">
        <f t="shared" si="52"/>
        <v>0</v>
      </c>
      <c r="CF78" s="152">
        <f t="shared" si="48"/>
        <v>1</v>
      </c>
      <c r="CG78" s="152">
        <f t="shared" si="49"/>
        <v>1</v>
      </c>
      <c r="CH78" s="34"/>
      <c r="CJ78" s="11"/>
      <c r="CK78" s="11"/>
    </row>
    <row r="79" spans="1:89" s="152" customFormat="1" ht="16" x14ac:dyDescent="0.2">
      <c r="A79" s="228" t="s">
        <v>529</v>
      </c>
      <c r="B79" s="187" t="s">
        <v>211</v>
      </c>
      <c r="C79" s="8">
        <v>0.35</v>
      </c>
      <c r="D79" s="8">
        <v>0</v>
      </c>
      <c r="E79" s="7">
        <v>2.1000000000000001E-2</v>
      </c>
      <c r="F79" s="7">
        <v>0.1065</v>
      </c>
      <c r="G79" s="1">
        <v>1.6500000000000001E-2</v>
      </c>
      <c r="H79" s="1">
        <v>7.5999999999999998E-2</v>
      </c>
      <c r="I79" s="1">
        <v>0.18</v>
      </c>
      <c r="J79" s="1">
        <v>0.04</v>
      </c>
      <c r="K79" s="1">
        <v>0.14000000000000001</v>
      </c>
      <c r="L79" s="1">
        <v>1.4999999999999999E-2</v>
      </c>
      <c r="M79" s="2" t="s">
        <v>175</v>
      </c>
      <c r="N79" s="105">
        <v>10000</v>
      </c>
      <c r="O79" s="119"/>
      <c r="P79" s="119"/>
      <c r="Q79" s="119"/>
      <c r="R79" s="119"/>
      <c r="S79" s="119"/>
      <c r="T79" s="119"/>
      <c r="U79" s="119"/>
      <c r="V79" s="205">
        <v>24.12</v>
      </c>
      <c r="W79" s="119"/>
      <c r="X79" s="119">
        <f t="shared" si="0"/>
        <v>24.12</v>
      </c>
      <c r="Y79" s="118">
        <f t="shared" si="1"/>
        <v>24.12</v>
      </c>
      <c r="Z79" s="109">
        <f t="shared" si="2"/>
        <v>241200</v>
      </c>
      <c r="AA79" s="109">
        <f>'CALCULO GERAL'!$G$10</f>
        <v>6300</v>
      </c>
      <c r="AB79" s="109">
        <f t="shared" si="3"/>
        <v>247500</v>
      </c>
      <c r="AC79" s="109">
        <f>AB79*'CALCULO GERAL'!$C$11</f>
        <v>1242202.5</v>
      </c>
      <c r="AD79" s="109">
        <f t="shared" si="4"/>
        <v>434770.875</v>
      </c>
      <c r="AE79" s="109">
        <f t="shared" si="5"/>
        <v>0</v>
      </c>
      <c r="AF79" s="109">
        <f t="shared" si="6"/>
        <v>26086.252500000002</v>
      </c>
      <c r="AG79" s="109">
        <f t="shared" si="7"/>
        <v>132294.56625</v>
      </c>
      <c r="AH79" s="109">
        <v>154.22999999999999</v>
      </c>
      <c r="AI79" s="109">
        <f>((AA79*'CALCULO GERAL'!$C$11))*0.08+20</f>
        <v>2549.576</v>
      </c>
      <c r="AJ79" s="109">
        <v>1010</v>
      </c>
      <c r="AK79" s="109">
        <v>2500</v>
      </c>
      <c r="AL79" s="109">
        <f>(AA79*('CALCULO GERAL'!$C$11*1.02))-(AA79*'CALCULO GERAL'!$C$11)</f>
        <v>632.39400000000387</v>
      </c>
      <c r="AM79" s="109">
        <v>1800</v>
      </c>
      <c r="AN79" s="109">
        <v>2600</v>
      </c>
      <c r="AO79" s="109">
        <v>9400</v>
      </c>
      <c r="AP79" s="109">
        <v>1000</v>
      </c>
      <c r="AQ79" s="109">
        <f t="shared" si="39"/>
        <v>-26086.252500000002</v>
      </c>
      <c r="AR79" s="109">
        <f t="shared" si="40"/>
        <v>-132294.56625</v>
      </c>
      <c r="AS79" s="109"/>
      <c r="AT79" s="109">
        <f t="shared" si="44"/>
        <v>1698619.575</v>
      </c>
      <c r="AU79" s="111">
        <f t="shared" si="8"/>
        <v>169.86195749999999</v>
      </c>
      <c r="AV79" s="109">
        <f>IFERROR((BS79*'CALCULO GERAL'!$E$11)/N79,0)</f>
        <v>4.6586357999999999</v>
      </c>
      <c r="AW79" s="109">
        <f>AU79/'CALCULO GERAL'!$C$11</f>
        <v>33.843785116557079</v>
      </c>
      <c r="AX79" s="109">
        <f>BP79-BB79-BD79*'CALCULO GERAL'!$C$11</f>
        <v>229.43781314999998</v>
      </c>
      <c r="AY79" s="109">
        <f t="shared" si="24"/>
        <v>3.7857239169749999</v>
      </c>
      <c r="AZ79" s="109">
        <f t="shared" si="9"/>
        <v>17.4372737994</v>
      </c>
      <c r="BA79" s="109">
        <f t="shared" si="10"/>
        <v>232.93178999999998</v>
      </c>
      <c r="BB79" s="109">
        <f t="shared" si="11"/>
        <v>3.4939768499999997</v>
      </c>
      <c r="BC79" s="109">
        <f t="shared" si="12"/>
        <v>232.93178999999998</v>
      </c>
      <c r="BD79" s="109">
        <f t="shared" si="13"/>
        <v>0</v>
      </c>
      <c r="BE79" s="109">
        <f t="shared" si="41"/>
        <v>186345.432</v>
      </c>
      <c r="BF79" s="109">
        <f t="shared" si="42"/>
        <v>279518.14799999999</v>
      </c>
      <c r="BG79" s="109">
        <f t="shared" si="14"/>
        <v>2.5156633319999999</v>
      </c>
      <c r="BH79" s="109">
        <f t="shared" si="15"/>
        <v>2.7951814800000001</v>
      </c>
      <c r="BI79" s="109">
        <f t="shared" si="16"/>
        <v>-1.2634544200000002</v>
      </c>
      <c r="BJ79" s="109">
        <f t="shared" si="27"/>
        <v>33.423000758374997</v>
      </c>
      <c r="BK79" s="109">
        <f t="shared" si="45"/>
        <v>203.28495825837499</v>
      </c>
      <c r="BL79" s="148">
        <v>0.74</v>
      </c>
      <c r="BM79" s="112">
        <f>ROUND((AW79/BL79)+((AW79*BL79)*'CALCULO GERAL'!$E$11)/BL79,2)</f>
        <v>46.41</v>
      </c>
      <c r="BN79" s="186">
        <f t="shared" si="17"/>
        <v>46.41</v>
      </c>
      <c r="BO79" s="186">
        <f t="shared" si="46"/>
        <v>54.377000000000002</v>
      </c>
      <c r="BP79" s="109">
        <f>BM79*'CALCULO GERAL'!$C$11</f>
        <v>232.93178999999998</v>
      </c>
      <c r="BQ79" s="109">
        <f>BO79*'CALCULO GERAL'!$C$11</f>
        <v>272.91816299999999</v>
      </c>
      <c r="BR79" s="186">
        <f>BN79*'CALCULO GERAL'!$C$11</f>
        <v>232.93178999999998</v>
      </c>
      <c r="BS79" s="109">
        <f t="shared" si="18"/>
        <v>2329317.9</v>
      </c>
      <c r="BT79" s="109">
        <f t="shared" si="43"/>
        <v>630698.32499999995</v>
      </c>
      <c r="BU79" s="109">
        <f t="shared" si="19"/>
        <v>2329317.9</v>
      </c>
      <c r="BV79" s="109">
        <f t="shared" si="50"/>
        <v>2032849.5825837499</v>
      </c>
      <c r="BW79" s="109">
        <f t="shared" si="47"/>
        <v>296468.31741625001</v>
      </c>
      <c r="BX79" s="114">
        <f t="shared" si="20"/>
        <v>0.12727688110594523</v>
      </c>
      <c r="BY79" s="152">
        <f t="shared" si="51"/>
        <v>0.74</v>
      </c>
      <c r="CA79" s="55"/>
      <c r="CB79" s="113"/>
      <c r="CC79" s="113"/>
      <c r="CE79" s="152">
        <f t="shared" si="52"/>
        <v>0</v>
      </c>
      <c r="CF79" s="152">
        <f t="shared" si="48"/>
        <v>1</v>
      </c>
      <c r="CG79" s="152">
        <f t="shared" si="49"/>
        <v>1</v>
      </c>
      <c r="CH79" s="34"/>
      <c r="CJ79" s="11"/>
      <c r="CK79" s="11"/>
    </row>
    <row r="80" spans="1:89" s="152" customFormat="1" ht="16" x14ac:dyDescent="0.2">
      <c r="A80" s="228" t="s">
        <v>530</v>
      </c>
      <c r="B80" s="187" t="s">
        <v>211</v>
      </c>
      <c r="C80" s="8">
        <v>0.35</v>
      </c>
      <c r="D80" s="8">
        <v>0</v>
      </c>
      <c r="E80" s="7">
        <v>2.1000000000000001E-2</v>
      </c>
      <c r="F80" s="7">
        <v>0.1065</v>
      </c>
      <c r="G80" s="1">
        <v>1.6500000000000001E-2</v>
      </c>
      <c r="H80" s="1">
        <v>7.5999999999999998E-2</v>
      </c>
      <c r="I80" s="1">
        <v>0.18</v>
      </c>
      <c r="J80" s="1">
        <v>0.04</v>
      </c>
      <c r="K80" s="1">
        <v>0.14000000000000001</v>
      </c>
      <c r="L80" s="1">
        <v>1.4999999999999999E-2</v>
      </c>
      <c r="M80" s="2" t="s">
        <v>175</v>
      </c>
      <c r="N80" s="105">
        <v>10000</v>
      </c>
      <c r="O80" s="119"/>
      <c r="P80" s="119"/>
      <c r="Q80" s="119"/>
      <c r="R80" s="119"/>
      <c r="S80" s="119"/>
      <c r="T80" s="119"/>
      <c r="U80" s="119"/>
      <c r="V80" s="205">
        <v>25.78</v>
      </c>
      <c r="W80" s="119"/>
      <c r="X80" s="119">
        <f t="shared" si="0"/>
        <v>25.78</v>
      </c>
      <c r="Y80" s="118">
        <f t="shared" si="1"/>
        <v>25.78</v>
      </c>
      <c r="Z80" s="109">
        <f t="shared" si="2"/>
        <v>257800</v>
      </c>
      <c r="AA80" s="109">
        <f>'CALCULO GERAL'!$G$10</f>
        <v>6300</v>
      </c>
      <c r="AB80" s="109">
        <f t="shared" si="3"/>
        <v>264100</v>
      </c>
      <c r="AC80" s="109">
        <f>AB80*'CALCULO GERAL'!$C$11</f>
        <v>1325517.9000000001</v>
      </c>
      <c r="AD80" s="109">
        <f t="shared" si="4"/>
        <v>463931.26500000001</v>
      </c>
      <c r="AE80" s="109">
        <f t="shared" si="5"/>
        <v>0</v>
      </c>
      <c r="AF80" s="109">
        <f t="shared" si="6"/>
        <v>27835.875900000006</v>
      </c>
      <c r="AG80" s="109">
        <f t="shared" si="7"/>
        <v>141167.65635</v>
      </c>
      <c r="AH80" s="109">
        <v>154.22999999999999</v>
      </c>
      <c r="AI80" s="109">
        <f>((AA80*'CALCULO GERAL'!$C$11))*0.08+20</f>
        <v>2549.576</v>
      </c>
      <c r="AJ80" s="109">
        <v>1010</v>
      </c>
      <c r="AK80" s="109">
        <v>2500</v>
      </c>
      <c r="AL80" s="109">
        <f>(AA80*('CALCULO GERAL'!$C$11*1.02))-(AA80*'CALCULO GERAL'!$C$11)</f>
        <v>632.39400000000387</v>
      </c>
      <c r="AM80" s="109">
        <v>1800</v>
      </c>
      <c r="AN80" s="109">
        <v>2600</v>
      </c>
      <c r="AO80" s="109">
        <v>9400</v>
      </c>
      <c r="AP80" s="109">
        <v>1000</v>
      </c>
      <c r="AQ80" s="109">
        <f t="shared" si="39"/>
        <v>-27835.875900000006</v>
      </c>
      <c r="AR80" s="109">
        <f t="shared" si="40"/>
        <v>-141167.65635</v>
      </c>
      <c r="AS80" s="109"/>
      <c r="AT80" s="109">
        <f t="shared" si="44"/>
        <v>1811095.365</v>
      </c>
      <c r="AU80" s="111">
        <f t="shared" si="8"/>
        <v>181.10953649999999</v>
      </c>
      <c r="AV80" s="109">
        <f>IFERROR((BS80*'CALCULO GERAL'!$E$11)/N80,0)</f>
        <v>4.9668023999999997</v>
      </c>
      <c r="AW80" s="109">
        <f>AU80/'CALCULO GERAL'!$C$11</f>
        <v>36.084785116557079</v>
      </c>
      <c r="AX80" s="109">
        <f>BP80-BB80-BD80*'CALCULO GERAL'!$C$11</f>
        <v>244.61501819999998</v>
      </c>
      <c r="AY80" s="109">
        <f t="shared" si="24"/>
        <v>4.0361478003000002</v>
      </c>
      <c r="AZ80" s="109">
        <f t="shared" si="9"/>
        <v>18.590741383199997</v>
      </c>
      <c r="BA80" s="109">
        <f t="shared" si="10"/>
        <v>248.34011999999998</v>
      </c>
      <c r="BB80" s="109">
        <f t="shared" si="11"/>
        <v>3.7251017999999996</v>
      </c>
      <c r="BC80" s="109">
        <f t="shared" si="12"/>
        <v>248.34011999999998</v>
      </c>
      <c r="BD80" s="109">
        <f t="shared" si="13"/>
        <v>0</v>
      </c>
      <c r="BE80" s="109">
        <f t="shared" si="41"/>
        <v>198672.09599999999</v>
      </c>
      <c r="BF80" s="109">
        <f t="shared" si="42"/>
        <v>298008.14399999997</v>
      </c>
      <c r="BG80" s="109">
        <f t="shared" si="14"/>
        <v>2.6820732959999996</v>
      </c>
      <c r="BH80" s="109">
        <f t="shared" si="15"/>
        <v>2.9800814399999997</v>
      </c>
      <c r="BI80" s="109">
        <f t="shared" si="16"/>
        <v>-1.3867210599999999</v>
      </c>
      <c r="BJ80" s="109">
        <f t="shared" si="27"/>
        <v>35.5942270595</v>
      </c>
      <c r="BK80" s="109">
        <f t="shared" si="45"/>
        <v>216.70376355949998</v>
      </c>
      <c r="BL80" s="148">
        <v>0.74</v>
      </c>
      <c r="BM80" s="112">
        <f>ROUND((AW80/BL80)+((AW80*BL80)*'CALCULO GERAL'!$E$11)/BL80,2)</f>
        <v>49.48</v>
      </c>
      <c r="BN80" s="186">
        <f t="shared" si="17"/>
        <v>49.48</v>
      </c>
      <c r="BO80" s="186">
        <f t="shared" si="46"/>
        <v>57.973999999999997</v>
      </c>
      <c r="BP80" s="109">
        <f>BM80*'CALCULO GERAL'!$C$11</f>
        <v>248.34011999999998</v>
      </c>
      <c r="BQ80" s="109">
        <f>BO80*'CALCULO GERAL'!$C$11</f>
        <v>290.97150599999998</v>
      </c>
      <c r="BR80" s="186">
        <f>BN80*'CALCULO GERAL'!$C$11</f>
        <v>248.34011999999998</v>
      </c>
      <c r="BS80" s="109">
        <f t="shared" si="18"/>
        <v>2483401.1999999997</v>
      </c>
      <c r="BT80" s="109">
        <f t="shared" si="43"/>
        <v>672305.83499999973</v>
      </c>
      <c r="BU80" s="109">
        <f t="shared" si="19"/>
        <v>2483401.1999999997</v>
      </c>
      <c r="BV80" s="109">
        <f t="shared" si="50"/>
        <v>2167037.6355949999</v>
      </c>
      <c r="BW80" s="109">
        <f t="shared" si="47"/>
        <v>316363.56440499984</v>
      </c>
      <c r="BX80" s="114">
        <f t="shared" si="20"/>
        <v>0.12739124246416564</v>
      </c>
      <c r="BY80" s="152">
        <f t="shared" si="51"/>
        <v>0.74</v>
      </c>
      <c r="CA80" s="55"/>
      <c r="CB80" s="113"/>
      <c r="CC80" s="113"/>
      <c r="CE80" s="152">
        <f t="shared" si="52"/>
        <v>0</v>
      </c>
      <c r="CF80" s="152">
        <f t="shared" si="48"/>
        <v>1</v>
      </c>
      <c r="CG80" s="152">
        <f t="shared" si="49"/>
        <v>1</v>
      </c>
      <c r="CH80" s="34"/>
      <c r="CJ80" s="11"/>
      <c r="CK80" s="11"/>
    </row>
    <row r="81" spans="1:89" s="152" customFormat="1" ht="16" x14ac:dyDescent="0.2">
      <c r="A81" s="228" t="s">
        <v>531</v>
      </c>
      <c r="B81" s="187" t="s">
        <v>211</v>
      </c>
      <c r="C81" s="8">
        <v>0.35</v>
      </c>
      <c r="D81" s="8">
        <v>0</v>
      </c>
      <c r="E81" s="7">
        <v>2.1000000000000001E-2</v>
      </c>
      <c r="F81" s="7">
        <v>0.1065</v>
      </c>
      <c r="G81" s="1">
        <v>1.6500000000000001E-2</v>
      </c>
      <c r="H81" s="1">
        <v>7.5999999999999998E-2</v>
      </c>
      <c r="I81" s="1">
        <v>0.18</v>
      </c>
      <c r="J81" s="1">
        <v>0.04</v>
      </c>
      <c r="K81" s="1">
        <v>0.14000000000000001</v>
      </c>
      <c r="L81" s="1">
        <v>1.4999999999999999E-2</v>
      </c>
      <c r="M81" s="2" t="s">
        <v>175</v>
      </c>
      <c r="N81" s="105">
        <v>10000</v>
      </c>
      <c r="O81" s="119"/>
      <c r="P81" s="119"/>
      <c r="Q81" s="119"/>
      <c r="R81" s="119"/>
      <c r="S81" s="119"/>
      <c r="T81" s="119"/>
      <c r="U81" s="119"/>
      <c r="V81" s="205">
        <v>29.09</v>
      </c>
      <c r="W81" s="119"/>
      <c r="X81" s="119">
        <f t="shared" si="0"/>
        <v>29.09</v>
      </c>
      <c r="Y81" s="118">
        <f t="shared" si="1"/>
        <v>29.09</v>
      </c>
      <c r="Z81" s="109">
        <f t="shared" si="2"/>
        <v>290900</v>
      </c>
      <c r="AA81" s="109">
        <f>'CALCULO GERAL'!$G$10</f>
        <v>6300</v>
      </c>
      <c r="AB81" s="109">
        <f t="shared" si="3"/>
        <v>297200</v>
      </c>
      <c r="AC81" s="109">
        <f>AB81*'CALCULO GERAL'!$C$11</f>
        <v>1491646.8</v>
      </c>
      <c r="AD81" s="109">
        <f t="shared" si="4"/>
        <v>522076.38</v>
      </c>
      <c r="AE81" s="109">
        <f t="shared" si="5"/>
        <v>0</v>
      </c>
      <c r="AF81" s="109">
        <f t="shared" si="6"/>
        <v>31324.582800000004</v>
      </c>
      <c r="AG81" s="109">
        <f t="shared" si="7"/>
        <v>158860.3842</v>
      </c>
      <c r="AH81" s="109">
        <v>154.22999999999999</v>
      </c>
      <c r="AI81" s="109">
        <f>((AA81*'CALCULO GERAL'!$C$11))*0.08+20</f>
        <v>2549.576</v>
      </c>
      <c r="AJ81" s="109">
        <v>1010</v>
      </c>
      <c r="AK81" s="109">
        <v>2500</v>
      </c>
      <c r="AL81" s="109">
        <f>(AA81*('CALCULO GERAL'!$C$11*1.02))-(AA81*'CALCULO GERAL'!$C$11)</f>
        <v>632.39400000000387</v>
      </c>
      <c r="AM81" s="109">
        <v>1800</v>
      </c>
      <c r="AN81" s="109">
        <v>2600</v>
      </c>
      <c r="AO81" s="109">
        <v>9400</v>
      </c>
      <c r="AP81" s="109">
        <v>1000</v>
      </c>
      <c r="AQ81" s="109">
        <f t="shared" si="39"/>
        <v>-31324.582800000004</v>
      </c>
      <c r="AR81" s="109">
        <f t="shared" si="40"/>
        <v>-158860.3842</v>
      </c>
      <c r="AS81" s="109"/>
      <c r="AT81" s="109">
        <f t="shared" si="44"/>
        <v>2035369.3800000001</v>
      </c>
      <c r="AU81" s="111">
        <f t="shared" si="8"/>
        <v>203.53693800000002</v>
      </c>
      <c r="AV81" s="109">
        <f>IFERROR((BS81*'CALCULO GERAL'!$E$11)/N81,0)</f>
        <v>5.5821318</v>
      </c>
      <c r="AW81" s="109">
        <f>AU81/'CALCULO GERAL'!$C$11</f>
        <v>40.553285116557085</v>
      </c>
      <c r="AX81" s="109">
        <f>BP81-BB81-BD81*'CALCULO GERAL'!$C$11</f>
        <v>274.91999114999999</v>
      </c>
      <c r="AY81" s="109">
        <f t="shared" si="24"/>
        <v>4.5361798539749998</v>
      </c>
      <c r="AZ81" s="109">
        <f t="shared" si="9"/>
        <v>20.893919327399999</v>
      </c>
      <c r="BA81" s="109">
        <f t="shared" si="10"/>
        <v>279.10658999999998</v>
      </c>
      <c r="BB81" s="109">
        <f t="shared" si="11"/>
        <v>4.1865988499999993</v>
      </c>
      <c r="BC81" s="109">
        <f t="shared" si="12"/>
        <v>279.10658999999998</v>
      </c>
      <c r="BD81" s="109">
        <f t="shared" si="13"/>
        <v>0</v>
      </c>
      <c r="BE81" s="109">
        <f t="shared" si="41"/>
        <v>223285.272</v>
      </c>
      <c r="BF81" s="109">
        <f t="shared" si="42"/>
        <v>334927.908</v>
      </c>
      <c r="BG81" s="109">
        <f t="shared" si="14"/>
        <v>3.014351172</v>
      </c>
      <c r="BH81" s="109">
        <f t="shared" si="15"/>
        <v>3.3492790799999996</v>
      </c>
      <c r="BI81" s="109">
        <f t="shared" si="16"/>
        <v>-1.6328528200000001</v>
      </c>
      <c r="BJ81" s="109">
        <f t="shared" si="27"/>
        <v>39.929607263375004</v>
      </c>
      <c r="BK81" s="109">
        <f t="shared" si="45"/>
        <v>243.46654526337502</v>
      </c>
      <c r="BL81" s="148">
        <v>0.74</v>
      </c>
      <c r="BM81" s="112">
        <f>ROUND((AW81/BL81)+((AW81*BL81)*'CALCULO GERAL'!$E$11)/BL81,2)</f>
        <v>55.61</v>
      </c>
      <c r="BN81" s="186">
        <f t="shared" si="17"/>
        <v>55.61</v>
      </c>
      <c r="BO81" s="186">
        <f t="shared" si="46"/>
        <v>65.156000000000006</v>
      </c>
      <c r="BP81" s="109">
        <f>BM81*'CALCULO GERAL'!$C$11</f>
        <v>279.10658999999998</v>
      </c>
      <c r="BQ81" s="109">
        <f>BO81*'CALCULO GERAL'!$C$11</f>
        <v>327.01796400000006</v>
      </c>
      <c r="BR81" s="186">
        <f>BN81*'CALCULO GERAL'!$C$11</f>
        <v>279.10658999999998</v>
      </c>
      <c r="BS81" s="109">
        <f t="shared" si="18"/>
        <v>2791065.9</v>
      </c>
      <c r="BT81" s="109">
        <f t="shared" si="43"/>
        <v>755696.51999999979</v>
      </c>
      <c r="BU81" s="109">
        <f t="shared" si="19"/>
        <v>2791065.9</v>
      </c>
      <c r="BV81" s="109">
        <f t="shared" si="50"/>
        <v>2434665.4526337502</v>
      </c>
      <c r="BW81" s="109">
        <f t="shared" si="47"/>
        <v>356400.44736624975</v>
      </c>
      <c r="BX81" s="114">
        <f t="shared" si="20"/>
        <v>0.12769331149302127</v>
      </c>
      <c r="BY81" s="152">
        <f t="shared" si="51"/>
        <v>0.74</v>
      </c>
      <c r="CA81" s="55"/>
      <c r="CB81" s="113"/>
      <c r="CC81" s="113"/>
      <c r="CE81" s="152">
        <f t="shared" si="52"/>
        <v>0</v>
      </c>
      <c r="CF81" s="152">
        <f t="shared" si="48"/>
        <v>1</v>
      </c>
      <c r="CG81" s="152">
        <f t="shared" si="49"/>
        <v>1</v>
      </c>
      <c r="CH81" s="34"/>
      <c r="CJ81" s="11"/>
      <c r="CK81" s="11"/>
    </row>
    <row r="82" spans="1:89" s="152" customFormat="1" x14ac:dyDescent="0.2">
      <c r="A82" s="228" t="s">
        <v>215</v>
      </c>
      <c r="B82" s="187" t="s">
        <v>174</v>
      </c>
      <c r="C82" s="8">
        <v>0.14399999999999999</v>
      </c>
      <c r="D82" s="8">
        <v>0</v>
      </c>
      <c r="E82" s="7">
        <v>2.1000000000000001E-2</v>
      </c>
      <c r="F82" s="7">
        <v>0.1065</v>
      </c>
      <c r="G82" s="1">
        <v>1.6500000000000001E-2</v>
      </c>
      <c r="H82" s="1">
        <v>7.5999999999999998E-2</v>
      </c>
      <c r="I82" s="1">
        <v>0.18</v>
      </c>
      <c r="J82" s="1">
        <v>0.04</v>
      </c>
      <c r="K82" s="1">
        <v>0.14000000000000001</v>
      </c>
      <c r="L82" s="1">
        <v>1.4999999999999999E-2</v>
      </c>
      <c r="M82" s="2" t="s">
        <v>175</v>
      </c>
      <c r="N82" s="105">
        <v>4600</v>
      </c>
      <c r="O82" s="119"/>
      <c r="P82" s="119"/>
      <c r="Q82" s="119"/>
      <c r="R82" s="119"/>
      <c r="S82" s="119"/>
      <c r="T82" s="119"/>
      <c r="U82" s="119"/>
      <c r="V82" s="119">
        <v>17.05</v>
      </c>
      <c r="W82" s="119"/>
      <c r="X82" s="119">
        <f>MIN(O82:W82)</f>
        <v>17.05</v>
      </c>
      <c r="Y82" s="118">
        <f>AVERAGE(O82:W82)</f>
        <v>17.05</v>
      </c>
      <c r="Z82" s="109">
        <f>Y82*N82</f>
        <v>78430</v>
      </c>
      <c r="AA82" s="109">
        <f>'CALCULO GERAL'!$G$10</f>
        <v>6300</v>
      </c>
      <c r="AB82" s="109">
        <f>Z82+AA82</f>
        <v>84730</v>
      </c>
      <c r="AC82" s="109">
        <f>AB82*'CALCULO GERAL'!$C$11</f>
        <v>425259.87</v>
      </c>
      <c r="AD82" s="109">
        <f>AC82*C82</f>
        <v>61237.421279999995</v>
      </c>
      <c r="AE82" s="109">
        <f>(AC82+AD82)*D82</f>
        <v>0</v>
      </c>
      <c r="AF82" s="109">
        <f>AC82*E82</f>
        <v>8930.4572700000008</v>
      </c>
      <c r="AG82" s="109">
        <f>AC82*F82</f>
        <v>45290.176155000001</v>
      </c>
      <c r="AH82" s="109">
        <v>154.22999999999999</v>
      </c>
      <c r="AI82" s="109">
        <f>((AA82*'CALCULO GERAL'!$C$11))*0.08+20</f>
        <v>2549.576</v>
      </c>
      <c r="AJ82" s="109">
        <v>1010</v>
      </c>
      <c r="AK82" s="109">
        <v>2500</v>
      </c>
      <c r="AL82" s="109">
        <f>(AA82*('CALCULO GERAL'!$C$11*1.02))-(AA82*'CALCULO GERAL'!$C$11)</f>
        <v>632.39400000000387</v>
      </c>
      <c r="AM82" s="109">
        <v>1800</v>
      </c>
      <c r="AN82" s="109">
        <v>2600</v>
      </c>
      <c r="AO82" s="109">
        <v>9400</v>
      </c>
      <c r="AP82" s="109">
        <v>1000</v>
      </c>
      <c r="AQ82" s="109">
        <f t="shared" si="39"/>
        <v>-8930.4572700000008</v>
      </c>
      <c r="AR82" s="109">
        <f t="shared" si="40"/>
        <v>-45290.176155000001</v>
      </c>
      <c r="AS82" s="109"/>
      <c r="AT82" s="109">
        <f t="shared" si="44"/>
        <v>508143.49127999996</v>
      </c>
      <c r="AU82" s="111">
        <f>IFERROR((AT82/N82),0)</f>
        <v>110.46597636521739</v>
      </c>
      <c r="AV82" s="109">
        <f>IFERROR((BS82*'CALCULO GERAL'!$E$11)/N82,0)</f>
        <v>0</v>
      </c>
      <c r="AW82" s="109">
        <f>AU82/'CALCULO GERAL'!$C$11</f>
        <v>22.009558949037135</v>
      </c>
      <c r="AX82" s="109" t="e">
        <f>BP82-BB82-BD82*'CALCULO GERAL'!$C$11</f>
        <v>#DIV/0!</v>
      </c>
      <c r="AY82" s="109" t="e">
        <f>AX82*G82</f>
        <v>#DIV/0!</v>
      </c>
      <c r="AZ82" s="109" t="e">
        <f>AX82*H82</f>
        <v>#DIV/0!</v>
      </c>
      <c r="BA82" s="109" t="e">
        <f>BP82-BD82</f>
        <v>#DIV/0!</v>
      </c>
      <c r="BB82" s="109" t="e">
        <f>BA82*L82</f>
        <v>#DIV/0!</v>
      </c>
      <c r="BC82" s="109" t="e">
        <f>BP82/(1+D82)</f>
        <v>#DIV/0!</v>
      </c>
      <c r="BD82" s="109" t="e">
        <f>BC82*D82</f>
        <v>#DIV/0!</v>
      </c>
      <c r="BE82" s="109" t="e">
        <f t="shared" si="41"/>
        <v>#DIV/0!</v>
      </c>
      <c r="BF82" s="109" t="e">
        <f t="shared" si="42"/>
        <v>#DIV/0!</v>
      </c>
      <c r="BG82" s="109" t="e">
        <f>(BF82*0.09)/N82</f>
        <v>#DIV/0!</v>
      </c>
      <c r="BH82" s="109" t="e">
        <f>(BE82*0.15)/N82</f>
        <v>#DIV/0!</v>
      </c>
      <c r="BI82" s="109" t="e">
        <f>IF(BE82&gt;=$BY$1,($BY$1-BE82)*0.1,IF(BE82&lt;=$BY$1,($BY$1*0)))/N82</f>
        <v>#DIV/0!</v>
      </c>
      <c r="BJ82" s="109" t="e">
        <f>(AY82+AZ82+BB82+AV82+BD82+BG82+BH82+BI82)</f>
        <v>#DIV/0!</v>
      </c>
      <c r="BK82" s="109" t="e">
        <f t="shared" ref="BK82:BK88" si="53">BJ82+AU82</f>
        <v>#DIV/0!</v>
      </c>
      <c r="BL82" s="148" t="e">
        <v>#DIV/0!</v>
      </c>
      <c r="BM82" s="112" t="e">
        <f>ROUND((AW82/BL82)+((AW82*BL82)*'CALCULO GERAL'!$E$11)/BL82,2)</f>
        <v>#DIV/0!</v>
      </c>
      <c r="BN82" s="186" t="e">
        <f t="shared" si="17"/>
        <v>#DIV/0!</v>
      </c>
      <c r="BO82" s="186" t="e">
        <f t="shared" si="46"/>
        <v>#DIV/0!</v>
      </c>
      <c r="BP82" s="109" t="e">
        <f>BM82*'CALCULO GERAL'!$C$11</f>
        <v>#DIV/0!</v>
      </c>
      <c r="BQ82" s="109" t="e">
        <f>BO82*'CALCULO GERAL'!$C$11</f>
        <v>#DIV/0!</v>
      </c>
      <c r="BR82" s="186" t="e">
        <f>BN82*'CALCULO GERAL'!$C$11</f>
        <v>#DIV/0!</v>
      </c>
      <c r="BS82" s="109" t="e">
        <f>BP82*N82</f>
        <v>#DIV/0!</v>
      </c>
      <c r="BT82" s="109" t="e">
        <f t="shared" si="43"/>
        <v>#DIV/0!</v>
      </c>
      <c r="BU82" s="109" t="e">
        <f>BR82*N82</f>
        <v>#DIV/0!</v>
      </c>
      <c r="BV82" s="109" t="e">
        <f t="shared" si="50"/>
        <v>#DIV/0!</v>
      </c>
      <c r="BW82" s="109" t="e">
        <f t="shared" si="47"/>
        <v>#DIV/0!</v>
      </c>
      <c r="BX82" s="114" t="e">
        <f>(((BK82*N82)-BS82)/BS82*-1)</f>
        <v>#DIV/0!</v>
      </c>
      <c r="BY82" s="152" t="e">
        <f t="shared" si="51"/>
        <v>#DIV/0!</v>
      </c>
      <c r="CA82" s="55"/>
      <c r="CB82" s="113"/>
      <c r="CC82" s="113"/>
      <c r="CE82" s="152" t="e">
        <f t="shared" si="52"/>
        <v>#DIV/0!</v>
      </c>
      <c r="CF82" s="152" t="e">
        <f t="shared" si="48"/>
        <v>#DIV/0!</v>
      </c>
      <c r="CG82" s="152" t="e">
        <f t="shared" si="49"/>
        <v>#DIV/0!</v>
      </c>
      <c r="CH82" s="34"/>
      <c r="CJ82" s="11"/>
      <c r="CK82" s="11"/>
    </row>
    <row r="83" spans="1:89" s="152" customFormat="1" x14ac:dyDescent="0.2">
      <c r="A83" s="228" t="s">
        <v>216</v>
      </c>
      <c r="B83" s="187" t="s">
        <v>174</v>
      </c>
      <c r="C83" s="8">
        <v>0.14399999999999999</v>
      </c>
      <c r="D83" s="8">
        <v>0</v>
      </c>
      <c r="E83" s="7">
        <v>2.1000000000000001E-2</v>
      </c>
      <c r="F83" s="7">
        <v>0.1065</v>
      </c>
      <c r="G83" s="1">
        <v>1.6500000000000001E-2</v>
      </c>
      <c r="H83" s="1">
        <v>7.5999999999999998E-2</v>
      </c>
      <c r="I83" s="1">
        <v>0.18</v>
      </c>
      <c r="J83" s="1">
        <v>0.04</v>
      </c>
      <c r="K83" s="1">
        <v>0.14000000000000001</v>
      </c>
      <c r="L83" s="1">
        <v>1.4999999999999999E-2</v>
      </c>
      <c r="M83" s="2" t="s">
        <v>175</v>
      </c>
      <c r="N83" s="105">
        <v>3840</v>
      </c>
      <c r="O83" s="119"/>
      <c r="P83" s="119"/>
      <c r="Q83" s="119"/>
      <c r="R83" s="119"/>
      <c r="S83" s="119"/>
      <c r="T83" s="119"/>
      <c r="U83" s="119"/>
      <c r="V83" s="119">
        <v>21.88</v>
      </c>
      <c r="W83" s="119"/>
      <c r="X83" s="119">
        <f t="shared" si="0"/>
        <v>21.88</v>
      </c>
      <c r="Y83" s="118">
        <f t="shared" si="1"/>
        <v>21.88</v>
      </c>
      <c r="Z83" s="109">
        <f t="shared" si="2"/>
        <v>84019.199999999997</v>
      </c>
      <c r="AA83" s="109">
        <f>'CALCULO GERAL'!$G$10</f>
        <v>6300</v>
      </c>
      <c r="AB83" s="109">
        <f t="shared" si="3"/>
        <v>90319.2</v>
      </c>
      <c r="AC83" s="109">
        <f>AB83*'CALCULO GERAL'!$C$11</f>
        <v>453312.06479999999</v>
      </c>
      <c r="AD83" s="109">
        <f t="shared" si="4"/>
        <v>65276.937331199995</v>
      </c>
      <c r="AE83" s="109">
        <f t="shared" si="5"/>
        <v>0</v>
      </c>
      <c r="AF83" s="109">
        <f t="shared" si="6"/>
        <v>9519.5533608000005</v>
      </c>
      <c r="AG83" s="109">
        <f t="shared" si="7"/>
        <v>48277.734901199998</v>
      </c>
      <c r="AH83" s="109">
        <v>154.22999999999999</v>
      </c>
      <c r="AI83" s="109">
        <f>((AA83*'CALCULO GERAL'!$C$11))*0.08+20</f>
        <v>2549.576</v>
      </c>
      <c r="AJ83" s="109">
        <v>1010</v>
      </c>
      <c r="AK83" s="109">
        <v>2500</v>
      </c>
      <c r="AL83" s="109">
        <f>(AA83*('CALCULO GERAL'!$C$11*1.02))-(AA83*'CALCULO GERAL'!$C$11)</f>
        <v>632.39400000000387</v>
      </c>
      <c r="AM83" s="109">
        <v>1800</v>
      </c>
      <c r="AN83" s="109">
        <v>2600</v>
      </c>
      <c r="AO83" s="109">
        <v>9400</v>
      </c>
      <c r="AP83" s="109">
        <v>1000</v>
      </c>
      <c r="AQ83" s="109">
        <f t="shared" si="39"/>
        <v>-9519.5533608000005</v>
      </c>
      <c r="AR83" s="109">
        <f t="shared" si="40"/>
        <v>-48277.734901199998</v>
      </c>
      <c r="AS83" s="109"/>
      <c r="AT83" s="109">
        <f t="shared" si="44"/>
        <v>540235.20213119988</v>
      </c>
      <c r="AU83" s="111">
        <f t="shared" si="8"/>
        <v>140.68625055499996</v>
      </c>
      <c r="AV83" s="109">
        <f>IFERROR((BS83*'CALCULO GERAL'!$E$11)/N83,0)</f>
        <v>3.6638700000000006</v>
      </c>
      <c r="AW83" s="109">
        <f>AU83/'CALCULO GERAL'!$C$11</f>
        <v>28.030733324367393</v>
      </c>
      <c r="AX83" s="109">
        <f>BP83-BB83-BD83*'CALCULO GERAL'!$C$11</f>
        <v>180.44559749999999</v>
      </c>
      <c r="AY83" s="109">
        <f t="shared" si="24"/>
        <v>2.9773523587500001</v>
      </c>
      <c r="AZ83" s="109">
        <f t="shared" si="9"/>
        <v>13.713865409999999</v>
      </c>
      <c r="BA83" s="109">
        <f t="shared" si="10"/>
        <v>183.1935</v>
      </c>
      <c r="BB83" s="109">
        <f t="shared" si="11"/>
        <v>2.7479024999999999</v>
      </c>
      <c r="BC83" s="109">
        <f t="shared" si="12"/>
        <v>183.1935</v>
      </c>
      <c r="BD83" s="109">
        <f t="shared" si="13"/>
        <v>0</v>
      </c>
      <c r="BE83" s="109">
        <f t="shared" si="41"/>
        <v>56277.043200000007</v>
      </c>
      <c r="BF83" s="109">
        <f t="shared" si="42"/>
        <v>84415.564800000007</v>
      </c>
      <c r="BG83" s="109">
        <f t="shared" si="14"/>
        <v>1.9784898</v>
      </c>
      <c r="BH83" s="109">
        <f t="shared" si="15"/>
        <v>2.1983220000000001</v>
      </c>
      <c r="BI83" s="109">
        <f t="shared" si="16"/>
        <v>0</v>
      </c>
      <c r="BJ83" s="109">
        <f t="shared" si="27"/>
        <v>27.279802068749998</v>
      </c>
      <c r="BK83" s="109">
        <f t="shared" si="53"/>
        <v>167.96605262374996</v>
      </c>
      <c r="BL83" s="148">
        <v>0.78</v>
      </c>
      <c r="BM83" s="112">
        <f>ROUND((AW83/BL83)+((AW83*BL83)*'CALCULO GERAL'!$E$11)/BL83,2)</f>
        <v>36.5</v>
      </c>
      <c r="BN83" s="186">
        <f t="shared" si="17"/>
        <v>36.5</v>
      </c>
      <c r="BO83" s="186">
        <f t="shared" si="46"/>
        <v>42.765999999999998</v>
      </c>
      <c r="BP83" s="109">
        <f>BM83*'CALCULO GERAL'!$C$11</f>
        <v>183.1935</v>
      </c>
      <c r="BQ83" s="109">
        <f>BO83*'CALCULO GERAL'!$C$11</f>
        <v>214.64255399999999</v>
      </c>
      <c r="BR83" s="186">
        <f>BN83*'CALCULO GERAL'!$C$11</f>
        <v>183.1935</v>
      </c>
      <c r="BS83" s="109">
        <f t="shared" si="18"/>
        <v>703463.04</v>
      </c>
      <c r="BT83" s="109">
        <f t="shared" si="43"/>
        <v>163227.83786880015</v>
      </c>
      <c r="BU83" s="109">
        <f t="shared" si="19"/>
        <v>703463.04</v>
      </c>
      <c r="BV83" s="109">
        <f t="shared" si="50"/>
        <v>644989.64207519987</v>
      </c>
      <c r="BW83" s="109">
        <f t="shared" si="47"/>
        <v>58473.397924800171</v>
      </c>
      <c r="BX83" s="114">
        <f t="shared" si="20"/>
        <v>8.3122203441989173E-2</v>
      </c>
      <c r="BY83" s="152">
        <f t="shared" si="51"/>
        <v>0.78</v>
      </c>
      <c r="CA83" s="55"/>
      <c r="CB83" s="113"/>
      <c r="CC83" s="113"/>
      <c r="CE83" s="152">
        <f t="shared" si="52"/>
        <v>0</v>
      </c>
      <c r="CF83" s="152">
        <f t="shared" si="48"/>
        <v>1</v>
      </c>
      <c r="CG83" s="152">
        <f t="shared" si="49"/>
        <v>1</v>
      </c>
      <c r="CH83" s="34"/>
      <c r="CJ83" s="11"/>
      <c r="CK83" s="11"/>
    </row>
    <row r="84" spans="1:89" s="152" customFormat="1" x14ac:dyDescent="0.2">
      <c r="A84" s="228" t="s">
        <v>217</v>
      </c>
      <c r="B84" s="187" t="s">
        <v>174</v>
      </c>
      <c r="C84" s="8">
        <v>0.14399999999999999</v>
      </c>
      <c r="D84" s="8">
        <v>0</v>
      </c>
      <c r="E84" s="7">
        <v>2.1000000000000001E-2</v>
      </c>
      <c r="F84" s="7">
        <v>0.1065</v>
      </c>
      <c r="G84" s="1">
        <v>1.6500000000000001E-2</v>
      </c>
      <c r="H84" s="1">
        <v>7.5999999999999998E-2</v>
      </c>
      <c r="I84" s="1">
        <v>0.18</v>
      </c>
      <c r="J84" s="1">
        <v>0.04</v>
      </c>
      <c r="K84" s="1">
        <v>0.14000000000000001</v>
      </c>
      <c r="L84" s="1">
        <v>1.4999999999999999E-2</v>
      </c>
      <c r="M84" s="2" t="s">
        <v>175</v>
      </c>
      <c r="N84" s="105">
        <v>2944</v>
      </c>
      <c r="O84" s="119"/>
      <c r="P84" s="119"/>
      <c r="Q84" s="119"/>
      <c r="R84" s="119"/>
      <c r="S84" s="119"/>
      <c r="T84" s="119"/>
      <c r="U84" s="119"/>
      <c r="V84" s="119">
        <v>24.62</v>
      </c>
      <c r="W84" s="119"/>
      <c r="X84" s="119">
        <f t="shared" si="0"/>
        <v>24.62</v>
      </c>
      <c r="Y84" s="118">
        <f t="shared" si="1"/>
        <v>24.62</v>
      </c>
      <c r="Z84" s="109">
        <f t="shared" si="2"/>
        <v>72481.279999999999</v>
      </c>
      <c r="AA84" s="109">
        <f>'CALCULO GERAL'!$G$10</f>
        <v>6300</v>
      </c>
      <c r="AB84" s="109">
        <f t="shared" si="3"/>
        <v>78781.279999999999</v>
      </c>
      <c r="AC84" s="109">
        <f>AB84*'CALCULO GERAL'!$C$11</f>
        <v>395403.24432</v>
      </c>
      <c r="AD84" s="109">
        <f t="shared" si="4"/>
        <v>56938.067182079998</v>
      </c>
      <c r="AE84" s="109">
        <f t="shared" si="5"/>
        <v>0</v>
      </c>
      <c r="AF84" s="109">
        <f t="shared" si="6"/>
        <v>8303.4681307200008</v>
      </c>
      <c r="AG84" s="109">
        <f t="shared" si="7"/>
        <v>42110.44552008</v>
      </c>
      <c r="AH84" s="109">
        <v>154.22999999999999</v>
      </c>
      <c r="AI84" s="109">
        <f>((AA84*'CALCULO GERAL'!$C$11))*0.08+20</f>
        <v>2549.576</v>
      </c>
      <c r="AJ84" s="109">
        <v>1010</v>
      </c>
      <c r="AK84" s="109">
        <v>2500</v>
      </c>
      <c r="AL84" s="109">
        <f>(AA84*('CALCULO GERAL'!$C$11*1.02))-(AA84*'CALCULO GERAL'!$C$11)</f>
        <v>632.39400000000387</v>
      </c>
      <c r="AM84" s="109">
        <v>1800</v>
      </c>
      <c r="AN84" s="109">
        <v>2600</v>
      </c>
      <c r="AO84" s="109">
        <v>9400</v>
      </c>
      <c r="AP84" s="109">
        <v>1000</v>
      </c>
      <c r="AQ84" s="109">
        <f t="shared" si="39"/>
        <v>-8303.4681307200008</v>
      </c>
      <c r="AR84" s="109">
        <f t="shared" si="40"/>
        <v>-42110.44552008</v>
      </c>
      <c r="AS84" s="109"/>
      <c r="AT84" s="109">
        <f t="shared" si="44"/>
        <v>473987.51150208001</v>
      </c>
      <c r="AU84" s="111">
        <f t="shared" si="8"/>
        <v>161.00119276565218</v>
      </c>
      <c r="AV84" s="109">
        <f>IFERROR((BS84*'CALCULO GERAL'!$E$11)/N84,0)</f>
        <v>4.2460740000000001</v>
      </c>
      <c r="AW84" s="109">
        <f>AU84/'CALCULO GERAL'!$C$11</f>
        <v>32.078340857870529</v>
      </c>
      <c r="AX84" s="109">
        <f>BP84-BB84-BD84*'CALCULO GERAL'!$C$11</f>
        <v>209.1191445</v>
      </c>
      <c r="AY84" s="109">
        <f t="shared" si="24"/>
        <v>3.4504658842500002</v>
      </c>
      <c r="AZ84" s="109">
        <f t="shared" si="9"/>
        <v>15.893054982000001</v>
      </c>
      <c r="BA84" s="109">
        <f t="shared" si="10"/>
        <v>212.30369999999999</v>
      </c>
      <c r="BB84" s="109">
        <f t="shared" si="11"/>
        <v>3.1845554999999997</v>
      </c>
      <c r="BC84" s="109">
        <f t="shared" si="12"/>
        <v>212.30369999999999</v>
      </c>
      <c r="BD84" s="109">
        <f t="shared" si="13"/>
        <v>0</v>
      </c>
      <c r="BE84" s="109">
        <f t="shared" si="41"/>
        <v>50001.767423999998</v>
      </c>
      <c r="BF84" s="109">
        <f t="shared" si="42"/>
        <v>75002.651136</v>
      </c>
      <c r="BG84" s="109">
        <f t="shared" si="14"/>
        <v>2.2928799600000001</v>
      </c>
      <c r="BH84" s="109">
        <f t="shared" si="15"/>
        <v>2.5476443999999998</v>
      </c>
      <c r="BI84" s="109">
        <f t="shared" si="16"/>
        <v>0</v>
      </c>
      <c r="BJ84" s="109">
        <f t="shared" si="27"/>
        <v>31.614674726249998</v>
      </c>
      <c r="BK84" s="109">
        <f t="shared" si="53"/>
        <v>192.61586749190218</v>
      </c>
      <c r="BL84" s="148">
        <v>0.77</v>
      </c>
      <c r="BM84" s="112">
        <f>ROUND((AW84/BL84)+((AW84*BL84)*'CALCULO GERAL'!$E$11)/BL84,2)</f>
        <v>42.3</v>
      </c>
      <c r="BN84" s="186">
        <f t="shared" si="17"/>
        <v>42.3</v>
      </c>
      <c r="BO84" s="186">
        <f t="shared" si="46"/>
        <v>49.561</v>
      </c>
      <c r="BP84" s="109">
        <f>BM84*'CALCULO GERAL'!$C$11</f>
        <v>212.30369999999999</v>
      </c>
      <c r="BQ84" s="109">
        <f>BO84*'CALCULO GERAL'!$C$11</f>
        <v>248.74665899999999</v>
      </c>
      <c r="BR84" s="186">
        <f>BN84*'CALCULO GERAL'!$C$11</f>
        <v>212.30369999999999</v>
      </c>
      <c r="BS84" s="109">
        <f t="shared" si="18"/>
        <v>625022.09279999998</v>
      </c>
      <c r="BT84" s="109">
        <f t="shared" si="43"/>
        <v>151034.58129791997</v>
      </c>
      <c r="BU84" s="109">
        <f t="shared" si="19"/>
        <v>625022.09279999998</v>
      </c>
      <c r="BV84" s="109">
        <f t="shared" si="50"/>
        <v>567061.11389616004</v>
      </c>
      <c r="BW84" s="109">
        <f t="shared" si="47"/>
        <v>57960.978903839947</v>
      </c>
      <c r="BX84" s="114">
        <f t="shared" si="20"/>
        <v>9.2734288230011105E-2</v>
      </c>
      <c r="BY84" s="152">
        <f t="shared" si="51"/>
        <v>0.77</v>
      </c>
      <c r="CA84" s="55"/>
      <c r="CB84" s="113"/>
      <c r="CC84" s="113"/>
      <c r="CE84" s="152">
        <f t="shared" si="52"/>
        <v>0</v>
      </c>
      <c r="CF84" s="152">
        <f t="shared" si="48"/>
        <v>1</v>
      </c>
      <c r="CG84" s="152">
        <f t="shared" si="49"/>
        <v>1</v>
      </c>
      <c r="CH84" s="34"/>
      <c r="CJ84" s="11"/>
      <c r="CK84" s="11"/>
    </row>
    <row r="85" spans="1:89" s="152" customFormat="1" x14ac:dyDescent="0.2">
      <c r="A85" s="228" t="s">
        <v>218</v>
      </c>
      <c r="B85" s="187" t="s">
        <v>174</v>
      </c>
      <c r="C85" s="8">
        <v>0.14399999999999999</v>
      </c>
      <c r="D85" s="8">
        <v>0</v>
      </c>
      <c r="E85" s="7">
        <v>2.1000000000000001E-2</v>
      </c>
      <c r="F85" s="7">
        <v>0.1065</v>
      </c>
      <c r="G85" s="1">
        <v>1.6500000000000001E-2</v>
      </c>
      <c r="H85" s="1">
        <v>7.5999999999999998E-2</v>
      </c>
      <c r="I85" s="1">
        <v>0.18</v>
      </c>
      <c r="J85" s="1">
        <v>0.04</v>
      </c>
      <c r="K85" s="1">
        <v>0.14000000000000001</v>
      </c>
      <c r="L85" s="1">
        <v>1.4999999999999999E-2</v>
      </c>
      <c r="M85" s="2" t="s">
        <v>175</v>
      </c>
      <c r="N85" s="105">
        <v>1920</v>
      </c>
      <c r="O85" s="119"/>
      <c r="P85" s="119"/>
      <c r="Q85" s="119"/>
      <c r="R85" s="119"/>
      <c r="S85" s="119"/>
      <c r="T85" s="119"/>
      <c r="U85" s="119"/>
      <c r="V85" s="119">
        <v>28.34</v>
      </c>
      <c r="W85" s="119"/>
      <c r="X85" s="119">
        <f>MIN(O85:W85)</f>
        <v>28.34</v>
      </c>
      <c r="Y85" s="118">
        <f>AVERAGE(O85:W85)</f>
        <v>28.34</v>
      </c>
      <c r="Z85" s="109">
        <f>Y85*N85</f>
        <v>54412.800000000003</v>
      </c>
      <c r="AA85" s="109">
        <f>'CALCULO GERAL'!$G$10</f>
        <v>6300</v>
      </c>
      <c r="AB85" s="109">
        <f>Z85+AA85</f>
        <v>60712.800000000003</v>
      </c>
      <c r="AC85" s="109">
        <f>AB85*'CALCULO GERAL'!$C$11</f>
        <v>304717.54320000001</v>
      </c>
      <c r="AD85" s="109">
        <f>AC85*C85</f>
        <v>43879.326220800001</v>
      </c>
      <c r="AE85" s="109">
        <f>(AC85+AD85)*D85</f>
        <v>0</v>
      </c>
      <c r="AF85" s="109">
        <f>AC85*E85</f>
        <v>6399.0684072000004</v>
      </c>
      <c r="AG85" s="109">
        <f>AC85*F85</f>
        <v>32452.418350800002</v>
      </c>
      <c r="AH85" s="109">
        <v>154.22999999999999</v>
      </c>
      <c r="AI85" s="109">
        <f>((AA85*'CALCULO GERAL'!$C$11))*0.08+20</f>
        <v>2549.576</v>
      </c>
      <c r="AJ85" s="109">
        <v>1010</v>
      </c>
      <c r="AK85" s="109">
        <v>2500</v>
      </c>
      <c r="AL85" s="109">
        <f>(AA85*('CALCULO GERAL'!$C$11*1.02))-(AA85*'CALCULO GERAL'!$C$11)</f>
        <v>632.39400000000387</v>
      </c>
      <c r="AM85" s="109">
        <v>1800</v>
      </c>
      <c r="AN85" s="109">
        <v>2600</v>
      </c>
      <c r="AO85" s="109">
        <v>9400</v>
      </c>
      <c r="AP85" s="109">
        <v>1000</v>
      </c>
      <c r="AQ85" s="109">
        <f t="shared" si="39"/>
        <v>-6399.0684072000004</v>
      </c>
      <c r="AR85" s="109">
        <f t="shared" si="40"/>
        <v>-32452.418350800002</v>
      </c>
      <c r="AS85" s="109"/>
      <c r="AT85" s="109">
        <f t="shared" si="44"/>
        <v>370243.06942080002</v>
      </c>
      <c r="AU85" s="111">
        <f>IFERROR((AT85/N85),0)</f>
        <v>192.83493199</v>
      </c>
      <c r="AV85" s="109">
        <f>IFERROR((BS85*'CALCULO GERAL'!$E$11)/N85,0)</f>
        <v>5.0862546000000002</v>
      </c>
      <c r="AW85" s="109">
        <f>AU85/'CALCULO GERAL'!$C$11</f>
        <v>38.420986648734804</v>
      </c>
      <c r="AX85" s="109">
        <f>BP85-BB85-BD85*'CALCULO GERAL'!$C$11</f>
        <v>250.49803905000002</v>
      </c>
      <c r="AY85" s="109">
        <f>AX85*G85</f>
        <v>4.1332176443250006</v>
      </c>
      <c r="AZ85" s="109">
        <f>AX85*H85</f>
        <v>19.037850967800001</v>
      </c>
      <c r="BA85" s="109">
        <f>BP85-BD85</f>
        <v>254.31273000000002</v>
      </c>
      <c r="BB85" s="109">
        <f>BA85*L85</f>
        <v>3.8146909500000001</v>
      </c>
      <c r="BC85" s="109">
        <f>BP85/(1+D85)</f>
        <v>254.31273000000002</v>
      </c>
      <c r="BD85" s="109">
        <f>BC85*D85</f>
        <v>0</v>
      </c>
      <c r="BE85" s="109">
        <f t="shared" si="41"/>
        <v>39062.435328</v>
      </c>
      <c r="BF85" s="109">
        <f t="shared" si="42"/>
        <v>58593.652992000003</v>
      </c>
      <c r="BG85" s="109">
        <f>(BF85*0.09)/N85</f>
        <v>2.7465774839999999</v>
      </c>
      <c r="BH85" s="109">
        <f>(BE85*0.15)/N85</f>
        <v>3.0517527599999998</v>
      </c>
      <c r="BI85" s="109">
        <f>IF(BE85&gt;=$BY$1,($BY$1-BE85)*0.1,IF(BE85&lt;=$BY$1,($BY$1*0)))/N85</f>
        <v>0</v>
      </c>
      <c r="BJ85" s="109">
        <f>(AY85+AZ85+BB85+AV85+BD85+BG85+BH85+BI85)</f>
        <v>37.870344406125</v>
      </c>
      <c r="BK85" s="109">
        <f t="shared" si="53"/>
        <v>230.70527639612499</v>
      </c>
      <c r="BL85" s="148">
        <v>0.77</v>
      </c>
      <c r="BM85" s="112">
        <f>ROUND((AW85/BL85)+((AW85*BL85)*'CALCULO GERAL'!$E$11)/BL85,2)</f>
        <v>50.67</v>
      </c>
      <c r="BN85" s="186">
        <f t="shared" si="17"/>
        <v>50.67</v>
      </c>
      <c r="BO85" s="186">
        <f t="shared" si="46"/>
        <v>59.368000000000002</v>
      </c>
      <c r="BP85" s="109">
        <f>BM85*'CALCULO GERAL'!$C$11</f>
        <v>254.31273000000002</v>
      </c>
      <c r="BQ85" s="109">
        <f>BO85*'CALCULO GERAL'!$C$11</f>
        <v>297.96799200000004</v>
      </c>
      <c r="BR85" s="186">
        <f>BN85*'CALCULO GERAL'!$C$11</f>
        <v>254.31273000000002</v>
      </c>
      <c r="BS85" s="109">
        <f>BP85*N85</f>
        <v>488280.44160000002</v>
      </c>
      <c r="BT85" s="109">
        <f t="shared" si="43"/>
        <v>118037.3721792</v>
      </c>
      <c r="BU85" s="109">
        <f>BR85*N85</f>
        <v>488280.44160000002</v>
      </c>
      <c r="BV85" s="109">
        <f t="shared" si="50"/>
        <v>442954.13068055996</v>
      </c>
      <c r="BW85" s="109">
        <f t="shared" si="47"/>
        <v>45326.31091944006</v>
      </c>
      <c r="BX85" s="114">
        <f>(((BK85*N85)-BS85)/BS85*-1)</f>
        <v>9.2828438450072992E-2</v>
      </c>
      <c r="BY85" s="152">
        <f t="shared" si="51"/>
        <v>0.77</v>
      </c>
      <c r="CA85" s="55"/>
      <c r="CB85" s="113"/>
      <c r="CC85" s="113"/>
      <c r="CE85" s="152">
        <f t="shared" si="52"/>
        <v>0</v>
      </c>
      <c r="CF85" s="152">
        <f t="shared" si="48"/>
        <v>1</v>
      </c>
      <c r="CG85" s="152">
        <f t="shared" si="49"/>
        <v>1</v>
      </c>
      <c r="CH85" s="34"/>
      <c r="CJ85" s="11"/>
      <c r="CK85" s="11"/>
    </row>
    <row r="86" spans="1:89" s="152" customFormat="1" x14ac:dyDescent="0.2">
      <c r="A86" s="228" t="s">
        <v>219</v>
      </c>
      <c r="B86" s="187" t="s">
        <v>174</v>
      </c>
      <c r="C86" s="8">
        <v>0.16200000000000001</v>
      </c>
      <c r="D86" s="8">
        <v>0</v>
      </c>
      <c r="E86" s="7">
        <v>2.1000000000000001E-2</v>
      </c>
      <c r="F86" s="7">
        <v>0.1065</v>
      </c>
      <c r="G86" s="1">
        <v>1.6500000000000001E-2</v>
      </c>
      <c r="H86" s="1">
        <v>7.5999999999999998E-2</v>
      </c>
      <c r="I86" s="1">
        <v>0.18</v>
      </c>
      <c r="J86" s="1">
        <v>0.04</v>
      </c>
      <c r="K86" s="1">
        <v>0.14000000000000001</v>
      </c>
      <c r="L86" s="1">
        <v>1.4999999999999999E-2</v>
      </c>
      <c r="M86" s="2" t="s">
        <v>175</v>
      </c>
      <c r="N86" s="105">
        <v>4600</v>
      </c>
      <c r="O86" s="119"/>
      <c r="P86" s="119"/>
      <c r="Q86" s="119"/>
      <c r="R86" s="119"/>
      <c r="S86" s="119"/>
      <c r="T86" s="119"/>
      <c r="U86" s="119">
        <v>3.69</v>
      </c>
      <c r="V86" s="119">
        <v>4.1100000000000003</v>
      </c>
      <c r="W86" s="119"/>
      <c r="X86" s="119">
        <f t="shared" ref="X86" si="54">MIN(O86:W86)</f>
        <v>3.69</v>
      </c>
      <c r="Y86" s="118">
        <f t="shared" ref="Y86" si="55">AVERAGE(O86:W86)</f>
        <v>3.9000000000000004</v>
      </c>
      <c r="Z86" s="109">
        <f t="shared" ref="Z86" si="56">Y86*N86</f>
        <v>17940</v>
      </c>
      <c r="AA86" s="109">
        <f>'CALCULO GERAL'!$G$10</f>
        <v>6300</v>
      </c>
      <c r="AB86" s="109">
        <f t="shared" ref="AB86" si="57">Z86+AA86</f>
        <v>24240</v>
      </c>
      <c r="AC86" s="109">
        <f>AB86*'CALCULO GERAL'!$C$11</f>
        <v>121660.56</v>
      </c>
      <c r="AD86" s="109">
        <f t="shared" ref="AD86" si="58">AC86*C86</f>
        <v>19709.010720000002</v>
      </c>
      <c r="AE86" s="109">
        <f t="shared" ref="AE86" si="59">(AC86+AD86)*D86</f>
        <v>0</v>
      </c>
      <c r="AF86" s="109">
        <f t="shared" ref="AF86" si="60">AC86*E86</f>
        <v>2554.87176</v>
      </c>
      <c r="AG86" s="109">
        <f t="shared" ref="AG86" si="61">AC86*F86</f>
        <v>12956.849639999999</v>
      </c>
      <c r="AH86" s="109">
        <v>154.22999999999999</v>
      </c>
      <c r="AI86" s="109">
        <f>((AA86*'CALCULO GERAL'!$C$11))*0.08+20</f>
        <v>2549.576</v>
      </c>
      <c r="AJ86" s="109">
        <v>1010</v>
      </c>
      <c r="AK86" s="109">
        <v>2500</v>
      </c>
      <c r="AL86" s="109">
        <f>(AA86*('CALCULO GERAL'!$C$11*1.02))-(AA86*'CALCULO GERAL'!$C$11)</f>
        <v>632.39400000000387</v>
      </c>
      <c r="AM86" s="109">
        <v>1800</v>
      </c>
      <c r="AN86" s="109">
        <v>2600</v>
      </c>
      <c r="AO86" s="109">
        <v>9400</v>
      </c>
      <c r="AP86" s="109">
        <v>1000</v>
      </c>
      <c r="AQ86" s="109">
        <f t="shared" si="39"/>
        <v>-2554.87176</v>
      </c>
      <c r="AR86" s="109">
        <f t="shared" si="40"/>
        <v>-12956.849639999999</v>
      </c>
      <c r="AS86" s="109"/>
      <c r="AT86" s="109">
        <f t="shared" ref="AT86" si="62">SUM(AC86:AS86)</f>
        <v>163015.77072</v>
      </c>
      <c r="AU86" s="111">
        <f t="shared" ref="AU86" si="63">IFERROR((AT86/N86),0)</f>
        <v>35.438211026086954</v>
      </c>
      <c r="AV86" s="109">
        <f>IFERROR((BS86*'CALCULO GERAL'!$E$11)/N86,0)</f>
        <v>0.95963280000000017</v>
      </c>
      <c r="AW86" s="109">
        <f>AU86/'CALCULO GERAL'!$C$11</f>
        <v>7.06081112295018</v>
      </c>
      <c r="AX86" s="109">
        <f>BP86-BB86-BD86*'CALCULO GERAL'!$C$11</f>
        <v>47.261915400000007</v>
      </c>
      <c r="AY86" s="109">
        <f t="shared" ref="AY86" si="64">AX86*G86</f>
        <v>0.77982160410000012</v>
      </c>
      <c r="AZ86" s="109">
        <f t="shared" ref="AZ86" si="65">AX86*H86</f>
        <v>3.5919055704000002</v>
      </c>
      <c r="BA86" s="109">
        <f t="shared" ref="BA86" si="66">BP86-BD86</f>
        <v>47.981640000000006</v>
      </c>
      <c r="BB86" s="109">
        <f t="shared" ref="BB86" si="67">BA86*L86</f>
        <v>0.71972460000000005</v>
      </c>
      <c r="BC86" s="109">
        <f t="shared" ref="BC86" si="68">BP86/(1+D86)</f>
        <v>47.981640000000006</v>
      </c>
      <c r="BD86" s="109">
        <f t="shared" ref="BD86" si="69">BC86*D86</f>
        <v>0</v>
      </c>
      <c r="BE86" s="109">
        <f t="shared" ref="BE86" si="70">BU86*0.08</f>
        <v>17657.243520000004</v>
      </c>
      <c r="BF86" s="109">
        <f t="shared" ref="BF86" si="71">BU86*0.12</f>
        <v>26485.865280000002</v>
      </c>
      <c r="BG86" s="109">
        <f t="shared" ref="BG86" si="72">(BF86*0.09)/N86</f>
        <v>0.51820171200000009</v>
      </c>
      <c r="BH86" s="109">
        <f t="shared" ref="BH86" si="73">(BE86*0.15)/N86</f>
        <v>0.57577968000000002</v>
      </c>
      <c r="BI86" s="109">
        <f t="shared" ref="BI86" si="74">IF(BE86&gt;=$BY$1,($BY$1-BE86)*0.1,IF(BE86&lt;=$BY$1,($BY$1*0)))/N86</f>
        <v>0</v>
      </c>
      <c r="BJ86" s="109">
        <f t="shared" ref="BJ86" si="75">(AY86+AZ86+BB86+AV86+BD86+BG86+BH86+BI86)</f>
        <v>7.1450659665000007</v>
      </c>
      <c r="BK86" s="109">
        <f t="shared" ref="BK86" si="76">BJ86+AU86</f>
        <v>42.583276992586953</v>
      </c>
      <c r="BL86" s="148">
        <v>0.75</v>
      </c>
      <c r="BM86" s="112">
        <f>ROUND((AW86/BL86)+((AW86*BL86)*'CALCULO GERAL'!$E$11)/BL86,2)</f>
        <v>9.56</v>
      </c>
      <c r="BN86" s="186">
        <f t="shared" ref="BN86" si="77">BM86</f>
        <v>9.56</v>
      </c>
      <c r="BO86" s="186">
        <f t="shared" ref="BO86" si="78">ROUND(FV(0.02,8,,BN86)*-1,3)</f>
        <v>11.201000000000001</v>
      </c>
      <c r="BP86" s="109">
        <f>BM86*'CALCULO GERAL'!$C$11</f>
        <v>47.981640000000006</v>
      </c>
      <c r="BQ86" s="109">
        <f>BO86*'CALCULO GERAL'!$C$11</f>
        <v>56.217819000000006</v>
      </c>
      <c r="BR86" s="186">
        <f>BN86*'CALCULO GERAL'!$C$11</f>
        <v>47.981640000000006</v>
      </c>
      <c r="BS86" s="109">
        <f t="shared" ref="BS86" si="79">BP86*N86</f>
        <v>220715.54400000002</v>
      </c>
      <c r="BT86" s="109">
        <f t="shared" si="43"/>
        <v>57699.773280000023</v>
      </c>
      <c r="BU86" s="109">
        <f t="shared" ref="BU86" si="80">BR86*N86</f>
        <v>220715.54400000002</v>
      </c>
      <c r="BV86" s="109">
        <f t="shared" ref="BV86" si="81">BK86*N86</f>
        <v>195883.07416589998</v>
      </c>
      <c r="BW86" s="109">
        <f t="shared" ref="BW86" si="82">BS86-BV86</f>
        <v>24832.469834100048</v>
      </c>
      <c r="BX86" s="114">
        <f t="shared" ref="BX86" si="83">(((BK86*N86)-BS86)/BS86*-1)</f>
        <v>0.11250893065374699</v>
      </c>
      <c r="BY86" s="152">
        <f t="shared" ref="BY86" si="84">ROUND(BL86,2)</f>
        <v>0.75</v>
      </c>
      <c r="CA86" s="55"/>
      <c r="CB86" s="113"/>
      <c r="CC86" s="113"/>
      <c r="CE86" s="152">
        <f t="shared" ref="CE86" si="85">CC86/BY86</f>
        <v>0</v>
      </c>
      <c r="CF86" s="152">
        <f t="shared" ref="CF86" si="86">100%-CE86</f>
        <v>1</v>
      </c>
      <c r="CG86" s="152">
        <f t="shared" ref="CG86" si="87">AVERAGE(CF86,CD86)</f>
        <v>1</v>
      </c>
      <c r="CH86" s="34"/>
      <c r="CJ86" s="11"/>
      <c r="CK86" s="11"/>
    </row>
    <row r="87" spans="1:89" s="152" customFormat="1" x14ac:dyDescent="0.2">
      <c r="A87" s="228" t="s">
        <v>220</v>
      </c>
      <c r="B87" s="187" t="s">
        <v>174</v>
      </c>
      <c r="C87" s="8">
        <v>0.16200000000000001</v>
      </c>
      <c r="D87" s="8">
        <v>0</v>
      </c>
      <c r="E87" s="7">
        <v>2.1000000000000001E-2</v>
      </c>
      <c r="F87" s="7">
        <v>0.1065</v>
      </c>
      <c r="G87" s="1">
        <v>1.6500000000000001E-2</v>
      </c>
      <c r="H87" s="1">
        <v>7.5999999999999998E-2</v>
      </c>
      <c r="I87" s="1">
        <v>0.18</v>
      </c>
      <c r="J87" s="1">
        <v>0.04</v>
      </c>
      <c r="K87" s="1">
        <v>0.14000000000000001</v>
      </c>
      <c r="L87" s="1">
        <v>1.4999999999999999E-2</v>
      </c>
      <c r="M87" s="2" t="s">
        <v>175</v>
      </c>
      <c r="N87" s="105">
        <v>3840</v>
      </c>
      <c r="O87" s="119"/>
      <c r="P87" s="119"/>
      <c r="Q87" s="119"/>
      <c r="R87" s="119"/>
      <c r="S87" s="119"/>
      <c r="T87" s="119"/>
      <c r="U87" s="119">
        <v>5.18</v>
      </c>
      <c r="V87" s="119">
        <v>5.65</v>
      </c>
      <c r="W87" s="119"/>
      <c r="X87" s="119">
        <f t="shared" si="0"/>
        <v>5.18</v>
      </c>
      <c r="Y87" s="118">
        <f t="shared" si="1"/>
        <v>5.415</v>
      </c>
      <c r="Z87" s="109">
        <f t="shared" si="2"/>
        <v>20793.599999999999</v>
      </c>
      <c r="AA87" s="109">
        <f>'CALCULO GERAL'!$G$10</f>
        <v>6300</v>
      </c>
      <c r="AB87" s="109">
        <f t="shared" si="3"/>
        <v>27093.599999999999</v>
      </c>
      <c r="AC87" s="109">
        <f>AB87*'CALCULO GERAL'!$C$11</f>
        <v>135982.77840000001</v>
      </c>
      <c r="AD87" s="109">
        <f t="shared" si="4"/>
        <v>22029.210100800003</v>
      </c>
      <c r="AE87" s="109">
        <f t="shared" si="5"/>
        <v>0</v>
      </c>
      <c r="AF87" s="109">
        <f t="shared" si="6"/>
        <v>2855.6383464000005</v>
      </c>
      <c r="AG87" s="109">
        <f t="shared" si="7"/>
        <v>14482.165899600001</v>
      </c>
      <c r="AH87" s="109">
        <v>154.22999999999999</v>
      </c>
      <c r="AI87" s="109">
        <f>((AA87*'CALCULO GERAL'!$C$11))*0.08+20</f>
        <v>2549.576</v>
      </c>
      <c r="AJ87" s="109">
        <v>1010</v>
      </c>
      <c r="AK87" s="109">
        <v>2500</v>
      </c>
      <c r="AL87" s="109">
        <f>(AA87*('CALCULO GERAL'!$C$11*1.02))-(AA87*'CALCULO GERAL'!$C$11)</f>
        <v>632.39400000000387</v>
      </c>
      <c r="AM87" s="109">
        <v>1800</v>
      </c>
      <c r="AN87" s="109">
        <v>2600</v>
      </c>
      <c r="AO87" s="109">
        <v>9400</v>
      </c>
      <c r="AP87" s="109">
        <v>1000</v>
      </c>
      <c r="AQ87" s="109">
        <f t="shared" si="39"/>
        <v>-2855.6383464000005</v>
      </c>
      <c r="AR87" s="109">
        <f t="shared" si="40"/>
        <v>-14482.165899600001</v>
      </c>
      <c r="AS87" s="109"/>
      <c r="AT87" s="109">
        <f t="shared" si="44"/>
        <v>179658.18850080002</v>
      </c>
      <c r="AU87" s="111">
        <f t="shared" si="8"/>
        <v>46.785986588750006</v>
      </c>
      <c r="AV87" s="109">
        <f>IFERROR((BS87*'CALCULO GERAL'!$E$11)/N87,0)</f>
        <v>1.2667955999999998</v>
      </c>
      <c r="AW87" s="109">
        <f>AU87/'CALCULO GERAL'!$C$11</f>
        <v>9.3217745743674048</v>
      </c>
      <c r="AX87" s="109">
        <f>BP87-BB87-BD87*'CALCULO GERAL'!$C$11</f>
        <v>62.389683299999994</v>
      </c>
      <c r="AY87" s="109">
        <f t="shared" si="24"/>
        <v>1.0294297744500001</v>
      </c>
      <c r="AZ87" s="109">
        <f t="shared" si="9"/>
        <v>4.7416159307999992</v>
      </c>
      <c r="BA87" s="109">
        <f t="shared" si="10"/>
        <v>63.339779999999998</v>
      </c>
      <c r="BB87" s="109">
        <f t="shared" si="11"/>
        <v>0.95009669999999991</v>
      </c>
      <c r="BC87" s="109">
        <f t="shared" si="12"/>
        <v>63.339779999999998</v>
      </c>
      <c r="BD87" s="109">
        <f t="shared" si="13"/>
        <v>0</v>
      </c>
      <c r="BE87" s="109">
        <f>BU87*0.08</f>
        <v>19457.980415999999</v>
      </c>
      <c r="BF87" s="109">
        <f>BU87*0.12</f>
        <v>29186.970623999998</v>
      </c>
      <c r="BG87" s="109">
        <f t="shared" si="14"/>
        <v>0.68406962399999993</v>
      </c>
      <c r="BH87" s="109">
        <f t="shared" si="15"/>
        <v>0.76007735999999992</v>
      </c>
      <c r="BI87" s="109">
        <f t="shared" si="16"/>
        <v>0</v>
      </c>
      <c r="BJ87" s="109">
        <f t="shared" si="27"/>
        <v>9.4320849892499989</v>
      </c>
      <c r="BK87" s="109">
        <f t="shared" si="53"/>
        <v>56.218071578000007</v>
      </c>
      <c r="BL87" s="148">
        <v>0.75</v>
      </c>
      <c r="BM87" s="112">
        <f>ROUND((AW87/BL87)+((AW87*BL87)*'CALCULO GERAL'!$E$11)/BL87,2)</f>
        <v>12.62</v>
      </c>
      <c r="BN87" s="186">
        <f t="shared" si="17"/>
        <v>12.62</v>
      </c>
      <c r="BO87" s="186">
        <f t="shared" si="46"/>
        <v>14.786</v>
      </c>
      <c r="BP87" s="109">
        <f>BM87*'CALCULO GERAL'!$C$11</f>
        <v>63.339779999999998</v>
      </c>
      <c r="BQ87" s="109">
        <f>BO87*'CALCULO GERAL'!$C$11</f>
        <v>74.210933999999995</v>
      </c>
      <c r="BR87" s="186">
        <f>BN87*'CALCULO GERAL'!$C$11</f>
        <v>63.339779999999998</v>
      </c>
      <c r="BS87" s="109">
        <f t="shared" si="18"/>
        <v>243224.75519999999</v>
      </c>
      <c r="BT87" s="109">
        <f t="shared" si="43"/>
        <v>63566.566699199961</v>
      </c>
      <c r="BU87" s="109">
        <f t="shared" si="19"/>
        <v>243224.75519999999</v>
      </c>
      <c r="BV87" s="109">
        <f t="shared" si="50"/>
        <v>215877.39485952002</v>
      </c>
      <c r="BW87" s="109">
        <f t="shared" si="47"/>
        <v>27347.360340479965</v>
      </c>
      <c r="BX87" s="114">
        <f t="shared" si="20"/>
        <v>0.11243658285519766</v>
      </c>
      <c r="BY87" s="152">
        <f t="shared" si="51"/>
        <v>0.75</v>
      </c>
      <c r="CA87" s="55"/>
      <c r="CB87" s="113"/>
      <c r="CC87" s="113"/>
      <c r="CE87" s="152">
        <f t="shared" si="52"/>
        <v>0</v>
      </c>
      <c r="CF87" s="152">
        <f t="shared" si="48"/>
        <v>1</v>
      </c>
      <c r="CG87" s="152">
        <f t="shared" si="49"/>
        <v>1</v>
      </c>
      <c r="CH87" s="34"/>
      <c r="CJ87" s="11"/>
      <c r="CK87" s="11"/>
    </row>
    <row r="88" spans="1:89" s="152" customFormat="1" x14ac:dyDescent="0.2">
      <c r="A88" s="228" t="s">
        <v>221</v>
      </c>
      <c r="B88" s="187" t="s">
        <v>174</v>
      </c>
      <c r="C88" s="8">
        <v>0.16200000000000001</v>
      </c>
      <c r="D88" s="8">
        <v>0</v>
      </c>
      <c r="E88" s="7">
        <v>2.1000000000000001E-2</v>
      </c>
      <c r="F88" s="7">
        <v>0.1065</v>
      </c>
      <c r="G88" s="1">
        <v>1.6500000000000001E-2</v>
      </c>
      <c r="H88" s="1">
        <v>7.5999999999999998E-2</v>
      </c>
      <c r="I88" s="1">
        <v>0.18</v>
      </c>
      <c r="J88" s="1">
        <v>0.04</v>
      </c>
      <c r="K88" s="1">
        <v>0.14000000000000001</v>
      </c>
      <c r="L88" s="1">
        <v>1.4999999999999999E-2</v>
      </c>
      <c r="M88" s="2" t="s">
        <v>175</v>
      </c>
      <c r="N88" s="105">
        <v>2944</v>
      </c>
      <c r="O88" s="119"/>
      <c r="P88" s="119"/>
      <c r="Q88" s="119"/>
      <c r="R88" s="119"/>
      <c r="S88" s="119"/>
      <c r="T88" s="119"/>
      <c r="U88" s="119">
        <v>5.99</v>
      </c>
      <c r="V88" s="119">
        <v>6.39</v>
      </c>
      <c r="W88" s="119"/>
      <c r="X88" s="119">
        <f t="shared" si="0"/>
        <v>5.99</v>
      </c>
      <c r="Y88" s="118">
        <f t="shared" si="1"/>
        <v>6.1899999999999995</v>
      </c>
      <c r="Z88" s="109">
        <f t="shared" si="2"/>
        <v>18223.359999999997</v>
      </c>
      <c r="AA88" s="109">
        <f>'CALCULO GERAL'!$G$10</f>
        <v>6300</v>
      </c>
      <c r="AB88" s="109">
        <f t="shared" si="3"/>
        <v>24523.359999999997</v>
      </c>
      <c r="AC88" s="109">
        <f>AB88*'CALCULO GERAL'!$C$11</f>
        <v>123082.74383999998</v>
      </c>
      <c r="AD88" s="109">
        <f t="shared" si="4"/>
        <v>19939.404502079997</v>
      </c>
      <c r="AE88" s="109">
        <f t="shared" si="5"/>
        <v>0</v>
      </c>
      <c r="AF88" s="109">
        <f t="shared" si="6"/>
        <v>2584.7376206399999</v>
      </c>
      <c r="AG88" s="109">
        <f t="shared" si="7"/>
        <v>13108.312218959998</v>
      </c>
      <c r="AH88" s="109">
        <v>154.22999999999999</v>
      </c>
      <c r="AI88" s="109">
        <f>((AA88*'CALCULO GERAL'!$C$11))*0.08+20</f>
        <v>2549.576</v>
      </c>
      <c r="AJ88" s="109">
        <v>1010</v>
      </c>
      <c r="AK88" s="109">
        <v>2500</v>
      </c>
      <c r="AL88" s="109">
        <f>(AA88*('CALCULO GERAL'!$C$11*1.02))-(AA88*'CALCULO GERAL'!$C$11)</f>
        <v>632.39400000000387</v>
      </c>
      <c r="AM88" s="109">
        <v>1800</v>
      </c>
      <c r="AN88" s="109">
        <v>2600</v>
      </c>
      <c r="AO88" s="109">
        <v>9400</v>
      </c>
      <c r="AP88" s="109">
        <v>1000</v>
      </c>
      <c r="AQ88" s="109">
        <f t="shared" si="39"/>
        <v>-2584.7376206399999</v>
      </c>
      <c r="AR88" s="109">
        <f t="shared" si="40"/>
        <v>-13108.312218959998</v>
      </c>
      <c r="AS88" s="109"/>
      <c r="AT88" s="109">
        <f t="shared" si="44"/>
        <v>164668.34834207999</v>
      </c>
      <c r="AU88" s="111">
        <f t="shared" si="8"/>
        <v>55.933542235760868</v>
      </c>
      <c r="AV88" s="109">
        <f>IFERROR((BS88*'CALCULO GERAL'!$E$11)/N88,0)</f>
        <v>1.5338064</v>
      </c>
      <c r="AW88" s="109">
        <f>AU88/'CALCULO GERAL'!$C$11</f>
        <v>11.144359879609656</v>
      </c>
      <c r="AX88" s="109">
        <f>BP88-BB88-BD88*'CALCULO GERAL'!$C$11</f>
        <v>75.539965199999997</v>
      </c>
      <c r="AY88" s="109">
        <f t="shared" si="24"/>
        <v>1.2464094258</v>
      </c>
      <c r="AZ88" s="109">
        <f t="shared" si="9"/>
        <v>5.7410373551999996</v>
      </c>
      <c r="BA88" s="109">
        <f t="shared" si="10"/>
        <v>76.69032</v>
      </c>
      <c r="BB88" s="109">
        <f t="shared" si="11"/>
        <v>1.1503547999999999</v>
      </c>
      <c r="BC88" s="109">
        <f t="shared" si="12"/>
        <v>76.69032</v>
      </c>
      <c r="BD88" s="109">
        <f t="shared" si="13"/>
        <v>0</v>
      </c>
      <c r="BE88" s="109">
        <f>BU88*0.08</f>
        <v>18062.1041664</v>
      </c>
      <c r="BF88" s="109">
        <f>BU88*0.12</f>
        <v>27093.156249599997</v>
      </c>
      <c r="BG88" s="109">
        <f t="shared" si="14"/>
        <v>0.82825545599999995</v>
      </c>
      <c r="BH88" s="109">
        <f t="shared" si="15"/>
        <v>0.92028384000000008</v>
      </c>
      <c r="BI88" s="109">
        <f t="shared" si="16"/>
        <v>0</v>
      </c>
      <c r="BJ88" s="109">
        <f t="shared" si="27"/>
        <v>11.420147276999998</v>
      </c>
      <c r="BK88" s="109">
        <f t="shared" si="53"/>
        <v>67.353689512760866</v>
      </c>
      <c r="BL88" s="148">
        <v>0.74</v>
      </c>
      <c r="BM88" s="112">
        <f>ROUND((AW88/BL88)+((AW88*BL88)*'CALCULO GERAL'!$E$11)/BL88,2)</f>
        <v>15.28</v>
      </c>
      <c r="BN88" s="186">
        <f t="shared" si="17"/>
        <v>15.28</v>
      </c>
      <c r="BO88" s="186">
        <f t="shared" si="46"/>
        <v>17.902999999999999</v>
      </c>
      <c r="BP88" s="109">
        <f>BM88*'CALCULO GERAL'!$C$11</f>
        <v>76.69032</v>
      </c>
      <c r="BQ88" s="109">
        <f>BO88*'CALCULO GERAL'!$C$11</f>
        <v>89.855156999999991</v>
      </c>
      <c r="BR88" s="186">
        <f>BN88*'CALCULO GERAL'!$C$11</f>
        <v>76.69032</v>
      </c>
      <c r="BS88" s="109">
        <f t="shared" si="18"/>
        <v>225776.30207999999</v>
      </c>
      <c r="BT88" s="109">
        <f t="shared" si="43"/>
        <v>61107.953737920005</v>
      </c>
      <c r="BU88" s="109">
        <f t="shared" si="19"/>
        <v>225776.30207999999</v>
      </c>
      <c r="BV88" s="109">
        <f t="shared" si="50"/>
        <v>198289.26192556799</v>
      </c>
      <c r="BW88" s="109">
        <f t="shared" si="47"/>
        <v>27487.040154432005</v>
      </c>
      <c r="BX88" s="114">
        <f t="shared" si="20"/>
        <v>0.12174457594177639</v>
      </c>
      <c r="BY88" s="152">
        <f t="shared" si="51"/>
        <v>0.74</v>
      </c>
      <c r="CA88" s="55"/>
      <c r="CB88" s="113"/>
      <c r="CC88" s="113"/>
      <c r="CE88" s="152">
        <f t="shared" si="52"/>
        <v>0</v>
      </c>
      <c r="CF88" s="152">
        <f t="shared" si="48"/>
        <v>1</v>
      </c>
      <c r="CG88" s="152">
        <f t="shared" si="49"/>
        <v>1</v>
      </c>
      <c r="CH88" s="34"/>
      <c r="CJ88" s="11"/>
      <c r="CK88" s="11"/>
    </row>
    <row r="89" spans="1:89" s="152" customFormat="1" x14ac:dyDescent="0.2">
      <c r="A89" s="228" t="s">
        <v>222</v>
      </c>
      <c r="B89" s="187" t="s">
        <v>174</v>
      </c>
      <c r="C89" s="8">
        <v>0.16200000000000001</v>
      </c>
      <c r="D89" s="8">
        <v>0</v>
      </c>
      <c r="E89" s="7">
        <v>2.1000000000000001E-2</v>
      </c>
      <c r="F89" s="7">
        <v>0.1065</v>
      </c>
      <c r="G89" s="1">
        <v>1.6500000000000001E-2</v>
      </c>
      <c r="H89" s="1">
        <v>7.5999999999999998E-2</v>
      </c>
      <c r="I89" s="1">
        <v>0.18</v>
      </c>
      <c r="J89" s="1">
        <v>0.04</v>
      </c>
      <c r="K89" s="1">
        <v>0.14000000000000001</v>
      </c>
      <c r="L89" s="1">
        <v>1.4999999999999999E-2</v>
      </c>
      <c r="M89" s="2" t="s">
        <v>175</v>
      </c>
      <c r="N89" s="105">
        <v>1920</v>
      </c>
      <c r="O89" s="119"/>
      <c r="P89" s="119"/>
      <c r="Q89" s="119"/>
      <c r="R89" s="119"/>
      <c r="S89" s="119"/>
      <c r="T89" s="119"/>
      <c r="U89" s="119">
        <v>6.95</v>
      </c>
      <c r="V89" s="119">
        <v>7.58</v>
      </c>
      <c r="W89" s="119"/>
      <c r="X89" s="119">
        <f t="shared" ref="X89:X104" si="88">MIN(O89:W89)</f>
        <v>6.95</v>
      </c>
      <c r="Y89" s="118">
        <f t="shared" ref="Y89:Y104" si="89">AVERAGE(O89:W89)</f>
        <v>7.2650000000000006</v>
      </c>
      <c r="Z89" s="109">
        <f t="shared" ref="Z89:Z104" si="90">Y89*N89</f>
        <v>13948.800000000001</v>
      </c>
      <c r="AA89" s="109">
        <f>'CALCULO GERAL'!$G$10</f>
        <v>6300</v>
      </c>
      <c r="AB89" s="109">
        <f t="shared" ref="AB89:AB104" si="91">Z89+AA89</f>
        <v>20248.800000000003</v>
      </c>
      <c r="AC89" s="109">
        <f>AB89*'CALCULO GERAL'!$C$11</f>
        <v>101628.72720000002</v>
      </c>
      <c r="AD89" s="109">
        <f t="shared" ref="AD89:AD104" si="92">AC89*C89</f>
        <v>16463.853806400006</v>
      </c>
      <c r="AE89" s="109">
        <f t="shared" ref="AE89:AE104" si="93">(AC89+AD89)*D89</f>
        <v>0</v>
      </c>
      <c r="AF89" s="109">
        <f t="shared" ref="AF89:AF104" si="94">AC89*E89</f>
        <v>2134.2032712000005</v>
      </c>
      <c r="AG89" s="109">
        <f t="shared" ref="AG89:AG104" si="95">AC89*F89</f>
        <v>10823.459446800001</v>
      </c>
      <c r="AH89" s="109">
        <v>154.22999999999999</v>
      </c>
      <c r="AI89" s="109">
        <f>((AA89*'CALCULO GERAL'!$C$11))*0.08+20</f>
        <v>2549.576</v>
      </c>
      <c r="AJ89" s="109">
        <v>1010</v>
      </c>
      <c r="AK89" s="109">
        <v>2500</v>
      </c>
      <c r="AL89" s="109">
        <f>(AA89*('CALCULO GERAL'!$C$11*1.02))-(AA89*'CALCULO GERAL'!$C$11)</f>
        <v>632.39400000000387</v>
      </c>
      <c r="AM89" s="109">
        <v>1800</v>
      </c>
      <c r="AN89" s="109">
        <v>2600</v>
      </c>
      <c r="AO89" s="109">
        <v>9400</v>
      </c>
      <c r="AP89" s="109">
        <v>1000</v>
      </c>
      <c r="AQ89" s="109">
        <f t="shared" si="39"/>
        <v>-2134.2032712000005</v>
      </c>
      <c r="AR89" s="109">
        <f t="shared" si="40"/>
        <v>-10823.459446800001</v>
      </c>
      <c r="AS89" s="109"/>
      <c r="AT89" s="109">
        <f t="shared" si="44"/>
        <v>139738.78100640004</v>
      </c>
      <c r="AU89" s="111">
        <f t="shared" ref="AU89:AU104" si="96">IFERROR((AT89/N89),0)</f>
        <v>72.780615107500026</v>
      </c>
      <c r="AV89" s="109">
        <f>IFERROR((BS89*'CALCULO GERAL'!$E$11)/N89,0)</f>
        <v>1.9965582000000002</v>
      </c>
      <c r="AW89" s="109">
        <f>AU89/'CALCULO GERAL'!$C$11</f>
        <v>14.501019148734812</v>
      </c>
      <c r="AX89" s="109">
        <f>BP89-BB89-BD89*'CALCULO GERAL'!$C$11</f>
        <v>98.330491350000003</v>
      </c>
      <c r="AY89" s="109">
        <f t="shared" ref="AY89:AY104" si="97">AX89*G89</f>
        <v>1.6224531072750001</v>
      </c>
      <c r="AZ89" s="109">
        <f t="shared" ref="AZ89:AZ104" si="98">AX89*H89</f>
        <v>7.4731173426000002</v>
      </c>
      <c r="BA89" s="109">
        <f t="shared" ref="BA89:BA104" si="99">BP89-BD89</f>
        <v>99.827910000000003</v>
      </c>
      <c r="BB89" s="109">
        <f t="shared" ref="BB89:BB104" si="100">BA89*L89</f>
        <v>1.49741865</v>
      </c>
      <c r="BC89" s="109">
        <f t="shared" ref="BC89:BC104" si="101">BP89/(1+D89)</f>
        <v>99.827910000000003</v>
      </c>
      <c r="BD89" s="109">
        <f t="shared" ref="BD89:BD104" si="102">BC89*D89</f>
        <v>0</v>
      </c>
      <c r="BE89" s="109">
        <f t="shared" ref="BE89:BE104" si="103">BU89*0.08</f>
        <v>15333.566976000002</v>
      </c>
      <c r="BF89" s="109">
        <f t="shared" ref="BF89:BF104" si="104">BU89*0.12</f>
        <v>23000.350463999999</v>
      </c>
      <c r="BG89" s="109">
        <f t="shared" ref="BG89:BG104" si="105">(BF89*0.09)/N89</f>
        <v>1.0781414279999999</v>
      </c>
      <c r="BH89" s="109">
        <f t="shared" ref="BH89:BH104" si="106">(BE89*0.15)/N89</f>
        <v>1.1979349200000002</v>
      </c>
      <c r="BI89" s="109">
        <f t="shared" ref="BI89:BI104" si="107">IF(BE89&gt;=$BY$1,($BY$1-BE89)*0.1,IF(BE89&lt;=$BY$1,($BY$1*0)))/N89</f>
        <v>0</v>
      </c>
      <c r="BJ89" s="109">
        <f t="shared" ref="BJ89:BJ104" si="108">(AY89+AZ89+BB89+AV89+BD89+BG89+BH89+BI89)</f>
        <v>14.865623647875001</v>
      </c>
      <c r="BK89" s="109">
        <f t="shared" ref="BK89:BK104" si="109">BJ89+AU89</f>
        <v>87.646238755375023</v>
      </c>
      <c r="BL89" s="148">
        <v>0.74</v>
      </c>
      <c r="BM89" s="112">
        <f>ROUND((AW89/BL89)+((AW89*BL89)*'CALCULO GERAL'!$E$11)/BL89,2)</f>
        <v>19.89</v>
      </c>
      <c r="BN89" s="186">
        <f t="shared" si="17"/>
        <v>19.89</v>
      </c>
      <c r="BO89" s="186">
        <f t="shared" si="46"/>
        <v>23.303999999999998</v>
      </c>
      <c r="BP89" s="109">
        <f>BM89*'CALCULO GERAL'!$C$11</f>
        <v>99.827910000000003</v>
      </c>
      <c r="BQ89" s="109">
        <f>BO89*'CALCULO GERAL'!$C$11</f>
        <v>116.96277599999999</v>
      </c>
      <c r="BR89" s="186">
        <f>BN89*'CALCULO GERAL'!$C$11</f>
        <v>99.827910000000003</v>
      </c>
      <c r="BS89" s="109">
        <f t="shared" ref="BS89:BS104" si="110">BP89*N89</f>
        <v>191669.58720000001</v>
      </c>
      <c r="BT89" s="109">
        <f t="shared" si="43"/>
        <v>51930.806193599972</v>
      </c>
      <c r="BU89" s="109">
        <f t="shared" ref="BU89:BU104" si="111">BR89*N89</f>
        <v>191669.58720000001</v>
      </c>
      <c r="BV89" s="109">
        <f t="shared" si="50"/>
        <v>168280.77841032005</v>
      </c>
      <c r="BW89" s="109">
        <f t="shared" si="47"/>
        <v>23388.808789679955</v>
      </c>
      <c r="BX89" s="114">
        <f t="shared" ref="BX89:BX104" si="112">(((BK89*N89)-BS89)/BS89*-1)</f>
        <v>0.12202670820840561</v>
      </c>
      <c r="BY89" s="152">
        <f t="shared" si="51"/>
        <v>0.74</v>
      </c>
      <c r="CA89" s="55"/>
      <c r="CB89" s="113"/>
      <c r="CC89" s="113"/>
      <c r="CE89" s="152">
        <f t="shared" si="52"/>
        <v>0</v>
      </c>
      <c r="CF89" s="152">
        <f t="shared" si="48"/>
        <v>1</v>
      </c>
      <c r="CG89" s="152">
        <f t="shared" si="49"/>
        <v>1</v>
      </c>
      <c r="CH89" s="34"/>
      <c r="CJ89" s="11"/>
      <c r="CK89" s="11"/>
    </row>
    <row r="90" spans="1:89" s="152" customFormat="1" x14ac:dyDescent="0.2">
      <c r="A90" s="340" t="s">
        <v>548</v>
      </c>
      <c r="B90" s="338" t="s">
        <v>540</v>
      </c>
      <c r="C90" s="339">
        <v>0.18</v>
      </c>
      <c r="D90" s="339">
        <v>0.35</v>
      </c>
      <c r="E90" s="339">
        <v>2.1000000000000001E-2</v>
      </c>
      <c r="F90" s="339">
        <v>9.6500000000000002E-2</v>
      </c>
      <c r="G90" s="1">
        <v>1.6500000000000001E-2</v>
      </c>
      <c r="H90" s="1">
        <v>7.5999999999999998E-2</v>
      </c>
      <c r="I90" s="1">
        <v>0.18</v>
      </c>
      <c r="J90" s="1">
        <v>0.04</v>
      </c>
      <c r="K90" s="1">
        <v>0.14000000000000001</v>
      </c>
      <c r="L90" s="1">
        <v>1.4999999999999999E-2</v>
      </c>
      <c r="M90" s="2" t="s">
        <v>175</v>
      </c>
      <c r="N90" s="105">
        <v>70</v>
      </c>
      <c r="O90" s="119"/>
      <c r="P90" s="119"/>
      <c r="Q90" s="119"/>
      <c r="R90" s="119"/>
      <c r="S90" s="119"/>
      <c r="T90" s="119"/>
      <c r="U90" s="119"/>
      <c r="V90" s="119">
        <v>430</v>
      </c>
      <c r="W90" s="119"/>
      <c r="X90" s="119">
        <f t="shared" si="88"/>
        <v>430</v>
      </c>
      <c r="Y90" s="118">
        <f t="shared" si="89"/>
        <v>430</v>
      </c>
      <c r="Z90" s="109">
        <f t="shared" si="90"/>
        <v>30100</v>
      </c>
      <c r="AA90" s="109">
        <f>'CALCULO GERAL'!$G$10</f>
        <v>6300</v>
      </c>
      <c r="AB90" s="109">
        <f t="shared" si="91"/>
        <v>36400</v>
      </c>
      <c r="AC90" s="109">
        <f>AB90*'CALCULO GERAL'!$C$11</f>
        <v>182691.6</v>
      </c>
      <c r="AD90" s="109">
        <f t="shared" si="92"/>
        <v>32884.487999999998</v>
      </c>
      <c r="AE90" s="109">
        <f t="shared" si="93"/>
        <v>75451.630799999984</v>
      </c>
      <c r="AF90" s="109">
        <f t="shared" si="94"/>
        <v>3836.5236000000004</v>
      </c>
      <c r="AG90" s="109">
        <f t="shared" si="95"/>
        <v>17629.739400000002</v>
      </c>
      <c r="AH90" s="109">
        <v>154.22999999999999</v>
      </c>
      <c r="AI90" s="109">
        <f>((AA90*'CALCULO GERAL'!$C$11))*0.08+20</f>
        <v>2549.576</v>
      </c>
      <c r="AJ90" s="109">
        <v>1010</v>
      </c>
      <c r="AK90" s="109">
        <v>2500</v>
      </c>
      <c r="AL90" s="109">
        <f>(AA90*('CALCULO GERAL'!$C$11*1.02))-(AA90*'CALCULO GERAL'!$C$11)</f>
        <v>632.39400000000387</v>
      </c>
      <c r="AM90" s="109">
        <v>1800</v>
      </c>
      <c r="AN90" s="109">
        <v>2600</v>
      </c>
      <c r="AO90" s="109">
        <v>9400</v>
      </c>
      <c r="AP90" s="109">
        <v>1000</v>
      </c>
      <c r="AQ90" s="109">
        <f t="shared" si="39"/>
        <v>-3836.5236000000004</v>
      </c>
      <c r="AR90" s="109">
        <f t="shared" si="40"/>
        <v>-17629.739400000002</v>
      </c>
      <c r="AS90" s="109"/>
      <c r="AT90" s="109">
        <f t="shared" ref="AT90:AT104" si="113">SUM(AC90:AS90)</f>
        <v>312673.91879999998</v>
      </c>
      <c r="AU90" s="111">
        <f t="shared" si="96"/>
        <v>4466.7702685714285</v>
      </c>
      <c r="AV90" s="109">
        <f>IFERROR((BS90*'CALCULO GERAL'!$E$11)/N90,0)</f>
        <v>129.4088922</v>
      </c>
      <c r="AW90" s="109">
        <f>AU90/'CALCULO GERAL'!$C$11</f>
        <v>889.97215950815473</v>
      </c>
      <c r="AX90" s="109">
        <f>BP90-BB90-BD90*'CALCULO GERAL'!$C$11</f>
        <v>-2020.9355331899978</v>
      </c>
      <c r="AY90" s="109">
        <f t="shared" si="97"/>
        <v>-33.345436297634969</v>
      </c>
      <c r="AZ90" s="109">
        <f t="shared" si="98"/>
        <v>-153.59110052243983</v>
      </c>
      <c r="BA90" s="109">
        <f t="shared" si="99"/>
        <v>4792.921933333334</v>
      </c>
      <c r="BB90" s="109">
        <f t="shared" si="100"/>
        <v>71.893829000000011</v>
      </c>
      <c r="BC90" s="109">
        <f t="shared" si="101"/>
        <v>4792.9219333333331</v>
      </c>
      <c r="BD90" s="109">
        <f t="shared" si="102"/>
        <v>1677.5226766666665</v>
      </c>
      <c r="BE90" s="109">
        <f t="shared" si="103"/>
        <v>36234.489816000001</v>
      </c>
      <c r="BF90" s="109">
        <f t="shared" si="104"/>
        <v>54351.734724000002</v>
      </c>
      <c r="BG90" s="109">
        <f t="shared" si="105"/>
        <v>69.880801787999999</v>
      </c>
      <c r="BH90" s="109">
        <f t="shared" si="106"/>
        <v>77.645335320000001</v>
      </c>
      <c r="BI90" s="109">
        <f t="shared" si="107"/>
        <v>0</v>
      </c>
      <c r="BJ90" s="109">
        <f t="shared" si="108"/>
        <v>1839.4149981545918</v>
      </c>
      <c r="BK90" s="109">
        <f t="shared" si="109"/>
        <v>6306.18526672602</v>
      </c>
      <c r="BL90" s="148">
        <v>0.7</v>
      </c>
      <c r="BM90" s="112">
        <f>ROUND((AW90/BL90)+((AW90*BL90)*'CALCULO GERAL'!$E$11)/BL90,2)</f>
        <v>1289.19</v>
      </c>
      <c r="BN90" s="186">
        <f t="shared" ref="BN90:BN104" si="114">BM90</f>
        <v>1289.19</v>
      </c>
      <c r="BO90" s="186">
        <f t="shared" ref="BO90:BO104" si="115">ROUND(FV(0.02,8,,BN90)*-1,3)</f>
        <v>1510.492</v>
      </c>
      <c r="BP90" s="109">
        <f>BM90*'CALCULO GERAL'!$C$11</f>
        <v>6470.4446100000005</v>
      </c>
      <c r="BQ90" s="109">
        <f>BO90*'CALCULO GERAL'!$C$11</f>
        <v>7581.1593480000001</v>
      </c>
      <c r="BR90" s="186">
        <f>BN90*'CALCULO GERAL'!$C$11</f>
        <v>6470.4446100000005</v>
      </c>
      <c r="BS90" s="109">
        <f t="shared" si="110"/>
        <v>452931.12270000001</v>
      </c>
      <c r="BT90" s="109">
        <f t="shared" si="43"/>
        <v>140257.20390000002</v>
      </c>
      <c r="BU90" s="109">
        <f t="shared" si="111"/>
        <v>452931.12270000001</v>
      </c>
      <c r="BV90" s="109">
        <f t="shared" ref="BV90:BV104" si="116">BK90*N90</f>
        <v>441432.9686708214</v>
      </c>
      <c r="BW90" s="109">
        <f t="shared" ref="BW90:BW104" si="117">BS90-BV90</f>
        <v>11498.154029178608</v>
      </c>
      <c r="BX90" s="114">
        <f t="shared" si="112"/>
        <v>2.5386098355609E-2</v>
      </c>
      <c r="BY90" s="152">
        <f t="shared" ref="BY90:BY104" si="118">ROUND(BL90,2)</f>
        <v>0.7</v>
      </c>
      <c r="CA90" s="55"/>
      <c r="CB90" s="113"/>
      <c r="CC90" s="113"/>
      <c r="CE90" s="152">
        <f t="shared" ref="CE90:CE104" si="119">CC90/BY90</f>
        <v>0</v>
      </c>
      <c r="CF90" s="152">
        <f t="shared" ref="CF90:CF104" si="120">100%-CE90</f>
        <v>1</v>
      </c>
      <c r="CG90" s="152">
        <f t="shared" ref="CG90:CG104" si="121">AVERAGE(CF90,CD90)</f>
        <v>1</v>
      </c>
      <c r="CH90" s="34"/>
      <c r="CJ90" s="11"/>
      <c r="CK90" s="11"/>
    </row>
    <row r="91" spans="1:89" s="152" customFormat="1" x14ac:dyDescent="0.2">
      <c r="A91" s="340" t="s">
        <v>549</v>
      </c>
      <c r="B91" s="338" t="s">
        <v>541</v>
      </c>
      <c r="C91" s="339">
        <v>0.18</v>
      </c>
      <c r="D91" s="339">
        <v>0</v>
      </c>
      <c r="E91" s="339">
        <v>2.1000000000000001E-2</v>
      </c>
      <c r="F91" s="339">
        <v>9.6500000000000002E-2</v>
      </c>
      <c r="G91" s="1">
        <v>1.6500000000000001E-2</v>
      </c>
      <c r="H91" s="1">
        <v>7.5999999999999998E-2</v>
      </c>
      <c r="I91" s="1">
        <v>0.18</v>
      </c>
      <c r="J91" s="1">
        <v>0.04</v>
      </c>
      <c r="K91" s="1">
        <v>0.14000000000000001</v>
      </c>
      <c r="L91" s="1">
        <v>1.4999999999999999E-2</v>
      </c>
      <c r="M91" s="2" t="s">
        <v>175</v>
      </c>
      <c r="N91" s="105">
        <v>2790</v>
      </c>
      <c r="O91" s="119"/>
      <c r="P91" s="119"/>
      <c r="Q91" s="119"/>
      <c r="R91" s="119"/>
      <c r="S91" s="119"/>
      <c r="T91" s="119"/>
      <c r="U91" s="119"/>
      <c r="V91" s="119">
        <v>13.45</v>
      </c>
      <c r="W91" s="119"/>
      <c r="X91" s="119">
        <f t="shared" si="88"/>
        <v>13.45</v>
      </c>
      <c r="Y91" s="118">
        <f t="shared" si="89"/>
        <v>13.45</v>
      </c>
      <c r="Z91" s="109">
        <f t="shared" si="90"/>
        <v>37525.5</v>
      </c>
      <c r="AA91" s="109">
        <f>'CALCULO GERAL'!$G$10</f>
        <v>6300</v>
      </c>
      <c r="AB91" s="109">
        <f t="shared" si="91"/>
        <v>43825.5</v>
      </c>
      <c r="AC91" s="109">
        <f>AB91*'CALCULO GERAL'!$C$11</f>
        <v>219960.1845</v>
      </c>
      <c r="AD91" s="109">
        <f t="shared" si="92"/>
        <v>39592.833209999997</v>
      </c>
      <c r="AE91" s="109">
        <f t="shared" si="93"/>
        <v>0</v>
      </c>
      <c r="AF91" s="109">
        <f t="shared" si="94"/>
        <v>4619.1638745</v>
      </c>
      <c r="AG91" s="109">
        <f t="shared" si="95"/>
        <v>21226.15780425</v>
      </c>
      <c r="AH91" s="109">
        <v>154.22999999999999</v>
      </c>
      <c r="AI91" s="109">
        <f>((AA91*'CALCULO GERAL'!$C$11))*0.08+20</f>
        <v>2549.576</v>
      </c>
      <c r="AJ91" s="109">
        <v>1010</v>
      </c>
      <c r="AK91" s="109">
        <v>2500</v>
      </c>
      <c r="AL91" s="109">
        <f>(AA91*('CALCULO GERAL'!$C$11*1.02))-(AA91*'CALCULO GERAL'!$C$11)</f>
        <v>632.39400000000387</v>
      </c>
      <c r="AM91" s="109">
        <v>1800</v>
      </c>
      <c r="AN91" s="109">
        <v>2600</v>
      </c>
      <c r="AO91" s="109">
        <v>9400</v>
      </c>
      <c r="AP91" s="109">
        <v>1000</v>
      </c>
      <c r="AQ91" s="109">
        <f t="shared" si="39"/>
        <v>-4619.1638745</v>
      </c>
      <c r="AR91" s="109">
        <f t="shared" si="40"/>
        <v>-21226.15780425</v>
      </c>
      <c r="AS91" s="109"/>
      <c r="AT91" s="109">
        <f t="shared" si="113"/>
        <v>281199.21771</v>
      </c>
      <c r="AU91" s="111">
        <f t="shared" si="96"/>
        <v>100.78825007526882</v>
      </c>
      <c r="AV91" s="109">
        <f>IFERROR((BS91*'CALCULO GERAL'!$E$11)/N91,0)</f>
        <v>2.9200542000000005</v>
      </c>
      <c r="AW91" s="109">
        <f>AU91/'CALCULO GERAL'!$C$11</f>
        <v>20.081340919559437</v>
      </c>
      <c r="AX91" s="109">
        <f>BP91-BB91-BD91*'CALCULO GERAL'!$C$11</f>
        <v>143.81266935000002</v>
      </c>
      <c r="AY91" s="109">
        <f t="shared" si="97"/>
        <v>2.3729090442750005</v>
      </c>
      <c r="AZ91" s="109">
        <f t="shared" si="98"/>
        <v>10.929762870600001</v>
      </c>
      <c r="BA91" s="109">
        <f t="shared" si="99"/>
        <v>146.00271000000001</v>
      </c>
      <c r="BB91" s="109">
        <f t="shared" si="100"/>
        <v>2.1900406499999998</v>
      </c>
      <c r="BC91" s="109">
        <f t="shared" si="101"/>
        <v>146.00271000000001</v>
      </c>
      <c r="BD91" s="109">
        <f t="shared" si="102"/>
        <v>0</v>
      </c>
      <c r="BE91" s="109">
        <f t="shared" si="103"/>
        <v>32587.804872000004</v>
      </c>
      <c r="BF91" s="109">
        <f t="shared" si="104"/>
        <v>48881.707308000005</v>
      </c>
      <c r="BG91" s="109">
        <f t="shared" si="105"/>
        <v>1.576829268</v>
      </c>
      <c r="BH91" s="109">
        <f t="shared" si="106"/>
        <v>1.7520325200000002</v>
      </c>
      <c r="BI91" s="109">
        <f t="shared" si="107"/>
        <v>0</v>
      </c>
      <c r="BJ91" s="109">
        <f t="shared" si="108"/>
        <v>21.741628552875003</v>
      </c>
      <c r="BK91" s="109">
        <f t="shared" si="109"/>
        <v>122.52987862814382</v>
      </c>
      <c r="BL91" s="148">
        <v>0.7</v>
      </c>
      <c r="BM91" s="112">
        <f>ROUND((AW91/BL91)+((AW91*BL91)*'CALCULO GERAL'!$E$11)/BL91,2)</f>
        <v>29.09</v>
      </c>
      <c r="BN91" s="186">
        <f t="shared" si="114"/>
        <v>29.09</v>
      </c>
      <c r="BO91" s="186">
        <f t="shared" si="115"/>
        <v>34.084000000000003</v>
      </c>
      <c r="BP91" s="109">
        <f>BM91*'CALCULO GERAL'!$C$11</f>
        <v>146.00271000000001</v>
      </c>
      <c r="BQ91" s="109">
        <f>BO91*'CALCULO GERAL'!$C$11</f>
        <v>171.06759600000001</v>
      </c>
      <c r="BR91" s="186">
        <f>BN91*'CALCULO GERAL'!$C$11</f>
        <v>146.00271000000001</v>
      </c>
      <c r="BS91" s="109">
        <f t="shared" si="110"/>
        <v>407347.56090000004</v>
      </c>
      <c r="BT91" s="109">
        <f t="shared" si="43"/>
        <v>126148.34319000004</v>
      </c>
      <c r="BU91" s="109">
        <f t="shared" si="111"/>
        <v>407347.56090000004</v>
      </c>
      <c r="BV91" s="109">
        <f t="shared" si="116"/>
        <v>341858.36137252126</v>
      </c>
      <c r="BW91" s="109">
        <f t="shared" si="117"/>
        <v>65489.199527478777</v>
      </c>
      <c r="BX91" s="114">
        <f t="shared" si="112"/>
        <v>0.16076983346306511</v>
      </c>
      <c r="BY91" s="152">
        <f t="shared" si="118"/>
        <v>0.7</v>
      </c>
      <c r="CA91" s="55"/>
      <c r="CB91" s="113"/>
      <c r="CC91" s="113"/>
      <c r="CE91" s="152">
        <f t="shared" si="119"/>
        <v>0</v>
      </c>
      <c r="CF91" s="152">
        <f t="shared" si="120"/>
        <v>1</v>
      </c>
      <c r="CG91" s="152">
        <f t="shared" si="121"/>
        <v>1</v>
      </c>
      <c r="CH91" s="34"/>
      <c r="CJ91" s="11"/>
      <c r="CK91" s="11"/>
    </row>
    <row r="92" spans="1:89" s="152" customFormat="1" x14ac:dyDescent="0.2">
      <c r="A92" s="340" t="s">
        <v>550</v>
      </c>
      <c r="B92" s="338" t="s">
        <v>542</v>
      </c>
      <c r="C92" s="339">
        <v>3.5999999999999997E-2</v>
      </c>
      <c r="D92" s="339">
        <v>0</v>
      </c>
      <c r="E92" s="339">
        <v>2.1000000000000001E-2</v>
      </c>
      <c r="F92" s="339">
        <v>9.6500000000000002E-2</v>
      </c>
      <c r="G92" s="1">
        <v>1.6500000000000001E-2</v>
      </c>
      <c r="H92" s="1">
        <v>7.5999999999999998E-2</v>
      </c>
      <c r="I92" s="1">
        <v>0.18</v>
      </c>
      <c r="J92" s="1">
        <v>0.04</v>
      </c>
      <c r="K92" s="1">
        <v>0.14000000000000001</v>
      </c>
      <c r="L92" s="1">
        <v>1.4999999999999999E-2</v>
      </c>
      <c r="M92" s="2" t="s">
        <v>175</v>
      </c>
      <c r="N92" s="105">
        <v>2790</v>
      </c>
      <c r="O92" s="119"/>
      <c r="P92" s="119"/>
      <c r="Q92" s="119"/>
      <c r="R92" s="119"/>
      <c r="S92" s="119"/>
      <c r="T92" s="119"/>
      <c r="U92" s="119"/>
      <c r="V92" s="119">
        <v>13.45</v>
      </c>
      <c r="W92" s="119"/>
      <c r="X92" s="119">
        <f t="shared" si="88"/>
        <v>13.45</v>
      </c>
      <c r="Y92" s="118">
        <f t="shared" si="89"/>
        <v>13.45</v>
      </c>
      <c r="Z92" s="109">
        <f t="shared" si="90"/>
        <v>37525.5</v>
      </c>
      <c r="AA92" s="109">
        <f>'CALCULO GERAL'!$G$10</f>
        <v>6300</v>
      </c>
      <c r="AB92" s="109">
        <f t="shared" si="91"/>
        <v>43825.5</v>
      </c>
      <c r="AC92" s="109">
        <f>AB92*'CALCULO GERAL'!$C$11</f>
        <v>219960.1845</v>
      </c>
      <c r="AD92" s="109">
        <f t="shared" si="92"/>
        <v>7918.5666419999998</v>
      </c>
      <c r="AE92" s="109">
        <f t="shared" si="93"/>
        <v>0</v>
      </c>
      <c r="AF92" s="109">
        <f t="shared" si="94"/>
        <v>4619.1638745</v>
      </c>
      <c r="AG92" s="109">
        <f t="shared" si="95"/>
        <v>21226.15780425</v>
      </c>
      <c r="AH92" s="109">
        <v>154.22999999999999</v>
      </c>
      <c r="AI92" s="109">
        <f>((AA92*'CALCULO GERAL'!$C$11))*0.08+20</f>
        <v>2549.576</v>
      </c>
      <c r="AJ92" s="109">
        <v>1010</v>
      </c>
      <c r="AK92" s="109">
        <v>2500</v>
      </c>
      <c r="AL92" s="109">
        <f>(AA92*('CALCULO GERAL'!$C$11*1.02))-(AA92*'CALCULO GERAL'!$C$11)</f>
        <v>632.39400000000387</v>
      </c>
      <c r="AM92" s="109">
        <v>1800</v>
      </c>
      <c r="AN92" s="109">
        <v>2600</v>
      </c>
      <c r="AO92" s="109">
        <v>9400</v>
      </c>
      <c r="AP92" s="109">
        <v>1000</v>
      </c>
      <c r="AQ92" s="109">
        <f t="shared" si="39"/>
        <v>-4619.1638745</v>
      </c>
      <c r="AR92" s="109">
        <f t="shared" si="40"/>
        <v>-21226.15780425</v>
      </c>
      <c r="AS92" s="109"/>
      <c r="AT92" s="109">
        <f t="shared" si="113"/>
        <v>249524.95114200001</v>
      </c>
      <c r="AU92" s="111">
        <f t="shared" si="96"/>
        <v>89.435466359139781</v>
      </c>
      <c r="AV92" s="109">
        <f>IFERROR((BS92*'CALCULO GERAL'!$E$11)/N92,0)</f>
        <v>2.5908078000000003</v>
      </c>
      <c r="AW92" s="109">
        <f>AU92/'CALCULO GERAL'!$C$11</f>
        <v>17.819379629236856</v>
      </c>
      <c r="AX92" s="109">
        <f>BP92-BB92-BD92*'CALCULO GERAL'!$C$11</f>
        <v>127.59728415000001</v>
      </c>
      <c r="AY92" s="109">
        <f t="shared" si="97"/>
        <v>2.1053551884750004</v>
      </c>
      <c r="AZ92" s="109">
        <f t="shared" si="98"/>
        <v>9.6973935953999995</v>
      </c>
      <c r="BA92" s="109">
        <f t="shared" si="99"/>
        <v>129.54039</v>
      </c>
      <c r="BB92" s="109">
        <f t="shared" si="100"/>
        <v>1.94310585</v>
      </c>
      <c r="BC92" s="109">
        <f t="shared" si="101"/>
        <v>129.54039</v>
      </c>
      <c r="BD92" s="109">
        <f t="shared" si="102"/>
        <v>0</v>
      </c>
      <c r="BE92" s="109">
        <f t="shared" si="103"/>
        <v>28913.415048000003</v>
      </c>
      <c r="BF92" s="109">
        <f t="shared" si="104"/>
        <v>43370.122572</v>
      </c>
      <c r="BG92" s="109">
        <f t="shared" si="105"/>
        <v>1.3990362119999999</v>
      </c>
      <c r="BH92" s="109">
        <f t="shared" si="106"/>
        <v>1.5544846800000001</v>
      </c>
      <c r="BI92" s="109">
        <f t="shared" si="107"/>
        <v>0</v>
      </c>
      <c r="BJ92" s="109">
        <f t="shared" si="108"/>
        <v>19.290183325874999</v>
      </c>
      <c r="BK92" s="109">
        <f t="shared" si="109"/>
        <v>108.72564968501479</v>
      </c>
      <c r="BL92" s="148">
        <v>0.7</v>
      </c>
      <c r="BM92" s="112">
        <f>ROUND((AW92/BL92)+((AW92*BL92)*'CALCULO GERAL'!$E$11)/BL92,2)</f>
        <v>25.81</v>
      </c>
      <c r="BN92" s="186">
        <f t="shared" si="114"/>
        <v>25.81</v>
      </c>
      <c r="BO92" s="186">
        <f t="shared" si="115"/>
        <v>30.241</v>
      </c>
      <c r="BP92" s="109">
        <f>BM92*'CALCULO GERAL'!$C$11</f>
        <v>129.54039</v>
      </c>
      <c r="BQ92" s="109">
        <f>BO92*'CALCULO GERAL'!$C$11</f>
        <v>151.77957900000001</v>
      </c>
      <c r="BR92" s="186">
        <f>BN92*'CALCULO GERAL'!$C$11</f>
        <v>129.54039</v>
      </c>
      <c r="BS92" s="109">
        <f t="shared" si="110"/>
        <v>361417.68810000003</v>
      </c>
      <c r="BT92" s="109">
        <f t="shared" si="43"/>
        <v>111892.73695800002</v>
      </c>
      <c r="BU92" s="109">
        <f t="shared" si="111"/>
        <v>361417.68810000003</v>
      </c>
      <c r="BV92" s="109">
        <f t="shared" si="116"/>
        <v>303344.56262119126</v>
      </c>
      <c r="BW92" s="109">
        <f t="shared" si="117"/>
        <v>58073.125478808768</v>
      </c>
      <c r="BX92" s="114">
        <f t="shared" si="112"/>
        <v>0.16068147019616985</v>
      </c>
      <c r="BY92" s="152">
        <f t="shared" si="118"/>
        <v>0.7</v>
      </c>
      <c r="CA92" s="55"/>
      <c r="CB92" s="113"/>
      <c r="CC92" s="113"/>
      <c r="CE92" s="152">
        <f t="shared" si="119"/>
        <v>0</v>
      </c>
      <c r="CF92" s="152">
        <f t="shared" si="120"/>
        <v>1</v>
      </c>
      <c r="CG92" s="152">
        <f t="shared" si="121"/>
        <v>1</v>
      </c>
      <c r="CH92" s="34"/>
      <c r="CJ92" s="11"/>
      <c r="CK92" s="11"/>
    </row>
    <row r="93" spans="1:89" s="152" customFormat="1" x14ac:dyDescent="0.2">
      <c r="A93" s="340" t="s">
        <v>551</v>
      </c>
      <c r="B93" s="338" t="s">
        <v>543</v>
      </c>
      <c r="C93" s="339">
        <v>0.16</v>
      </c>
      <c r="D93" s="339">
        <v>0.11310000000000001</v>
      </c>
      <c r="E93" s="339">
        <v>2.1000000000000001E-2</v>
      </c>
      <c r="F93" s="339">
        <v>9.6500000000000002E-2</v>
      </c>
      <c r="G93" s="1">
        <v>1.6500000000000001E-2</v>
      </c>
      <c r="H93" s="1">
        <v>7.5999999999999998E-2</v>
      </c>
      <c r="I93" s="1">
        <v>0.18</v>
      </c>
      <c r="J93" s="1">
        <v>0.04</v>
      </c>
      <c r="K93" s="1">
        <v>0.14000000000000001</v>
      </c>
      <c r="L93" s="1">
        <v>1.4999999999999999E-2</v>
      </c>
      <c r="M93" s="2" t="s">
        <v>175</v>
      </c>
      <c r="N93" s="105">
        <v>28</v>
      </c>
      <c r="O93" s="119"/>
      <c r="P93" s="119"/>
      <c r="Q93" s="119"/>
      <c r="R93" s="119"/>
      <c r="S93" s="119"/>
      <c r="T93" s="119"/>
      <c r="U93" s="119"/>
      <c r="V93" s="119">
        <v>1120</v>
      </c>
      <c r="W93" s="119"/>
      <c r="X93" s="119">
        <f t="shared" si="88"/>
        <v>1120</v>
      </c>
      <c r="Y93" s="118">
        <f t="shared" si="89"/>
        <v>1120</v>
      </c>
      <c r="Z93" s="109">
        <f t="shared" si="90"/>
        <v>31360</v>
      </c>
      <c r="AA93" s="109">
        <f>'CALCULO GERAL'!$G$10</f>
        <v>6300</v>
      </c>
      <c r="AB93" s="109">
        <f t="shared" si="91"/>
        <v>37660</v>
      </c>
      <c r="AC93" s="109">
        <f>AB93*'CALCULO GERAL'!$C$11</f>
        <v>189015.54</v>
      </c>
      <c r="AD93" s="109">
        <f t="shared" si="92"/>
        <v>30242.486400000002</v>
      </c>
      <c r="AE93" s="109">
        <f t="shared" si="93"/>
        <v>24798.082785840001</v>
      </c>
      <c r="AF93" s="109">
        <f t="shared" si="94"/>
        <v>3969.3263400000005</v>
      </c>
      <c r="AG93" s="109">
        <f t="shared" si="95"/>
        <v>18239.999610000003</v>
      </c>
      <c r="AH93" s="109">
        <v>154.22999999999999</v>
      </c>
      <c r="AI93" s="109">
        <f>((AA93*'CALCULO GERAL'!$C$11))*0.08+20</f>
        <v>2549.576</v>
      </c>
      <c r="AJ93" s="109">
        <v>1010</v>
      </c>
      <c r="AK93" s="109">
        <v>2500</v>
      </c>
      <c r="AL93" s="109">
        <f>(AA93*('CALCULO GERAL'!$C$11*1.02))-(AA93*'CALCULO GERAL'!$C$11)</f>
        <v>632.39400000000387</v>
      </c>
      <c r="AM93" s="109">
        <v>1800</v>
      </c>
      <c r="AN93" s="109">
        <v>2600</v>
      </c>
      <c r="AO93" s="109">
        <v>9400</v>
      </c>
      <c r="AP93" s="109">
        <v>1000</v>
      </c>
      <c r="AQ93" s="109">
        <f t="shared" si="39"/>
        <v>-3969.3263400000005</v>
      </c>
      <c r="AR93" s="109">
        <f t="shared" si="40"/>
        <v>-18239.999610000003</v>
      </c>
      <c r="AS93" s="109"/>
      <c r="AT93" s="109">
        <f t="shared" si="113"/>
        <v>265702.30918584001</v>
      </c>
      <c r="AU93" s="111">
        <f t="shared" si="96"/>
        <v>9489.368185208572</v>
      </c>
      <c r="AV93" s="109">
        <f>IFERROR((BS93*'CALCULO GERAL'!$E$11)/N93,0)</f>
        <v>274.92074400000001</v>
      </c>
      <c r="AW93" s="109">
        <f>AU93/'CALCULO GERAL'!$C$11</f>
        <v>1890.6890187703868</v>
      </c>
      <c r="AX93" s="109">
        <f>BP93-BB93-BD93*'CALCULO GERAL'!$C$11</f>
        <v>6550.7147186963621</v>
      </c>
      <c r="AY93" s="109">
        <f t="shared" si="97"/>
        <v>108.08679285848999</v>
      </c>
      <c r="AZ93" s="109">
        <f t="shared" si="98"/>
        <v>497.85431862092349</v>
      </c>
      <c r="BA93" s="109">
        <f t="shared" si="99"/>
        <v>12349.32818255323</v>
      </c>
      <c r="BB93" s="109">
        <f t="shared" si="100"/>
        <v>185.23992273829845</v>
      </c>
      <c r="BC93" s="109">
        <f t="shared" si="101"/>
        <v>12349.32818255323</v>
      </c>
      <c r="BD93" s="109">
        <f t="shared" si="102"/>
        <v>1396.7090174467705</v>
      </c>
      <c r="BE93" s="109">
        <f t="shared" si="103"/>
        <v>30791.123328000001</v>
      </c>
      <c r="BF93" s="109">
        <f t="shared" si="104"/>
        <v>46186.684991999995</v>
      </c>
      <c r="BG93" s="109">
        <f t="shared" si="105"/>
        <v>148.45720176</v>
      </c>
      <c r="BH93" s="109">
        <f t="shared" si="106"/>
        <v>164.95244640000001</v>
      </c>
      <c r="BI93" s="109">
        <f t="shared" si="107"/>
        <v>0</v>
      </c>
      <c r="BJ93" s="109">
        <f t="shared" si="108"/>
        <v>2776.2204438244826</v>
      </c>
      <c r="BK93" s="109">
        <f t="shared" si="109"/>
        <v>12265.588629033055</v>
      </c>
      <c r="BL93" s="148">
        <v>0.7</v>
      </c>
      <c r="BM93" s="112">
        <f>ROUND((AW93/BL93)+((AW93*BL93)*'CALCULO GERAL'!$E$11)/BL93,2)</f>
        <v>2738.8</v>
      </c>
      <c r="BN93" s="186">
        <f t="shared" si="114"/>
        <v>2738.8</v>
      </c>
      <c r="BO93" s="186">
        <f t="shared" si="115"/>
        <v>3208.9409999999998</v>
      </c>
      <c r="BP93" s="109">
        <f>BM93*'CALCULO GERAL'!$C$11</f>
        <v>13746.037200000001</v>
      </c>
      <c r="BQ93" s="109">
        <f>BO93*'CALCULO GERAL'!$C$11</f>
        <v>16105.674879</v>
      </c>
      <c r="BR93" s="186">
        <f>BN93*'CALCULO GERAL'!$C$11</f>
        <v>13746.037200000001</v>
      </c>
      <c r="BS93" s="109">
        <f t="shared" si="110"/>
        <v>384889.0416</v>
      </c>
      <c r="BT93" s="109">
        <f t="shared" si="43"/>
        <v>119186.73241415998</v>
      </c>
      <c r="BU93" s="109">
        <f t="shared" si="111"/>
        <v>384889.0416</v>
      </c>
      <c r="BV93" s="109">
        <f t="shared" si="116"/>
        <v>343436.48161292553</v>
      </c>
      <c r="BW93" s="109">
        <f t="shared" si="117"/>
        <v>41452.559987074463</v>
      </c>
      <c r="BX93" s="114">
        <f t="shared" si="112"/>
        <v>0.10770002651869334</v>
      </c>
      <c r="BY93" s="152">
        <f t="shared" si="118"/>
        <v>0.7</v>
      </c>
      <c r="CA93" s="55"/>
      <c r="CB93" s="113"/>
      <c r="CC93" s="113"/>
      <c r="CE93" s="152">
        <f t="shared" si="119"/>
        <v>0</v>
      </c>
      <c r="CF93" s="152">
        <f t="shared" si="120"/>
        <v>1</v>
      </c>
      <c r="CG93" s="152">
        <f t="shared" si="121"/>
        <v>1</v>
      </c>
      <c r="CH93" s="34"/>
      <c r="CJ93" s="11"/>
      <c r="CK93" s="11"/>
    </row>
    <row r="94" spans="1:89" s="152" customFormat="1" x14ac:dyDescent="0.2">
      <c r="A94" s="349" t="s">
        <v>566</v>
      </c>
      <c r="B94" s="187" t="s">
        <v>567</v>
      </c>
      <c r="C94" s="7">
        <v>0.126</v>
      </c>
      <c r="D94" s="7">
        <v>0</v>
      </c>
      <c r="E94" s="7">
        <v>2.1000000000000001E-2</v>
      </c>
      <c r="F94" s="7">
        <v>0.1045</v>
      </c>
      <c r="G94" s="1">
        <v>1.6500000000000001E-2</v>
      </c>
      <c r="H94" s="1">
        <v>7.5999999999999998E-2</v>
      </c>
      <c r="I94" s="1">
        <v>0.18</v>
      </c>
      <c r="J94" s="1">
        <v>0.04</v>
      </c>
      <c r="K94" s="1">
        <v>0.14000000000000001</v>
      </c>
      <c r="L94" s="1">
        <v>1.4999999999999999E-2</v>
      </c>
      <c r="M94" s="2" t="s">
        <v>175</v>
      </c>
      <c r="N94" s="105">
        <v>1</v>
      </c>
      <c r="O94" s="119"/>
      <c r="P94" s="119"/>
      <c r="Q94" s="119"/>
      <c r="R94" s="119"/>
      <c r="S94" s="119"/>
      <c r="T94" s="119"/>
      <c r="U94" s="119"/>
      <c r="V94" s="119">
        <v>33800</v>
      </c>
      <c r="W94" s="119"/>
      <c r="X94" s="119">
        <f>MIN(O94:W94)</f>
        <v>33800</v>
      </c>
      <c r="Y94" s="118">
        <f>AVERAGE(O94:W94)</f>
        <v>33800</v>
      </c>
      <c r="Z94" s="109">
        <f>Y94*N94</f>
        <v>33800</v>
      </c>
      <c r="AA94" s="109">
        <f>'CALCULO GERAL'!$G$10</f>
        <v>6300</v>
      </c>
      <c r="AB94" s="109">
        <f>Z94+AA94</f>
        <v>40100</v>
      </c>
      <c r="AC94" s="109">
        <f>AB94*'CALCULO GERAL'!$C$11</f>
        <v>201261.9</v>
      </c>
      <c r="AD94" s="109">
        <f>AC94*C94</f>
        <v>25358.999400000001</v>
      </c>
      <c r="AE94" s="109">
        <f>(AC94+AD94)*D94</f>
        <v>0</v>
      </c>
      <c r="AF94" s="109">
        <f>AC94*E94</f>
        <v>4226.4998999999998</v>
      </c>
      <c r="AG94" s="109">
        <f>AC94*F94</f>
        <v>21031.868549999999</v>
      </c>
      <c r="AH94" s="109">
        <v>154.22999999999999</v>
      </c>
      <c r="AI94" s="109">
        <f>((AA94*'CALCULO GERAL'!$C$11))*0.08+20</f>
        <v>2549.576</v>
      </c>
      <c r="AJ94" s="109">
        <v>1010</v>
      </c>
      <c r="AK94" s="109">
        <v>2500</v>
      </c>
      <c r="AL94" s="109">
        <f>(AA94*('CALCULO GERAL'!$C$11*1.02))-(AA94*'CALCULO GERAL'!$C$11)</f>
        <v>632.39400000000387</v>
      </c>
      <c r="AM94" s="109">
        <v>1800</v>
      </c>
      <c r="AN94" s="109">
        <v>2600</v>
      </c>
      <c r="AO94" s="109">
        <v>9400</v>
      </c>
      <c r="AP94" s="109">
        <v>1000</v>
      </c>
      <c r="AQ94" s="109">
        <f t="shared" si="39"/>
        <v>-4226.4998999999998</v>
      </c>
      <c r="AR94" s="109">
        <f t="shared" si="40"/>
        <v>-21031.868549999999</v>
      </c>
      <c r="AS94" s="109"/>
      <c r="AT94" s="109">
        <f>SUM(AC94:AS94)</f>
        <v>248267.09940000001</v>
      </c>
      <c r="AU94" s="111">
        <f>IFERROR((AT94/N94),0)</f>
        <v>248267.09940000001</v>
      </c>
      <c r="AV94" s="109">
        <f>IFERROR((BS94*'CALCULO GERAL'!$E$11)/N94,0)</f>
        <v>7192.6526112000001</v>
      </c>
      <c r="AW94" s="109">
        <f>AU94/'CALCULO GERAL'!$C$11</f>
        <v>49465.451165570834</v>
      </c>
      <c r="AX94" s="109">
        <f>BP94-BB94-BD94*'CALCULO GERAL'!$C$11</f>
        <v>354238.14110160002</v>
      </c>
      <c r="AY94" s="109">
        <f>AX94*G94</f>
        <v>5844.9293281764003</v>
      </c>
      <c r="AZ94" s="109">
        <f>AX94*H94</f>
        <v>26922.0987237216</v>
      </c>
      <c r="BA94" s="109">
        <f>BP94-BD94</f>
        <v>359632.63056000002</v>
      </c>
      <c r="BB94" s="109">
        <f>BA94*L94</f>
        <v>5394.4894584000003</v>
      </c>
      <c r="BC94" s="109">
        <f>BP94/(1+D94)</f>
        <v>359632.63056000002</v>
      </c>
      <c r="BD94" s="109">
        <f>BC94*D94</f>
        <v>0</v>
      </c>
      <c r="BE94" s="109">
        <f>BU94*0.08</f>
        <v>28770.610444800001</v>
      </c>
      <c r="BF94" s="109">
        <f>BU94*0.12</f>
        <v>43155.915667200003</v>
      </c>
      <c r="BG94" s="109">
        <f>(BF94*0.09)/N94</f>
        <v>3884.0324100480002</v>
      </c>
      <c r="BH94" s="109">
        <f>(BE94*0.15)/N94</f>
        <v>4315.5915667199997</v>
      </c>
      <c r="BI94" s="109">
        <f>IF(BE94&gt;=$BY$1,($BY$1-BE94)*0.1,IF(BE94&lt;=$BY$1,($BY$1*0)))/N94</f>
        <v>0</v>
      </c>
      <c r="BJ94" s="109">
        <f>(AY94+AZ94+BB94+AV94+BD94+BG94+BH94+BI94)</f>
        <v>53553.794098266</v>
      </c>
      <c r="BK94" s="109">
        <f>BJ94+AU94</f>
        <v>301820.893498266</v>
      </c>
      <c r="BL94" s="148">
        <v>0.7</v>
      </c>
      <c r="BM94" s="112">
        <f>ROUND((AW94/BL94)+((AW94*BL94)*'CALCULO GERAL'!$E$11)/BL94,2)</f>
        <v>71654.240000000005</v>
      </c>
      <c r="BN94" s="186">
        <f>BM94</f>
        <v>71654.240000000005</v>
      </c>
      <c r="BO94" s="186">
        <f>ROUND(FV(0.02,8,,BN94)*-1,3)</f>
        <v>83954.361999999994</v>
      </c>
      <c r="BP94" s="109">
        <f>BM94*'CALCULO GERAL'!$C$11</f>
        <v>359632.63056000002</v>
      </c>
      <c r="BQ94" s="109">
        <f>BO94*'CALCULO GERAL'!$C$11</f>
        <v>421366.94287799997</v>
      </c>
      <c r="BR94" s="186">
        <f>BN94*'CALCULO GERAL'!$C$11</f>
        <v>359632.63056000002</v>
      </c>
      <c r="BS94" s="109">
        <f>BP94*N94</f>
        <v>359632.63056000002</v>
      </c>
      <c r="BT94" s="109">
        <f t="shared" si="43"/>
        <v>111365.53116000001</v>
      </c>
      <c r="BU94" s="109">
        <f>BR94*N94</f>
        <v>359632.63056000002</v>
      </c>
      <c r="BV94" s="109">
        <f>BK94*N94</f>
        <v>301820.893498266</v>
      </c>
      <c r="BW94" s="109">
        <f>BS94-BV94</f>
        <v>57811.73706173402</v>
      </c>
      <c r="BX94" s="114">
        <f>(((BK94*N94)-BS94)/BS94*-1)</f>
        <v>0.16075220141095869</v>
      </c>
      <c r="BY94" s="152">
        <f>ROUND(BL94,2)</f>
        <v>0.7</v>
      </c>
      <c r="CA94" s="55"/>
      <c r="CB94" s="113"/>
      <c r="CC94" s="113"/>
      <c r="CE94" s="152">
        <f>CC94/BY94</f>
        <v>0</v>
      </c>
      <c r="CF94" s="152">
        <f>100%-CE94</f>
        <v>1</v>
      </c>
      <c r="CG94" s="152">
        <f>AVERAGE(CF94,CD94)</f>
        <v>1</v>
      </c>
      <c r="CH94" s="34"/>
      <c r="CJ94" s="11"/>
      <c r="CK94" s="11"/>
    </row>
    <row r="95" spans="1:89" s="152" customFormat="1" x14ac:dyDescent="0.2">
      <c r="A95" s="349" t="s">
        <v>596</v>
      </c>
      <c r="B95" s="187" t="s">
        <v>595</v>
      </c>
      <c r="C95" s="7">
        <v>0</v>
      </c>
      <c r="D95" s="7">
        <v>0</v>
      </c>
      <c r="E95" s="7">
        <v>2.1000000000000001E-2</v>
      </c>
      <c r="F95" s="7">
        <v>0.10249999999999999</v>
      </c>
      <c r="G95" s="1">
        <v>1.6500000000000001E-2</v>
      </c>
      <c r="H95" s="1">
        <v>7.5999999999999998E-2</v>
      </c>
      <c r="I95" s="1">
        <v>0.18</v>
      </c>
      <c r="J95" s="1">
        <v>0.04</v>
      </c>
      <c r="K95" s="1">
        <v>0.14000000000000001</v>
      </c>
      <c r="L95" s="1">
        <v>1.4999999999999999E-2</v>
      </c>
      <c r="M95" s="2" t="s">
        <v>175</v>
      </c>
      <c r="N95" s="105">
        <v>1</v>
      </c>
      <c r="O95" s="119"/>
      <c r="P95" s="119"/>
      <c r="Q95" s="119"/>
      <c r="R95" s="119"/>
      <c r="S95" s="119"/>
      <c r="T95" s="119"/>
      <c r="U95" s="119"/>
      <c r="V95" s="119">
        <v>33800</v>
      </c>
      <c r="W95" s="119"/>
      <c r="X95" s="119">
        <f>MIN(O95:W95)</f>
        <v>33800</v>
      </c>
      <c r="Y95" s="118">
        <f>AVERAGE(O95:W95)</f>
        <v>33800</v>
      </c>
      <c r="Z95" s="109">
        <f>Y95*N95</f>
        <v>33800</v>
      </c>
      <c r="AA95" s="109">
        <f>'CALCULO GERAL'!$G$10</f>
        <v>6300</v>
      </c>
      <c r="AB95" s="109">
        <f>Z95+AA95</f>
        <v>40100</v>
      </c>
      <c r="AC95" s="109">
        <f>AB95*'CALCULO GERAL'!$C$11</f>
        <v>201261.9</v>
      </c>
      <c r="AD95" s="109">
        <f>AC95*C95</f>
        <v>0</v>
      </c>
      <c r="AE95" s="109">
        <f>(AC95+AD95)*D95</f>
        <v>0</v>
      </c>
      <c r="AF95" s="109">
        <f>AC95*E95</f>
        <v>4226.4998999999998</v>
      </c>
      <c r="AG95" s="109">
        <f>AC95*F95</f>
        <v>20629.344749999997</v>
      </c>
      <c r="AH95" s="109">
        <v>154.22999999999999</v>
      </c>
      <c r="AI95" s="109">
        <f>((AA95*'CALCULO GERAL'!$C$11))*0.08+20</f>
        <v>2549.576</v>
      </c>
      <c r="AJ95" s="109">
        <v>1010</v>
      </c>
      <c r="AK95" s="109">
        <v>2500</v>
      </c>
      <c r="AL95" s="109">
        <f>(AA95*('CALCULO GERAL'!$C$11*1.02))-(AA95*'CALCULO GERAL'!$C$11)</f>
        <v>632.39400000000387</v>
      </c>
      <c r="AM95" s="109">
        <v>1800</v>
      </c>
      <c r="AN95" s="109">
        <v>2600</v>
      </c>
      <c r="AO95" s="109">
        <v>9400</v>
      </c>
      <c r="AP95" s="109">
        <v>1000</v>
      </c>
      <c r="AQ95" s="109">
        <f t="shared" si="39"/>
        <v>-4226.4998999999998</v>
      </c>
      <c r="AR95" s="109">
        <f t="shared" si="40"/>
        <v>-20629.344749999997</v>
      </c>
      <c r="AS95" s="109"/>
      <c r="AT95" s="109">
        <f>SUM(AC95:AS95)</f>
        <v>222908.1</v>
      </c>
      <c r="AU95" s="111">
        <f>IFERROR((AT95/N95),0)</f>
        <v>222908.1</v>
      </c>
      <c r="AV95" s="109">
        <f>IFERROR((BS95*'CALCULO GERAL'!$E$11)/N95,0)</f>
        <v>6457.9663722000005</v>
      </c>
      <c r="AW95" s="109">
        <f>AU95/'CALCULO GERAL'!$C$11</f>
        <v>44412.851165570828</v>
      </c>
      <c r="AX95" s="109">
        <f>BP95-BB95-BD95*'CALCULO GERAL'!$C$11</f>
        <v>318054.84383085003</v>
      </c>
      <c r="AY95" s="109">
        <f>AX95*G95</f>
        <v>5247.9049232090256</v>
      </c>
      <c r="AZ95" s="109">
        <f>AX95*H95</f>
        <v>24172.168131144601</v>
      </c>
      <c r="BA95" s="109">
        <f>BP95-BD95</f>
        <v>322898.31861000002</v>
      </c>
      <c r="BB95" s="109">
        <f>BA95*L95</f>
        <v>4843.4747791500004</v>
      </c>
      <c r="BC95" s="109">
        <f>BP95/(1+D95)</f>
        <v>322898.31861000002</v>
      </c>
      <c r="BD95" s="109">
        <f>BC95*D95</f>
        <v>0</v>
      </c>
      <c r="BE95" s="109">
        <f>BU95*0.08</f>
        <v>25831.865488800002</v>
      </c>
      <c r="BF95" s="109">
        <f>BU95*0.12</f>
        <v>38747.798233200003</v>
      </c>
      <c r="BG95" s="109">
        <f>(BF95*0.09)/N95</f>
        <v>3487.3018409880001</v>
      </c>
      <c r="BH95" s="109">
        <f>(BE95*0.15)/N95</f>
        <v>3874.7798233200001</v>
      </c>
      <c r="BI95" s="109">
        <f>IF(BE95&gt;=$BY$1,($BY$1-BE95)*0.1,IF(BE95&lt;=$BY$1,($BY$1*0)))/N95</f>
        <v>0</v>
      </c>
      <c r="BJ95" s="109">
        <f>(AY95+AZ95+BB95+AV95+BD95+BG95+BH95+BI95)</f>
        <v>48083.595870011632</v>
      </c>
      <c r="BK95" s="109">
        <f>BJ95+AU95</f>
        <v>270991.69587001164</v>
      </c>
      <c r="BL95" s="148">
        <v>0.7</v>
      </c>
      <c r="BM95" s="112">
        <f>ROUND((AW95/BL95)+((AW95*BL95)*'CALCULO GERAL'!$E$11)/BL95,2)</f>
        <v>64335.19</v>
      </c>
      <c r="BN95" s="186">
        <f>BM95</f>
        <v>64335.19</v>
      </c>
      <c r="BO95" s="186">
        <f>ROUND(FV(0.02,8,,BN95)*-1,3)</f>
        <v>75378.929000000004</v>
      </c>
      <c r="BP95" s="109">
        <f>BM95*'CALCULO GERAL'!$C$11</f>
        <v>322898.31861000002</v>
      </c>
      <c r="BQ95" s="109">
        <f>BO95*'CALCULO GERAL'!$C$11</f>
        <v>378326.84465100005</v>
      </c>
      <c r="BR95" s="186">
        <f>BN95*'CALCULO GERAL'!$C$11</f>
        <v>322898.31861000002</v>
      </c>
      <c r="BS95" s="109">
        <f>BP95*N95</f>
        <v>322898.31861000002</v>
      </c>
      <c r="BT95" s="109">
        <f t="shared" si="43"/>
        <v>99990.218610000011</v>
      </c>
      <c r="BU95" s="109">
        <f>BR95*N95</f>
        <v>322898.31861000002</v>
      </c>
      <c r="BV95" s="109">
        <f>BK95*N95</f>
        <v>270991.69587001164</v>
      </c>
      <c r="BW95" s="109">
        <f>BS95-BV95</f>
        <v>51906.622739988379</v>
      </c>
      <c r="BX95" s="114">
        <f>(((BK95*N95)-BS95)/BS95*-1)</f>
        <v>0.16075222368278028</v>
      </c>
      <c r="BY95" s="152">
        <f>ROUND(BL95,2)</f>
        <v>0.7</v>
      </c>
      <c r="CA95" s="55"/>
      <c r="CB95" s="113"/>
      <c r="CC95" s="113"/>
      <c r="CE95" s="152">
        <f>CC95/BY95</f>
        <v>0</v>
      </c>
      <c r="CF95" s="152">
        <f>100%-CE95</f>
        <v>1</v>
      </c>
      <c r="CG95" s="152">
        <f>AVERAGE(CF95,CD95)</f>
        <v>1</v>
      </c>
      <c r="CH95" s="34"/>
      <c r="CJ95" s="11"/>
      <c r="CK95" s="11"/>
    </row>
    <row r="96" spans="1:89" s="152" customFormat="1" x14ac:dyDescent="0.2">
      <c r="A96" s="340" t="s">
        <v>559</v>
      </c>
      <c r="B96" s="338" t="s">
        <v>558</v>
      </c>
      <c r="C96" s="339">
        <v>0.128</v>
      </c>
      <c r="D96" s="339">
        <v>0.1099</v>
      </c>
      <c r="E96" s="339">
        <v>2.1000000000000001E-2</v>
      </c>
      <c r="F96" s="339">
        <v>9.6500000000000002E-2</v>
      </c>
      <c r="G96" s="1">
        <v>1.6500000000000001E-2</v>
      </c>
      <c r="H96" s="1">
        <v>7.5999999999999998E-2</v>
      </c>
      <c r="I96" s="1">
        <v>0.18</v>
      </c>
      <c r="J96" s="1">
        <v>0.04</v>
      </c>
      <c r="K96" s="1">
        <v>0.14000000000000001</v>
      </c>
      <c r="L96" s="1">
        <v>1.4999999999999999E-2</v>
      </c>
      <c r="M96" s="2" t="s">
        <v>175</v>
      </c>
      <c r="N96" s="105">
        <v>1300</v>
      </c>
      <c r="O96" s="119"/>
      <c r="P96" s="119"/>
      <c r="Q96" s="119"/>
      <c r="R96" s="119"/>
      <c r="S96" s="119"/>
      <c r="T96" s="119"/>
      <c r="U96" s="119"/>
      <c r="V96" s="119">
        <v>41.5</v>
      </c>
      <c r="W96" s="119"/>
      <c r="X96" s="119">
        <f t="shared" si="88"/>
        <v>41.5</v>
      </c>
      <c r="Y96" s="118">
        <f t="shared" si="89"/>
        <v>41.5</v>
      </c>
      <c r="Z96" s="109">
        <f t="shared" si="90"/>
        <v>53950</v>
      </c>
      <c r="AA96" s="109">
        <f>'CALCULO GERAL'!$G$10</f>
        <v>6300</v>
      </c>
      <c r="AB96" s="109">
        <f t="shared" si="91"/>
        <v>60250</v>
      </c>
      <c r="AC96" s="109">
        <f>AB96*'CALCULO GERAL'!$C$11</f>
        <v>302394.75</v>
      </c>
      <c r="AD96" s="109">
        <f t="shared" si="92"/>
        <v>38706.527999999998</v>
      </c>
      <c r="AE96" s="109">
        <f t="shared" si="93"/>
        <v>37487.030452200001</v>
      </c>
      <c r="AF96" s="109">
        <f t="shared" si="94"/>
        <v>6350.2897500000008</v>
      </c>
      <c r="AG96" s="109">
        <f t="shared" si="95"/>
        <v>29181.093375</v>
      </c>
      <c r="AH96" s="109">
        <v>154.22999999999999</v>
      </c>
      <c r="AI96" s="109">
        <f>((AA96*'CALCULO GERAL'!$C$11))*0.08+20</f>
        <v>2549.576</v>
      </c>
      <c r="AJ96" s="109">
        <v>1010</v>
      </c>
      <c r="AK96" s="109">
        <v>2500</v>
      </c>
      <c r="AL96" s="109">
        <f>(AA96*('CALCULO GERAL'!$C$11*1.02))-(AA96*'CALCULO GERAL'!$C$11)</f>
        <v>632.39400000000387</v>
      </c>
      <c r="AM96" s="109">
        <v>1800</v>
      </c>
      <c r="AN96" s="109">
        <v>2600</v>
      </c>
      <c r="AO96" s="109">
        <v>9400</v>
      </c>
      <c r="AP96" s="109">
        <v>1000</v>
      </c>
      <c r="AQ96" s="109">
        <f t="shared" si="39"/>
        <v>-6350.2897500000008</v>
      </c>
      <c r="AR96" s="109">
        <f t="shared" si="40"/>
        <v>-29181.093375</v>
      </c>
      <c r="AS96" s="109"/>
      <c r="AT96" s="109">
        <f t="shared" si="113"/>
        <v>400234.50845219998</v>
      </c>
      <c r="AU96" s="111">
        <f t="shared" si="96"/>
        <v>307.87269880938459</v>
      </c>
      <c r="AV96" s="109">
        <f>IFERROR((BS96*'CALCULO GERAL'!$E$11)/N96,0)</f>
        <v>8.9197667999999997</v>
      </c>
      <c r="AW96" s="109">
        <f>AU96/'CALCULO GERAL'!$C$11</f>
        <v>61.341442281208323</v>
      </c>
      <c r="AX96" s="109">
        <f>BP96-BB96-BD96*'CALCULO GERAL'!$C$11</f>
        <v>218.31766139584286</v>
      </c>
      <c r="AY96" s="109">
        <f t="shared" si="97"/>
        <v>3.6022414130314075</v>
      </c>
      <c r="AZ96" s="109">
        <f t="shared" si="98"/>
        <v>16.592142266084057</v>
      </c>
      <c r="BA96" s="109">
        <f t="shared" si="99"/>
        <v>401.82749797279035</v>
      </c>
      <c r="BB96" s="109">
        <f t="shared" si="100"/>
        <v>6.0274124695918552</v>
      </c>
      <c r="BC96" s="109">
        <f t="shared" si="101"/>
        <v>401.8274979727903</v>
      </c>
      <c r="BD96" s="109">
        <f t="shared" si="102"/>
        <v>44.160842027209654</v>
      </c>
      <c r="BE96" s="109">
        <f t="shared" si="103"/>
        <v>46382.787359999995</v>
      </c>
      <c r="BF96" s="109">
        <f t="shared" si="104"/>
        <v>69574.181039999996</v>
      </c>
      <c r="BG96" s="109">
        <f t="shared" si="105"/>
        <v>4.8166740719999996</v>
      </c>
      <c r="BH96" s="109">
        <f t="shared" si="106"/>
        <v>5.3518600799999998</v>
      </c>
      <c r="BI96" s="109">
        <f t="shared" si="107"/>
        <v>0</v>
      </c>
      <c r="BJ96" s="109">
        <f t="shared" si="108"/>
        <v>89.470939127916964</v>
      </c>
      <c r="BK96" s="109">
        <f t="shared" si="109"/>
        <v>397.34363793730154</v>
      </c>
      <c r="BL96" s="148">
        <v>0.7</v>
      </c>
      <c r="BM96" s="112">
        <f>ROUND((AW96/BL96)+((AW96*BL96)*'CALCULO GERAL'!$E$11)/BL96,2)</f>
        <v>88.86</v>
      </c>
      <c r="BN96" s="186">
        <f t="shared" si="114"/>
        <v>88.86</v>
      </c>
      <c r="BO96" s="186">
        <f t="shared" si="115"/>
        <v>104.114</v>
      </c>
      <c r="BP96" s="109">
        <f>BM96*'CALCULO GERAL'!$C$11</f>
        <v>445.98833999999999</v>
      </c>
      <c r="BQ96" s="109">
        <f>BO96*'CALCULO GERAL'!$C$11</f>
        <v>522.54816600000004</v>
      </c>
      <c r="BR96" s="186">
        <f>BN96*'CALCULO GERAL'!$C$11</f>
        <v>445.98833999999999</v>
      </c>
      <c r="BS96" s="109">
        <f t="shared" si="110"/>
        <v>579784.84199999995</v>
      </c>
      <c r="BT96" s="109">
        <f t="shared" si="43"/>
        <v>179550.33354779996</v>
      </c>
      <c r="BU96" s="109">
        <f t="shared" si="111"/>
        <v>579784.84199999995</v>
      </c>
      <c r="BV96" s="109">
        <f t="shared" si="116"/>
        <v>516546.729318492</v>
      </c>
      <c r="BW96" s="109">
        <f t="shared" si="117"/>
        <v>63238.112681507948</v>
      </c>
      <c r="BX96" s="114">
        <f t="shared" si="112"/>
        <v>0.10907169022109059</v>
      </c>
      <c r="BY96" s="152">
        <f t="shared" si="118"/>
        <v>0.7</v>
      </c>
      <c r="CA96" s="55"/>
      <c r="CB96" s="113"/>
      <c r="CC96" s="113"/>
      <c r="CE96" s="152">
        <f t="shared" si="119"/>
        <v>0</v>
      </c>
      <c r="CF96" s="152">
        <f t="shared" si="120"/>
        <v>1</v>
      </c>
      <c r="CG96" s="152">
        <f t="shared" si="121"/>
        <v>1</v>
      </c>
      <c r="CH96" s="34"/>
      <c r="CJ96" s="11"/>
      <c r="CK96" s="11"/>
    </row>
    <row r="97" spans="1:89" s="152" customFormat="1" x14ac:dyDescent="0.2">
      <c r="A97" s="340" t="s">
        <v>539</v>
      </c>
      <c r="B97" s="338" t="s">
        <v>538</v>
      </c>
      <c r="C97" s="339">
        <v>0.16</v>
      </c>
      <c r="D97" s="339">
        <v>0.25559999999999999</v>
      </c>
      <c r="E97" s="339">
        <v>3.5200000000000002E-2</v>
      </c>
      <c r="F97" s="339">
        <v>0.1648</v>
      </c>
      <c r="G97" s="1">
        <v>1.6500000000000001E-2</v>
      </c>
      <c r="H97" s="1">
        <v>7.5999999999999998E-2</v>
      </c>
      <c r="I97" s="1">
        <v>0.18</v>
      </c>
      <c r="J97" s="1">
        <v>0.04</v>
      </c>
      <c r="K97" s="1">
        <v>0.14000000000000001</v>
      </c>
      <c r="L97" s="1">
        <v>1.4999999999999999E-2</v>
      </c>
      <c r="M97" s="2" t="s">
        <v>175</v>
      </c>
      <c r="N97" s="105">
        <v>100</v>
      </c>
      <c r="O97" s="119"/>
      <c r="P97" s="119"/>
      <c r="Q97" s="119"/>
      <c r="R97" s="119"/>
      <c r="S97" s="119"/>
      <c r="T97" s="119"/>
      <c r="U97" s="119"/>
      <c r="V97" s="119"/>
      <c r="W97" s="119"/>
      <c r="X97" s="119">
        <f t="shared" si="88"/>
        <v>0</v>
      </c>
      <c r="Y97" s="118" t="e">
        <f t="shared" si="89"/>
        <v>#DIV/0!</v>
      </c>
      <c r="Z97" s="109" t="e">
        <f t="shared" si="90"/>
        <v>#DIV/0!</v>
      </c>
      <c r="AA97" s="109">
        <f>'CALCULO GERAL'!$G$10</f>
        <v>6300</v>
      </c>
      <c r="AB97" s="109" t="e">
        <f t="shared" si="91"/>
        <v>#DIV/0!</v>
      </c>
      <c r="AC97" s="109" t="e">
        <f>AB97*'CALCULO GERAL'!$C$11</f>
        <v>#DIV/0!</v>
      </c>
      <c r="AD97" s="109" t="e">
        <f t="shared" si="92"/>
        <v>#DIV/0!</v>
      </c>
      <c r="AE97" s="109" t="e">
        <f t="shared" si="93"/>
        <v>#DIV/0!</v>
      </c>
      <c r="AF97" s="109" t="e">
        <f t="shared" si="94"/>
        <v>#DIV/0!</v>
      </c>
      <c r="AG97" s="109" t="e">
        <f t="shared" si="95"/>
        <v>#DIV/0!</v>
      </c>
      <c r="AH97" s="109">
        <v>154.22999999999999</v>
      </c>
      <c r="AI97" s="109">
        <f>((AA97*'CALCULO GERAL'!$C$11))*0.08+20</f>
        <v>2549.576</v>
      </c>
      <c r="AJ97" s="109">
        <v>1010</v>
      </c>
      <c r="AK97" s="109">
        <v>2500</v>
      </c>
      <c r="AL97" s="109">
        <f>(AA97*('CALCULO GERAL'!$C$11*1.02))-(AA97*'CALCULO GERAL'!$C$11)</f>
        <v>632.39400000000387</v>
      </c>
      <c r="AM97" s="109">
        <v>1800</v>
      </c>
      <c r="AN97" s="109">
        <v>2600</v>
      </c>
      <c r="AO97" s="109">
        <v>9400</v>
      </c>
      <c r="AP97" s="109">
        <v>1000</v>
      </c>
      <c r="AQ97" s="109" t="e">
        <f t="shared" si="39"/>
        <v>#DIV/0!</v>
      </c>
      <c r="AR97" s="109" t="e">
        <f t="shared" si="40"/>
        <v>#DIV/0!</v>
      </c>
      <c r="AS97" s="109"/>
      <c r="AT97" s="109" t="e">
        <f t="shared" si="113"/>
        <v>#DIV/0!</v>
      </c>
      <c r="AU97" s="111">
        <f t="shared" si="96"/>
        <v>0</v>
      </c>
      <c r="AV97" s="109">
        <f>IFERROR((BS97*'CALCULO GERAL'!$E$11)/N97,0)</f>
        <v>0</v>
      </c>
      <c r="AW97" s="109">
        <f>AU97/'CALCULO GERAL'!$C$11</f>
        <v>0</v>
      </c>
      <c r="AX97" s="109">
        <f>BP97-BB97-BD97*'CALCULO GERAL'!$C$11</f>
        <v>0</v>
      </c>
      <c r="AY97" s="109">
        <f t="shared" si="97"/>
        <v>0</v>
      </c>
      <c r="AZ97" s="109">
        <f t="shared" si="98"/>
        <v>0</v>
      </c>
      <c r="BA97" s="109">
        <f t="shared" si="99"/>
        <v>0</v>
      </c>
      <c r="BB97" s="109">
        <f t="shared" si="100"/>
        <v>0</v>
      </c>
      <c r="BC97" s="109">
        <f t="shared" si="101"/>
        <v>0</v>
      </c>
      <c r="BD97" s="109">
        <f t="shared" si="102"/>
        <v>0</v>
      </c>
      <c r="BE97" s="109">
        <f t="shared" si="103"/>
        <v>0</v>
      </c>
      <c r="BF97" s="109">
        <f t="shared" si="104"/>
        <v>0</v>
      </c>
      <c r="BG97" s="109">
        <f t="shared" si="105"/>
        <v>0</v>
      </c>
      <c r="BH97" s="109">
        <f t="shared" si="106"/>
        <v>0</v>
      </c>
      <c r="BI97" s="109">
        <f t="shared" si="107"/>
        <v>0</v>
      </c>
      <c r="BJ97" s="109">
        <f t="shared" si="108"/>
        <v>0</v>
      </c>
      <c r="BK97" s="109">
        <f t="shared" si="109"/>
        <v>0</v>
      </c>
      <c r="BL97" s="148">
        <v>0.7</v>
      </c>
      <c r="BM97" s="112">
        <f>ROUND((AW97/BL97)+((AW97*BL97)*'CALCULO GERAL'!$E$11)/BL97,2)</f>
        <v>0</v>
      </c>
      <c r="BN97" s="186">
        <f t="shared" si="114"/>
        <v>0</v>
      </c>
      <c r="BO97" s="186">
        <f t="shared" si="115"/>
        <v>0</v>
      </c>
      <c r="BP97" s="109">
        <f>BM97*'CALCULO GERAL'!$C$11</f>
        <v>0</v>
      </c>
      <c r="BQ97" s="109">
        <f>BO97*'CALCULO GERAL'!$C$11</f>
        <v>0</v>
      </c>
      <c r="BR97" s="186">
        <f>BN97*'CALCULO GERAL'!$C$11</f>
        <v>0</v>
      </c>
      <c r="BS97" s="109">
        <f t="shared" si="110"/>
        <v>0</v>
      </c>
      <c r="BT97" s="109" t="e">
        <f t="shared" si="43"/>
        <v>#DIV/0!</v>
      </c>
      <c r="BU97" s="109">
        <f t="shared" si="111"/>
        <v>0</v>
      </c>
      <c r="BV97" s="109">
        <f t="shared" si="116"/>
        <v>0</v>
      </c>
      <c r="BW97" s="109">
        <f t="shared" si="117"/>
        <v>0</v>
      </c>
      <c r="BX97" s="114" t="e">
        <f t="shared" si="112"/>
        <v>#DIV/0!</v>
      </c>
      <c r="BY97" s="152">
        <f t="shared" si="118"/>
        <v>0.7</v>
      </c>
      <c r="CA97" s="55"/>
      <c r="CB97" s="113"/>
      <c r="CC97" s="113"/>
      <c r="CE97" s="152">
        <f t="shared" si="119"/>
        <v>0</v>
      </c>
      <c r="CF97" s="152">
        <f t="shared" si="120"/>
        <v>1</v>
      </c>
      <c r="CG97" s="152">
        <f t="shared" si="121"/>
        <v>1</v>
      </c>
      <c r="CH97" s="34"/>
      <c r="CJ97" s="11"/>
      <c r="CK97" s="11"/>
    </row>
    <row r="98" spans="1:89" s="152" customFormat="1" x14ac:dyDescent="0.2">
      <c r="A98" s="340" t="s">
        <v>552</v>
      </c>
      <c r="B98" s="338" t="s">
        <v>544</v>
      </c>
      <c r="C98" s="339">
        <v>0.16200000000000001</v>
      </c>
      <c r="D98" s="339">
        <v>0.1132</v>
      </c>
      <c r="E98" s="339">
        <v>2.1000000000000001E-2</v>
      </c>
      <c r="F98" s="339">
        <v>9.6500000000000002E-2</v>
      </c>
      <c r="G98" s="1">
        <v>1.6500000000000001E-2</v>
      </c>
      <c r="H98" s="1">
        <v>7.5999999999999998E-2</v>
      </c>
      <c r="I98" s="1">
        <v>0.18</v>
      </c>
      <c r="J98" s="1">
        <v>0.04</v>
      </c>
      <c r="K98" s="1">
        <v>0.14000000000000001</v>
      </c>
      <c r="L98" s="1">
        <v>1.4999999999999999E-2</v>
      </c>
      <c r="M98" s="2" t="s">
        <v>175</v>
      </c>
      <c r="N98" s="105">
        <v>250000</v>
      </c>
      <c r="O98" s="119"/>
      <c r="P98" s="119"/>
      <c r="Q98" s="119"/>
      <c r="R98" s="119"/>
      <c r="S98" s="119"/>
      <c r="T98" s="119"/>
      <c r="U98" s="119"/>
      <c r="V98" s="119">
        <v>0.33</v>
      </c>
      <c r="W98" s="119"/>
      <c r="X98" s="119">
        <f t="shared" si="88"/>
        <v>0.33</v>
      </c>
      <c r="Y98" s="118">
        <f t="shared" si="89"/>
        <v>0.33</v>
      </c>
      <c r="Z98" s="109">
        <f t="shared" si="90"/>
        <v>82500</v>
      </c>
      <c r="AA98" s="109">
        <f>'CALCULO GERAL'!$G$10</f>
        <v>6300</v>
      </c>
      <c r="AB98" s="109">
        <f t="shared" si="91"/>
        <v>88800</v>
      </c>
      <c r="AC98" s="109">
        <f>AB98*'CALCULO GERAL'!$C$11</f>
        <v>445687.2</v>
      </c>
      <c r="AD98" s="109">
        <f t="shared" si="92"/>
        <v>72201.326400000005</v>
      </c>
      <c r="AE98" s="109">
        <f t="shared" si="93"/>
        <v>58624.98118848</v>
      </c>
      <c r="AF98" s="109">
        <f t="shared" si="94"/>
        <v>9359.4312000000009</v>
      </c>
      <c r="AG98" s="109">
        <f t="shared" si="95"/>
        <v>43008.8148</v>
      </c>
      <c r="AH98" s="109">
        <v>154.22999999999999</v>
      </c>
      <c r="AI98" s="109">
        <f>((AA98*'CALCULO GERAL'!$C$11))*0.08+20</f>
        <v>2549.576</v>
      </c>
      <c r="AJ98" s="109">
        <v>1010</v>
      </c>
      <c r="AK98" s="109">
        <v>2500</v>
      </c>
      <c r="AL98" s="109">
        <f>(AA98*('CALCULO GERAL'!$C$11*1.02))-(AA98*'CALCULO GERAL'!$C$11)</f>
        <v>632.39400000000387</v>
      </c>
      <c r="AM98" s="109">
        <v>1800</v>
      </c>
      <c r="AN98" s="109">
        <v>2600</v>
      </c>
      <c r="AO98" s="109">
        <v>9400</v>
      </c>
      <c r="AP98" s="109">
        <v>1000</v>
      </c>
      <c r="AQ98" s="109">
        <f t="shared" si="39"/>
        <v>-9359.4312000000009</v>
      </c>
      <c r="AR98" s="109">
        <f t="shared" si="40"/>
        <v>-43008.8148</v>
      </c>
      <c r="AS98" s="109"/>
      <c r="AT98" s="109">
        <f t="shared" si="113"/>
        <v>598159.70758847997</v>
      </c>
      <c r="AU98" s="111">
        <f t="shared" si="96"/>
        <v>2.3926388303539197</v>
      </c>
      <c r="AV98" s="109">
        <f>IFERROR((BS98*'CALCULO GERAL'!$E$11)/N98,0)</f>
        <v>6.9262199999999996E-2</v>
      </c>
      <c r="AW98" s="109">
        <f>AU98/'CALCULO GERAL'!$C$11</f>
        <v>0.47671624434228327</v>
      </c>
      <c r="AX98" s="109">
        <f>BP98-BB98-BD98*'CALCULO GERAL'!$C$11</f>
        <v>1.648956777768595</v>
      </c>
      <c r="AY98" s="109">
        <f t="shared" si="97"/>
        <v>2.7207786833181816E-2</v>
      </c>
      <c r="AZ98" s="109">
        <f t="shared" si="98"/>
        <v>0.12532071511041321</v>
      </c>
      <c r="BA98" s="109">
        <f t="shared" si="99"/>
        <v>3.1109504132231405</v>
      </c>
      <c r="BB98" s="109">
        <f t="shared" si="100"/>
        <v>4.6664256198347104E-2</v>
      </c>
      <c r="BC98" s="109">
        <f t="shared" si="101"/>
        <v>3.1109504132231405</v>
      </c>
      <c r="BD98" s="109">
        <f t="shared" si="102"/>
        <v>0.35215958677685949</v>
      </c>
      <c r="BE98" s="109">
        <f t="shared" si="103"/>
        <v>69262.2</v>
      </c>
      <c r="BF98" s="109">
        <f t="shared" si="104"/>
        <v>103893.3</v>
      </c>
      <c r="BG98" s="109">
        <f t="shared" si="105"/>
        <v>3.7401588E-2</v>
      </c>
      <c r="BH98" s="109">
        <f t="shared" si="106"/>
        <v>4.1557320000000002E-2</v>
      </c>
      <c r="BI98" s="109">
        <f t="shared" si="107"/>
        <v>-3.7048839999999999E-3</v>
      </c>
      <c r="BJ98" s="109">
        <f t="shared" si="108"/>
        <v>0.69586856891880167</v>
      </c>
      <c r="BK98" s="109">
        <f t="shared" si="109"/>
        <v>3.0885073992727214</v>
      </c>
      <c r="BL98" s="148">
        <v>0.7</v>
      </c>
      <c r="BM98" s="112">
        <f>ROUND((AW98/BL98)+((AW98*BL98)*'CALCULO GERAL'!$E$11)/BL98,2)</f>
        <v>0.69</v>
      </c>
      <c r="BN98" s="186">
        <f t="shared" si="114"/>
        <v>0.69</v>
      </c>
      <c r="BO98" s="186">
        <f t="shared" si="115"/>
        <v>0.80800000000000005</v>
      </c>
      <c r="BP98" s="109">
        <f>BM98*'CALCULO GERAL'!$C$11</f>
        <v>3.4631099999999999</v>
      </c>
      <c r="BQ98" s="109">
        <f>BO98*'CALCULO GERAL'!$C$11</f>
        <v>4.0553520000000001</v>
      </c>
      <c r="BR98" s="186">
        <f>BN98*'CALCULO GERAL'!$C$11</f>
        <v>3.4631099999999999</v>
      </c>
      <c r="BS98" s="109">
        <f t="shared" si="110"/>
        <v>865777.5</v>
      </c>
      <c r="BT98" s="109">
        <f t="shared" si="43"/>
        <v>267617.79241152003</v>
      </c>
      <c r="BU98" s="109">
        <f t="shared" si="111"/>
        <v>865777.5</v>
      </c>
      <c r="BV98" s="109">
        <f t="shared" si="116"/>
        <v>772126.84981818032</v>
      </c>
      <c r="BW98" s="109">
        <f t="shared" si="117"/>
        <v>93650.650181819685</v>
      </c>
      <c r="BX98" s="114">
        <f t="shared" si="112"/>
        <v>0.1081694201822289</v>
      </c>
      <c r="BY98" s="152">
        <f t="shared" si="118"/>
        <v>0.7</v>
      </c>
      <c r="CA98" s="55"/>
      <c r="CB98" s="113"/>
      <c r="CC98" s="113"/>
      <c r="CE98" s="152">
        <f t="shared" si="119"/>
        <v>0</v>
      </c>
      <c r="CF98" s="152">
        <f t="shared" si="120"/>
        <v>1</v>
      </c>
      <c r="CG98" s="152">
        <f t="shared" si="121"/>
        <v>1</v>
      </c>
      <c r="CH98" s="34"/>
      <c r="CJ98" s="11"/>
      <c r="CK98" s="11"/>
    </row>
    <row r="99" spans="1:89" s="152" customFormat="1" x14ac:dyDescent="0.2">
      <c r="A99" s="340" t="s">
        <v>553</v>
      </c>
      <c r="B99" s="338" t="s">
        <v>545</v>
      </c>
      <c r="C99" s="339">
        <v>0.18</v>
      </c>
      <c r="D99" s="339">
        <v>7.6700000000000004E-2</v>
      </c>
      <c r="E99" s="339">
        <v>2.1000000000000001E-2</v>
      </c>
      <c r="F99" s="339">
        <v>9.6500000000000002E-2</v>
      </c>
      <c r="G99" s="1">
        <v>1.6500000000000001E-2</v>
      </c>
      <c r="H99" s="1">
        <v>7.5999999999999998E-2</v>
      </c>
      <c r="I99" s="1">
        <v>0.18</v>
      </c>
      <c r="J99" s="1">
        <v>0.04</v>
      </c>
      <c r="K99" s="1">
        <v>0.14000000000000001</v>
      </c>
      <c r="L99" s="1">
        <v>1.4999999999999999E-2</v>
      </c>
      <c r="M99" s="2" t="s">
        <v>175</v>
      </c>
      <c r="N99" s="105">
        <v>750</v>
      </c>
      <c r="O99" s="119"/>
      <c r="P99" s="119"/>
      <c r="Q99" s="119"/>
      <c r="R99" s="119"/>
      <c r="S99" s="119"/>
      <c r="T99" s="119"/>
      <c r="U99" s="119"/>
      <c r="V99" s="119"/>
      <c r="W99" s="119"/>
      <c r="X99" s="119">
        <f t="shared" si="88"/>
        <v>0</v>
      </c>
      <c r="Y99" s="118" t="e">
        <f t="shared" si="89"/>
        <v>#DIV/0!</v>
      </c>
      <c r="Z99" s="109" t="e">
        <f t="shared" si="90"/>
        <v>#DIV/0!</v>
      </c>
      <c r="AA99" s="109">
        <f>'CALCULO GERAL'!$G$10</f>
        <v>6300</v>
      </c>
      <c r="AB99" s="109" t="e">
        <f t="shared" si="91"/>
        <v>#DIV/0!</v>
      </c>
      <c r="AC99" s="109" t="e">
        <f>AB99*'CALCULO GERAL'!$C$11</f>
        <v>#DIV/0!</v>
      </c>
      <c r="AD99" s="109" t="e">
        <f t="shared" si="92"/>
        <v>#DIV/0!</v>
      </c>
      <c r="AE99" s="109" t="e">
        <f t="shared" si="93"/>
        <v>#DIV/0!</v>
      </c>
      <c r="AF99" s="109" t="e">
        <f t="shared" si="94"/>
        <v>#DIV/0!</v>
      </c>
      <c r="AG99" s="109" t="e">
        <f t="shared" si="95"/>
        <v>#DIV/0!</v>
      </c>
      <c r="AH99" s="109">
        <v>154.22999999999999</v>
      </c>
      <c r="AI99" s="109">
        <f>((AA99*'CALCULO GERAL'!$C$11))*0.08+20</f>
        <v>2549.576</v>
      </c>
      <c r="AJ99" s="109">
        <v>1010</v>
      </c>
      <c r="AK99" s="109">
        <v>2500</v>
      </c>
      <c r="AL99" s="109">
        <f>(AA99*('CALCULO GERAL'!$C$11*1.02))-(AA99*'CALCULO GERAL'!$C$11)</f>
        <v>632.39400000000387</v>
      </c>
      <c r="AM99" s="109">
        <v>1800</v>
      </c>
      <c r="AN99" s="109">
        <v>2600</v>
      </c>
      <c r="AO99" s="109">
        <v>9400</v>
      </c>
      <c r="AP99" s="109">
        <v>1000</v>
      </c>
      <c r="AQ99" s="109" t="e">
        <f t="shared" si="39"/>
        <v>#DIV/0!</v>
      </c>
      <c r="AR99" s="109" t="e">
        <f t="shared" si="40"/>
        <v>#DIV/0!</v>
      </c>
      <c r="AS99" s="109"/>
      <c r="AT99" s="109" t="e">
        <f t="shared" si="113"/>
        <v>#DIV/0!</v>
      </c>
      <c r="AU99" s="111">
        <f t="shared" si="96"/>
        <v>0</v>
      </c>
      <c r="AV99" s="109">
        <f>IFERROR((BS99*'CALCULO GERAL'!$E$11)/N99,0)</f>
        <v>0</v>
      </c>
      <c r="AW99" s="109">
        <f>AU99/'CALCULO GERAL'!$C$11</f>
        <v>0</v>
      </c>
      <c r="AX99" s="109">
        <f>BP99-BB99-BD99*'CALCULO GERAL'!$C$11</f>
        <v>0</v>
      </c>
      <c r="AY99" s="109">
        <f t="shared" si="97"/>
        <v>0</v>
      </c>
      <c r="AZ99" s="109">
        <f t="shared" si="98"/>
        <v>0</v>
      </c>
      <c r="BA99" s="109">
        <f t="shared" si="99"/>
        <v>0</v>
      </c>
      <c r="BB99" s="109">
        <f t="shared" si="100"/>
        <v>0</v>
      </c>
      <c r="BC99" s="109">
        <f t="shared" si="101"/>
        <v>0</v>
      </c>
      <c r="BD99" s="109">
        <f t="shared" si="102"/>
        <v>0</v>
      </c>
      <c r="BE99" s="109">
        <f t="shared" si="103"/>
        <v>0</v>
      </c>
      <c r="BF99" s="109">
        <f t="shared" si="104"/>
        <v>0</v>
      </c>
      <c r="BG99" s="109">
        <f t="shared" si="105"/>
        <v>0</v>
      </c>
      <c r="BH99" s="109">
        <f t="shared" si="106"/>
        <v>0</v>
      </c>
      <c r="BI99" s="109">
        <f t="shared" si="107"/>
        <v>0</v>
      </c>
      <c r="BJ99" s="109">
        <f t="shared" si="108"/>
        <v>0</v>
      </c>
      <c r="BK99" s="109">
        <f t="shared" si="109"/>
        <v>0</v>
      </c>
      <c r="BL99" s="148">
        <v>0.7</v>
      </c>
      <c r="BM99" s="112">
        <f>ROUND((AW99/BL99)+((AW99*BL99)*'CALCULO GERAL'!$E$11)/BL99,2)</f>
        <v>0</v>
      </c>
      <c r="BN99" s="186">
        <f t="shared" si="114"/>
        <v>0</v>
      </c>
      <c r="BO99" s="186">
        <f t="shared" si="115"/>
        <v>0</v>
      </c>
      <c r="BP99" s="109">
        <f>BM99*'CALCULO GERAL'!$C$11</f>
        <v>0</v>
      </c>
      <c r="BQ99" s="109">
        <f>BO99*'CALCULO GERAL'!$C$11</f>
        <v>0</v>
      </c>
      <c r="BR99" s="186">
        <f>BN99*'CALCULO GERAL'!$C$11</f>
        <v>0</v>
      </c>
      <c r="BS99" s="109">
        <f t="shared" si="110"/>
        <v>0</v>
      </c>
      <c r="BT99" s="109" t="e">
        <f t="shared" si="43"/>
        <v>#DIV/0!</v>
      </c>
      <c r="BU99" s="109">
        <f t="shared" si="111"/>
        <v>0</v>
      </c>
      <c r="BV99" s="109">
        <f t="shared" si="116"/>
        <v>0</v>
      </c>
      <c r="BW99" s="109">
        <f t="shared" si="117"/>
        <v>0</v>
      </c>
      <c r="BX99" s="114" t="e">
        <f t="shared" si="112"/>
        <v>#DIV/0!</v>
      </c>
      <c r="BY99" s="152">
        <f t="shared" si="118"/>
        <v>0.7</v>
      </c>
      <c r="CA99" s="55"/>
      <c r="CB99" s="113"/>
      <c r="CC99" s="113"/>
      <c r="CE99" s="152">
        <f t="shared" si="119"/>
        <v>0</v>
      </c>
      <c r="CF99" s="152">
        <f t="shared" si="120"/>
        <v>1</v>
      </c>
      <c r="CG99" s="152">
        <f t="shared" si="121"/>
        <v>1</v>
      </c>
      <c r="CH99" s="34"/>
      <c r="CJ99" s="11"/>
      <c r="CK99" s="11"/>
    </row>
    <row r="100" spans="1:89" s="152" customFormat="1" x14ac:dyDescent="0.2">
      <c r="A100" s="351" t="s">
        <v>570</v>
      </c>
      <c r="B100" s="352" t="s">
        <v>571</v>
      </c>
      <c r="C100" s="356">
        <v>0.35</v>
      </c>
      <c r="D100" s="356">
        <v>8.77E-2</v>
      </c>
      <c r="E100" s="353">
        <v>2.1000000000000001E-2</v>
      </c>
      <c r="F100" s="353">
        <v>0.1065</v>
      </c>
      <c r="G100" s="1">
        <v>1.6500000000000001E-2</v>
      </c>
      <c r="H100" s="1">
        <v>7.5999999999999998E-2</v>
      </c>
      <c r="I100" s="1">
        <v>0.18</v>
      </c>
      <c r="J100" s="1">
        <v>0.04</v>
      </c>
      <c r="K100" s="1">
        <v>0.14000000000000001</v>
      </c>
      <c r="L100" s="1">
        <v>1.4999999999999999E-2</v>
      </c>
      <c r="M100" s="2" t="s">
        <v>175</v>
      </c>
      <c r="N100" s="105">
        <v>10860</v>
      </c>
      <c r="O100" s="119"/>
      <c r="P100" s="119"/>
      <c r="Q100" s="119"/>
      <c r="R100" s="119"/>
      <c r="S100" s="119"/>
      <c r="T100" s="119"/>
      <c r="U100" s="119"/>
      <c r="V100" s="119"/>
      <c r="W100" s="119"/>
      <c r="X100" s="119">
        <f>MIN(O100:W100)</f>
        <v>0</v>
      </c>
      <c r="Y100" s="118" t="e">
        <f>AVERAGE(O100:W100)</f>
        <v>#DIV/0!</v>
      </c>
      <c r="Z100" s="109" t="e">
        <f>Y100*N100</f>
        <v>#DIV/0!</v>
      </c>
      <c r="AA100" s="109">
        <f>'CALCULO GERAL'!$G$10</f>
        <v>6300</v>
      </c>
      <c r="AB100" s="109" t="e">
        <f>Z100+AA100</f>
        <v>#DIV/0!</v>
      </c>
      <c r="AC100" s="109" t="e">
        <f>AB100*'CALCULO GERAL'!$C$11</f>
        <v>#DIV/0!</v>
      </c>
      <c r="AD100" s="109" t="e">
        <f>AC100*C100</f>
        <v>#DIV/0!</v>
      </c>
      <c r="AE100" s="109" t="e">
        <f>(AC100+AD100)*D100</f>
        <v>#DIV/0!</v>
      </c>
      <c r="AF100" s="109" t="e">
        <f>AC100*E100</f>
        <v>#DIV/0!</v>
      </c>
      <c r="AG100" s="109" t="e">
        <f>AC100*F100</f>
        <v>#DIV/0!</v>
      </c>
      <c r="AH100" s="109">
        <v>154.22999999999999</v>
      </c>
      <c r="AI100" s="109">
        <f>((AA100*'CALCULO GERAL'!$C$11))*0.08+20</f>
        <v>2549.576</v>
      </c>
      <c r="AJ100" s="109">
        <v>1010</v>
      </c>
      <c r="AK100" s="109">
        <v>2500</v>
      </c>
      <c r="AL100" s="109">
        <f>(AA100*('CALCULO GERAL'!$C$11*1.02))-(AA100*'CALCULO GERAL'!$C$11)</f>
        <v>632.39400000000387</v>
      </c>
      <c r="AM100" s="109">
        <v>1800</v>
      </c>
      <c r="AN100" s="109">
        <v>2600</v>
      </c>
      <c r="AO100" s="109">
        <v>9400</v>
      </c>
      <c r="AP100" s="109">
        <v>1000</v>
      </c>
      <c r="AQ100" s="109" t="e">
        <f t="shared" si="39"/>
        <v>#DIV/0!</v>
      </c>
      <c r="AR100" s="109" t="e">
        <f t="shared" si="40"/>
        <v>#DIV/0!</v>
      </c>
      <c r="AS100" s="109"/>
      <c r="AT100" s="109" t="e">
        <f>SUM(AC100:AS100)</f>
        <v>#DIV/0!</v>
      </c>
      <c r="AU100" s="111">
        <f>IFERROR((AT100/N100),0)</f>
        <v>0</v>
      </c>
      <c r="AV100" s="109">
        <f>IFERROR((BS100*'CALCULO GERAL'!$E$11)/N100,0)</f>
        <v>0</v>
      </c>
      <c r="AW100" s="109">
        <f>AU100/'CALCULO GERAL'!$C$11</f>
        <v>0</v>
      </c>
      <c r="AX100" s="109">
        <f>BP100-BB100-BD100*'CALCULO GERAL'!$C$11</f>
        <v>0</v>
      </c>
      <c r="AY100" s="109">
        <f>AX100*G100</f>
        <v>0</v>
      </c>
      <c r="AZ100" s="109">
        <f>AX100*H100</f>
        <v>0</v>
      </c>
      <c r="BA100" s="109">
        <f>BP100-BD100</f>
        <v>0</v>
      </c>
      <c r="BB100" s="109">
        <f>BA100*L100</f>
        <v>0</v>
      </c>
      <c r="BC100" s="109">
        <f>BP100/(1+D100)</f>
        <v>0</v>
      </c>
      <c r="BD100" s="109">
        <f>BC100*D100</f>
        <v>0</v>
      </c>
      <c r="BE100" s="109">
        <f>BU100*0.08</f>
        <v>0</v>
      </c>
      <c r="BF100" s="109">
        <f>BU100*0.12</f>
        <v>0</v>
      </c>
      <c r="BG100" s="109">
        <f>(BF100*0.09)/N100</f>
        <v>0</v>
      </c>
      <c r="BH100" s="109">
        <f>(BE100*0.15)/N100</f>
        <v>0</v>
      </c>
      <c r="BI100" s="109">
        <f>IF(BE100&gt;=$BY$1,($BY$1-BE100)*0.1,IF(BE100&lt;=$BY$1,($BY$1*0)))/N100</f>
        <v>0</v>
      </c>
      <c r="BJ100" s="109">
        <f>(AY100+AZ100+BB100+AV100+BD100+BG100+BH100+BI100)</f>
        <v>0</v>
      </c>
      <c r="BK100" s="109">
        <f>BJ100+AU100</f>
        <v>0</v>
      </c>
      <c r="BL100" s="148">
        <v>0.7</v>
      </c>
      <c r="BM100" s="112">
        <f>ROUND((AW100/BL100)+((AW100*BL100)*'CALCULO GERAL'!$E$11)/BL100,2)</f>
        <v>0</v>
      </c>
      <c r="BN100" s="186">
        <f>BM100</f>
        <v>0</v>
      </c>
      <c r="BO100" s="186">
        <f>ROUND(FV(0.02,8,,BN100)*-1,3)</f>
        <v>0</v>
      </c>
      <c r="BP100" s="109">
        <f>BM100*'CALCULO GERAL'!$C$11</f>
        <v>0</v>
      </c>
      <c r="BQ100" s="109">
        <f>BO100*'CALCULO GERAL'!$C$11</f>
        <v>0</v>
      </c>
      <c r="BR100" s="186">
        <f>BN100*'CALCULO GERAL'!$C$11</f>
        <v>0</v>
      </c>
      <c r="BS100" s="109">
        <f>BP100*N100</f>
        <v>0</v>
      </c>
      <c r="BT100" s="109" t="e">
        <f t="shared" si="43"/>
        <v>#DIV/0!</v>
      </c>
      <c r="BU100" s="109">
        <f>BR100*N100</f>
        <v>0</v>
      </c>
      <c r="BV100" s="109">
        <f>BK100*N100</f>
        <v>0</v>
      </c>
      <c r="BW100" s="109">
        <f>BS100-BV100</f>
        <v>0</v>
      </c>
      <c r="BX100" s="114" t="e">
        <f>(((BK100*N100)-BS100)/BS100*-1)</f>
        <v>#DIV/0!</v>
      </c>
      <c r="BY100" s="152">
        <f>ROUND(BL100,2)</f>
        <v>0.7</v>
      </c>
      <c r="CA100" s="55"/>
      <c r="CB100" s="113"/>
      <c r="CC100" s="113"/>
      <c r="CE100" s="152">
        <f>CC100/BY100</f>
        <v>0</v>
      </c>
      <c r="CF100" s="152">
        <f>100%-CE100</f>
        <v>1</v>
      </c>
      <c r="CG100" s="152">
        <f>AVERAGE(CF100,CD100)</f>
        <v>1</v>
      </c>
      <c r="CH100" s="34"/>
      <c r="CJ100" s="11"/>
      <c r="CK100" s="11"/>
    </row>
    <row r="101" spans="1:89" s="152" customFormat="1" ht="14.25" customHeight="1" x14ac:dyDescent="0.2">
      <c r="A101" s="340" t="s">
        <v>556</v>
      </c>
      <c r="B101" s="338" t="s">
        <v>557</v>
      </c>
      <c r="C101" s="339">
        <v>0.112</v>
      </c>
      <c r="D101" s="339">
        <v>0</v>
      </c>
      <c r="E101" s="339">
        <v>2.1000000000000001E-2</v>
      </c>
      <c r="F101" s="339">
        <v>0.1045</v>
      </c>
      <c r="G101" s="1">
        <v>1.6500000000000001E-2</v>
      </c>
      <c r="H101" s="1">
        <v>7.5999999999999998E-2</v>
      </c>
      <c r="I101" s="1">
        <v>0.18</v>
      </c>
      <c r="J101" s="1">
        <v>0.04</v>
      </c>
      <c r="K101" s="1">
        <v>0.14000000000000001</v>
      </c>
      <c r="L101" s="1">
        <v>1.4999999999999999E-2</v>
      </c>
      <c r="M101" s="2" t="s">
        <v>175</v>
      </c>
      <c r="N101" s="105">
        <v>25</v>
      </c>
      <c r="O101" s="119"/>
      <c r="P101" s="119"/>
      <c r="Q101" s="119"/>
      <c r="R101" s="119"/>
      <c r="S101" s="119"/>
      <c r="T101" s="119"/>
      <c r="U101" s="119"/>
      <c r="V101" s="119"/>
      <c r="W101" s="119"/>
      <c r="X101" s="119">
        <f t="shared" si="88"/>
        <v>0</v>
      </c>
      <c r="Y101" s="118" t="e">
        <f t="shared" si="89"/>
        <v>#DIV/0!</v>
      </c>
      <c r="Z101" s="109" t="e">
        <f t="shared" si="90"/>
        <v>#DIV/0!</v>
      </c>
      <c r="AA101" s="109">
        <f>'CALCULO GERAL'!$G$10</f>
        <v>6300</v>
      </c>
      <c r="AB101" s="109" t="e">
        <f t="shared" si="91"/>
        <v>#DIV/0!</v>
      </c>
      <c r="AC101" s="109" t="e">
        <f>AB101*'CALCULO GERAL'!$C$11</f>
        <v>#DIV/0!</v>
      </c>
      <c r="AD101" s="109" t="e">
        <f t="shared" si="92"/>
        <v>#DIV/0!</v>
      </c>
      <c r="AE101" s="109" t="e">
        <f t="shared" si="93"/>
        <v>#DIV/0!</v>
      </c>
      <c r="AF101" s="109" t="e">
        <f t="shared" si="94"/>
        <v>#DIV/0!</v>
      </c>
      <c r="AG101" s="109" t="e">
        <f t="shared" si="95"/>
        <v>#DIV/0!</v>
      </c>
      <c r="AH101" s="109">
        <v>154.22999999999999</v>
      </c>
      <c r="AI101" s="109">
        <f>((AA101*'CALCULO GERAL'!$C$11))*0.08+20</f>
        <v>2549.576</v>
      </c>
      <c r="AJ101" s="109">
        <v>1010</v>
      </c>
      <c r="AK101" s="109">
        <v>2500</v>
      </c>
      <c r="AL101" s="109">
        <f>(AA101*('CALCULO GERAL'!$C$11*1.02))-(AA101*'CALCULO GERAL'!$C$11)</f>
        <v>632.39400000000387</v>
      </c>
      <c r="AM101" s="109">
        <v>1800</v>
      </c>
      <c r="AN101" s="109">
        <v>2600</v>
      </c>
      <c r="AO101" s="109">
        <v>9400</v>
      </c>
      <c r="AP101" s="109">
        <v>1000</v>
      </c>
      <c r="AQ101" s="109" t="e">
        <f t="shared" si="39"/>
        <v>#DIV/0!</v>
      </c>
      <c r="AR101" s="109" t="e">
        <f t="shared" si="40"/>
        <v>#DIV/0!</v>
      </c>
      <c r="AS101" s="109"/>
      <c r="AT101" s="109" t="e">
        <f t="shared" si="113"/>
        <v>#DIV/0!</v>
      </c>
      <c r="AU101" s="111">
        <f t="shared" si="96"/>
        <v>0</v>
      </c>
      <c r="AV101" s="109">
        <f>IFERROR((BS101*'CALCULO GERAL'!$E$11)/N101,0)</f>
        <v>0</v>
      </c>
      <c r="AW101" s="109">
        <f>AU101/'CALCULO GERAL'!$C$11</f>
        <v>0</v>
      </c>
      <c r="AX101" s="109">
        <f>BP101-BB101-BD101*'CALCULO GERAL'!$C$11</f>
        <v>0</v>
      </c>
      <c r="AY101" s="109">
        <f t="shared" si="97"/>
        <v>0</v>
      </c>
      <c r="AZ101" s="109">
        <f t="shared" si="98"/>
        <v>0</v>
      </c>
      <c r="BA101" s="109">
        <f t="shared" si="99"/>
        <v>0</v>
      </c>
      <c r="BB101" s="109">
        <f t="shared" si="100"/>
        <v>0</v>
      </c>
      <c r="BC101" s="109">
        <f t="shared" si="101"/>
        <v>0</v>
      </c>
      <c r="BD101" s="109">
        <f t="shared" si="102"/>
        <v>0</v>
      </c>
      <c r="BE101" s="109">
        <f t="shared" si="103"/>
        <v>0</v>
      </c>
      <c r="BF101" s="109">
        <f t="shared" si="104"/>
        <v>0</v>
      </c>
      <c r="BG101" s="109">
        <f t="shared" si="105"/>
        <v>0</v>
      </c>
      <c r="BH101" s="109">
        <f t="shared" si="106"/>
        <v>0</v>
      </c>
      <c r="BI101" s="109">
        <f t="shared" si="107"/>
        <v>0</v>
      </c>
      <c r="BJ101" s="109">
        <f t="shared" si="108"/>
        <v>0</v>
      </c>
      <c r="BK101" s="109">
        <f t="shared" si="109"/>
        <v>0</v>
      </c>
      <c r="BL101" s="148">
        <v>0.7</v>
      </c>
      <c r="BM101" s="112">
        <f>ROUND((AW101/BL101)+((AW101*BL101)*'CALCULO GERAL'!$E$11)/BL101,2)</f>
        <v>0</v>
      </c>
      <c r="BN101" s="186">
        <f t="shared" si="114"/>
        <v>0</v>
      </c>
      <c r="BO101" s="186">
        <f t="shared" si="115"/>
        <v>0</v>
      </c>
      <c r="BP101" s="109">
        <f>BM101*'CALCULO GERAL'!$C$11</f>
        <v>0</v>
      </c>
      <c r="BQ101" s="109">
        <f>BO101*'CALCULO GERAL'!$C$11</f>
        <v>0</v>
      </c>
      <c r="BR101" s="186">
        <f>BN101*'CALCULO GERAL'!$C$11</f>
        <v>0</v>
      </c>
      <c r="BS101" s="109">
        <f t="shared" si="110"/>
        <v>0</v>
      </c>
      <c r="BT101" s="109" t="e">
        <f t="shared" si="43"/>
        <v>#DIV/0!</v>
      </c>
      <c r="BU101" s="109">
        <f t="shared" si="111"/>
        <v>0</v>
      </c>
      <c r="BV101" s="109">
        <f t="shared" si="116"/>
        <v>0</v>
      </c>
      <c r="BW101" s="109">
        <f t="shared" si="117"/>
        <v>0</v>
      </c>
      <c r="BX101" s="114" t="e">
        <f t="shared" si="112"/>
        <v>#DIV/0!</v>
      </c>
      <c r="BY101" s="152">
        <f t="shared" si="118"/>
        <v>0.7</v>
      </c>
      <c r="CA101" s="55"/>
      <c r="CB101" s="113"/>
      <c r="CC101" s="113"/>
      <c r="CE101" s="152">
        <f t="shared" si="119"/>
        <v>0</v>
      </c>
      <c r="CF101" s="152">
        <f t="shared" si="120"/>
        <v>1</v>
      </c>
      <c r="CG101" s="152">
        <f t="shared" si="121"/>
        <v>1</v>
      </c>
      <c r="CH101" s="34"/>
      <c r="CJ101" s="11"/>
      <c r="CK101" s="11"/>
    </row>
    <row r="102" spans="1:89" s="152" customFormat="1" ht="14.25" customHeight="1" x14ac:dyDescent="0.2">
      <c r="A102" s="349" t="s">
        <v>578</v>
      </c>
      <c r="B102" s="187" t="s">
        <v>579</v>
      </c>
      <c r="C102" s="339">
        <v>0.14000000000000001</v>
      </c>
      <c r="D102" s="339">
        <v>0</v>
      </c>
      <c r="E102" s="339">
        <v>2.6200000000000001E-2</v>
      </c>
      <c r="F102" s="339">
        <v>0.13370000000000001</v>
      </c>
      <c r="G102" s="1">
        <v>1.6500000000000001E-2</v>
      </c>
      <c r="H102" s="1">
        <v>7.5999999999999998E-2</v>
      </c>
      <c r="I102" s="1">
        <v>0.18</v>
      </c>
      <c r="J102" s="1">
        <v>0.04</v>
      </c>
      <c r="K102" s="1">
        <v>0.14000000000000001</v>
      </c>
      <c r="L102" s="1">
        <v>1.4999999999999999E-2</v>
      </c>
      <c r="M102" s="2" t="s">
        <v>175</v>
      </c>
      <c r="N102" s="105">
        <v>25</v>
      </c>
      <c r="O102" s="119"/>
      <c r="P102" s="119"/>
      <c r="Q102" s="119"/>
      <c r="R102" s="119"/>
      <c r="S102" s="119"/>
      <c r="T102" s="119"/>
      <c r="U102" s="119"/>
      <c r="V102" s="119"/>
      <c r="W102" s="119"/>
      <c r="X102" s="119">
        <f t="shared" ref="X102" si="122">MIN(O102:W102)</f>
        <v>0</v>
      </c>
      <c r="Y102" s="118" t="e">
        <f t="shared" ref="Y102" si="123">AVERAGE(O102:W102)</f>
        <v>#DIV/0!</v>
      </c>
      <c r="Z102" s="109" t="e">
        <f t="shared" ref="Z102" si="124">Y102*N102</f>
        <v>#DIV/0!</v>
      </c>
      <c r="AA102" s="109">
        <f>'CALCULO GERAL'!$G$10</f>
        <v>6300</v>
      </c>
      <c r="AB102" s="109" t="e">
        <f t="shared" ref="AB102" si="125">Z102+AA102</f>
        <v>#DIV/0!</v>
      </c>
      <c r="AC102" s="109" t="e">
        <f>AB102*'CALCULO GERAL'!$C$11</f>
        <v>#DIV/0!</v>
      </c>
      <c r="AD102" s="109" t="e">
        <f t="shared" ref="AD102" si="126">AC102*C102</f>
        <v>#DIV/0!</v>
      </c>
      <c r="AE102" s="109" t="e">
        <f t="shared" ref="AE102" si="127">(AC102+AD102)*D102</f>
        <v>#DIV/0!</v>
      </c>
      <c r="AF102" s="109" t="e">
        <f t="shared" ref="AF102" si="128">AC102*E102</f>
        <v>#DIV/0!</v>
      </c>
      <c r="AG102" s="109" t="e">
        <f t="shared" ref="AG102" si="129">AC102*F102</f>
        <v>#DIV/0!</v>
      </c>
      <c r="AH102" s="109">
        <v>154.22999999999999</v>
      </c>
      <c r="AI102" s="109">
        <f>((AA102*'CALCULO GERAL'!$C$11))*0.08+20</f>
        <v>2549.576</v>
      </c>
      <c r="AJ102" s="109">
        <v>1010</v>
      </c>
      <c r="AK102" s="109">
        <v>2500</v>
      </c>
      <c r="AL102" s="109">
        <f>(AA102*('CALCULO GERAL'!$C$11*1.02))-(AA102*'CALCULO GERAL'!$C$11)</f>
        <v>632.39400000000387</v>
      </c>
      <c r="AM102" s="109">
        <v>1800</v>
      </c>
      <c r="AN102" s="109">
        <v>2600</v>
      </c>
      <c r="AO102" s="109">
        <v>9400</v>
      </c>
      <c r="AP102" s="109">
        <v>1000</v>
      </c>
      <c r="AQ102" s="109" t="e">
        <f t="shared" si="39"/>
        <v>#DIV/0!</v>
      </c>
      <c r="AR102" s="109" t="e">
        <f t="shared" si="40"/>
        <v>#DIV/0!</v>
      </c>
      <c r="AS102" s="109"/>
      <c r="AT102" s="109" t="e">
        <f t="shared" ref="AT102" si="130">SUM(AC102:AS102)</f>
        <v>#DIV/0!</v>
      </c>
      <c r="AU102" s="111">
        <f t="shared" ref="AU102" si="131">IFERROR((AT102/N102),0)</f>
        <v>0</v>
      </c>
      <c r="AV102" s="109">
        <f>IFERROR((BS102*'CALCULO GERAL'!$E$11)/N102,0)</f>
        <v>0</v>
      </c>
      <c r="AW102" s="109">
        <f>AU102/'CALCULO GERAL'!$C$11</f>
        <v>0</v>
      </c>
      <c r="AX102" s="109">
        <f>BP102-BB102-BD102*'CALCULO GERAL'!$C$11</f>
        <v>0</v>
      </c>
      <c r="AY102" s="109">
        <f t="shared" ref="AY102" si="132">AX102*G102</f>
        <v>0</v>
      </c>
      <c r="AZ102" s="109">
        <f t="shared" ref="AZ102" si="133">AX102*H102</f>
        <v>0</v>
      </c>
      <c r="BA102" s="109">
        <f t="shared" ref="BA102" si="134">BP102-BD102</f>
        <v>0</v>
      </c>
      <c r="BB102" s="109">
        <f t="shared" ref="BB102" si="135">BA102*L102</f>
        <v>0</v>
      </c>
      <c r="BC102" s="109">
        <f t="shared" ref="BC102" si="136">BP102/(1+D102)</f>
        <v>0</v>
      </c>
      <c r="BD102" s="109">
        <f t="shared" ref="BD102" si="137">BC102*D102</f>
        <v>0</v>
      </c>
      <c r="BE102" s="109">
        <f t="shared" ref="BE102" si="138">BU102*0.08</f>
        <v>0</v>
      </c>
      <c r="BF102" s="109">
        <f t="shared" ref="BF102" si="139">BU102*0.12</f>
        <v>0</v>
      </c>
      <c r="BG102" s="109">
        <f t="shared" ref="BG102" si="140">(BF102*0.09)/N102</f>
        <v>0</v>
      </c>
      <c r="BH102" s="109">
        <f t="shared" ref="BH102" si="141">(BE102*0.15)/N102</f>
        <v>0</v>
      </c>
      <c r="BI102" s="109">
        <f t="shared" ref="BI102" si="142">IF(BE102&gt;=$BY$1,($BY$1-BE102)*0.1,IF(BE102&lt;=$BY$1,($BY$1*0)))/N102</f>
        <v>0</v>
      </c>
      <c r="BJ102" s="109">
        <f t="shared" ref="BJ102" si="143">(AY102+AZ102+BB102+AV102+BD102+BG102+BH102+BI102)</f>
        <v>0</v>
      </c>
      <c r="BK102" s="109">
        <f t="shared" ref="BK102" si="144">BJ102+AU102</f>
        <v>0</v>
      </c>
      <c r="BL102" s="148">
        <v>0.7</v>
      </c>
      <c r="BM102" s="112">
        <f>ROUND((AW102/BL102)+((AW102*BL102)*'CALCULO GERAL'!$E$11)/BL102,2)</f>
        <v>0</v>
      </c>
      <c r="BN102" s="186">
        <f t="shared" ref="BN102" si="145">BM102</f>
        <v>0</v>
      </c>
      <c r="BO102" s="186">
        <f t="shared" ref="BO102" si="146">ROUND(FV(0.02,8,,BN102)*-1,3)</f>
        <v>0</v>
      </c>
      <c r="BP102" s="109">
        <f>BM102*'CALCULO GERAL'!$C$11</f>
        <v>0</v>
      </c>
      <c r="BQ102" s="109">
        <f>BO102*'CALCULO GERAL'!$C$11</f>
        <v>0</v>
      </c>
      <c r="BR102" s="186">
        <f>BN102*'CALCULO GERAL'!$C$11</f>
        <v>0</v>
      </c>
      <c r="BS102" s="109">
        <f t="shared" ref="BS102" si="147">BP102*N102</f>
        <v>0</v>
      </c>
      <c r="BT102" s="109" t="e">
        <f t="shared" si="43"/>
        <v>#DIV/0!</v>
      </c>
      <c r="BU102" s="109">
        <f t="shared" ref="BU102" si="148">BR102*N102</f>
        <v>0</v>
      </c>
      <c r="BV102" s="109">
        <f t="shared" ref="BV102" si="149">BK102*N102</f>
        <v>0</v>
      </c>
      <c r="BW102" s="109">
        <f t="shared" ref="BW102" si="150">BS102-BV102</f>
        <v>0</v>
      </c>
      <c r="BX102" s="114" t="e">
        <f t="shared" ref="BX102" si="151">(((BK102*N102)-BS102)/BS102*-1)</f>
        <v>#DIV/0!</v>
      </c>
      <c r="BY102" s="152">
        <f t="shared" ref="BY102" si="152">ROUND(BL102,2)</f>
        <v>0.7</v>
      </c>
      <c r="CA102" s="55"/>
      <c r="CB102" s="113"/>
      <c r="CC102" s="113"/>
      <c r="CE102" s="152">
        <f t="shared" ref="CE102" si="153">CC102/BY102</f>
        <v>0</v>
      </c>
      <c r="CF102" s="152">
        <f t="shared" ref="CF102" si="154">100%-CE102</f>
        <v>1</v>
      </c>
      <c r="CG102" s="152">
        <f t="shared" ref="CG102" si="155">AVERAGE(CF102,CD102)</f>
        <v>1</v>
      </c>
      <c r="CH102" s="34"/>
      <c r="CJ102" s="11"/>
      <c r="CK102" s="11"/>
    </row>
    <row r="103" spans="1:89" s="152" customFormat="1" x14ac:dyDescent="0.2">
      <c r="A103" s="351" t="s">
        <v>568</v>
      </c>
      <c r="B103" s="352" t="s">
        <v>569</v>
      </c>
      <c r="C103" s="353">
        <v>0.126</v>
      </c>
      <c r="D103" s="353">
        <v>5.8500000000000003E-2</v>
      </c>
      <c r="E103" s="353">
        <v>2.1000000000000001E-2</v>
      </c>
      <c r="F103" s="353">
        <v>9.6500000000000002E-2</v>
      </c>
      <c r="G103" s="1">
        <v>1.6500000000000001E-2</v>
      </c>
      <c r="H103" s="1">
        <v>7.5999999999999998E-2</v>
      </c>
      <c r="I103" s="1">
        <v>0.18</v>
      </c>
      <c r="J103" s="1">
        <v>0.04</v>
      </c>
      <c r="K103" s="1">
        <v>0.14000000000000001</v>
      </c>
      <c r="L103" s="1">
        <v>1.4999999999999999E-2</v>
      </c>
      <c r="M103" s="2" t="s">
        <v>175</v>
      </c>
      <c r="N103" s="105">
        <v>70</v>
      </c>
      <c r="O103" s="119"/>
      <c r="P103" s="119"/>
      <c r="Q103" s="119"/>
      <c r="R103" s="119"/>
      <c r="S103" s="119"/>
      <c r="T103" s="119"/>
      <c r="U103" s="119"/>
      <c r="V103" s="119">
        <v>370</v>
      </c>
      <c r="W103" s="119"/>
      <c r="X103" s="119">
        <f>MIN(O103:W103)</f>
        <v>370</v>
      </c>
      <c r="Y103" s="118">
        <f>AVERAGE(O103:W103)</f>
        <v>370</v>
      </c>
      <c r="Z103" s="109">
        <f>Y103*N103</f>
        <v>25900</v>
      </c>
      <c r="AA103" s="109">
        <f>'CALCULO GERAL'!$G$10</f>
        <v>6300</v>
      </c>
      <c r="AB103" s="109">
        <f>Z103+AA103</f>
        <v>32200</v>
      </c>
      <c r="AC103" s="109">
        <f>AB103*'CALCULO GERAL'!$C$11</f>
        <v>161611.80000000002</v>
      </c>
      <c r="AD103" s="109">
        <f>AC103*C103</f>
        <v>20363.086800000001</v>
      </c>
      <c r="AE103" s="109">
        <f>(AC103+AD103)*D103</f>
        <v>10645.530877800002</v>
      </c>
      <c r="AF103" s="109">
        <f>AC103*E103</f>
        <v>3393.8478000000005</v>
      </c>
      <c r="AG103" s="109">
        <f>AC103*F103</f>
        <v>15595.538700000003</v>
      </c>
      <c r="AH103" s="109">
        <v>154.22999999999999</v>
      </c>
      <c r="AI103" s="109">
        <f>((AA103*'CALCULO GERAL'!$C$11))*0.08+20</f>
        <v>2549.576</v>
      </c>
      <c r="AJ103" s="109">
        <v>1010</v>
      </c>
      <c r="AK103" s="109">
        <v>2500</v>
      </c>
      <c r="AL103" s="109">
        <f>(AA103*('CALCULO GERAL'!$C$11*1.02))-(AA103*'CALCULO GERAL'!$C$11)</f>
        <v>632.39400000000387</v>
      </c>
      <c r="AM103" s="109">
        <v>1800</v>
      </c>
      <c r="AN103" s="109">
        <v>2600</v>
      </c>
      <c r="AO103" s="109">
        <v>9400</v>
      </c>
      <c r="AP103" s="109">
        <v>1000</v>
      </c>
      <c r="AQ103" s="109">
        <f t="shared" si="39"/>
        <v>-3393.8478000000005</v>
      </c>
      <c r="AR103" s="109">
        <f t="shared" si="40"/>
        <v>-15595.538700000003</v>
      </c>
      <c r="AS103" s="109"/>
      <c r="AT103" s="109">
        <f>SUM(AC103:AS103)</f>
        <v>214266.61767780001</v>
      </c>
      <c r="AU103" s="111">
        <f>IFERROR((AT103/N103),0)</f>
        <v>3060.9516811114286</v>
      </c>
      <c r="AV103" s="109">
        <f>IFERROR((BS103*'CALCULO GERAL'!$E$11)/N103,0)</f>
        <v>88.67970720000001</v>
      </c>
      <c r="AW103" s="109">
        <f>AU103/'CALCULO GERAL'!$C$11</f>
        <v>609.87281950815475</v>
      </c>
      <c r="AX103" s="109">
        <f>BP103-BB103-BD103*'CALCULO GERAL'!$C$11</f>
        <v>3141.2325277584887</v>
      </c>
      <c r="AY103" s="109">
        <f>AX103*G103</f>
        <v>51.830336708015068</v>
      </c>
      <c r="AZ103" s="109">
        <f>AX103*H103</f>
        <v>238.73367210964514</v>
      </c>
      <c r="BA103" s="109">
        <f>BP103-BD103</f>
        <v>4188.9327916863494</v>
      </c>
      <c r="BB103" s="109">
        <f>BA103*L103</f>
        <v>62.83399187529524</v>
      </c>
      <c r="BC103" s="109">
        <f>BP103/(1+D103)</f>
        <v>4188.9327916863494</v>
      </c>
      <c r="BD103" s="109">
        <f>BC103*D103</f>
        <v>245.05256831365145</v>
      </c>
      <c r="BE103" s="109">
        <f>BU103*0.08</f>
        <v>24830.318016000005</v>
      </c>
      <c r="BF103" s="109">
        <f>BU103*0.12</f>
        <v>37245.477024000007</v>
      </c>
      <c r="BG103" s="109">
        <f>(BF103*0.09)/N103</f>
        <v>47.887041888000006</v>
      </c>
      <c r="BH103" s="109">
        <f>(BE103*0.15)/N103</f>
        <v>53.207824320000007</v>
      </c>
      <c r="BI103" s="109">
        <f>IF(BE103&gt;=$BY$1,($BY$1-BE103)*0.1,IF(BE103&lt;=$BY$1,($BY$1*0)))/N103</f>
        <v>0</v>
      </c>
      <c r="BJ103" s="109">
        <f>(AY103+AZ103+BB103+AV103+BD103+BG103+BH103+BI103)</f>
        <v>788.22514241460692</v>
      </c>
      <c r="BK103" s="109">
        <f>BJ103+AU103</f>
        <v>3849.1768235260356</v>
      </c>
      <c r="BL103" s="148">
        <v>0.7</v>
      </c>
      <c r="BM103" s="112">
        <f>ROUND((AW103/BL103)+((AW103*BL103)*'CALCULO GERAL'!$E$11)/BL103,2)</f>
        <v>883.44</v>
      </c>
      <c r="BN103" s="186">
        <f>BM103</f>
        <v>883.44</v>
      </c>
      <c r="BO103" s="186">
        <f>ROUND(FV(0.02,8,,BN103)*-1,3)</f>
        <v>1035.0909999999999</v>
      </c>
      <c r="BP103" s="109">
        <f>BM103*'CALCULO GERAL'!$C$11</f>
        <v>4433.9853600000006</v>
      </c>
      <c r="BQ103" s="109">
        <f>BO103*'CALCULO GERAL'!$C$11</f>
        <v>5195.1217289999995</v>
      </c>
      <c r="BR103" s="186">
        <f>BN103*'CALCULO GERAL'!$C$11</f>
        <v>4433.9853600000006</v>
      </c>
      <c r="BS103" s="109">
        <f>BP103*N103</f>
        <v>310378.97520000004</v>
      </c>
      <c r="BT103" s="109">
        <f t="shared" si="43"/>
        <v>96112.357522200036</v>
      </c>
      <c r="BU103" s="109">
        <f>BR103*N103</f>
        <v>310378.97520000004</v>
      </c>
      <c r="BV103" s="109">
        <f>BK103*N103</f>
        <v>269442.37764682248</v>
      </c>
      <c r="BW103" s="109">
        <f>BS103-BV103</f>
        <v>40936.597553177562</v>
      </c>
      <c r="BX103" s="114">
        <f>(((BK103*N103)-BS103)/BS103*-1)</f>
        <v>0.13189230206974908</v>
      </c>
      <c r="BY103" s="152">
        <f>ROUND(BL103,2)</f>
        <v>0.7</v>
      </c>
      <c r="CA103" s="55"/>
      <c r="CB103" s="113"/>
      <c r="CC103" s="113"/>
      <c r="CE103" s="152">
        <f>CC103/BY103</f>
        <v>0</v>
      </c>
      <c r="CF103" s="152">
        <f>100%-CE103</f>
        <v>1</v>
      </c>
      <c r="CG103" s="152">
        <f>AVERAGE(CF103,CD103)</f>
        <v>1</v>
      </c>
      <c r="CH103" s="34"/>
      <c r="CJ103" s="11"/>
      <c r="CK103" s="11"/>
    </row>
    <row r="104" spans="1:89" s="152" customFormat="1" x14ac:dyDescent="0.2">
      <c r="A104" s="340" t="s">
        <v>554</v>
      </c>
      <c r="B104" s="338" t="s">
        <v>546</v>
      </c>
      <c r="C104" s="339">
        <v>0.16200000000000001</v>
      </c>
      <c r="D104" s="339">
        <v>0.1132</v>
      </c>
      <c r="E104" s="339">
        <v>2.1000000000000001E-2</v>
      </c>
      <c r="F104" s="339">
        <v>9.6500000000000002E-2</v>
      </c>
      <c r="G104" s="1">
        <v>1.6500000000000001E-2</v>
      </c>
      <c r="H104" s="1">
        <v>7.5999999999999998E-2</v>
      </c>
      <c r="I104" s="1">
        <v>0.18</v>
      </c>
      <c r="J104" s="1">
        <v>0.04</v>
      </c>
      <c r="K104" s="1">
        <v>0.14000000000000001</v>
      </c>
      <c r="L104" s="1">
        <v>1.4999999999999999E-2</v>
      </c>
      <c r="M104" s="2" t="s">
        <v>175</v>
      </c>
      <c r="N104" s="105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>
        <f t="shared" si="88"/>
        <v>0</v>
      </c>
      <c r="Y104" s="118" t="e">
        <f t="shared" si="89"/>
        <v>#DIV/0!</v>
      </c>
      <c r="Z104" s="109" t="e">
        <f t="shared" si="90"/>
        <v>#DIV/0!</v>
      </c>
      <c r="AA104" s="109">
        <f>'CALCULO GERAL'!$G$10</f>
        <v>6300</v>
      </c>
      <c r="AB104" s="109" t="e">
        <f t="shared" si="91"/>
        <v>#DIV/0!</v>
      </c>
      <c r="AC104" s="109" t="e">
        <f>AB104*'CALCULO GERAL'!$C$11</f>
        <v>#DIV/0!</v>
      </c>
      <c r="AD104" s="109" t="e">
        <f t="shared" si="92"/>
        <v>#DIV/0!</v>
      </c>
      <c r="AE104" s="109" t="e">
        <f t="shared" si="93"/>
        <v>#DIV/0!</v>
      </c>
      <c r="AF104" s="109" t="e">
        <f t="shared" si="94"/>
        <v>#DIV/0!</v>
      </c>
      <c r="AG104" s="109" t="e">
        <f t="shared" si="95"/>
        <v>#DIV/0!</v>
      </c>
      <c r="AH104" s="109">
        <v>154.22999999999999</v>
      </c>
      <c r="AI104" s="109">
        <f>((AA104*'CALCULO GERAL'!$C$11))*0.08+20</f>
        <v>2549.576</v>
      </c>
      <c r="AJ104" s="109">
        <v>1010</v>
      </c>
      <c r="AK104" s="109">
        <v>2500</v>
      </c>
      <c r="AL104" s="109">
        <f>(AA104*('CALCULO GERAL'!$C$11*1.02))-(AA104*'CALCULO GERAL'!$C$11)</f>
        <v>632.39400000000387</v>
      </c>
      <c r="AM104" s="109">
        <v>1800</v>
      </c>
      <c r="AN104" s="109">
        <v>2600</v>
      </c>
      <c r="AO104" s="109">
        <v>9400</v>
      </c>
      <c r="AP104" s="109">
        <v>1000</v>
      </c>
      <c r="AQ104" s="109" t="e">
        <f t="shared" si="39"/>
        <v>#DIV/0!</v>
      </c>
      <c r="AR104" s="109" t="e">
        <f t="shared" si="40"/>
        <v>#DIV/0!</v>
      </c>
      <c r="AS104" s="109"/>
      <c r="AT104" s="109" t="e">
        <f t="shared" si="113"/>
        <v>#DIV/0!</v>
      </c>
      <c r="AU104" s="111">
        <f t="shared" si="96"/>
        <v>0</v>
      </c>
      <c r="AV104" s="109">
        <f>IFERROR((BS104*'CALCULO GERAL'!$E$11)/N104,0)</f>
        <v>0</v>
      </c>
      <c r="AW104" s="109">
        <f>AU104/'CALCULO GERAL'!$C$11</f>
        <v>0</v>
      </c>
      <c r="AX104" s="109">
        <f>BP104-BB104-BD104*'CALCULO GERAL'!$C$11</f>
        <v>0</v>
      </c>
      <c r="AY104" s="109">
        <f t="shared" si="97"/>
        <v>0</v>
      </c>
      <c r="AZ104" s="109">
        <f t="shared" si="98"/>
        <v>0</v>
      </c>
      <c r="BA104" s="109">
        <f t="shared" si="99"/>
        <v>0</v>
      </c>
      <c r="BB104" s="109">
        <f t="shared" si="100"/>
        <v>0</v>
      </c>
      <c r="BC104" s="109">
        <f t="shared" si="101"/>
        <v>0</v>
      </c>
      <c r="BD104" s="109">
        <f t="shared" si="102"/>
        <v>0</v>
      </c>
      <c r="BE104" s="109">
        <f t="shared" si="103"/>
        <v>0</v>
      </c>
      <c r="BF104" s="109">
        <f t="shared" si="104"/>
        <v>0</v>
      </c>
      <c r="BG104" s="109" t="e">
        <f t="shared" si="105"/>
        <v>#DIV/0!</v>
      </c>
      <c r="BH104" s="109" t="e">
        <f t="shared" si="106"/>
        <v>#DIV/0!</v>
      </c>
      <c r="BI104" s="109" t="e">
        <f t="shared" si="107"/>
        <v>#DIV/0!</v>
      </c>
      <c r="BJ104" s="109" t="e">
        <f t="shared" si="108"/>
        <v>#DIV/0!</v>
      </c>
      <c r="BK104" s="109" t="e">
        <f t="shared" si="109"/>
        <v>#DIV/0!</v>
      </c>
      <c r="BL104" s="148">
        <v>0.7</v>
      </c>
      <c r="BM104" s="112">
        <f>ROUND((AW104/BL104)+((AW104*BL104)*'CALCULO GERAL'!$E$11)/BL104,2)</f>
        <v>0</v>
      </c>
      <c r="BN104" s="186">
        <f t="shared" si="114"/>
        <v>0</v>
      </c>
      <c r="BO104" s="186">
        <f t="shared" si="115"/>
        <v>0</v>
      </c>
      <c r="BP104" s="109">
        <f>BM104*'CALCULO GERAL'!$C$11</f>
        <v>0</v>
      </c>
      <c r="BQ104" s="109">
        <f>BO104*'CALCULO GERAL'!$C$11</f>
        <v>0</v>
      </c>
      <c r="BR104" s="186">
        <f>BN104*'CALCULO GERAL'!$C$11</f>
        <v>0</v>
      </c>
      <c r="BS104" s="109">
        <f t="shared" si="110"/>
        <v>0</v>
      </c>
      <c r="BT104" s="109" t="e">
        <f t="shared" si="43"/>
        <v>#DIV/0!</v>
      </c>
      <c r="BU104" s="109">
        <f t="shared" si="111"/>
        <v>0</v>
      </c>
      <c r="BV104" s="109" t="e">
        <f t="shared" si="116"/>
        <v>#DIV/0!</v>
      </c>
      <c r="BW104" s="109" t="e">
        <f t="shared" si="117"/>
        <v>#DIV/0!</v>
      </c>
      <c r="BX104" s="114" t="e">
        <f t="shared" si="112"/>
        <v>#DIV/0!</v>
      </c>
      <c r="BY104" s="152">
        <f t="shared" si="118"/>
        <v>0.7</v>
      </c>
      <c r="CA104" s="55"/>
      <c r="CB104" s="113"/>
      <c r="CC104" s="113"/>
      <c r="CE104" s="152">
        <f t="shared" si="119"/>
        <v>0</v>
      </c>
      <c r="CF104" s="152">
        <f t="shared" si="120"/>
        <v>1</v>
      </c>
      <c r="CG104" s="152">
        <f t="shared" si="121"/>
        <v>1</v>
      </c>
      <c r="CH104" s="34"/>
      <c r="CJ104" s="11"/>
      <c r="CK104" s="11"/>
    </row>
    <row r="105" spans="1:89" s="152" customFormat="1" x14ac:dyDescent="0.2">
      <c r="A105" s="340" t="s">
        <v>555</v>
      </c>
      <c r="B105" s="187" t="s">
        <v>547</v>
      </c>
      <c r="C105" s="339">
        <v>0.14399999999999999</v>
      </c>
      <c r="D105" s="339">
        <v>0.1115</v>
      </c>
      <c r="E105" s="7">
        <v>2.1000000000000001E-2</v>
      </c>
      <c r="F105" s="7">
        <v>9.6500000000000002E-2</v>
      </c>
      <c r="G105" s="1">
        <v>1.6500000000000001E-2</v>
      </c>
      <c r="H105" s="1">
        <v>7.5999999999999998E-2</v>
      </c>
      <c r="I105" s="1">
        <v>0.18</v>
      </c>
      <c r="J105" s="1">
        <v>0.04</v>
      </c>
      <c r="K105" s="1">
        <v>0.14000000000000001</v>
      </c>
      <c r="L105" s="1">
        <v>1.4999999999999999E-2</v>
      </c>
      <c r="M105" s="2" t="s">
        <v>175</v>
      </c>
      <c r="N105" s="105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>
        <f t="shared" si="0"/>
        <v>0</v>
      </c>
      <c r="Y105" s="118" t="e">
        <f t="shared" si="1"/>
        <v>#DIV/0!</v>
      </c>
      <c r="Z105" s="109" t="e">
        <f t="shared" si="2"/>
        <v>#DIV/0!</v>
      </c>
      <c r="AA105" s="109">
        <f>'CALCULO GERAL'!$G$10</f>
        <v>6300</v>
      </c>
      <c r="AB105" s="109" t="e">
        <f t="shared" si="3"/>
        <v>#DIV/0!</v>
      </c>
      <c r="AC105" s="109" t="e">
        <f>AB105*'CALCULO GERAL'!$C$11</f>
        <v>#DIV/0!</v>
      </c>
      <c r="AD105" s="109" t="e">
        <f t="shared" si="4"/>
        <v>#DIV/0!</v>
      </c>
      <c r="AE105" s="109" t="e">
        <f t="shared" si="5"/>
        <v>#DIV/0!</v>
      </c>
      <c r="AF105" s="109" t="e">
        <f t="shared" si="6"/>
        <v>#DIV/0!</v>
      </c>
      <c r="AG105" s="109" t="e">
        <f t="shared" si="7"/>
        <v>#DIV/0!</v>
      </c>
      <c r="AH105" s="109">
        <v>154.22999999999999</v>
      </c>
      <c r="AI105" s="109">
        <f>((AA105*'CALCULO GERAL'!$C$11))*0.08+20</f>
        <v>2549.576</v>
      </c>
      <c r="AJ105" s="109">
        <v>1010</v>
      </c>
      <c r="AK105" s="109">
        <v>2500</v>
      </c>
      <c r="AL105" s="109">
        <f>(AA105*('CALCULO GERAL'!$C$11*1.02))-(AA105*'CALCULO GERAL'!$C$11)</f>
        <v>632.39400000000387</v>
      </c>
      <c r="AM105" s="109">
        <v>1800</v>
      </c>
      <c r="AN105" s="109">
        <v>2600</v>
      </c>
      <c r="AO105" s="109">
        <v>9400</v>
      </c>
      <c r="AP105" s="109">
        <v>1000</v>
      </c>
      <c r="AQ105" s="109" t="e">
        <f t="shared" si="39"/>
        <v>#DIV/0!</v>
      </c>
      <c r="AR105" s="109" t="e">
        <f t="shared" si="40"/>
        <v>#DIV/0!</v>
      </c>
      <c r="AS105" s="109"/>
      <c r="AT105" s="109" t="e">
        <f t="shared" si="44"/>
        <v>#DIV/0!</v>
      </c>
      <c r="AU105" s="111">
        <f t="shared" si="8"/>
        <v>0</v>
      </c>
      <c r="AV105" s="109">
        <f>IFERROR((BS105*'CALCULO GERAL'!$E$11)/N105,0)</f>
        <v>0</v>
      </c>
      <c r="AW105" s="109">
        <f>AU105/'CALCULO GERAL'!$C$11</f>
        <v>0</v>
      </c>
      <c r="AX105" s="109">
        <f>BP105-BB105-BD105*'CALCULO GERAL'!$C$11</f>
        <v>0</v>
      </c>
      <c r="AY105" s="109">
        <f t="shared" si="24"/>
        <v>0</v>
      </c>
      <c r="AZ105" s="109">
        <f t="shared" si="9"/>
        <v>0</v>
      </c>
      <c r="BA105" s="109">
        <f t="shared" si="10"/>
        <v>0</v>
      </c>
      <c r="BB105" s="109">
        <f t="shared" si="11"/>
        <v>0</v>
      </c>
      <c r="BC105" s="109">
        <f t="shared" si="12"/>
        <v>0</v>
      </c>
      <c r="BD105" s="109">
        <f t="shared" si="13"/>
        <v>0</v>
      </c>
      <c r="BE105" s="109">
        <f t="shared" ref="BE105:BE120" si="156">BU105*0.08</f>
        <v>0</v>
      </c>
      <c r="BF105" s="109">
        <f t="shared" ref="BF105:BF120" si="157">BU105*0.12</f>
        <v>0</v>
      </c>
      <c r="BG105" s="109" t="e">
        <f t="shared" si="14"/>
        <v>#DIV/0!</v>
      </c>
      <c r="BH105" s="109" t="e">
        <f t="shared" si="15"/>
        <v>#DIV/0!</v>
      </c>
      <c r="BI105" s="109" t="e">
        <f t="shared" si="16"/>
        <v>#DIV/0!</v>
      </c>
      <c r="BJ105" s="109" t="e">
        <f t="shared" si="27"/>
        <v>#DIV/0!</v>
      </c>
      <c r="BK105" s="109" t="e">
        <f t="shared" ref="BK105:BK120" si="158">BJ105+AU105</f>
        <v>#DIV/0!</v>
      </c>
      <c r="BL105" s="148">
        <v>0.7</v>
      </c>
      <c r="BM105" s="112">
        <f>ROUND((AW105/BL105)+((AW105*BL105)*'CALCULO GERAL'!$E$11)/BL105,2)</f>
        <v>0</v>
      </c>
      <c r="BN105" s="186">
        <f t="shared" si="17"/>
        <v>0</v>
      </c>
      <c r="BO105" s="186">
        <f t="shared" ref="BO105:BO120" si="159">ROUND(FV(0.02,8,,BN105)*-1,3)</f>
        <v>0</v>
      </c>
      <c r="BP105" s="109">
        <f>BM105*'CALCULO GERAL'!$C$11</f>
        <v>0</v>
      </c>
      <c r="BQ105" s="109">
        <f>BO105*'CALCULO GERAL'!$C$11</f>
        <v>0</v>
      </c>
      <c r="BR105" s="186">
        <f>BN105*'CALCULO GERAL'!$C$11</f>
        <v>0</v>
      </c>
      <c r="BS105" s="109">
        <f t="shared" si="18"/>
        <v>0</v>
      </c>
      <c r="BT105" s="109" t="e">
        <f t="shared" si="43"/>
        <v>#DIV/0!</v>
      </c>
      <c r="BU105" s="109">
        <f t="shared" si="19"/>
        <v>0</v>
      </c>
      <c r="BV105" s="109" t="e">
        <f t="shared" si="50"/>
        <v>#DIV/0!</v>
      </c>
      <c r="BW105" s="109" t="e">
        <f t="shared" si="47"/>
        <v>#DIV/0!</v>
      </c>
      <c r="BX105" s="114" t="e">
        <f t="shared" si="20"/>
        <v>#DIV/0!</v>
      </c>
      <c r="BY105" s="152">
        <f t="shared" si="51"/>
        <v>0.7</v>
      </c>
      <c r="CA105" s="55"/>
      <c r="CB105" s="113"/>
      <c r="CC105" s="113"/>
      <c r="CE105" s="152">
        <f t="shared" si="52"/>
        <v>0</v>
      </c>
      <c r="CF105" s="152">
        <f t="shared" si="48"/>
        <v>1</v>
      </c>
      <c r="CG105" s="152">
        <f t="shared" si="49"/>
        <v>1</v>
      </c>
      <c r="CH105" s="34"/>
      <c r="CJ105" s="11"/>
      <c r="CK105" s="11"/>
    </row>
    <row r="106" spans="1:89" s="152" customFormat="1" x14ac:dyDescent="0.2">
      <c r="A106" s="344" t="s">
        <v>560</v>
      </c>
      <c r="B106" s="345" t="s">
        <v>561</v>
      </c>
      <c r="C106" s="346">
        <v>0.14399999999999999</v>
      </c>
      <c r="D106" s="346">
        <v>3.7100000000000001E-2</v>
      </c>
      <c r="E106" s="339">
        <v>2.1000000000000001E-2</v>
      </c>
      <c r="F106" s="339">
        <v>9.6500000000000002E-2</v>
      </c>
      <c r="G106" s="1">
        <v>1.6500000000000001E-2</v>
      </c>
      <c r="H106" s="1">
        <v>7.5999999999999998E-2</v>
      </c>
      <c r="I106" s="1">
        <v>0.18</v>
      </c>
      <c r="J106" s="1">
        <v>0.04</v>
      </c>
      <c r="K106" s="1">
        <v>0.14000000000000001</v>
      </c>
      <c r="L106" s="1">
        <v>1.4999999999999999E-2</v>
      </c>
      <c r="M106" s="2" t="s">
        <v>175</v>
      </c>
      <c r="N106" s="105">
        <v>200000</v>
      </c>
      <c r="O106" s="119"/>
      <c r="P106" s="119"/>
      <c r="Q106" s="119"/>
      <c r="R106" s="119"/>
      <c r="S106" s="119"/>
      <c r="T106" s="119"/>
      <c r="U106" s="119"/>
      <c r="V106" s="119">
        <v>0.7</v>
      </c>
      <c r="W106" s="119"/>
      <c r="X106" s="119">
        <f>MIN(O106:W106)</f>
        <v>0.7</v>
      </c>
      <c r="Y106" s="118">
        <f>AVERAGE(O106:W106)</f>
        <v>0.7</v>
      </c>
      <c r="Z106" s="109">
        <f>Y106*N106</f>
        <v>140000</v>
      </c>
      <c r="AA106" s="109">
        <f>'CALCULO GERAL'!$G$10</f>
        <v>6300</v>
      </c>
      <c r="AB106" s="109">
        <f>Z106+AA106</f>
        <v>146300</v>
      </c>
      <c r="AC106" s="109">
        <f>AB106*'CALCULO GERAL'!$C$11</f>
        <v>734279.70000000007</v>
      </c>
      <c r="AD106" s="109">
        <f>AC106*C106</f>
        <v>105736.27680000001</v>
      </c>
      <c r="AE106" s="109">
        <f>(AC106+AD106)*D106</f>
        <v>31164.592739280004</v>
      </c>
      <c r="AF106" s="109">
        <f>AC106*E106</f>
        <v>15419.873700000002</v>
      </c>
      <c r="AG106" s="109">
        <f>AC106*F106</f>
        <v>70857.991050000011</v>
      </c>
      <c r="AH106" s="109">
        <v>154.22999999999999</v>
      </c>
      <c r="AI106" s="109">
        <f>((AA106*'CALCULO GERAL'!$C$11))*0.08+20</f>
        <v>2549.576</v>
      </c>
      <c r="AJ106" s="109">
        <v>1010</v>
      </c>
      <c r="AK106" s="109">
        <v>2500</v>
      </c>
      <c r="AL106" s="109">
        <f>(AA106*('CALCULO GERAL'!$C$11*1.02))-(AA106*'CALCULO GERAL'!$C$11)</f>
        <v>632.39400000000387</v>
      </c>
      <c r="AM106" s="109">
        <v>1800</v>
      </c>
      <c r="AN106" s="109">
        <v>2600</v>
      </c>
      <c r="AO106" s="109">
        <v>9400</v>
      </c>
      <c r="AP106" s="109">
        <v>1000</v>
      </c>
      <c r="AQ106" s="109">
        <f t="shared" si="39"/>
        <v>-15419.873700000002</v>
      </c>
      <c r="AR106" s="109">
        <f t="shared" si="40"/>
        <v>-70857.991050000011</v>
      </c>
      <c r="AS106" s="109"/>
      <c r="AT106" s="109">
        <f>SUM(AC106:AS106)</f>
        <v>892826.7695392801</v>
      </c>
      <c r="AU106" s="111">
        <f>IFERROR((AT106/N106),0)</f>
        <v>4.4641338476964005</v>
      </c>
      <c r="AV106" s="109">
        <f>IFERROR((BS106*'CALCULO GERAL'!$E$11)/N106,0)</f>
        <v>0.1144332</v>
      </c>
      <c r="AW106" s="109">
        <f>AU106/'CALCULO GERAL'!$C$11</f>
        <v>0.88944687142785428</v>
      </c>
      <c r="AX106" s="109">
        <f>BP106-BB106-BD106*'CALCULO GERAL'!$C$11</f>
        <v>4.6116165826496962</v>
      </c>
      <c r="AY106" s="109">
        <f>AX106*G106</f>
        <v>7.609167361371999E-2</v>
      </c>
      <c r="AZ106" s="109">
        <f>AX106*H106</f>
        <v>0.35048286028137693</v>
      </c>
      <c r="BA106" s="109">
        <f>BP106-BD106</f>
        <v>5.5169800404975415</v>
      </c>
      <c r="BB106" s="109">
        <f>BA106*L106</f>
        <v>8.2754700607463122E-2</v>
      </c>
      <c r="BC106" s="109">
        <f>BP106/(1+D106)</f>
        <v>5.5169800404975415</v>
      </c>
      <c r="BD106" s="109">
        <f>BC106*D106</f>
        <v>0.20467995950245879</v>
      </c>
      <c r="BE106" s="109">
        <f t="shared" si="156"/>
        <v>91546.559999999998</v>
      </c>
      <c r="BF106" s="109">
        <f t="shared" si="157"/>
        <v>137319.84</v>
      </c>
      <c r="BG106" s="109">
        <f>(BF106*0.09)/N106</f>
        <v>6.1793927999999998E-2</v>
      </c>
      <c r="BH106" s="109">
        <f>(BE106*0.15)/N106</f>
        <v>6.8659919999999999E-2</v>
      </c>
      <c r="BI106" s="109">
        <f>IF(BE106&gt;=$BY$1,($BY$1-BE106)*0.1,IF(BE106&lt;=$BY$1,($BY$1*0)))/N106</f>
        <v>-1.5773285000000001E-2</v>
      </c>
      <c r="BJ106" s="109">
        <f>(AY106+AZ106+BB106+AV106+BD106+BG106+BH106+BI106)</f>
        <v>0.94312295700501891</v>
      </c>
      <c r="BK106" s="109">
        <f t="shared" si="158"/>
        <v>5.4072568047014196</v>
      </c>
      <c r="BL106" s="148">
        <v>0.79</v>
      </c>
      <c r="BM106" s="112">
        <f>ROUND((AW106/BL106)+((AW106*BL106)*'CALCULO GERAL'!$E$11)/BL106,2)</f>
        <v>1.1399999999999999</v>
      </c>
      <c r="BN106" s="186">
        <f>BM106</f>
        <v>1.1399999999999999</v>
      </c>
      <c r="BO106" s="186">
        <f t="shared" si="159"/>
        <v>1.3360000000000001</v>
      </c>
      <c r="BP106" s="109">
        <f>BM106*'CALCULO GERAL'!$C$11</f>
        <v>5.72166</v>
      </c>
      <c r="BQ106" s="109">
        <f>BO106*'CALCULO GERAL'!$C$11</f>
        <v>6.7053840000000005</v>
      </c>
      <c r="BR106" s="186">
        <f>BN106*'CALCULO GERAL'!$C$11</f>
        <v>5.72166</v>
      </c>
      <c r="BS106" s="109">
        <f>BP106*N106</f>
        <v>1144332</v>
      </c>
      <c r="BT106" s="109">
        <f t="shared" si="43"/>
        <v>251505.2304607199</v>
      </c>
      <c r="BU106" s="109">
        <f>BR106*N106</f>
        <v>1144332</v>
      </c>
      <c r="BV106" s="109">
        <f>BK106*N106</f>
        <v>1081451.3609402839</v>
      </c>
      <c r="BW106" s="109">
        <f>BS106-BV106</f>
        <v>62880.639059716137</v>
      </c>
      <c r="BX106" s="114">
        <f>(((BK106*N106)-BS106)/BS106*-1)</f>
        <v>5.4949646658239162E-2</v>
      </c>
      <c r="BY106" s="152">
        <f>ROUND(BL106,2)</f>
        <v>0.79</v>
      </c>
      <c r="CA106" s="55"/>
      <c r="CB106" s="113"/>
      <c r="CC106" s="113"/>
      <c r="CE106" s="152">
        <f>CC106/BY106</f>
        <v>0</v>
      </c>
      <c r="CF106" s="152">
        <f>100%-CE106</f>
        <v>1</v>
      </c>
      <c r="CG106" s="152">
        <f>AVERAGE(CF106,CD106)</f>
        <v>1</v>
      </c>
      <c r="CH106" s="34"/>
      <c r="CJ106" s="11"/>
      <c r="CK106" s="11"/>
    </row>
    <row r="107" spans="1:89" s="152" customFormat="1" x14ac:dyDescent="0.2">
      <c r="A107" s="228" t="s">
        <v>224</v>
      </c>
      <c r="B107" s="188" t="s">
        <v>225</v>
      </c>
      <c r="C107" s="8">
        <v>0.35</v>
      </c>
      <c r="D107" s="8">
        <v>6.5000000000000002E-2</v>
      </c>
      <c r="E107" s="7">
        <v>2.1000000000000001E-2</v>
      </c>
      <c r="F107" s="7">
        <v>0.1065</v>
      </c>
      <c r="G107" s="1">
        <v>1.6500000000000001E-2</v>
      </c>
      <c r="H107" s="1">
        <v>7.5999999999999998E-2</v>
      </c>
      <c r="I107" s="1">
        <v>0.18</v>
      </c>
      <c r="J107" s="1">
        <v>0.04</v>
      </c>
      <c r="K107" s="1">
        <v>0.14000000000000001</v>
      </c>
      <c r="L107" s="1">
        <v>1.4999999999999999E-2</v>
      </c>
      <c r="M107" s="2" t="s">
        <v>175</v>
      </c>
      <c r="N107" s="105">
        <v>49500</v>
      </c>
      <c r="O107" s="119"/>
      <c r="P107" s="119"/>
      <c r="Q107" s="119"/>
      <c r="R107" s="119"/>
      <c r="S107" s="119"/>
      <c r="T107" s="119"/>
      <c r="U107" s="119"/>
      <c r="V107" s="119">
        <v>0.85499999999999998</v>
      </c>
      <c r="W107" s="119"/>
      <c r="X107" s="119">
        <f t="shared" si="0"/>
        <v>0.85499999999999998</v>
      </c>
      <c r="Y107" s="118">
        <f t="shared" si="1"/>
        <v>0.85499999999999998</v>
      </c>
      <c r="Z107" s="109">
        <f t="shared" si="2"/>
        <v>42322.5</v>
      </c>
      <c r="AA107" s="109">
        <f>'CALCULO GERAL'!$G$10</f>
        <v>6300</v>
      </c>
      <c r="AB107" s="109">
        <f t="shared" si="3"/>
        <v>48622.5</v>
      </c>
      <c r="AC107" s="109">
        <f>AB107*'CALCULO GERAL'!$C$11</f>
        <v>244036.32750000001</v>
      </c>
      <c r="AD107" s="109">
        <f t="shared" si="4"/>
        <v>85412.714624999993</v>
      </c>
      <c r="AE107" s="109">
        <f t="shared" si="5"/>
        <v>21414.187738125001</v>
      </c>
      <c r="AF107" s="109">
        <f t="shared" si="6"/>
        <v>5124.7628775000003</v>
      </c>
      <c r="AG107" s="109">
        <f t="shared" si="7"/>
        <v>25989.86887875</v>
      </c>
      <c r="AH107" s="109">
        <v>154.22999999999999</v>
      </c>
      <c r="AI107" s="109">
        <f>((AA107*'CALCULO GERAL'!$C$11))*0.08+20</f>
        <v>2549.576</v>
      </c>
      <c r="AJ107" s="109">
        <v>1010</v>
      </c>
      <c r="AK107" s="109">
        <v>2500</v>
      </c>
      <c r="AL107" s="109">
        <f>(AA107*('CALCULO GERAL'!$C$11*1.02))-(AA107*'CALCULO GERAL'!$C$11)</f>
        <v>632.39400000000387</v>
      </c>
      <c r="AM107" s="109">
        <v>1800</v>
      </c>
      <c r="AN107" s="109">
        <v>2600</v>
      </c>
      <c r="AO107" s="109">
        <v>9400</v>
      </c>
      <c r="AP107" s="109">
        <v>1000</v>
      </c>
      <c r="AQ107" s="109">
        <f t="shared" si="39"/>
        <v>-5124.7628775000003</v>
      </c>
      <c r="AR107" s="109">
        <f t="shared" si="40"/>
        <v>-25989.86887875</v>
      </c>
      <c r="AS107" s="109"/>
      <c r="AT107" s="109">
        <f t="shared" si="44"/>
        <v>372509.42986312503</v>
      </c>
      <c r="AU107" s="111">
        <f t="shared" si="8"/>
        <v>7.5254430275378796</v>
      </c>
      <c r="AV107" s="109">
        <f>IFERROR((BS107*'CALCULO GERAL'!$E$11)/N107,0)</f>
        <v>0.1937334</v>
      </c>
      <c r="AW107" s="109">
        <f>AU107/'CALCULO GERAL'!$C$11</f>
        <v>1.4993909200115321</v>
      </c>
      <c r="AX107" s="109">
        <f>BP107-BB107-BD107*'CALCULO GERAL'!$C$11</f>
        <v>6.5829790728169009</v>
      </c>
      <c r="AY107" s="109">
        <f t="shared" si="24"/>
        <v>0.10861915470147887</v>
      </c>
      <c r="AZ107" s="109">
        <f t="shared" si="9"/>
        <v>0.50030640953408445</v>
      </c>
      <c r="BA107" s="109">
        <f t="shared" si="10"/>
        <v>9.0954647887323929</v>
      </c>
      <c r="BB107" s="109">
        <f t="shared" si="11"/>
        <v>0.13643197183098588</v>
      </c>
      <c r="BC107" s="109">
        <f t="shared" si="12"/>
        <v>9.0954647887323947</v>
      </c>
      <c r="BD107" s="109">
        <f t="shared" si="13"/>
        <v>0.59120521126760572</v>
      </c>
      <c r="BE107" s="109">
        <f t="shared" si="156"/>
        <v>38359.213199999998</v>
      </c>
      <c r="BF107" s="109">
        <f t="shared" si="157"/>
        <v>57538.819799999997</v>
      </c>
      <c r="BG107" s="109">
        <f t="shared" si="14"/>
        <v>0.104616036</v>
      </c>
      <c r="BH107" s="109">
        <f t="shared" si="15"/>
        <v>0.11624003999999999</v>
      </c>
      <c r="BI107" s="109">
        <f t="shared" si="16"/>
        <v>0</v>
      </c>
      <c r="BJ107" s="109">
        <f t="shared" si="27"/>
        <v>1.751152223334155</v>
      </c>
      <c r="BK107" s="109">
        <f t="shared" si="158"/>
        <v>9.2765952508720346</v>
      </c>
      <c r="BL107" s="148">
        <v>0.79</v>
      </c>
      <c r="BM107" s="112">
        <f>ROUND((AW107/BL107)+((AW107*BL107)*'CALCULO GERAL'!$E$11)/BL107,2)</f>
        <v>1.93</v>
      </c>
      <c r="BN107" s="186">
        <f t="shared" si="17"/>
        <v>1.93</v>
      </c>
      <c r="BO107" s="186">
        <f t="shared" si="159"/>
        <v>2.2610000000000001</v>
      </c>
      <c r="BP107" s="109">
        <f>BM107*'CALCULO GERAL'!$C$11</f>
        <v>9.6866699999999994</v>
      </c>
      <c r="BQ107" s="109">
        <f>BO107*'CALCULO GERAL'!$C$11</f>
        <v>11.347959000000001</v>
      </c>
      <c r="BR107" s="186">
        <f>BN107*'CALCULO GERAL'!$C$11</f>
        <v>9.6866699999999994</v>
      </c>
      <c r="BS107" s="109">
        <f t="shared" si="18"/>
        <v>479490.16499999998</v>
      </c>
      <c r="BT107" s="109">
        <f t="shared" si="43"/>
        <v>106980.73513687495</v>
      </c>
      <c r="BU107" s="109">
        <f t="shared" si="19"/>
        <v>479490.16499999998</v>
      </c>
      <c r="BV107" s="109">
        <f t="shared" si="50"/>
        <v>459191.4649181657</v>
      </c>
      <c r="BW107" s="109">
        <f t="shared" si="47"/>
        <v>20298.700081834279</v>
      </c>
      <c r="BX107" s="114">
        <f t="shared" si="20"/>
        <v>4.2333923745514736E-2</v>
      </c>
      <c r="BY107" s="152">
        <f t="shared" si="51"/>
        <v>0.79</v>
      </c>
      <c r="CA107" s="55"/>
      <c r="CB107" s="113"/>
      <c r="CC107" s="113"/>
      <c r="CE107" s="152">
        <f t="shared" si="52"/>
        <v>0</v>
      </c>
      <c r="CF107" s="152">
        <f t="shared" si="48"/>
        <v>1</v>
      </c>
      <c r="CG107" s="152">
        <f t="shared" si="49"/>
        <v>1</v>
      </c>
      <c r="CH107" s="34"/>
      <c r="CJ107" s="11"/>
      <c r="CK107" s="11"/>
    </row>
    <row r="108" spans="1:89" s="152" customFormat="1" x14ac:dyDescent="0.2">
      <c r="A108" s="311" t="s">
        <v>470</v>
      </c>
      <c r="B108" s="316" t="s">
        <v>471</v>
      </c>
      <c r="C108" s="313">
        <v>0.35</v>
      </c>
      <c r="D108" s="313">
        <v>0</v>
      </c>
      <c r="E108" s="314">
        <v>2.1000000000000001E-2</v>
      </c>
      <c r="F108" s="314">
        <v>0.1065</v>
      </c>
      <c r="G108" s="1">
        <v>1.6500000000000001E-2</v>
      </c>
      <c r="H108" s="1">
        <v>7.5999999999999998E-2</v>
      </c>
      <c r="I108" s="1">
        <v>0.18</v>
      </c>
      <c r="J108" s="1">
        <v>0.04</v>
      </c>
      <c r="K108" s="1">
        <v>0.14000000000000001</v>
      </c>
      <c r="L108" s="1">
        <v>1.4999999999999999E-2</v>
      </c>
      <c r="M108" s="2" t="s">
        <v>175</v>
      </c>
      <c r="N108" s="105">
        <v>100000</v>
      </c>
      <c r="O108" s="119"/>
      <c r="P108" s="119"/>
      <c r="Q108" s="119"/>
      <c r="R108" s="119"/>
      <c r="S108" s="119"/>
      <c r="T108" s="119"/>
      <c r="U108" s="119"/>
      <c r="V108" s="119">
        <v>1.06</v>
      </c>
      <c r="W108" s="119"/>
      <c r="X108" s="119">
        <f>MIN(O108:W108)</f>
        <v>1.06</v>
      </c>
      <c r="Y108" s="118">
        <f>AVERAGE(O108:W108)</f>
        <v>1.06</v>
      </c>
      <c r="Z108" s="109">
        <f>Y108*N108</f>
        <v>106000</v>
      </c>
      <c r="AA108" s="109">
        <f>'CALCULO GERAL'!$G$10</f>
        <v>6300</v>
      </c>
      <c r="AB108" s="109">
        <f>Z108+AA108</f>
        <v>112300</v>
      </c>
      <c r="AC108" s="109">
        <f>AB108*'CALCULO GERAL'!$C$11</f>
        <v>563633.70000000007</v>
      </c>
      <c r="AD108" s="109">
        <f>AC108*C108</f>
        <v>197271.79500000001</v>
      </c>
      <c r="AE108" s="109">
        <f>(AC108+AD108)*D108</f>
        <v>0</v>
      </c>
      <c r="AF108" s="109">
        <f>AC108*E108</f>
        <v>11836.307700000003</v>
      </c>
      <c r="AG108" s="109">
        <f>AC108*F108</f>
        <v>60026.989050000004</v>
      </c>
      <c r="AH108" s="109">
        <v>154.22999999999999</v>
      </c>
      <c r="AI108" s="109">
        <f>((AA108*'CALCULO GERAL'!$C$11))*0.08+20</f>
        <v>2549.576</v>
      </c>
      <c r="AJ108" s="109">
        <v>1010</v>
      </c>
      <c r="AK108" s="109">
        <v>2500</v>
      </c>
      <c r="AL108" s="109">
        <f>(AA108*('CALCULO GERAL'!$C$11*1.02))-(AA108*'CALCULO GERAL'!$C$11)</f>
        <v>632.39400000000387</v>
      </c>
      <c r="AM108" s="109">
        <v>1800</v>
      </c>
      <c r="AN108" s="109">
        <v>2600</v>
      </c>
      <c r="AO108" s="109">
        <v>9400</v>
      </c>
      <c r="AP108" s="109">
        <v>1000</v>
      </c>
      <c r="AQ108" s="109">
        <f t="shared" si="39"/>
        <v>-11836.307700000003</v>
      </c>
      <c r="AR108" s="109">
        <f t="shared" si="40"/>
        <v>-60026.989050000004</v>
      </c>
      <c r="AS108" s="109"/>
      <c r="AT108" s="109">
        <f>SUM(AC108:AS108)</f>
        <v>782551.69500000007</v>
      </c>
      <c r="AU108" s="111">
        <f>IFERROR((AT108/N108),0)</f>
        <v>7.8255169500000008</v>
      </c>
      <c r="AV108" s="109">
        <f>IFERROR((BS108*'CALCULO GERAL'!$E$11)/N108,0)</f>
        <v>0.20075999999999999</v>
      </c>
      <c r="AW108" s="109">
        <f>AU108/'CALCULO GERAL'!$C$11</f>
        <v>1.5591785116557084</v>
      </c>
      <c r="AX108" s="109">
        <f>BP108-BB108-BD108*'CALCULO GERAL'!$C$11</f>
        <v>9.8874300000000002</v>
      </c>
      <c r="AY108" s="109">
        <f>AX108*G108</f>
        <v>0.163142595</v>
      </c>
      <c r="AZ108" s="109">
        <f>AX108*H108</f>
        <v>0.75144467999999998</v>
      </c>
      <c r="BA108" s="109">
        <f>BP108-BD108</f>
        <v>10.038</v>
      </c>
      <c r="BB108" s="109">
        <f>BA108*L108</f>
        <v>0.15057000000000001</v>
      </c>
      <c r="BC108" s="109">
        <f>BP108/(1+D108)</f>
        <v>10.038</v>
      </c>
      <c r="BD108" s="109">
        <f>BC108*D108</f>
        <v>0</v>
      </c>
      <c r="BE108" s="109">
        <f t="shared" si="156"/>
        <v>80304</v>
      </c>
      <c r="BF108" s="109">
        <f t="shared" si="157"/>
        <v>120456</v>
      </c>
      <c r="BG108" s="109">
        <f>(BF108*0.09)/N108</f>
        <v>0.10841039999999999</v>
      </c>
      <c r="BH108" s="109">
        <f>(BE108*0.15)/N108</f>
        <v>0.12045600000000001</v>
      </c>
      <c r="BI108" s="109">
        <f>IF(BE108&gt;=$BY$1,($BY$1-BE108)*0.1,IF(BE108&lt;=$BY$1,($BY$1*0)))/N108</f>
        <v>-2.0304010000000004E-2</v>
      </c>
      <c r="BJ108" s="109">
        <f>(AY108+AZ108+BB108+AV108+BD108+BG108+BH108+BI108)</f>
        <v>1.4744796649999998</v>
      </c>
      <c r="BK108" s="109">
        <f t="shared" si="158"/>
        <v>9.2999966150000013</v>
      </c>
      <c r="BL108" s="148">
        <v>0.79</v>
      </c>
      <c r="BM108" s="112">
        <f>ROUND((AW108/BL108)+((AW108*BL108)*'CALCULO GERAL'!$E$11)/BL108,2)</f>
        <v>2</v>
      </c>
      <c r="BN108" s="186">
        <f>BM108</f>
        <v>2</v>
      </c>
      <c r="BO108" s="186">
        <f t="shared" si="159"/>
        <v>2.343</v>
      </c>
      <c r="BP108" s="109">
        <f>BM108*'CALCULO GERAL'!$C$11</f>
        <v>10.038</v>
      </c>
      <c r="BQ108" s="109">
        <f>BO108*'CALCULO GERAL'!$C$11</f>
        <v>11.759517000000001</v>
      </c>
      <c r="BR108" s="186">
        <f>BN108*'CALCULO GERAL'!$C$11</f>
        <v>10.038</v>
      </c>
      <c r="BS108" s="109">
        <f>BP108*N108</f>
        <v>1003800</v>
      </c>
      <c r="BT108" s="109">
        <f t="shared" si="43"/>
        <v>221248.30499999993</v>
      </c>
      <c r="BU108" s="109">
        <f>BR108*N108</f>
        <v>1003800</v>
      </c>
      <c r="BV108" s="109">
        <f>BK108*N108</f>
        <v>929999.66150000016</v>
      </c>
      <c r="BW108" s="109">
        <f>BS108-BV108</f>
        <v>73800.338499999838</v>
      </c>
      <c r="BX108" s="114">
        <f>(((BK108*N108)-BS108)/BS108*-1)</f>
        <v>7.3520958856345728E-2</v>
      </c>
      <c r="BY108" s="152">
        <f>ROUND(BL108,2)</f>
        <v>0.79</v>
      </c>
      <c r="CA108" s="55"/>
      <c r="CB108" s="113"/>
      <c r="CC108" s="113"/>
      <c r="CE108" s="152">
        <f>CC108/BY108</f>
        <v>0</v>
      </c>
      <c r="CF108" s="152">
        <f>100%-CE108</f>
        <v>1</v>
      </c>
      <c r="CG108" s="152">
        <f>AVERAGE(CF108,CD108)</f>
        <v>1</v>
      </c>
      <c r="CH108" s="34"/>
      <c r="CJ108" s="11"/>
      <c r="CK108" s="11"/>
    </row>
    <row r="109" spans="1:89" x14ac:dyDescent="0.2">
      <c r="A109" s="228" t="s">
        <v>226</v>
      </c>
      <c r="B109" s="188" t="s">
        <v>227</v>
      </c>
      <c r="C109" s="8">
        <v>0.35</v>
      </c>
      <c r="D109" s="8">
        <v>6.5000000000000002E-2</v>
      </c>
      <c r="E109" s="7">
        <v>2.1000000000000001E-2</v>
      </c>
      <c r="F109" s="7">
        <v>0.1065</v>
      </c>
      <c r="G109" s="1">
        <v>1.6500000000000001E-2</v>
      </c>
      <c r="H109" s="1">
        <v>7.5999999999999998E-2</v>
      </c>
      <c r="I109" s="1">
        <v>0.18</v>
      </c>
      <c r="J109" s="1">
        <v>0.04</v>
      </c>
      <c r="K109" s="1">
        <v>0.14000000000000001</v>
      </c>
      <c r="L109" s="1">
        <v>1.4999999999999999E-2</v>
      </c>
      <c r="M109" s="2" t="s">
        <v>175</v>
      </c>
      <c r="N109" s="105">
        <v>60000</v>
      </c>
      <c r="O109" s="119"/>
      <c r="P109" s="119"/>
      <c r="Q109" s="119"/>
      <c r="R109" s="119"/>
      <c r="S109" s="119"/>
      <c r="T109" s="119"/>
      <c r="U109" s="119"/>
      <c r="V109" s="119">
        <v>0.56999999999999995</v>
      </c>
      <c r="W109" s="119"/>
      <c r="X109" s="119">
        <f>MIN(O109:W109)</f>
        <v>0.56999999999999995</v>
      </c>
      <c r="Y109" s="118">
        <f>AVERAGE(O109:W109)</f>
        <v>0.56999999999999995</v>
      </c>
      <c r="Z109" s="109">
        <f>Y109*N109</f>
        <v>34200</v>
      </c>
      <c r="AA109" s="109">
        <f>'CALCULO GERAL'!$G$10</f>
        <v>6300</v>
      </c>
      <c r="AB109" s="109">
        <f>Z109+AA109</f>
        <v>40500</v>
      </c>
      <c r="AC109" s="109">
        <f>AB109*'CALCULO GERAL'!$C$11</f>
        <v>203269.5</v>
      </c>
      <c r="AD109" s="109">
        <f>AC109*C109</f>
        <v>71144.324999999997</v>
      </c>
      <c r="AE109" s="109">
        <f>(AC109+AD109)*D109</f>
        <v>17836.898625000002</v>
      </c>
      <c r="AF109" s="109">
        <f>AC109*E109</f>
        <v>4268.6595000000007</v>
      </c>
      <c r="AG109" s="109">
        <f>AC109*F109</f>
        <v>21648.20175</v>
      </c>
      <c r="AH109" s="109">
        <v>154.22999999999999</v>
      </c>
      <c r="AI109" s="109">
        <f>((AA109*'CALCULO GERAL'!$C$11))*0.08+20</f>
        <v>2549.576</v>
      </c>
      <c r="AJ109" s="109">
        <v>1010</v>
      </c>
      <c r="AK109" s="109">
        <v>2500</v>
      </c>
      <c r="AL109" s="109">
        <f>(AA109*('CALCULO GERAL'!$C$11*1.02))-(AA109*'CALCULO GERAL'!$C$11)</f>
        <v>632.39400000000387</v>
      </c>
      <c r="AM109" s="109">
        <v>1800</v>
      </c>
      <c r="AN109" s="109">
        <v>2600</v>
      </c>
      <c r="AO109" s="109">
        <v>9400</v>
      </c>
      <c r="AP109" s="109">
        <v>1000</v>
      </c>
      <c r="AQ109" s="109">
        <f t="shared" si="39"/>
        <v>-4268.6595000000007</v>
      </c>
      <c r="AR109" s="109">
        <f t="shared" si="40"/>
        <v>-21648.20175</v>
      </c>
      <c r="AS109" s="109"/>
      <c r="AT109" s="109">
        <f t="shared" si="44"/>
        <v>313896.923625</v>
      </c>
      <c r="AU109" s="111">
        <f>IFERROR((AT109/N109),0)</f>
        <v>5.2316153937500003</v>
      </c>
      <c r="AV109" s="109">
        <f>IFERROR((BS109*'CALCULO GERAL'!$E$11)/N109,0)</f>
        <v>0.13651680000000002</v>
      </c>
      <c r="AW109" s="109">
        <f>AU109/'CALCULO GERAL'!$C$11</f>
        <v>1.0423621027595138</v>
      </c>
      <c r="AX109" s="109">
        <f>BP109-BB109-BD109*'CALCULO GERAL'!$C$11</f>
        <v>4.6387831808450706</v>
      </c>
      <c r="AY109" s="109">
        <f>AX109*G109</f>
        <v>7.6539922483943673E-2</v>
      </c>
      <c r="AZ109" s="109">
        <f>AX109*H109</f>
        <v>0.35254752174422538</v>
      </c>
      <c r="BA109" s="109">
        <f>BP109-BD109</f>
        <v>6.4092394366197185</v>
      </c>
      <c r="BB109" s="109">
        <f>BA109*L109</f>
        <v>9.6138591549295771E-2</v>
      </c>
      <c r="BC109" s="109">
        <f>BP109/(1+D109)</f>
        <v>6.4092394366197194</v>
      </c>
      <c r="BD109" s="109">
        <f>BC109*D109</f>
        <v>0.41660056338028179</v>
      </c>
      <c r="BE109" s="109">
        <f t="shared" si="156"/>
        <v>32764.032000000003</v>
      </c>
      <c r="BF109" s="109">
        <f t="shared" si="157"/>
        <v>49146.048000000003</v>
      </c>
      <c r="BG109" s="109">
        <f>(BF109*0.09)/N109</f>
        <v>7.371907200000001E-2</v>
      </c>
      <c r="BH109" s="109">
        <f>(BE109*0.15)/N109</f>
        <v>8.1910079999999996E-2</v>
      </c>
      <c r="BI109" s="109">
        <f>IF(BE109&gt;=$BY$1,($BY$1-BE109)*0.1,IF(BE109&lt;=$BY$1,($BY$1*0)))/N109</f>
        <v>0</v>
      </c>
      <c r="BJ109" s="109">
        <f>(AY109+AZ109+BB109+AV109+BD109+BG109+BH109+BI109)</f>
        <v>1.2339725511577466</v>
      </c>
      <c r="BK109" s="109">
        <f t="shared" si="158"/>
        <v>6.4655879449077469</v>
      </c>
      <c r="BL109" s="148">
        <v>0.78</v>
      </c>
      <c r="BM109" s="112">
        <f>ROUND((AW109/BL109)+((AW109*BL109)*'CALCULO GERAL'!$E$11)/BL109,2)</f>
        <v>1.36</v>
      </c>
      <c r="BN109" s="186">
        <f t="shared" si="17"/>
        <v>1.36</v>
      </c>
      <c r="BO109" s="186">
        <f t="shared" si="159"/>
        <v>1.593</v>
      </c>
      <c r="BP109" s="109">
        <f>BM109*'CALCULO GERAL'!$C$11</f>
        <v>6.8258400000000004</v>
      </c>
      <c r="BQ109" s="109">
        <f>BO109*'CALCULO GERAL'!$C$11</f>
        <v>7.9952670000000001</v>
      </c>
      <c r="BR109" s="186">
        <f>BN109*'CALCULO GERAL'!$C$11</f>
        <v>6.8258400000000004</v>
      </c>
      <c r="BS109" s="109">
        <f>BP109*N109</f>
        <v>409550.4</v>
      </c>
      <c r="BT109" s="109">
        <f t="shared" si="43"/>
        <v>95653.476375000027</v>
      </c>
      <c r="BU109" s="109">
        <f>BR109*N109</f>
        <v>409550.4</v>
      </c>
      <c r="BV109" s="109">
        <f t="shared" si="50"/>
        <v>387935.27669446479</v>
      </c>
      <c r="BW109" s="109">
        <f t="shared" si="47"/>
        <v>21615.123305535235</v>
      </c>
      <c r="BX109" s="114">
        <f>(((BK109*N109)-BS109)/BS109*-1)</f>
        <v>5.2777688180832526E-2</v>
      </c>
      <c r="BY109" s="152">
        <f t="shared" si="51"/>
        <v>0.78</v>
      </c>
      <c r="BZ109" s="152"/>
      <c r="CA109" s="55"/>
      <c r="CB109" s="113"/>
      <c r="CC109" s="113"/>
      <c r="CD109" s="152"/>
      <c r="CE109" s="152">
        <f t="shared" si="52"/>
        <v>0</v>
      </c>
      <c r="CF109" s="152">
        <f t="shared" si="48"/>
        <v>1</v>
      </c>
      <c r="CG109" s="152">
        <f t="shared" si="49"/>
        <v>1</v>
      </c>
      <c r="CH109" s="34"/>
    </row>
    <row r="110" spans="1:89" x14ac:dyDescent="0.2">
      <c r="A110" s="228" t="s">
        <v>228</v>
      </c>
      <c r="B110" s="188" t="s">
        <v>227</v>
      </c>
      <c r="C110" s="8">
        <v>0.35</v>
      </c>
      <c r="D110" s="8">
        <v>6.5000000000000002E-2</v>
      </c>
      <c r="E110" s="7">
        <v>2.1000000000000001E-2</v>
      </c>
      <c r="F110" s="7">
        <v>0.1065</v>
      </c>
      <c r="G110" s="1">
        <v>1.6500000000000001E-2</v>
      </c>
      <c r="H110" s="1">
        <v>7.5999999999999998E-2</v>
      </c>
      <c r="I110" s="1">
        <v>0.18</v>
      </c>
      <c r="J110" s="1">
        <v>0.04</v>
      </c>
      <c r="K110" s="1">
        <v>0.14000000000000001</v>
      </c>
      <c r="L110" s="1">
        <v>1.4999999999999999E-2</v>
      </c>
      <c r="M110" s="2" t="s">
        <v>175</v>
      </c>
      <c r="N110" s="105">
        <v>970000</v>
      </c>
      <c r="O110" s="119"/>
      <c r="P110" s="119"/>
      <c r="Q110" s="119"/>
      <c r="R110" s="119"/>
      <c r="S110" s="119"/>
      <c r="T110" s="119"/>
      <c r="U110" s="119"/>
      <c r="V110" s="119">
        <v>6.6000000000000003E-2</v>
      </c>
      <c r="W110" s="119"/>
      <c r="X110" s="119">
        <f>MIN(O110:W110)</f>
        <v>6.6000000000000003E-2</v>
      </c>
      <c r="Y110" s="118">
        <f>AVERAGE(O110:W110)</f>
        <v>6.6000000000000003E-2</v>
      </c>
      <c r="Z110" s="109">
        <f>Y110*N110</f>
        <v>64020</v>
      </c>
      <c r="AA110" s="109">
        <f>'CALCULO GERAL'!$G$10</f>
        <v>6300</v>
      </c>
      <c r="AB110" s="109">
        <f>Z110+AA110</f>
        <v>70320</v>
      </c>
      <c r="AC110" s="109">
        <f>AB110*'CALCULO GERAL'!$C$11</f>
        <v>352936.08</v>
      </c>
      <c r="AD110" s="109">
        <f>AC110*C110</f>
        <v>123527.628</v>
      </c>
      <c r="AE110" s="109">
        <f>(AC110+AD110)*D110</f>
        <v>30970.141019999999</v>
      </c>
      <c r="AF110" s="109">
        <f>AC110*E110</f>
        <v>7411.6576800000012</v>
      </c>
      <c r="AG110" s="109">
        <f>AC110*F110</f>
        <v>37587.692520000004</v>
      </c>
      <c r="AH110" s="109">
        <v>154.22999999999999</v>
      </c>
      <c r="AI110" s="109">
        <f>((AA110*'CALCULO GERAL'!$C$11))*0.08+20</f>
        <v>2549.576</v>
      </c>
      <c r="AJ110" s="109">
        <v>1010</v>
      </c>
      <c r="AK110" s="109">
        <v>2500</v>
      </c>
      <c r="AL110" s="109">
        <f>(AA110*('CALCULO GERAL'!$C$11*1.02))-(AA110*'CALCULO GERAL'!$C$11)</f>
        <v>632.39400000000387</v>
      </c>
      <c r="AM110" s="109">
        <v>1800</v>
      </c>
      <c r="AN110" s="109">
        <v>2600</v>
      </c>
      <c r="AO110" s="109">
        <v>9400</v>
      </c>
      <c r="AP110" s="109">
        <v>1000</v>
      </c>
      <c r="AQ110" s="109">
        <f t="shared" si="39"/>
        <v>-7411.6576800000012</v>
      </c>
      <c r="AR110" s="109">
        <f t="shared" si="40"/>
        <v>-37587.692520000004</v>
      </c>
      <c r="AS110" s="109"/>
      <c r="AT110" s="109">
        <f t="shared" si="44"/>
        <v>529080.04901999992</v>
      </c>
      <c r="AU110" s="111">
        <f>IFERROR((AT110/N110),0)</f>
        <v>0.54544334950515461</v>
      </c>
      <c r="AV110" s="109">
        <f>IFERROR((BS110*'CALCULO GERAL'!$E$11)/N110,0)</f>
        <v>1.4053200000000002E-2</v>
      </c>
      <c r="AW110" s="109">
        <f>AU110/'CALCULO GERAL'!$C$11</f>
        <v>0.10867570223254724</v>
      </c>
      <c r="AX110" s="109">
        <f>BP110-BB110-BD110*'CALCULO GERAL'!$C$11</f>
        <v>0.47752179802816902</v>
      </c>
      <c r="AY110" s="109">
        <f>AX110*G110</f>
        <v>7.8791096674647888E-3</v>
      </c>
      <c r="AZ110" s="109">
        <f>AX110*H110</f>
        <v>3.6291656650140842E-2</v>
      </c>
      <c r="BA110" s="109">
        <f>BP110-BD110</f>
        <v>0.65977464788732398</v>
      </c>
      <c r="BB110" s="109">
        <f>BA110*L110</f>
        <v>9.8966197183098601E-3</v>
      </c>
      <c r="BC110" s="109">
        <f>BP110/(1+D110)</f>
        <v>0.65977464788732398</v>
      </c>
      <c r="BD110" s="109">
        <f>BC110*D110</f>
        <v>4.2885352112676058E-2</v>
      </c>
      <c r="BE110" s="109">
        <f t="shared" si="156"/>
        <v>54526.416000000005</v>
      </c>
      <c r="BF110" s="109">
        <f t="shared" si="157"/>
        <v>81789.624000000011</v>
      </c>
      <c r="BG110" s="109">
        <f>(BF110*0.09)/N110</f>
        <v>7.5887280000000003E-3</v>
      </c>
      <c r="BH110" s="109">
        <f>(BE110*0.15)/N110</f>
        <v>8.4319200000000007E-3</v>
      </c>
      <c r="BI110" s="109">
        <f>IF(BE110&gt;=$BY$1,($BY$1-BE110)*0.1,IF(BE110&lt;=$BY$1,($BY$1*0)))/N110</f>
        <v>0</v>
      </c>
      <c r="BJ110" s="109">
        <f>(AY110+AZ110+BB110+AV110+BD110+BG110+BH110+BI110)</f>
        <v>0.12702658614859155</v>
      </c>
      <c r="BK110" s="109">
        <f t="shared" si="158"/>
        <v>0.67246993565374613</v>
      </c>
      <c r="BL110" s="148">
        <v>0.78</v>
      </c>
      <c r="BM110" s="112">
        <f>ROUND((AW110/BL110)+((AW110*BL110)*'CALCULO GERAL'!$E$11)/BL110,2)</f>
        <v>0.14000000000000001</v>
      </c>
      <c r="BN110" s="186">
        <f t="shared" si="17"/>
        <v>0.14000000000000001</v>
      </c>
      <c r="BO110" s="186">
        <f t="shared" si="159"/>
        <v>0.16400000000000001</v>
      </c>
      <c r="BP110" s="109">
        <f>BM110*'CALCULO GERAL'!$C$11</f>
        <v>0.70266000000000006</v>
      </c>
      <c r="BQ110" s="109">
        <f>BO110*'CALCULO GERAL'!$C$11</f>
        <v>0.82311600000000007</v>
      </c>
      <c r="BR110" s="186">
        <f>BN110*'CALCULO GERAL'!$C$11</f>
        <v>0.70266000000000006</v>
      </c>
      <c r="BS110" s="109">
        <f>BP110*N110</f>
        <v>681580.20000000007</v>
      </c>
      <c r="BT110" s="109">
        <f t="shared" si="43"/>
        <v>152500.15098000015</v>
      </c>
      <c r="BU110" s="109">
        <f>BR110*N110</f>
        <v>681580.20000000007</v>
      </c>
      <c r="BV110" s="109">
        <f t="shared" si="50"/>
        <v>652295.83758413373</v>
      </c>
      <c r="BW110" s="109">
        <f t="shared" si="47"/>
        <v>29284.362415866344</v>
      </c>
      <c r="BX110" s="114">
        <f>(((BK110*N110)-BS110)/BS110*-1)</f>
        <v>4.2965394851356219E-2</v>
      </c>
      <c r="BY110" s="152">
        <f t="shared" si="51"/>
        <v>0.78</v>
      </c>
      <c r="BZ110" s="152"/>
      <c r="CA110" s="55"/>
      <c r="CB110" s="113"/>
      <c r="CC110" s="113"/>
      <c r="CD110" s="152"/>
      <c r="CE110" s="152">
        <f t="shared" si="52"/>
        <v>0</v>
      </c>
      <c r="CF110" s="152">
        <f t="shared" si="48"/>
        <v>1</v>
      </c>
      <c r="CG110" s="152">
        <f t="shared" si="49"/>
        <v>1</v>
      </c>
      <c r="CH110" s="34"/>
    </row>
    <row r="111" spans="1:89" x14ac:dyDescent="0.2">
      <c r="A111" s="228" t="s">
        <v>229</v>
      </c>
      <c r="B111" s="187" t="s">
        <v>230</v>
      </c>
      <c r="C111" s="8">
        <v>0.35</v>
      </c>
      <c r="D111" s="8">
        <v>0</v>
      </c>
      <c r="E111" s="7">
        <v>2.1000000000000001E-2</v>
      </c>
      <c r="F111" s="7">
        <v>0.1065</v>
      </c>
      <c r="G111" s="1">
        <v>1.6500000000000001E-2</v>
      </c>
      <c r="H111" s="1">
        <v>7.5999999999999998E-2</v>
      </c>
      <c r="I111" s="1">
        <v>0.18</v>
      </c>
      <c r="J111" s="1">
        <v>0.04</v>
      </c>
      <c r="K111" s="1">
        <v>0.14000000000000001</v>
      </c>
      <c r="L111" s="1">
        <v>1.4999999999999999E-2</v>
      </c>
      <c r="M111" s="2" t="s">
        <v>175</v>
      </c>
      <c r="N111" s="105">
        <v>18000</v>
      </c>
      <c r="O111" s="119"/>
      <c r="P111" s="119"/>
      <c r="Q111" s="119"/>
      <c r="R111" s="119"/>
      <c r="S111" s="119"/>
      <c r="T111" s="119"/>
      <c r="U111" s="119"/>
      <c r="V111" s="119">
        <v>2.12</v>
      </c>
      <c r="W111" s="119"/>
      <c r="X111" s="119">
        <f t="shared" si="0"/>
        <v>2.12</v>
      </c>
      <c r="Y111" s="118">
        <f t="shared" si="1"/>
        <v>2.12</v>
      </c>
      <c r="Z111" s="109">
        <f t="shared" si="2"/>
        <v>38160</v>
      </c>
      <c r="AA111" s="109">
        <f>'CALCULO GERAL'!$G$10</f>
        <v>6300</v>
      </c>
      <c r="AB111" s="109">
        <f t="shared" si="3"/>
        <v>44460</v>
      </c>
      <c r="AC111" s="109">
        <f>AB111*'CALCULO GERAL'!$C$11</f>
        <v>223144.74000000002</v>
      </c>
      <c r="AD111" s="109">
        <f t="shared" si="4"/>
        <v>78100.659</v>
      </c>
      <c r="AE111" s="109">
        <f t="shared" si="5"/>
        <v>0</v>
      </c>
      <c r="AF111" s="109">
        <f t="shared" si="6"/>
        <v>4686.0395400000007</v>
      </c>
      <c r="AG111" s="109">
        <f t="shared" si="7"/>
        <v>23764.914810000002</v>
      </c>
      <c r="AH111" s="109">
        <v>154.22999999999999</v>
      </c>
      <c r="AI111" s="109">
        <f>((AA111*'CALCULO GERAL'!$C$11))*0.08+20</f>
        <v>2549.576</v>
      </c>
      <c r="AJ111" s="109">
        <v>1010</v>
      </c>
      <c r="AK111" s="109">
        <v>2500</v>
      </c>
      <c r="AL111" s="109">
        <f>(AA111*('CALCULO GERAL'!$C$11*1.02))-(AA111*'CALCULO GERAL'!$C$11)</f>
        <v>632.39400000000387</v>
      </c>
      <c r="AM111" s="109">
        <v>1800</v>
      </c>
      <c r="AN111" s="109">
        <v>2600</v>
      </c>
      <c r="AO111" s="109">
        <v>9400</v>
      </c>
      <c r="AP111" s="109">
        <v>1000</v>
      </c>
      <c r="AQ111" s="109">
        <f t="shared" si="39"/>
        <v>-4686.0395400000007</v>
      </c>
      <c r="AR111" s="109">
        <f t="shared" si="40"/>
        <v>-23764.914810000002</v>
      </c>
      <c r="AS111" s="109"/>
      <c r="AT111" s="109">
        <f t="shared" si="44"/>
        <v>322891.59900000005</v>
      </c>
      <c r="AU111" s="111">
        <f t="shared" si="8"/>
        <v>17.938422166666669</v>
      </c>
      <c r="AV111" s="109">
        <f>IFERROR((BS111*'CALCULO GERAL'!$E$11)/N111,0)</f>
        <v>0.46174799999999999</v>
      </c>
      <c r="AW111" s="109">
        <f>AU111/'CALCULO GERAL'!$C$11</f>
        <v>3.5741028425317132</v>
      </c>
      <c r="AX111" s="109">
        <f>BP111-BB111-BD111*'CALCULO GERAL'!$C$11</f>
        <v>22.741088999999999</v>
      </c>
      <c r="AY111" s="109">
        <f t="shared" si="24"/>
        <v>0.37522796850000001</v>
      </c>
      <c r="AZ111" s="109">
        <f t="shared" si="9"/>
        <v>1.7283227639999998</v>
      </c>
      <c r="BA111" s="109">
        <f t="shared" si="10"/>
        <v>23.087399999999999</v>
      </c>
      <c r="BB111" s="109">
        <f t="shared" si="11"/>
        <v>0.34631099999999998</v>
      </c>
      <c r="BC111" s="109">
        <f t="shared" si="12"/>
        <v>23.087399999999999</v>
      </c>
      <c r="BD111" s="109">
        <f t="shared" si="13"/>
        <v>0</v>
      </c>
      <c r="BE111" s="109">
        <f t="shared" si="156"/>
        <v>33245.856</v>
      </c>
      <c r="BF111" s="109">
        <f t="shared" si="157"/>
        <v>49868.783999999992</v>
      </c>
      <c r="BG111" s="109">
        <f t="shared" si="14"/>
        <v>0.24934391999999994</v>
      </c>
      <c r="BH111" s="109">
        <f t="shared" si="15"/>
        <v>0.27704879999999998</v>
      </c>
      <c r="BI111" s="109">
        <f t="shared" si="16"/>
        <v>0</v>
      </c>
      <c r="BJ111" s="109">
        <f t="shared" si="27"/>
        <v>3.4380024525000001</v>
      </c>
      <c r="BK111" s="109">
        <f t="shared" si="158"/>
        <v>21.37642461916667</v>
      </c>
      <c r="BL111" s="148">
        <v>0.79</v>
      </c>
      <c r="BM111" s="112">
        <f>ROUND((AW111/BL111)+((AW111*BL111)*'CALCULO GERAL'!$E$11)/BL111,2)</f>
        <v>4.5999999999999996</v>
      </c>
      <c r="BN111" s="186">
        <f t="shared" si="17"/>
        <v>4.5999999999999996</v>
      </c>
      <c r="BO111" s="186">
        <f t="shared" si="159"/>
        <v>5.39</v>
      </c>
      <c r="BP111" s="109">
        <f>BM111*'CALCULO GERAL'!$C$11</f>
        <v>23.087399999999999</v>
      </c>
      <c r="BQ111" s="109">
        <f>BO111*'CALCULO GERAL'!$C$11</f>
        <v>27.052409999999998</v>
      </c>
      <c r="BR111" s="186">
        <f>BN111*'CALCULO GERAL'!$C$11</f>
        <v>23.087399999999999</v>
      </c>
      <c r="BS111" s="109">
        <f t="shared" si="18"/>
        <v>415573.19999999995</v>
      </c>
      <c r="BT111" s="109">
        <f t="shared" si="43"/>
        <v>92681.600999999908</v>
      </c>
      <c r="BU111" s="109">
        <f t="shared" si="19"/>
        <v>415573.19999999995</v>
      </c>
      <c r="BV111" s="109">
        <f t="shared" si="50"/>
        <v>384775.64314500004</v>
      </c>
      <c r="BW111" s="109">
        <f t="shared" si="47"/>
        <v>30797.556854999915</v>
      </c>
      <c r="BX111" s="114">
        <f t="shared" si="20"/>
        <v>7.4108621188757884E-2</v>
      </c>
      <c r="BY111" s="152">
        <f t="shared" si="51"/>
        <v>0.79</v>
      </c>
      <c r="BZ111" s="152"/>
      <c r="CA111" s="55"/>
      <c r="CB111" s="113"/>
      <c r="CC111" s="113"/>
      <c r="CD111" s="152"/>
      <c r="CE111" s="152">
        <f t="shared" si="52"/>
        <v>0</v>
      </c>
      <c r="CF111" s="152">
        <f t="shared" si="48"/>
        <v>1</v>
      </c>
      <c r="CG111" s="152">
        <f t="shared" si="49"/>
        <v>1</v>
      </c>
      <c r="CH111" s="34"/>
    </row>
    <row r="112" spans="1:89" x14ac:dyDescent="0.2">
      <c r="A112" s="228" t="s">
        <v>231</v>
      </c>
      <c r="B112" s="187" t="s">
        <v>230</v>
      </c>
      <c r="C112" s="8">
        <v>0.35</v>
      </c>
      <c r="D112" s="8">
        <v>0</v>
      </c>
      <c r="E112" s="7">
        <v>2.1000000000000001E-2</v>
      </c>
      <c r="F112" s="7">
        <v>0.1065</v>
      </c>
      <c r="G112" s="1">
        <v>1.6500000000000001E-2</v>
      </c>
      <c r="H112" s="1">
        <v>7.5999999999999998E-2</v>
      </c>
      <c r="I112" s="1">
        <v>0.18</v>
      </c>
      <c r="J112" s="1">
        <v>0.04</v>
      </c>
      <c r="K112" s="1">
        <v>0.14000000000000001</v>
      </c>
      <c r="L112" s="1">
        <v>1.4999999999999999E-2</v>
      </c>
      <c r="M112" s="2" t="s">
        <v>175</v>
      </c>
      <c r="N112" s="105">
        <v>18000</v>
      </c>
      <c r="O112" s="119"/>
      <c r="P112" s="119"/>
      <c r="Q112" s="119"/>
      <c r="R112" s="119"/>
      <c r="S112" s="119"/>
      <c r="T112" s="119"/>
      <c r="U112" s="119"/>
      <c r="V112" s="119">
        <v>2.15</v>
      </c>
      <c r="W112" s="119"/>
      <c r="X112" s="119">
        <f t="shared" si="0"/>
        <v>2.15</v>
      </c>
      <c r="Y112" s="118">
        <f t="shared" si="1"/>
        <v>2.15</v>
      </c>
      <c r="Z112" s="109">
        <f t="shared" si="2"/>
        <v>38700</v>
      </c>
      <c r="AA112" s="109">
        <f>'CALCULO GERAL'!$G$10</f>
        <v>6300</v>
      </c>
      <c r="AB112" s="109">
        <f t="shared" si="3"/>
        <v>45000</v>
      </c>
      <c r="AC112" s="109">
        <f>AB112*'CALCULO GERAL'!$C$11</f>
        <v>225855</v>
      </c>
      <c r="AD112" s="109">
        <f t="shared" si="4"/>
        <v>79049.25</v>
      </c>
      <c r="AE112" s="109">
        <f t="shared" si="5"/>
        <v>0</v>
      </c>
      <c r="AF112" s="109">
        <f t="shared" si="6"/>
        <v>4742.9549999999999</v>
      </c>
      <c r="AG112" s="109">
        <f t="shared" si="7"/>
        <v>24053.557499999999</v>
      </c>
      <c r="AH112" s="109">
        <v>154.22999999999999</v>
      </c>
      <c r="AI112" s="109">
        <f>((AA112*'CALCULO GERAL'!$C$11))*0.08+20</f>
        <v>2549.576</v>
      </c>
      <c r="AJ112" s="109">
        <v>1010</v>
      </c>
      <c r="AK112" s="109">
        <v>2500</v>
      </c>
      <c r="AL112" s="109">
        <f>(AA112*('CALCULO GERAL'!$C$11*1.02))-(AA112*'CALCULO GERAL'!$C$11)</f>
        <v>632.39400000000387</v>
      </c>
      <c r="AM112" s="109">
        <v>1800</v>
      </c>
      <c r="AN112" s="109">
        <v>2600</v>
      </c>
      <c r="AO112" s="109">
        <v>9400</v>
      </c>
      <c r="AP112" s="109">
        <v>1000</v>
      </c>
      <c r="AQ112" s="109">
        <f t="shared" si="39"/>
        <v>-4742.9549999999999</v>
      </c>
      <c r="AR112" s="109">
        <f t="shared" si="40"/>
        <v>-24053.557499999999</v>
      </c>
      <c r="AS112" s="109"/>
      <c r="AT112" s="109">
        <f t="shared" si="44"/>
        <v>326550.45</v>
      </c>
      <c r="AU112" s="111">
        <f t="shared" si="8"/>
        <v>18.141691666666667</v>
      </c>
      <c r="AV112" s="109">
        <f>IFERROR((BS112*'CALCULO GERAL'!$E$11)/N112,0)</f>
        <v>0.46676700000000004</v>
      </c>
      <c r="AW112" s="109">
        <f>AU112/'CALCULO GERAL'!$C$11</f>
        <v>3.6146028425317125</v>
      </c>
      <c r="AX112" s="109">
        <f>BP112-BB112-BD112*'CALCULO GERAL'!$C$11</f>
        <v>22.988274750000002</v>
      </c>
      <c r="AY112" s="109">
        <f t="shared" si="24"/>
        <v>0.37930653337500003</v>
      </c>
      <c r="AZ112" s="109">
        <f t="shared" si="9"/>
        <v>1.7471088810000002</v>
      </c>
      <c r="BA112" s="109">
        <f t="shared" si="10"/>
        <v>23.338350000000002</v>
      </c>
      <c r="BB112" s="109">
        <f t="shared" si="11"/>
        <v>0.35007525</v>
      </c>
      <c r="BC112" s="109">
        <f t="shared" si="12"/>
        <v>23.338350000000002</v>
      </c>
      <c r="BD112" s="109">
        <f t="shared" si="13"/>
        <v>0</v>
      </c>
      <c r="BE112" s="109">
        <f t="shared" si="156"/>
        <v>33607.224000000002</v>
      </c>
      <c r="BF112" s="109">
        <f t="shared" si="157"/>
        <v>50410.836000000003</v>
      </c>
      <c r="BG112" s="109">
        <f t="shared" si="14"/>
        <v>0.25205417999999996</v>
      </c>
      <c r="BH112" s="109">
        <f t="shared" si="15"/>
        <v>0.28006019999999998</v>
      </c>
      <c r="BI112" s="109">
        <f t="shared" si="16"/>
        <v>0</v>
      </c>
      <c r="BJ112" s="109">
        <f t="shared" si="27"/>
        <v>3.4753720443750002</v>
      </c>
      <c r="BK112" s="109">
        <f t="shared" si="158"/>
        <v>21.617063711041666</v>
      </c>
      <c r="BL112" s="148">
        <v>0.79</v>
      </c>
      <c r="BM112" s="112">
        <f>ROUND((AW112/BL112)+((AW112*BL112)*'CALCULO GERAL'!$E$11)/BL112,2)</f>
        <v>4.6500000000000004</v>
      </c>
      <c r="BN112" s="186">
        <f t="shared" si="17"/>
        <v>4.6500000000000004</v>
      </c>
      <c r="BO112" s="186">
        <f t="shared" si="159"/>
        <v>5.4480000000000004</v>
      </c>
      <c r="BP112" s="109">
        <f>BM112*'CALCULO GERAL'!$C$11</f>
        <v>23.338350000000002</v>
      </c>
      <c r="BQ112" s="109">
        <f>BO112*'CALCULO GERAL'!$C$11</f>
        <v>27.343512000000004</v>
      </c>
      <c r="BR112" s="186">
        <f>BN112*'CALCULO GERAL'!$C$11</f>
        <v>23.338350000000002</v>
      </c>
      <c r="BS112" s="109">
        <f t="shared" si="18"/>
        <v>420090.30000000005</v>
      </c>
      <c r="BT112" s="109">
        <f t="shared" si="43"/>
        <v>93539.850000000035</v>
      </c>
      <c r="BU112" s="109">
        <f t="shared" si="19"/>
        <v>420090.30000000005</v>
      </c>
      <c r="BV112" s="109">
        <f t="shared" si="50"/>
        <v>389107.14679874998</v>
      </c>
      <c r="BW112" s="109">
        <f t="shared" si="47"/>
        <v>30983.153201250068</v>
      </c>
      <c r="BX112" s="114">
        <f t="shared" si="20"/>
        <v>7.3753555369524285E-2</v>
      </c>
      <c r="BY112" s="152">
        <f t="shared" si="51"/>
        <v>0.79</v>
      </c>
      <c r="BZ112" s="152"/>
      <c r="CA112" s="55"/>
      <c r="CB112" s="113"/>
      <c r="CC112" s="113"/>
      <c r="CD112" s="152"/>
      <c r="CE112" s="152">
        <f t="shared" si="52"/>
        <v>0</v>
      </c>
      <c r="CF112" s="152">
        <f t="shared" si="48"/>
        <v>1</v>
      </c>
      <c r="CG112" s="152">
        <f t="shared" si="49"/>
        <v>1</v>
      </c>
      <c r="CH112" s="34"/>
    </row>
    <row r="113" spans="1:89" x14ac:dyDescent="0.2">
      <c r="A113" s="228" t="s">
        <v>232</v>
      </c>
      <c r="B113" s="187" t="s">
        <v>230</v>
      </c>
      <c r="C113" s="8">
        <v>0.35</v>
      </c>
      <c r="D113" s="8">
        <v>0</v>
      </c>
      <c r="E113" s="7">
        <v>2.1000000000000001E-2</v>
      </c>
      <c r="F113" s="7">
        <v>0.1065</v>
      </c>
      <c r="G113" s="1">
        <v>1.6500000000000001E-2</v>
      </c>
      <c r="H113" s="1">
        <v>7.5999999999999998E-2</v>
      </c>
      <c r="I113" s="1">
        <v>0.18</v>
      </c>
      <c r="J113" s="1">
        <v>0.04</v>
      </c>
      <c r="K113" s="1">
        <v>0.14000000000000001</v>
      </c>
      <c r="L113" s="1">
        <v>1.4999999999999999E-2</v>
      </c>
      <c r="M113" s="2" t="s">
        <v>175</v>
      </c>
      <c r="N113" s="105">
        <v>27200</v>
      </c>
      <c r="O113" s="119"/>
      <c r="P113" s="119"/>
      <c r="Q113" s="119"/>
      <c r="R113" s="119"/>
      <c r="S113" s="119"/>
      <c r="T113" s="119"/>
      <c r="U113" s="119"/>
      <c r="V113" s="119">
        <v>1.9</v>
      </c>
      <c r="W113" s="119"/>
      <c r="X113" s="119">
        <f t="shared" si="0"/>
        <v>1.9</v>
      </c>
      <c r="Y113" s="118">
        <f t="shared" si="1"/>
        <v>1.9</v>
      </c>
      <c r="Z113" s="109">
        <f t="shared" si="2"/>
        <v>51680</v>
      </c>
      <c r="AA113" s="109">
        <f>'CALCULO GERAL'!$G$10</f>
        <v>6300</v>
      </c>
      <c r="AB113" s="109">
        <f t="shared" si="3"/>
        <v>57980</v>
      </c>
      <c r="AC113" s="109">
        <f>AB113*'CALCULO GERAL'!$C$11</f>
        <v>291001.62</v>
      </c>
      <c r="AD113" s="109">
        <f t="shared" si="4"/>
        <v>101850.567</v>
      </c>
      <c r="AE113" s="109">
        <f t="shared" si="5"/>
        <v>0</v>
      </c>
      <c r="AF113" s="109">
        <f t="shared" si="6"/>
        <v>6111.0340200000001</v>
      </c>
      <c r="AG113" s="109">
        <f t="shared" si="7"/>
        <v>30991.67253</v>
      </c>
      <c r="AH113" s="109">
        <v>154.22999999999999</v>
      </c>
      <c r="AI113" s="109">
        <f>((AA113*'CALCULO GERAL'!$C$11))*0.08+20</f>
        <v>2549.576</v>
      </c>
      <c r="AJ113" s="109">
        <v>1010</v>
      </c>
      <c r="AK113" s="109">
        <v>2500</v>
      </c>
      <c r="AL113" s="109">
        <f>(AA113*('CALCULO GERAL'!$C$11*1.02))-(AA113*'CALCULO GERAL'!$C$11)</f>
        <v>632.39400000000387</v>
      </c>
      <c r="AM113" s="109">
        <v>1800</v>
      </c>
      <c r="AN113" s="109">
        <v>2600</v>
      </c>
      <c r="AO113" s="109">
        <v>9400</v>
      </c>
      <c r="AP113" s="109">
        <v>1000</v>
      </c>
      <c r="AQ113" s="109">
        <f t="shared" si="39"/>
        <v>-6111.0340200000001</v>
      </c>
      <c r="AR113" s="109">
        <f t="shared" si="40"/>
        <v>-30991.67253</v>
      </c>
      <c r="AS113" s="109"/>
      <c r="AT113" s="109">
        <f t="shared" si="44"/>
        <v>414498.38699999999</v>
      </c>
      <c r="AU113" s="111">
        <f t="shared" si="8"/>
        <v>15.238911286764706</v>
      </c>
      <c r="AV113" s="109">
        <f>IFERROR((BS113*'CALCULO GERAL'!$E$11)/N113,0)</f>
        <v>0.38746680000000006</v>
      </c>
      <c r="AW113" s="109">
        <f>AU113/'CALCULO GERAL'!$C$11</f>
        <v>3.0362445281459864</v>
      </c>
      <c r="AX113" s="109">
        <f>BP113-BB113-BD113*'CALCULO GERAL'!$C$11</f>
        <v>19.0827399</v>
      </c>
      <c r="AY113" s="109">
        <f t="shared" si="24"/>
        <v>0.31486520835000004</v>
      </c>
      <c r="AZ113" s="109">
        <f t="shared" si="9"/>
        <v>1.4502882323999999</v>
      </c>
      <c r="BA113" s="109">
        <f t="shared" si="10"/>
        <v>19.373339999999999</v>
      </c>
      <c r="BB113" s="109">
        <f t="shared" si="11"/>
        <v>0.29060009999999997</v>
      </c>
      <c r="BC113" s="109">
        <f t="shared" si="12"/>
        <v>19.373339999999999</v>
      </c>
      <c r="BD113" s="109">
        <f t="shared" si="13"/>
        <v>0</v>
      </c>
      <c r="BE113" s="109">
        <f t="shared" si="156"/>
        <v>42156.387840000003</v>
      </c>
      <c r="BF113" s="109">
        <f t="shared" si="157"/>
        <v>63234.581760000001</v>
      </c>
      <c r="BG113" s="109">
        <f t="shared" si="14"/>
        <v>0.20923207199999999</v>
      </c>
      <c r="BH113" s="109">
        <f t="shared" si="15"/>
        <v>0.23248008000000001</v>
      </c>
      <c r="BI113" s="109">
        <f t="shared" si="16"/>
        <v>0</v>
      </c>
      <c r="BJ113" s="109">
        <f t="shared" si="27"/>
        <v>2.88493249275</v>
      </c>
      <c r="BK113" s="109">
        <f t="shared" si="158"/>
        <v>18.123843779514708</v>
      </c>
      <c r="BL113" s="148">
        <v>0.8</v>
      </c>
      <c r="BM113" s="112">
        <f>ROUND((AW113/BL113)+((AW113*BL113)*'CALCULO GERAL'!$E$11)/BL113,2)</f>
        <v>3.86</v>
      </c>
      <c r="BN113" s="186">
        <f t="shared" si="17"/>
        <v>3.86</v>
      </c>
      <c r="BO113" s="186">
        <f t="shared" si="159"/>
        <v>4.5229999999999997</v>
      </c>
      <c r="BP113" s="109">
        <f>BM113*'CALCULO GERAL'!$C$11</f>
        <v>19.373339999999999</v>
      </c>
      <c r="BQ113" s="109">
        <f>BO113*'CALCULO GERAL'!$C$11</f>
        <v>22.700937</v>
      </c>
      <c r="BR113" s="186">
        <f>BN113*'CALCULO GERAL'!$C$11</f>
        <v>19.373339999999999</v>
      </c>
      <c r="BS113" s="109">
        <f t="shared" si="18"/>
        <v>526954.848</v>
      </c>
      <c r="BT113" s="109">
        <f t="shared" si="43"/>
        <v>112456.46100000001</v>
      </c>
      <c r="BU113" s="109">
        <f t="shared" si="19"/>
        <v>526954.848</v>
      </c>
      <c r="BV113" s="109">
        <f t="shared" si="50"/>
        <v>492968.55080280005</v>
      </c>
      <c r="BW113" s="109">
        <f t="shared" si="47"/>
        <v>33986.29719719995</v>
      </c>
      <c r="BX113" s="114">
        <f t="shared" si="20"/>
        <v>6.4495653330055233E-2</v>
      </c>
      <c r="BY113" s="152">
        <f t="shared" si="51"/>
        <v>0.8</v>
      </c>
      <c r="BZ113" s="152"/>
      <c r="CA113" s="55"/>
      <c r="CB113" s="113"/>
      <c r="CC113" s="113"/>
      <c r="CD113" s="152"/>
      <c r="CE113" s="152">
        <f t="shared" si="52"/>
        <v>0</v>
      </c>
      <c r="CF113" s="152">
        <f t="shared" si="48"/>
        <v>1</v>
      </c>
      <c r="CG113" s="152">
        <f t="shared" si="49"/>
        <v>1</v>
      </c>
      <c r="CH113" s="34"/>
    </row>
    <row r="114" spans="1:89" x14ac:dyDescent="0.2">
      <c r="A114" s="228" t="s">
        <v>233</v>
      </c>
      <c r="B114" s="187" t="s">
        <v>234</v>
      </c>
      <c r="C114" s="8">
        <v>0.35</v>
      </c>
      <c r="D114" s="8">
        <v>0</v>
      </c>
      <c r="E114" s="7">
        <v>2.1000000000000001E-2</v>
      </c>
      <c r="F114" s="7">
        <v>0.1065</v>
      </c>
      <c r="G114" s="1">
        <v>1.6500000000000001E-2</v>
      </c>
      <c r="H114" s="1">
        <v>7.5999999999999998E-2</v>
      </c>
      <c r="I114" s="1">
        <v>0.18</v>
      </c>
      <c r="J114" s="1">
        <v>0.04</v>
      </c>
      <c r="K114" s="1">
        <v>0.14000000000000001</v>
      </c>
      <c r="L114" s="1">
        <v>1.4999999999999999E-2</v>
      </c>
      <c r="M114" s="2" t="s">
        <v>175</v>
      </c>
      <c r="N114" s="105">
        <v>25822</v>
      </c>
      <c r="O114" s="119"/>
      <c r="P114" s="119"/>
      <c r="Q114" s="119"/>
      <c r="R114" s="119"/>
      <c r="S114" s="119"/>
      <c r="T114" s="119"/>
      <c r="U114" s="119"/>
      <c r="V114" s="119">
        <v>3.53</v>
      </c>
      <c r="W114" s="119"/>
      <c r="X114" s="119">
        <f t="shared" si="0"/>
        <v>3.53</v>
      </c>
      <c r="Y114" s="118">
        <f t="shared" si="1"/>
        <v>3.53</v>
      </c>
      <c r="Z114" s="109">
        <f t="shared" si="2"/>
        <v>91151.659999999989</v>
      </c>
      <c r="AA114" s="109">
        <f>'CALCULO GERAL'!$G$10</f>
        <v>6300</v>
      </c>
      <c r="AB114" s="109">
        <f t="shared" si="3"/>
        <v>97451.659999999989</v>
      </c>
      <c r="AC114" s="109">
        <f>AB114*'CALCULO GERAL'!$C$11</f>
        <v>489109.88153999997</v>
      </c>
      <c r="AD114" s="109">
        <f t="shared" si="4"/>
        <v>171188.45853899998</v>
      </c>
      <c r="AE114" s="109">
        <f t="shared" si="5"/>
        <v>0</v>
      </c>
      <c r="AF114" s="109">
        <f t="shared" si="6"/>
        <v>10271.307512339999</v>
      </c>
      <c r="AG114" s="109">
        <f t="shared" si="7"/>
        <v>52090.202384009994</v>
      </c>
      <c r="AH114" s="109">
        <v>154.22999999999999</v>
      </c>
      <c r="AI114" s="109">
        <f>((AA114*'CALCULO GERAL'!$C$11))*0.08+20</f>
        <v>2549.576</v>
      </c>
      <c r="AJ114" s="109">
        <v>1010</v>
      </c>
      <c r="AK114" s="109">
        <v>2500</v>
      </c>
      <c r="AL114" s="109">
        <f>(AA114*('CALCULO GERAL'!$C$11*1.02))-(AA114*'CALCULO GERAL'!$C$11)</f>
        <v>632.39400000000387</v>
      </c>
      <c r="AM114" s="109">
        <v>1800</v>
      </c>
      <c r="AN114" s="109">
        <v>2600</v>
      </c>
      <c r="AO114" s="109">
        <v>9400</v>
      </c>
      <c r="AP114" s="109">
        <v>1000</v>
      </c>
      <c r="AQ114" s="109">
        <f t="shared" si="39"/>
        <v>-10271.307512339999</v>
      </c>
      <c r="AR114" s="109">
        <f t="shared" si="40"/>
        <v>-52090.202384009994</v>
      </c>
      <c r="AS114" s="109"/>
      <c r="AT114" s="109">
        <f t="shared" si="44"/>
        <v>681944.54007899994</v>
      </c>
      <c r="AU114" s="111">
        <f t="shared" si="8"/>
        <v>26.409439240918594</v>
      </c>
      <c r="AV114" s="109">
        <f>IFERROR((BS114*'CALCULO GERAL'!$E$11)/N114,0)</f>
        <v>0.63942060000000001</v>
      </c>
      <c r="AW114" s="109">
        <f>AU114/'CALCULO GERAL'!$C$11</f>
        <v>5.2618926560905743</v>
      </c>
      <c r="AX114" s="109">
        <f>BP114-BB114-BD114*'CALCULO GERAL'!$C$11</f>
        <v>31.491464550000003</v>
      </c>
      <c r="AY114" s="109">
        <f t="shared" si="24"/>
        <v>0.5196091650750001</v>
      </c>
      <c r="AZ114" s="109">
        <f t="shared" si="9"/>
        <v>2.3933513058</v>
      </c>
      <c r="BA114" s="109">
        <f t="shared" si="10"/>
        <v>31.971030000000003</v>
      </c>
      <c r="BB114" s="109">
        <f t="shared" si="11"/>
        <v>0.47956545</v>
      </c>
      <c r="BC114" s="109">
        <f t="shared" si="12"/>
        <v>31.971030000000003</v>
      </c>
      <c r="BD114" s="109">
        <f t="shared" si="13"/>
        <v>0</v>
      </c>
      <c r="BE114" s="109">
        <f t="shared" si="156"/>
        <v>66044.474932800003</v>
      </c>
      <c r="BF114" s="109">
        <f t="shared" si="157"/>
        <v>99066.712399199998</v>
      </c>
      <c r="BG114" s="109">
        <f t="shared" si="14"/>
        <v>0.34528712399999995</v>
      </c>
      <c r="BH114" s="109">
        <f t="shared" si="15"/>
        <v>0.38365236000000003</v>
      </c>
      <c r="BI114" s="109">
        <f t="shared" si="16"/>
        <v>-2.3408275628533828E-2</v>
      </c>
      <c r="BJ114" s="109">
        <f t="shared" si="27"/>
        <v>4.737477729246466</v>
      </c>
      <c r="BK114" s="109">
        <f t="shared" si="158"/>
        <v>31.146916970165059</v>
      </c>
      <c r="BL114" s="148">
        <v>0.84</v>
      </c>
      <c r="BM114" s="112">
        <f>ROUND((AW114/BL114)+((AW114*BL114)*'CALCULO GERAL'!$E$11)/BL114,2)</f>
        <v>6.37</v>
      </c>
      <c r="BN114" s="186">
        <f t="shared" si="17"/>
        <v>6.37</v>
      </c>
      <c r="BO114" s="186">
        <f t="shared" si="159"/>
        <v>7.4630000000000001</v>
      </c>
      <c r="BP114" s="109">
        <f>BM114*'CALCULO GERAL'!$C$11</f>
        <v>31.971030000000003</v>
      </c>
      <c r="BQ114" s="109">
        <f>BO114*'CALCULO GERAL'!$C$11</f>
        <v>37.456797000000002</v>
      </c>
      <c r="BR114" s="186">
        <f>BN114*'CALCULO GERAL'!$C$11</f>
        <v>31.971030000000003</v>
      </c>
      <c r="BS114" s="109">
        <f t="shared" si="18"/>
        <v>825555.93666000001</v>
      </c>
      <c r="BT114" s="109">
        <f t="shared" si="43"/>
        <v>143611.39658100007</v>
      </c>
      <c r="BU114" s="109">
        <f t="shared" si="19"/>
        <v>825555.93666000001</v>
      </c>
      <c r="BV114" s="109">
        <f t="shared" si="50"/>
        <v>804275.69000360218</v>
      </c>
      <c r="BW114" s="109">
        <f t="shared" si="47"/>
        <v>21280.246656397823</v>
      </c>
      <c r="BX114" s="114">
        <f t="shared" si="20"/>
        <v>2.5776868303427826E-2</v>
      </c>
      <c r="BY114" s="152">
        <f t="shared" si="51"/>
        <v>0.84</v>
      </c>
      <c r="BZ114" s="152"/>
      <c r="CA114" s="55"/>
      <c r="CB114" s="113"/>
      <c r="CC114" s="113"/>
      <c r="CD114" s="152"/>
      <c r="CE114" s="152">
        <f t="shared" si="52"/>
        <v>0</v>
      </c>
      <c r="CF114" s="152">
        <f t="shared" si="48"/>
        <v>1</v>
      </c>
      <c r="CG114" s="152">
        <f t="shared" si="49"/>
        <v>1</v>
      </c>
      <c r="CH114" s="34"/>
      <c r="CJ114" s="56"/>
      <c r="CK114" s="56"/>
    </row>
    <row r="115" spans="1:89" x14ac:dyDescent="0.2">
      <c r="A115" s="228" t="s">
        <v>235</v>
      </c>
      <c r="B115" s="187" t="s">
        <v>236</v>
      </c>
      <c r="C115" s="8">
        <v>0.2</v>
      </c>
      <c r="D115" s="8">
        <v>6.5000000000000002E-2</v>
      </c>
      <c r="E115" s="7">
        <v>2.1000000000000001E-2</v>
      </c>
      <c r="F115" s="7">
        <v>9.6500000000000002E-2</v>
      </c>
      <c r="G115" s="1">
        <v>1.6500000000000001E-2</v>
      </c>
      <c r="H115" s="1">
        <v>7.5999999999999998E-2</v>
      </c>
      <c r="I115" s="1">
        <v>0.18</v>
      </c>
      <c r="J115" s="1">
        <v>0.04</v>
      </c>
      <c r="K115" s="1">
        <v>0.14000000000000001</v>
      </c>
      <c r="L115" s="1">
        <v>1.4999999999999999E-2</v>
      </c>
      <c r="M115" s="2" t="s">
        <v>175</v>
      </c>
      <c r="N115" s="105">
        <v>59000</v>
      </c>
      <c r="O115" s="119"/>
      <c r="P115" s="119"/>
      <c r="Q115" s="119"/>
      <c r="R115" s="119"/>
      <c r="S115" s="119"/>
      <c r="T115" s="119"/>
      <c r="U115" s="119"/>
      <c r="V115" s="119">
        <v>1.1399999999999999</v>
      </c>
      <c r="W115" s="119"/>
      <c r="X115" s="119">
        <f t="shared" si="0"/>
        <v>1.1399999999999999</v>
      </c>
      <c r="Y115" s="118">
        <f t="shared" si="1"/>
        <v>1.1399999999999999</v>
      </c>
      <c r="Z115" s="109">
        <f t="shared" si="2"/>
        <v>67260</v>
      </c>
      <c r="AA115" s="109">
        <f>'CALCULO GERAL'!$G$10</f>
        <v>6300</v>
      </c>
      <c r="AB115" s="109">
        <f t="shared" si="3"/>
        <v>73560</v>
      </c>
      <c r="AC115" s="109">
        <f>AB115*'CALCULO GERAL'!$C$11</f>
        <v>369197.64</v>
      </c>
      <c r="AD115" s="109">
        <f t="shared" si="4"/>
        <v>73839.528000000006</v>
      </c>
      <c r="AE115" s="109">
        <f t="shared" si="5"/>
        <v>28797.415920000003</v>
      </c>
      <c r="AF115" s="109">
        <f t="shared" si="6"/>
        <v>7753.1504400000003</v>
      </c>
      <c r="AG115" s="109">
        <f t="shared" si="7"/>
        <v>35627.572260000001</v>
      </c>
      <c r="AH115" s="109">
        <v>154.22999999999999</v>
      </c>
      <c r="AI115" s="109">
        <f>((AA115*'CALCULO GERAL'!$C$11))*0.08+20</f>
        <v>2549.576</v>
      </c>
      <c r="AJ115" s="109">
        <v>1010</v>
      </c>
      <c r="AK115" s="109">
        <v>2500</v>
      </c>
      <c r="AL115" s="109">
        <f>(AA115*('CALCULO GERAL'!$C$11*1.02))-(AA115*'CALCULO GERAL'!$C$11)</f>
        <v>632.39400000000387</v>
      </c>
      <c r="AM115" s="109">
        <v>1800</v>
      </c>
      <c r="AN115" s="109">
        <v>2600</v>
      </c>
      <c r="AO115" s="109">
        <v>9400</v>
      </c>
      <c r="AP115" s="109">
        <v>1000</v>
      </c>
      <c r="AQ115" s="109">
        <f t="shared" si="39"/>
        <v>-7753.1504400000003</v>
      </c>
      <c r="AR115" s="109">
        <f t="shared" si="40"/>
        <v>-35627.572260000001</v>
      </c>
      <c r="AS115" s="109"/>
      <c r="AT115" s="109">
        <f t="shared" si="44"/>
        <v>493480.78392000002</v>
      </c>
      <c r="AU115" s="111">
        <f t="shared" si="8"/>
        <v>8.3640810833898307</v>
      </c>
      <c r="AV115" s="109">
        <f>IFERROR((BS115*'CALCULO GERAL'!$E$11)/N115,0)</f>
        <v>0.21481320000000001</v>
      </c>
      <c r="AW115" s="109">
        <f>AU115/'CALCULO GERAL'!$C$11</f>
        <v>1.6664835790774717</v>
      </c>
      <c r="AX115" s="109">
        <f>BP115-BB115-BD115*'CALCULO GERAL'!$C$11</f>
        <v>7.2992617698591546</v>
      </c>
      <c r="AY115" s="109">
        <f t="shared" si="24"/>
        <v>0.12043781920267606</v>
      </c>
      <c r="AZ115" s="109">
        <f t="shared" si="9"/>
        <v>0.55474389450929573</v>
      </c>
      <c r="BA115" s="109">
        <f t="shared" si="10"/>
        <v>10.08512676056338</v>
      </c>
      <c r="BB115" s="109">
        <f t="shared" si="11"/>
        <v>0.15127690140845071</v>
      </c>
      <c r="BC115" s="109">
        <f t="shared" si="12"/>
        <v>10.08512676056338</v>
      </c>
      <c r="BD115" s="109">
        <f t="shared" si="13"/>
        <v>0.65553323943661967</v>
      </c>
      <c r="BE115" s="109">
        <f t="shared" si="156"/>
        <v>50695.915200000003</v>
      </c>
      <c r="BF115" s="109">
        <f t="shared" si="157"/>
        <v>76043.872799999997</v>
      </c>
      <c r="BG115" s="109">
        <f t="shared" si="14"/>
        <v>0.11599912799999999</v>
      </c>
      <c r="BH115" s="109">
        <f t="shared" si="15"/>
        <v>0.12888791999999999</v>
      </c>
      <c r="BI115" s="109">
        <f t="shared" si="16"/>
        <v>0</v>
      </c>
      <c r="BJ115" s="109">
        <f t="shared" si="27"/>
        <v>1.9416921025570422</v>
      </c>
      <c r="BK115" s="109">
        <f t="shared" si="158"/>
        <v>10.305773185946872</v>
      </c>
      <c r="BL115" s="148">
        <v>0.79</v>
      </c>
      <c r="BM115" s="112">
        <f>ROUND((AW115/BL115)+((AW115*BL115)*'CALCULO GERAL'!$E$11)/BL115,2)</f>
        <v>2.14</v>
      </c>
      <c r="BN115" s="186">
        <f t="shared" si="17"/>
        <v>2.14</v>
      </c>
      <c r="BO115" s="186">
        <f t="shared" si="159"/>
        <v>2.5070000000000001</v>
      </c>
      <c r="BP115" s="109">
        <f>BM115*'CALCULO GERAL'!$C$11</f>
        <v>10.74066</v>
      </c>
      <c r="BQ115" s="109">
        <f>BO115*'CALCULO GERAL'!$C$11</f>
        <v>12.582633000000001</v>
      </c>
      <c r="BR115" s="186">
        <f>BN115*'CALCULO GERAL'!$C$11</f>
        <v>10.74066</v>
      </c>
      <c r="BS115" s="109">
        <f t="shared" si="18"/>
        <v>633698.94000000006</v>
      </c>
      <c r="BT115" s="109">
        <f t="shared" si="43"/>
        <v>140218.15608000004</v>
      </c>
      <c r="BU115" s="109">
        <f t="shared" si="19"/>
        <v>633698.94000000006</v>
      </c>
      <c r="BV115" s="109">
        <f t="shared" si="50"/>
        <v>608040.61797086545</v>
      </c>
      <c r="BW115" s="109">
        <f t="shared" si="47"/>
        <v>25658.322029134608</v>
      </c>
      <c r="BX115" s="114">
        <f t="shared" si="20"/>
        <v>4.048976636939712E-2</v>
      </c>
      <c r="BY115" s="152">
        <f t="shared" si="51"/>
        <v>0.79</v>
      </c>
      <c r="BZ115" s="152"/>
      <c r="CA115" s="55"/>
      <c r="CB115" s="113"/>
      <c r="CC115" s="113"/>
      <c r="CD115" s="152"/>
      <c r="CE115" s="152">
        <f t="shared" si="52"/>
        <v>0</v>
      </c>
      <c r="CF115" s="152">
        <f t="shared" si="48"/>
        <v>1</v>
      </c>
      <c r="CG115" s="152">
        <f t="shared" si="49"/>
        <v>1</v>
      </c>
      <c r="CH115" s="34"/>
      <c r="CJ115" s="56"/>
      <c r="CK115" s="56"/>
    </row>
    <row r="116" spans="1:89" x14ac:dyDescent="0.2">
      <c r="A116" s="228" t="s">
        <v>237</v>
      </c>
      <c r="B116" s="187" t="s">
        <v>236</v>
      </c>
      <c r="C116" s="8">
        <v>0.2</v>
      </c>
      <c r="D116" s="8">
        <v>6.5000000000000002E-2</v>
      </c>
      <c r="E116" s="7">
        <v>2.1000000000000001E-2</v>
      </c>
      <c r="F116" s="7">
        <v>9.6500000000000002E-2</v>
      </c>
      <c r="G116" s="1">
        <v>1.6500000000000001E-2</v>
      </c>
      <c r="H116" s="1">
        <v>7.5999999999999998E-2</v>
      </c>
      <c r="I116" s="1">
        <v>0.18</v>
      </c>
      <c r="J116" s="1">
        <v>0.04</v>
      </c>
      <c r="K116" s="1">
        <v>0.14000000000000001</v>
      </c>
      <c r="L116" s="1">
        <v>1.4999999999999999E-2</v>
      </c>
      <c r="M116" s="2" t="s">
        <v>175</v>
      </c>
      <c r="N116" s="105">
        <v>59000</v>
      </c>
      <c r="O116" s="119"/>
      <c r="P116" s="119"/>
      <c r="Q116" s="119"/>
      <c r="R116" s="119"/>
      <c r="S116" s="119"/>
      <c r="T116" s="119"/>
      <c r="U116" s="119"/>
      <c r="V116" s="119">
        <v>1.3</v>
      </c>
      <c r="W116" s="119"/>
      <c r="X116" s="119">
        <f t="shared" si="0"/>
        <v>1.3</v>
      </c>
      <c r="Y116" s="118">
        <f t="shared" si="1"/>
        <v>1.3</v>
      </c>
      <c r="Z116" s="109">
        <f t="shared" si="2"/>
        <v>76700</v>
      </c>
      <c r="AA116" s="109">
        <f>'CALCULO GERAL'!$G$10</f>
        <v>6300</v>
      </c>
      <c r="AB116" s="109">
        <f t="shared" si="3"/>
        <v>83000</v>
      </c>
      <c r="AC116" s="109">
        <f>AB116*'CALCULO GERAL'!$C$11</f>
        <v>416577</v>
      </c>
      <c r="AD116" s="109">
        <f t="shared" si="4"/>
        <v>83315.400000000009</v>
      </c>
      <c r="AE116" s="109">
        <f t="shared" si="5"/>
        <v>32493.006000000001</v>
      </c>
      <c r="AF116" s="109">
        <f t="shared" si="6"/>
        <v>8748.1170000000002</v>
      </c>
      <c r="AG116" s="109">
        <f t="shared" si="7"/>
        <v>40199.680500000002</v>
      </c>
      <c r="AH116" s="109">
        <v>154.22999999999999</v>
      </c>
      <c r="AI116" s="109">
        <f>((AA116*'CALCULO GERAL'!$C$11))*0.08+20</f>
        <v>2549.576</v>
      </c>
      <c r="AJ116" s="109">
        <v>1010</v>
      </c>
      <c r="AK116" s="109">
        <v>2500</v>
      </c>
      <c r="AL116" s="109">
        <f>(AA116*('CALCULO GERAL'!$C$11*1.02))-(AA116*'CALCULO GERAL'!$C$11)</f>
        <v>632.39400000000387</v>
      </c>
      <c r="AM116" s="109">
        <v>1800</v>
      </c>
      <c r="AN116" s="109">
        <v>2600</v>
      </c>
      <c r="AO116" s="109">
        <v>9400</v>
      </c>
      <c r="AP116" s="109">
        <v>1000</v>
      </c>
      <c r="AQ116" s="109">
        <f t="shared" si="39"/>
        <v>-8748.1170000000002</v>
      </c>
      <c r="AR116" s="109">
        <f t="shared" si="40"/>
        <v>-40199.680500000002</v>
      </c>
      <c r="AS116" s="109"/>
      <c r="AT116" s="109">
        <f t="shared" si="44"/>
        <v>554031.60600000003</v>
      </c>
      <c r="AU116" s="111">
        <f t="shared" si="8"/>
        <v>9.3903662033898314</v>
      </c>
      <c r="AV116" s="109">
        <f>IFERROR((BS116*'CALCULO GERAL'!$E$11)/N116,0)</f>
        <v>0.24191580000000001</v>
      </c>
      <c r="AW116" s="109">
        <f>AU116/'CALCULO GERAL'!$C$11</f>
        <v>1.8709635790774719</v>
      </c>
      <c r="AX116" s="109">
        <f>BP116-BB116-BD116*'CALCULO GERAL'!$C$11</f>
        <v>8.2201966660563386</v>
      </c>
      <c r="AY116" s="109">
        <f t="shared" si="24"/>
        <v>0.1356332449899296</v>
      </c>
      <c r="AZ116" s="109">
        <f t="shared" si="9"/>
        <v>0.62473494662028173</v>
      </c>
      <c r="BA116" s="109">
        <f t="shared" si="10"/>
        <v>11.357549295774648</v>
      </c>
      <c r="BB116" s="109">
        <f t="shared" si="11"/>
        <v>0.17036323943661971</v>
      </c>
      <c r="BC116" s="109">
        <f t="shared" si="12"/>
        <v>11.35754929577465</v>
      </c>
      <c r="BD116" s="109">
        <f t="shared" si="13"/>
        <v>0.73824070422535226</v>
      </c>
      <c r="BE116" s="109">
        <f t="shared" si="156"/>
        <v>57092.128800000006</v>
      </c>
      <c r="BF116" s="109">
        <f t="shared" si="157"/>
        <v>85638.193200000009</v>
      </c>
      <c r="BG116" s="109">
        <f t="shared" si="14"/>
        <v>0.130634532</v>
      </c>
      <c r="BH116" s="109">
        <f t="shared" si="15"/>
        <v>0.14514948</v>
      </c>
      <c r="BI116" s="109">
        <f t="shared" si="16"/>
        <v>0</v>
      </c>
      <c r="BJ116" s="109">
        <f t="shared" si="27"/>
        <v>2.1866719472721834</v>
      </c>
      <c r="BK116" s="109">
        <f t="shared" si="158"/>
        <v>11.577038150662014</v>
      </c>
      <c r="BL116" s="148">
        <v>0.79</v>
      </c>
      <c r="BM116" s="112">
        <f>ROUND((AW116/BL116)+((AW116*BL116)*'CALCULO GERAL'!$E$11)/BL116,2)</f>
        <v>2.41</v>
      </c>
      <c r="BN116" s="186">
        <f t="shared" si="17"/>
        <v>2.41</v>
      </c>
      <c r="BO116" s="186">
        <f t="shared" si="159"/>
        <v>2.8239999999999998</v>
      </c>
      <c r="BP116" s="109">
        <f>BM116*'CALCULO GERAL'!$C$11</f>
        <v>12.095790000000001</v>
      </c>
      <c r="BQ116" s="109">
        <f>BO116*'CALCULO GERAL'!$C$11</f>
        <v>14.173655999999999</v>
      </c>
      <c r="BR116" s="186">
        <f>BN116*'CALCULO GERAL'!$C$11</f>
        <v>12.095790000000001</v>
      </c>
      <c r="BS116" s="109">
        <f t="shared" si="18"/>
        <v>713651.6100000001</v>
      </c>
      <c r="BT116" s="109">
        <f t="shared" si="43"/>
        <v>159620.00400000007</v>
      </c>
      <c r="BU116" s="109">
        <f t="shared" si="19"/>
        <v>713651.6100000001</v>
      </c>
      <c r="BV116" s="109">
        <f t="shared" si="50"/>
        <v>683045.25088905881</v>
      </c>
      <c r="BW116" s="109">
        <f t="shared" si="47"/>
        <v>30606.359110941296</v>
      </c>
      <c r="BX116" s="114">
        <f t="shared" si="20"/>
        <v>4.2886975496266716E-2</v>
      </c>
      <c r="BY116" s="152">
        <f t="shared" si="51"/>
        <v>0.79</v>
      </c>
      <c r="BZ116" s="152"/>
      <c r="CA116" s="55"/>
      <c r="CB116" s="113"/>
      <c r="CC116" s="113"/>
      <c r="CD116" s="152"/>
      <c r="CE116" s="152">
        <f t="shared" si="52"/>
        <v>0</v>
      </c>
      <c r="CF116" s="152">
        <f t="shared" si="48"/>
        <v>1</v>
      </c>
      <c r="CG116" s="152">
        <f t="shared" si="49"/>
        <v>1</v>
      </c>
      <c r="CH116" s="34"/>
      <c r="CJ116" s="56"/>
      <c r="CK116" s="56"/>
    </row>
    <row r="117" spans="1:89" x14ac:dyDescent="0.2">
      <c r="A117" s="228" t="s">
        <v>238</v>
      </c>
      <c r="B117" s="187" t="s">
        <v>239</v>
      </c>
      <c r="C117" s="8">
        <v>0.35</v>
      </c>
      <c r="D117" s="8">
        <v>0</v>
      </c>
      <c r="E117" s="7">
        <v>2.1000000000000001E-2</v>
      </c>
      <c r="F117" s="7">
        <v>0.1065</v>
      </c>
      <c r="G117" s="1">
        <v>1.6500000000000001E-2</v>
      </c>
      <c r="H117" s="1">
        <v>7.5999999999999998E-2</v>
      </c>
      <c r="I117" s="1">
        <v>0.18</v>
      </c>
      <c r="J117" s="1">
        <v>0.04</v>
      </c>
      <c r="K117" s="1">
        <v>0.14000000000000001</v>
      </c>
      <c r="L117" s="1">
        <v>1.4999999999999999E-2</v>
      </c>
      <c r="M117" s="2" t="s">
        <v>175</v>
      </c>
      <c r="N117" s="105">
        <v>163000</v>
      </c>
      <c r="O117" s="119"/>
      <c r="P117" s="119"/>
      <c r="Q117" s="119"/>
      <c r="R117" s="119"/>
      <c r="S117" s="119"/>
      <c r="T117" s="119"/>
      <c r="U117" s="119"/>
      <c r="V117" s="119">
        <v>1.72</v>
      </c>
      <c r="W117" s="119"/>
      <c r="X117" s="119">
        <f t="shared" si="0"/>
        <v>1.72</v>
      </c>
      <c r="Y117" s="118">
        <f t="shared" si="1"/>
        <v>1.72</v>
      </c>
      <c r="Z117" s="109">
        <f t="shared" si="2"/>
        <v>280360</v>
      </c>
      <c r="AA117" s="109">
        <f>'CALCULO GERAL'!$G$10</f>
        <v>6300</v>
      </c>
      <c r="AB117" s="109">
        <f t="shared" si="3"/>
        <v>286660</v>
      </c>
      <c r="AC117" s="109">
        <f>AB117*'CALCULO GERAL'!$C$11</f>
        <v>1438746.54</v>
      </c>
      <c r="AD117" s="109">
        <f t="shared" si="4"/>
        <v>503561.28899999999</v>
      </c>
      <c r="AE117" s="109">
        <f t="shared" si="5"/>
        <v>0</v>
      </c>
      <c r="AF117" s="109">
        <f t="shared" si="6"/>
        <v>30213.677340000002</v>
      </c>
      <c r="AG117" s="109">
        <f t="shared" si="7"/>
        <v>153226.50651000001</v>
      </c>
      <c r="AH117" s="109">
        <v>154.22999999999999</v>
      </c>
      <c r="AI117" s="109">
        <f>((AA117*'CALCULO GERAL'!$C$11))*0.08+20</f>
        <v>2549.576</v>
      </c>
      <c r="AJ117" s="109">
        <v>1010</v>
      </c>
      <c r="AK117" s="109">
        <v>2500</v>
      </c>
      <c r="AL117" s="109">
        <f>(AA117*('CALCULO GERAL'!$C$11*1.02))-(AA117*'CALCULO GERAL'!$C$11)</f>
        <v>632.39400000000387</v>
      </c>
      <c r="AM117" s="109">
        <v>1800</v>
      </c>
      <c r="AN117" s="109">
        <v>2600</v>
      </c>
      <c r="AO117" s="109">
        <v>9400</v>
      </c>
      <c r="AP117" s="109">
        <v>1000</v>
      </c>
      <c r="AQ117" s="109">
        <f t="shared" si="39"/>
        <v>-30213.677340000002</v>
      </c>
      <c r="AR117" s="109">
        <f t="shared" si="40"/>
        <v>-153226.50651000001</v>
      </c>
      <c r="AS117" s="109"/>
      <c r="AT117" s="109">
        <f t="shared" si="44"/>
        <v>1963954.0289999999</v>
      </c>
      <c r="AU117" s="111">
        <f t="shared" si="8"/>
        <v>12.048797723926379</v>
      </c>
      <c r="AV117" s="109">
        <f>IFERROR((BS117*'CALCULO GERAL'!$E$11)/N117,0)</f>
        <v>0.27604499999999998</v>
      </c>
      <c r="AW117" s="109">
        <f>AU117/'CALCULO GERAL'!$C$11</f>
        <v>2.4006371237151582</v>
      </c>
      <c r="AX117" s="109">
        <f>BP117-BB117-BD117*'CALCULO GERAL'!$C$11</f>
        <v>13.59521625</v>
      </c>
      <c r="AY117" s="109">
        <f t="shared" si="24"/>
        <v>0.22432106812500002</v>
      </c>
      <c r="AZ117" s="109">
        <f t="shared" si="9"/>
        <v>1.0332364350000001</v>
      </c>
      <c r="BA117" s="109">
        <f t="shared" si="10"/>
        <v>13.802250000000001</v>
      </c>
      <c r="BB117" s="109">
        <f t="shared" si="11"/>
        <v>0.20703375000000002</v>
      </c>
      <c r="BC117" s="109">
        <f t="shared" si="12"/>
        <v>13.802250000000001</v>
      </c>
      <c r="BD117" s="109">
        <f t="shared" si="13"/>
        <v>0</v>
      </c>
      <c r="BE117" s="109">
        <f t="shared" si="156"/>
        <v>179981.34</v>
      </c>
      <c r="BF117" s="109">
        <f t="shared" si="157"/>
        <v>269972.01</v>
      </c>
      <c r="BG117" s="109">
        <f t="shared" si="14"/>
        <v>0.14906429999999998</v>
      </c>
      <c r="BH117" s="109">
        <f t="shared" si="15"/>
        <v>0.165627</v>
      </c>
      <c r="BI117" s="109">
        <f t="shared" si="16"/>
        <v>-7.3608190184049085E-2</v>
      </c>
      <c r="BJ117" s="109">
        <f t="shared" si="27"/>
        <v>1.9817193629409511</v>
      </c>
      <c r="BK117" s="109">
        <f t="shared" si="158"/>
        <v>14.030517086867331</v>
      </c>
      <c r="BL117" s="148">
        <v>0.89</v>
      </c>
      <c r="BM117" s="112">
        <f>ROUND((AW117/BL117)+((AW117*BL117)*'CALCULO GERAL'!$E$11)/BL117,2)</f>
        <v>2.75</v>
      </c>
      <c r="BN117" s="186">
        <f t="shared" si="17"/>
        <v>2.75</v>
      </c>
      <c r="BO117" s="186">
        <f t="shared" si="159"/>
        <v>3.222</v>
      </c>
      <c r="BP117" s="109">
        <f>BM117*'CALCULO GERAL'!$C$11</f>
        <v>13.802250000000001</v>
      </c>
      <c r="BQ117" s="109">
        <f>BO117*'CALCULO GERAL'!$C$11</f>
        <v>16.171218</v>
      </c>
      <c r="BR117" s="186">
        <f>BN117*'CALCULO GERAL'!$C$11</f>
        <v>13.802250000000001</v>
      </c>
      <c r="BS117" s="109">
        <f t="shared" si="18"/>
        <v>2249766.75</v>
      </c>
      <c r="BT117" s="109">
        <f t="shared" si="43"/>
        <v>285812.72100000014</v>
      </c>
      <c r="BU117" s="109">
        <f t="shared" si="19"/>
        <v>2249766.75</v>
      </c>
      <c r="BV117" s="109">
        <f t="shared" si="50"/>
        <v>2286974.2851593751</v>
      </c>
      <c r="BW117" s="109">
        <f t="shared" si="47"/>
        <v>-37207.535159375053</v>
      </c>
      <c r="BX117" s="114">
        <f t="shared" si="20"/>
        <v>-1.6538396773521102E-2</v>
      </c>
      <c r="BY117" s="152">
        <f t="shared" si="51"/>
        <v>0.89</v>
      </c>
      <c r="BZ117" s="152"/>
      <c r="CA117" s="55"/>
      <c r="CB117" s="113"/>
      <c r="CC117" s="113"/>
      <c r="CD117" s="152"/>
      <c r="CE117" s="152">
        <f t="shared" si="52"/>
        <v>0</v>
      </c>
      <c r="CF117" s="152">
        <f t="shared" si="48"/>
        <v>1</v>
      </c>
      <c r="CG117" s="152">
        <f t="shared" si="49"/>
        <v>1</v>
      </c>
      <c r="CH117" s="34"/>
      <c r="CJ117" s="56"/>
      <c r="CK117" s="56"/>
    </row>
    <row r="118" spans="1:89" x14ac:dyDescent="0.2">
      <c r="A118" s="228" t="s">
        <v>240</v>
      </c>
      <c r="B118" s="187" t="s">
        <v>241</v>
      </c>
      <c r="C118" s="8">
        <v>0.14399999999999999</v>
      </c>
      <c r="D118" s="8">
        <v>3.2500000000000001E-2</v>
      </c>
      <c r="E118" s="7">
        <v>2.1000000000000001E-2</v>
      </c>
      <c r="F118" s="7">
        <v>0.1065</v>
      </c>
      <c r="G118" s="1">
        <v>1.6500000000000001E-2</v>
      </c>
      <c r="H118" s="1">
        <v>7.5999999999999998E-2</v>
      </c>
      <c r="I118" s="1">
        <v>0.18</v>
      </c>
      <c r="J118" s="1">
        <v>0.04</v>
      </c>
      <c r="K118" s="1">
        <v>0.14000000000000001</v>
      </c>
      <c r="L118" s="1">
        <v>1.4999999999999999E-2</v>
      </c>
      <c r="M118" s="2" t="s">
        <v>175</v>
      </c>
      <c r="N118" s="105">
        <v>135000</v>
      </c>
      <c r="O118" s="119"/>
      <c r="P118" s="119"/>
      <c r="Q118" s="119"/>
      <c r="R118" s="119"/>
      <c r="S118" s="119"/>
      <c r="T118" s="119"/>
      <c r="U118" s="119"/>
      <c r="V118" s="119">
        <v>1.07</v>
      </c>
      <c r="W118" s="119"/>
      <c r="X118" s="119">
        <f t="shared" si="0"/>
        <v>1.07</v>
      </c>
      <c r="Y118" s="118">
        <f t="shared" si="1"/>
        <v>1.07</v>
      </c>
      <c r="Z118" s="109">
        <f t="shared" si="2"/>
        <v>144450</v>
      </c>
      <c r="AA118" s="109">
        <f>'CALCULO GERAL'!$G$10</f>
        <v>6300</v>
      </c>
      <c r="AB118" s="109">
        <f t="shared" si="3"/>
        <v>150750</v>
      </c>
      <c r="AC118" s="109">
        <f>AB118*'CALCULO GERAL'!$C$11</f>
        <v>756614.25</v>
      </c>
      <c r="AD118" s="109">
        <f t="shared" si="4"/>
        <v>108952.45199999999</v>
      </c>
      <c r="AE118" s="109">
        <f t="shared" si="5"/>
        <v>28130.917815000004</v>
      </c>
      <c r="AF118" s="109">
        <f t="shared" si="6"/>
        <v>15888.89925</v>
      </c>
      <c r="AG118" s="109">
        <f t="shared" si="7"/>
        <v>80579.417625000002</v>
      </c>
      <c r="AH118" s="109">
        <v>154.22999999999999</v>
      </c>
      <c r="AI118" s="109">
        <f>((AA118*'CALCULO GERAL'!$C$11))*0.08+20</f>
        <v>2549.576</v>
      </c>
      <c r="AJ118" s="109">
        <v>1010</v>
      </c>
      <c r="AK118" s="109">
        <v>2500</v>
      </c>
      <c r="AL118" s="109">
        <f>(AA118*('CALCULO GERAL'!$C$11*1.02))-(AA118*'CALCULO GERAL'!$C$11)</f>
        <v>632.39400000000387</v>
      </c>
      <c r="AM118" s="109">
        <v>1800</v>
      </c>
      <c r="AN118" s="109">
        <v>2600</v>
      </c>
      <c r="AO118" s="109">
        <v>9400</v>
      </c>
      <c r="AP118" s="109">
        <v>1000</v>
      </c>
      <c r="AQ118" s="109">
        <f t="shared" si="39"/>
        <v>-15888.89925</v>
      </c>
      <c r="AR118" s="109">
        <f t="shared" si="40"/>
        <v>-80579.417625000002</v>
      </c>
      <c r="AS118" s="109"/>
      <c r="AT118" s="109">
        <f t="shared" si="44"/>
        <v>915343.81981500005</v>
      </c>
      <c r="AU118" s="111">
        <f t="shared" si="8"/>
        <v>6.7803245912222225</v>
      </c>
      <c r="AV118" s="109">
        <f>IFERROR((BS118*'CALCULO GERAL'!$E$11)/N118,0)</f>
        <v>0.1646232</v>
      </c>
      <c r="AW118" s="109">
        <f>AU118/'CALCULO GERAL'!$C$11</f>
        <v>1.3509313790042283</v>
      </c>
      <c r="AX118" s="109">
        <f>BP118-BB118-BD118*'CALCULO GERAL'!$C$11</f>
        <v>6.8111952142372862</v>
      </c>
      <c r="AY118" s="109">
        <f t="shared" si="24"/>
        <v>0.11238472103491523</v>
      </c>
      <c r="AZ118" s="109">
        <f t="shared" si="9"/>
        <v>0.51765083628203379</v>
      </c>
      <c r="BA118" s="109">
        <f t="shared" si="10"/>
        <v>7.972067796610169</v>
      </c>
      <c r="BB118" s="109">
        <f t="shared" si="11"/>
        <v>0.11958101694915253</v>
      </c>
      <c r="BC118" s="109">
        <f t="shared" si="12"/>
        <v>7.972067796610169</v>
      </c>
      <c r="BD118" s="109">
        <f t="shared" si="13"/>
        <v>0.25909220338983052</v>
      </c>
      <c r="BE118" s="109">
        <f t="shared" si="156"/>
        <v>88896.527999999991</v>
      </c>
      <c r="BF118" s="109">
        <f t="shared" si="157"/>
        <v>133344.79199999999</v>
      </c>
      <c r="BG118" s="109">
        <f t="shared" si="14"/>
        <v>8.8896527999999989E-2</v>
      </c>
      <c r="BH118" s="109">
        <f t="shared" si="15"/>
        <v>9.8773919999999987E-2</v>
      </c>
      <c r="BI118" s="109">
        <f t="shared" si="16"/>
        <v>-2.140484296296296E-2</v>
      </c>
      <c r="BJ118" s="109">
        <f t="shared" si="27"/>
        <v>1.3395975826929691</v>
      </c>
      <c r="BK118" s="109">
        <f t="shared" si="158"/>
        <v>8.1199221739151923</v>
      </c>
      <c r="BL118" s="148">
        <v>0.84</v>
      </c>
      <c r="BM118" s="112">
        <f>ROUND((AW118/BL118)+((AW118*BL118)*'CALCULO GERAL'!$E$11)/BL118,2)</f>
        <v>1.64</v>
      </c>
      <c r="BN118" s="186">
        <f t="shared" si="17"/>
        <v>1.64</v>
      </c>
      <c r="BO118" s="186">
        <f t="shared" si="159"/>
        <v>1.9219999999999999</v>
      </c>
      <c r="BP118" s="109">
        <f>BM118*'CALCULO GERAL'!$C$11</f>
        <v>8.2311599999999991</v>
      </c>
      <c r="BQ118" s="109">
        <f>BO118*'CALCULO GERAL'!$C$11</f>
        <v>9.6465180000000004</v>
      </c>
      <c r="BR118" s="186">
        <f>BN118*'CALCULO GERAL'!$C$11</f>
        <v>8.2311599999999991</v>
      </c>
      <c r="BS118" s="109">
        <f t="shared" si="18"/>
        <v>1111206.5999999999</v>
      </c>
      <c r="BT118" s="109">
        <f t="shared" si="43"/>
        <v>195862.78018499981</v>
      </c>
      <c r="BU118" s="109">
        <f t="shared" si="19"/>
        <v>1111206.5999999999</v>
      </c>
      <c r="BV118" s="109">
        <f t="shared" si="50"/>
        <v>1096189.493478551</v>
      </c>
      <c r="BW118" s="109">
        <f t="shared" si="47"/>
        <v>15017.106521448819</v>
      </c>
      <c r="BX118" s="114">
        <f t="shared" si="20"/>
        <v>1.3514234455994791E-2</v>
      </c>
      <c r="BY118" s="152">
        <f t="shared" si="51"/>
        <v>0.84</v>
      </c>
      <c r="BZ118" s="152"/>
      <c r="CA118" s="55"/>
      <c r="CB118" s="113"/>
      <c r="CC118" s="113"/>
      <c r="CD118" s="152"/>
      <c r="CE118" s="152">
        <f t="shared" si="52"/>
        <v>0</v>
      </c>
      <c r="CF118" s="152">
        <f t="shared" si="48"/>
        <v>1</v>
      </c>
      <c r="CG118" s="152">
        <f t="shared" si="49"/>
        <v>1</v>
      </c>
      <c r="CH118" s="34"/>
      <c r="CJ118" s="56"/>
      <c r="CK118" s="56"/>
    </row>
    <row r="119" spans="1:89" x14ac:dyDescent="0.2">
      <c r="A119" s="228" t="s">
        <v>242</v>
      </c>
      <c r="B119" s="187" t="s">
        <v>243</v>
      </c>
      <c r="C119" s="8">
        <v>0.35</v>
      </c>
      <c r="D119" s="8">
        <v>0</v>
      </c>
      <c r="E119" s="7">
        <v>2.1000000000000001E-2</v>
      </c>
      <c r="F119" s="7">
        <v>9.6500000000000002E-2</v>
      </c>
      <c r="G119" s="1">
        <v>1.6500000000000001E-2</v>
      </c>
      <c r="H119" s="1">
        <v>7.5999999999999998E-2</v>
      </c>
      <c r="I119" s="1">
        <v>0.18</v>
      </c>
      <c r="J119" s="1">
        <v>0.04</v>
      </c>
      <c r="K119" s="1">
        <v>0.14000000000000001</v>
      </c>
      <c r="L119" s="1">
        <v>1.4999999999999999E-2</v>
      </c>
      <c r="M119" s="2" t="s">
        <v>175</v>
      </c>
      <c r="N119" s="105">
        <v>100000</v>
      </c>
      <c r="O119" s="119"/>
      <c r="P119" s="119"/>
      <c r="Q119" s="119"/>
      <c r="R119" s="119"/>
      <c r="S119" s="119">
        <v>0.3</v>
      </c>
      <c r="T119" s="119"/>
      <c r="U119" s="119"/>
      <c r="V119" s="119"/>
      <c r="W119" s="119"/>
      <c r="X119" s="119">
        <f t="shared" si="0"/>
        <v>0.3</v>
      </c>
      <c r="Y119" s="118">
        <f t="shared" si="1"/>
        <v>0.3</v>
      </c>
      <c r="Z119" s="109">
        <f t="shared" si="2"/>
        <v>30000</v>
      </c>
      <c r="AA119" s="109">
        <f>'CALCULO GERAL'!$G$10</f>
        <v>6300</v>
      </c>
      <c r="AB119" s="109">
        <f t="shared" si="3"/>
        <v>36300</v>
      </c>
      <c r="AC119" s="109">
        <f>AB119*'CALCULO GERAL'!$C$11</f>
        <v>182189.7</v>
      </c>
      <c r="AD119" s="109">
        <f t="shared" si="4"/>
        <v>63766.394999999997</v>
      </c>
      <c r="AE119" s="109">
        <f t="shared" si="5"/>
        <v>0</v>
      </c>
      <c r="AF119" s="109">
        <f t="shared" si="6"/>
        <v>3825.9837000000007</v>
      </c>
      <c r="AG119" s="109">
        <f t="shared" si="7"/>
        <v>17581.306050000003</v>
      </c>
      <c r="AH119" s="109">
        <v>154.22999999999999</v>
      </c>
      <c r="AI119" s="109">
        <f>((AA119*'CALCULO GERAL'!$C$11))*0.08+20</f>
        <v>2549.576</v>
      </c>
      <c r="AJ119" s="109">
        <v>1010</v>
      </c>
      <c r="AK119" s="109">
        <v>2500</v>
      </c>
      <c r="AL119" s="109">
        <f>(AA119*('CALCULO GERAL'!$C$11*1.02))-(AA119*'CALCULO GERAL'!$C$11)</f>
        <v>632.39400000000387</v>
      </c>
      <c r="AM119" s="109">
        <v>1800</v>
      </c>
      <c r="AN119" s="109">
        <v>2600</v>
      </c>
      <c r="AO119" s="109">
        <v>9400</v>
      </c>
      <c r="AP119" s="109">
        <v>1000</v>
      </c>
      <c r="AQ119" s="109">
        <f t="shared" si="39"/>
        <v>-3825.9837000000007</v>
      </c>
      <c r="AR119" s="109">
        <f t="shared" si="40"/>
        <v>-17581.306050000003</v>
      </c>
      <c r="AS119" s="109"/>
      <c r="AT119" s="109">
        <f t="shared" si="44"/>
        <v>267602.29500000004</v>
      </c>
      <c r="AU119" s="111">
        <f t="shared" si="8"/>
        <v>2.6760229500000006</v>
      </c>
      <c r="AV119" s="109">
        <f>IFERROR((BS119*'CALCULO GERAL'!$E$11)/N119,0)</f>
        <v>6.5246999999999999E-2</v>
      </c>
      <c r="AW119" s="109">
        <f>AU119/'CALCULO GERAL'!$C$11</f>
        <v>0.5331785116557084</v>
      </c>
      <c r="AX119" s="109">
        <f>BP119-BB119-BD119*'CALCULO GERAL'!$C$11</f>
        <v>3.2134147500000001</v>
      </c>
      <c r="AY119" s="109">
        <f t="shared" si="24"/>
        <v>5.3021343375000002E-2</v>
      </c>
      <c r="AZ119" s="109">
        <f t="shared" si="9"/>
        <v>0.24421952099999999</v>
      </c>
      <c r="BA119" s="109">
        <f t="shared" si="10"/>
        <v>3.2623500000000001</v>
      </c>
      <c r="BB119" s="109">
        <f t="shared" si="11"/>
        <v>4.893525E-2</v>
      </c>
      <c r="BC119" s="109">
        <f t="shared" si="12"/>
        <v>3.2623500000000001</v>
      </c>
      <c r="BD119" s="109">
        <f t="shared" si="13"/>
        <v>0</v>
      </c>
      <c r="BE119" s="109">
        <f t="shared" si="156"/>
        <v>26098.799999999999</v>
      </c>
      <c r="BF119" s="109">
        <f t="shared" si="157"/>
        <v>39148.199999999997</v>
      </c>
      <c r="BG119" s="109">
        <f t="shared" si="14"/>
        <v>3.5233379999999995E-2</v>
      </c>
      <c r="BH119" s="109">
        <f t="shared" si="15"/>
        <v>3.9148199999999994E-2</v>
      </c>
      <c r="BI119" s="109">
        <f t="shared" si="16"/>
        <v>0</v>
      </c>
      <c r="BJ119" s="109">
        <f t="shared" si="27"/>
        <v>0.48580469437499996</v>
      </c>
      <c r="BK119" s="109">
        <f t="shared" si="158"/>
        <v>3.1618276443750006</v>
      </c>
      <c r="BL119" s="148">
        <v>0.84</v>
      </c>
      <c r="BM119" s="112">
        <f>ROUND((AW119/BL119)+((AW119*BL119)*'CALCULO GERAL'!$E$11)/BL119,2)</f>
        <v>0.65</v>
      </c>
      <c r="BN119" s="186">
        <f t="shared" si="17"/>
        <v>0.65</v>
      </c>
      <c r="BO119" s="186">
        <f t="shared" si="159"/>
        <v>0.76200000000000001</v>
      </c>
      <c r="BP119" s="109">
        <f>BM119*'CALCULO GERAL'!$C$11</f>
        <v>3.2623500000000001</v>
      </c>
      <c r="BQ119" s="109">
        <f>BO119*'CALCULO GERAL'!$C$11</f>
        <v>3.824478</v>
      </c>
      <c r="BR119" s="186">
        <f>BN119*'CALCULO GERAL'!$C$11</f>
        <v>3.2623500000000001</v>
      </c>
      <c r="BS119" s="109">
        <f t="shared" si="18"/>
        <v>326235</v>
      </c>
      <c r="BT119" s="109">
        <f t="shared" si="43"/>
        <v>58632.704999999958</v>
      </c>
      <c r="BU119" s="109">
        <f t="shared" si="19"/>
        <v>326235</v>
      </c>
      <c r="BV119" s="109">
        <f t="shared" si="50"/>
        <v>316182.76443750004</v>
      </c>
      <c r="BW119" s="109">
        <f t="shared" si="47"/>
        <v>10052.235562499962</v>
      </c>
      <c r="BX119" s="114">
        <f t="shared" si="20"/>
        <v>3.0812866683525564E-2</v>
      </c>
      <c r="BY119" s="152">
        <f t="shared" si="51"/>
        <v>0.84</v>
      </c>
      <c r="BZ119" s="152"/>
      <c r="CA119" s="55"/>
      <c r="CB119" s="113"/>
      <c r="CC119" s="113"/>
      <c r="CD119" s="152"/>
      <c r="CE119" s="152">
        <f t="shared" si="52"/>
        <v>0</v>
      </c>
      <c r="CF119" s="152">
        <f t="shared" si="48"/>
        <v>1</v>
      </c>
      <c r="CG119" s="152">
        <f t="shared" si="49"/>
        <v>1</v>
      </c>
      <c r="CH119" s="34"/>
      <c r="CJ119" s="56"/>
      <c r="CK119" s="56"/>
    </row>
    <row r="120" spans="1:89" x14ac:dyDescent="0.2">
      <c r="A120" s="228" t="s">
        <v>244</v>
      </c>
      <c r="B120" s="188" t="s">
        <v>245</v>
      </c>
      <c r="C120" s="8">
        <v>0</v>
      </c>
      <c r="D120" s="8">
        <v>7.8E-2</v>
      </c>
      <c r="E120" s="7">
        <v>2.1000000000000001E-2</v>
      </c>
      <c r="F120" s="7">
        <v>9.6500000000000002E-2</v>
      </c>
      <c r="G120" s="1">
        <v>1.6500000000000001E-2</v>
      </c>
      <c r="H120" s="1">
        <v>7.5999999999999998E-2</v>
      </c>
      <c r="I120" s="1">
        <v>0.18</v>
      </c>
      <c r="J120" s="1">
        <v>0.04</v>
      </c>
      <c r="K120" s="1">
        <v>0.14000000000000001</v>
      </c>
      <c r="L120" s="1">
        <v>1.4999999999999999E-2</v>
      </c>
      <c r="M120" s="2" t="s">
        <v>175</v>
      </c>
      <c r="N120" s="105">
        <v>100000</v>
      </c>
      <c r="O120" s="119"/>
      <c r="P120" s="119"/>
      <c r="Q120" s="119"/>
      <c r="R120" s="119"/>
      <c r="S120" s="119">
        <v>0.3</v>
      </c>
      <c r="T120" s="119"/>
      <c r="U120" s="119"/>
      <c r="V120" s="119"/>
      <c r="W120" s="119"/>
      <c r="X120" s="119">
        <f t="shared" si="0"/>
        <v>0.3</v>
      </c>
      <c r="Y120" s="118">
        <f t="shared" si="1"/>
        <v>0.3</v>
      </c>
      <c r="Z120" s="109">
        <f t="shared" si="2"/>
        <v>30000</v>
      </c>
      <c r="AA120" s="109">
        <f>'CALCULO GERAL'!$G$10</f>
        <v>6300</v>
      </c>
      <c r="AB120" s="109">
        <f t="shared" si="3"/>
        <v>36300</v>
      </c>
      <c r="AC120" s="109">
        <f>AB120*'CALCULO GERAL'!$C$11</f>
        <v>182189.7</v>
      </c>
      <c r="AD120" s="109">
        <f t="shared" si="4"/>
        <v>0</v>
      </c>
      <c r="AE120" s="109">
        <f t="shared" si="5"/>
        <v>14210.796600000001</v>
      </c>
      <c r="AF120" s="109">
        <f t="shared" si="6"/>
        <v>3825.9837000000007</v>
      </c>
      <c r="AG120" s="109">
        <f t="shared" si="7"/>
        <v>17581.306050000003</v>
      </c>
      <c r="AH120" s="109">
        <v>154.22999999999999</v>
      </c>
      <c r="AI120" s="109">
        <f>((AA120*'CALCULO GERAL'!$C$11))*0.08+20</f>
        <v>2549.576</v>
      </c>
      <c r="AJ120" s="109">
        <v>1010</v>
      </c>
      <c r="AK120" s="109">
        <v>2500</v>
      </c>
      <c r="AL120" s="109">
        <f>(AA120*('CALCULO GERAL'!$C$11*1.02))-(AA120*'CALCULO GERAL'!$C$11)</f>
        <v>632.39400000000387</v>
      </c>
      <c r="AM120" s="109">
        <v>1800</v>
      </c>
      <c r="AN120" s="109">
        <v>2600</v>
      </c>
      <c r="AO120" s="109">
        <v>9400</v>
      </c>
      <c r="AP120" s="109">
        <v>1000</v>
      </c>
      <c r="AQ120" s="109">
        <f t="shared" si="39"/>
        <v>-3825.9837000000007</v>
      </c>
      <c r="AR120" s="109">
        <f t="shared" si="40"/>
        <v>-17581.306050000003</v>
      </c>
      <c r="AS120" s="109"/>
      <c r="AT120" s="109">
        <f t="shared" si="44"/>
        <v>218046.69660000002</v>
      </c>
      <c r="AU120" s="111">
        <f t="shared" si="8"/>
        <v>2.1804669660000005</v>
      </c>
      <c r="AV120" s="109">
        <f>IFERROR((BS120*'CALCULO GERAL'!$E$11)/N120,0)</f>
        <v>5.3201400000000003E-2</v>
      </c>
      <c r="AW120" s="109">
        <f>AU120/'CALCULO GERAL'!$C$11</f>
        <v>0.43444251165570841</v>
      </c>
      <c r="AX120" s="109">
        <f>BP120-BB120-BD120*'CALCULO GERAL'!$C$11</f>
        <v>1.6570360725974029</v>
      </c>
      <c r="AY120" s="109">
        <f t="shared" si="24"/>
        <v>2.734109519785715E-2</v>
      </c>
      <c r="AZ120" s="109">
        <f t="shared" si="9"/>
        <v>0.12593474151740261</v>
      </c>
      <c r="BA120" s="109">
        <f t="shared" si="10"/>
        <v>2.4675974025974026</v>
      </c>
      <c r="BB120" s="109">
        <f t="shared" si="11"/>
        <v>3.7013961038961034E-2</v>
      </c>
      <c r="BC120" s="109">
        <f t="shared" si="12"/>
        <v>2.4675974025974026</v>
      </c>
      <c r="BD120" s="109">
        <f t="shared" si="13"/>
        <v>0.1924725974025974</v>
      </c>
      <c r="BE120" s="109">
        <f t="shared" si="156"/>
        <v>21280.560000000001</v>
      </c>
      <c r="BF120" s="109">
        <f t="shared" si="157"/>
        <v>31920.84</v>
      </c>
      <c r="BG120" s="109">
        <f t="shared" si="14"/>
        <v>2.8728755999999998E-2</v>
      </c>
      <c r="BH120" s="109">
        <f t="shared" si="15"/>
        <v>3.1920840000000006E-2</v>
      </c>
      <c r="BI120" s="109">
        <f t="shared" si="16"/>
        <v>0</v>
      </c>
      <c r="BJ120" s="109">
        <f t="shared" si="27"/>
        <v>0.49661339115681824</v>
      </c>
      <c r="BK120" s="109">
        <f t="shared" si="158"/>
        <v>2.6770803571568189</v>
      </c>
      <c r="BL120" s="148">
        <v>0.84</v>
      </c>
      <c r="BM120" s="112">
        <f>ROUND((AW120/BL120)+((AW120*BL120)*'CALCULO GERAL'!$E$11)/BL120,2)</f>
        <v>0.53</v>
      </c>
      <c r="BN120" s="186">
        <f t="shared" si="17"/>
        <v>0.53</v>
      </c>
      <c r="BO120" s="186">
        <f t="shared" si="159"/>
        <v>0.621</v>
      </c>
      <c r="BP120" s="109">
        <f>BM120*'CALCULO GERAL'!$C$11</f>
        <v>2.6600700000000002</v>
      </c>
      <c r="BQ120" s="109">
        <f>BO120*'CALCULO GERAL'!$C$11</f>
        <v>3.1167989999999999</v>
      </c>
      <c r="BR120" s="186">
        <f>BN120*'CALCULO GERAL'!$C$11</f>
        <v>2.6600700000000002</v>
      </c>
      <c r="BS120" s="109">
        <f t="shared" si="18"/>
        <v>266007</v>
      </c>
      <c r="BT120" s="109">
        <f t="shared" si="43"/>
        <v>47960.303399999975</v>
      </c>
      <c r="BU120" s="109">
        <f t="shared" si="19"/>
        <v>266007</v>
      </c>
      <c r="BV120" s="109">
        <f t="shared" si="50"/>
        <v>267708.03571568191</v>
      </c>
      <c r="BW120" s="109">
        <f t="shared" si="47"/>
        <v>-1701.0357156819082</v>
      </c>
      <c r="BX120" s="114">
        <f t="shared" si="20"/>
        <v>-6.3947028299327019E-3</v>
      </c>
      <c r="BY120" s="152">
        <f t="shared" si="51"/>
        <v>0.84</v>
      </c>
      <c r="BZ120" s="152"/>
      <c r="CA120" s="55"/>
      <c r="CB120" s="113"/>
      <c r="CC120" s="113"/>
      <c r="CD120" s="152"/>
      <c r="CE120" s="152">
        <f t="shared" si="52"/>
        <v>0</v>
      </c>
      <c r="CF120" s="152">
        <f t="shared" si="48"/>
        <v>1</v>
      </c>
      <c r="CG120" s="152">
        <f t="shared" si="49"/>
        <v>1</v>
      </c>
      <c r="CH120" s="34"/>
      <c r="CJ120" s="56"/>
      <c r="CK120" s="56"/>
    </row>
    <row r="121" spans="1:89" x14ac:dyDescent="0.2">
      <c r="A121" s="228" t="s">
        <v>246</v>
      </c>
      <c r="B121" s="188" t="s">
        <v>247</v>
      </c>
      <c r="C121" s="8">
        <v>0.16200000000000001</v>
      </c>
      <c r="D121" s="8">
        <v>0.1394</v>
      </c>
      <c r="E121" s="7">
        <v>2.1000000000000001E-2</v>
      </c>
      <c r="F121" s="7">
        <v>9.6500000000000002E-2</v>
      </c>
      <c r="G121" s="1">
        <v>1.6500000000000001E-2</v>
      </c>
      <c r="H121" s="1">
        <v>7.5999999999999998E-2</v>
      </c>
      <c r="I121" s="1">
        <v>0.18</v>
      </c>
      <c r="J121" s="1">
        <v>0.04</v>
      </c>
      <c r="K121" s="1">
        <v>0.14000000000000001</v>
      </c>
      <c r="L121" s="1">
        <v>1.4999999999999999E-2</v>
      </c>
      <c r="M121" s="2"/>
      <c r="N121" s="105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8"/>
      <c r="Z121" s="109"/>
      <c r="AA121" s="109"/>
      <c r="AB121" s="109"/>
      <c r="AC121" s="109"/>
      <c r="AD121" s="109"/>
      <c r="AE121" s="109"/>
      <c r="AF121" s="109"/>
      <c r="AG121" s="109"/>
      <c r="AH121" s="109"/>
      <c r="AI121" s="109"/>
      <c r="AJ121" s="109"/>
      <c r="AK121" s="109"/>
      <c r="AL121" s="109"/>
      <c r="AM121" s="109"/>
      <c r="AN121" s="109"/>
      <c r="AO121" s="109"/>
      <c r="AP121" s="109"/>
      <c r="AQ121" s="109"/>
      <c r="AR121" s="109"/>
      <c r="AS121" s="109"/>
      <c r="AT121" s="109"/>
      <c r="AU121" s="111"/>
      <c r="AV121" s="109">
        <f>IFERROR((BS121*'CALCULO GERAL'!$E$11)/N121,0)</f>
        <v>0</v>
      </c>
      <c r="AW121" s="109"/>
      <c r="AX121" s="109"/>
      <c r="AY121" s="109"/>
      <c r="AZ121" s="109"/>
      <c r="BA121" s="109"/>
      <c r="BB121" s="109"/>
      <c r="BC121" s="109"/>
      <c r="BD121" s="109"/>
      <c r="BE121" s="109"/>
      <c r="BF121" s="109"/>
      <c r="BG121" s="109"/>
      <c r="BH121" s="109"/>
      <c r="BI121" s="109"/>
      <c r="BJ121" s="109"/>
      <c r="BK121" s="109"/>
      <c r="BL121" s="148"/>
      <c r="BM121" s="112"/>
      <c r="BN121" s="186"/>
      <c r="BO121" s="186"/>
      <c r="BP121" s="109"/>
      <c r="BQ121" s="109"/>
      <c r="BR121" s="186"/>
      <c r="BS121" s="109"/>
      <c r="BT121" s="109">
        <f t="shared" si="43"/>
        <v>0</v>
      </c>
      <c r="BU121" s="109"/>
      <c r="BV121" s="109"/>
      <c r="BW121" s="109"/>
      <c r="BX121" s="114"/>
      <c r="BY121" s="152"/>
      <c r="BZ121" s="152"/>
      <c r="CA121" s="55"/>
      <c r="CB121" s="113"/>
      <c r="CC121" s="113"/>
      <c r="CD121" s="152"/>
      <c r="CG121" s="152"/>
      <c r="CH121" s="34"/>
      <c r="CJ121" s="56"/>
      <c r="CK121" s="56"/>
    </row>
    <row r="122" spans="1:89" x14ac:dyDescent="0.2">
      <c r="A122" s="311" t="s">
        <v>472</v>
      </c>
      <c r="B122" s="312" t="s">
        <v>473</v>
      </c>
      <c r="C122" s="313">
        <v>0.14399999999999999</v>
      </c>
      <c r="D122" s="313">
        <v>0</v>
      </c>
      <c r="E122" s="314">
        <v>2.1000000000000001E-2</v>
      </c>
      <c r="F122" s="314">
        <v>9.6500000000000002E-2</v>
      </c>
      <c r="G122" s="1">
        <v>1.6500000000000001E-2</v>
      </c>
      <c r="H122" s="1">
        <v>7.5999999999999998E-2</v>
      </c>
      <c r="I122" s="1">
        <v>0.18</v>
      </c>
      <c r="J122" s="1">
        <v>0.04</v>
      </c>
      <c r="K122" s="1">
        <v>0.14000000000000001</v>
      </c>
      <c r="L122" s="1">
        <v>1.4999999999999999E-2</v>
      </c>
      <c r="M122" s="2" t="s">
        <v>175</v>
      </c>
      <c r="N122" s="105">
        <v>1000</v>
      </c>
      <c r="O122" s="119"/>
      <c r="P122" s="119"/>
      <c r="Q122" s="119"/>
      <c r="R122" s="119"/>
      <c r="S122" s="119"/>
      <c r="T122" s="119"/>
      <c r="U122" s="119"/>
      <c r="V122" s="119">
        <v>49.54</v>
      </c>
      <c r="W122" s="119"/>
      <c r="X122" s="119">
        <f>MIN(O122:W122)</f>
        <v>49.54</v>
      </c>
      <c r="Y122" s="118">
        <f>AVERAGE(O122:W122)</f>
        <v>49.54</v>
      </c>
      <c r="Z122" s="109">
        <f>Y122*N122</f>
        <v>49540</v>
      </c>
      <c r="AA122" s="109">
        <f>'CALCULO GERAL'!$G$10</f>
        <v>6300</v>
      </c>
      <c r="AB122" s="109">
        <f>Z122+AA122</f>
        <v>55840</v>
      </c>
      <c r="AC122" s="109">
        <f>AB122*'CALCULO GERAL'!$C$11</f>
        <v>280260.96000000002</v>
      </c>
      <c r="AD122" s="109">
        <f>AC122*C122</f>
        <v>40357.578240000003</v>
      </c>
      <c r="AE122" s="109">
        <f>(AC122+AD122)*D122</f>
        <v>0</v>
      </c>
      <c r="AF122" s="109">
        <f>AC122*E122</f>
        <v>5885.480160000001</v>
      </c>
      <c r="AG122" s="109">
        <f>AC122*F122</f>
        <v>27045.182640000003</v>
      </c>
      <c r="AH122" s="109">
        <v>154.22999999999999</v>
      </c>
      <c r="AI122" s="109">
        <f>((AA122*'CALCULO GERAL'!$C$11))*0.08+20</f>
        <v>2549.576</v>
      </c>
      <c r="AJ122" s="109">
        <v>1010</v>
      </c>
      <c r="AK122" s="109">
        <v>2500</v>
      </c>
      <c r="AL122" s="109">
        <f>(AA122*('CALCULO GERAL'!$C$11*1.02))-(AA122*'CALCULO GERAL'!$C$11)</f>
        <v>632.39400000000387</v>
      </c>
      <c r="AM122" s="109">
        <v>1800</v>
      </c>
      <c r="AN122" s="109">
        <v>2600</v>
      </c>
      <c r="AO122" s="109">
        <v>9400</v>
      </c>
      <c r="AP122" s="109">
        <v>1000</v>
      </c>
      <c r="AQ122" s="109">
        <v>0</v>
      </c>
      <c r="AR122" s="109">
        <v>0</v>
      </c>
      <c r="AS122" s="109"/>
      <c r="AT122" s="109">
        <f>SUM(AC122:AS122)</f>
        <v>375195.40104000003</v>
      </c>
      <c r="AU122" s="111">
        <f>IFERROR((AT122/N122),0)</f>
        <v>375.19540104000004</v>
      </c>
      <c r="AV122" s="109">
        <f>IFERROR((BS122*'CALCULO GERAL'!$E$11)/N122,0)</f>
        <v>9.0833862000000014</v>
      </c>
      <c r="AW122" s="109">
        <f>AU122/'CALCULO GERAL'!$C$11</f>
        <v>74.755011165570835</v>
      </c>
      <c r="AX122" s="109">
        <f>BP122-BB122-BD122*'CALCULO GERAL'!$C$11</f>
        <v>447.35677034999998</v>
      </c>
      <c r="AY122" s="109">
        <f>AX122*G122</f>
        <v>7.3813867107749997</v>
      </c>
      <c r="AZ122" s="109">
        <f>AX122*H122</f>
        <v>33.999114546599998</v>
      </c>
      <c r="BA122" s="109">
        <f>BP122-BD122</f>
        <v>454.16931</v>
      </c>
      <c r="BB122" s="109">
        <f>BA122*L122</f>
        <v>6.8125396499999997</v>
      </c>
      <c r="BC122" s="109">
        <f>BP122/(1+D122)</f>
        <v>454.16931</v>
      </c>
      <c r="BD122" s="109">
        <f>BC122*D122</f>
        <v>0</v>
      </c>
      <c r="BE122" s="109">
        <f>BU122*0.08</f>
        <v>36333.544800000003</v>
      </c>
      <c r="BF122" s="109">
        <f>BU122*0.12</f>
        <v>54500.317199999998</v>
      </c>
      <c r="BG122" s="109">
        <f>(BF122*0.09)/N122</f>
        <v>4.9050285479999989</v>
      </c>
      <c r="BH122" s="109">
        <f>(BE122*0.15)/N122</f>
        <v>5.4500317200000001</v>
      </c>
      <c r="BI122" s="109">
        <f>IF(BE122&gt;=$BY$1,($BY$1-BE122)*0.1,IF(BE122&lt;=$BY$1,($BY$1*0)))/N122</f>
        <v>0</v>
      </c>
      <c r="BJ122" s="109">
        <f>(AY122+AZ122+BB122+AV122+BD122+BG122+BH122+BI122)</f>
        <v>67.631487375374988</v>
      </c>
      <c r="BK122" s="109">
        <f>BJ122+AU122</f>
        <v>442.82688841537504</v>
      </c>
      <c r="BL122" s="148">
        <v>0.84</v>
      </c>
      <c r="BM122" s="112">
        <f>ROUND((AW122/BL122)+((AW122*BL122)*'CALCULO GERAL'!$E$11)/BL122,2)</f>
        <v>90.49</v>
      </c>
      <c r="BN122" s="186">
        <f>BM122</f>
        <v>90.49</v>
      </c>
      <c r="BO122" s="186">
        <f>ROUND(FV(0.02,8,,BN122)*-1,3)</f>
        <v>106.023</v>
      </c>
      <c r="BP122" s="109">
        <f>BM122*'CALCULO GERAL'!$C$11</f>
        <v>454.16931</v>
      </c>
      <c r="BQ122" s="109">
        <f>BO122*'CALCULO GERAL'!$C$11</f>
        <v>532.12943699999994</v>
      </c>
      <c r="BR122" s="186">
        <f>BN122*'CALCULO GERAL'!$C$11</f>
        <v>454.16931</v>
      </c>
      <c r="BS122" s="109">
        <f>BP122*N122</f>
        <v>454169.31</v>
      </c>
      <c r="BT122" s="109">
        <f t="shared" si="43"/>
        <v>78973.908959999972</v>
      </c>
      <c r="BU122" s="109">
        <f>BR122*N122</f>
        <v>454169.31</v>
      </c>
      <c r="BV122" s="109">
        <f>BK122*N122</f>
        <v>442826.88841537503</v>
      </c>
      <c r="BW122" s="109">
        <f>BS122-BV122</f>
        <v>11342.421584624972</v>
      </c>
      <c r="BX122" s="114">
        <f>(((BK122*N122)-BS122)/BS122*-1)</f>
        <v>2.4973993915672048E-2</v>
      </c>
      <c r="BY122" s="152">
        <f>ROUND(BL122,2)</f>
        <v>0.84</v>
      </c>
      <c r="BZ122" s="152"/>
      <c r="CA122" s="55"/>
      <c r="CB122" s="113"/>
      <c r="CC122" s="113"/>
      <c r="CD122" s="152"/>
      <c r="CE122" s="152">
        <f>CC122/BY122</f>
        <v>0</v>
      </c>
      <c r="CF122" s="152">
        <f>100%-CE122</f>
        <v>1</v>
      </c>
      <c r="CG122" s="152">
        <f>AVERAGE(CF122,CD122)</f>
        <v>1</v>
      </c>
      <c r="CH122" s="34"/>
      <c r="CJ122" s="56"/>
      <c r="CK122" s="56"/>
    </row>
    <row r="123" spans="1:89" x14ac:dyDescent="0.2">
      <c r="A123" s="228" t="s">
        <v>248</v>
      </c>
      <c r="B123" s="187" t="s">
        <v>249</v>
      </c>
      <c r="C123" s="8">
        <v>0.14399999999999999</v>
      </c>
      <c r="D123" s="8">
        <v>0.1115</v>
      </c>
      <c r="E123" s="7">
        <v>2.1000000000000001E-2</v>
      </c>
      <c r="F123" s="7">
        <v>9.6500000000000002E-2</v>
      </c>
      <c r="G123" s="1">
        <v>1.6500000000000001E-2</v>
      </c>
      <c r="H123" s="1">
        <v>7.5999999999999998E-2</v>
      </c>
      <c r="I123" s="1">
        <v>0.18</v>
      </c>
      <c r="J123" s="1">
        <v>0.04</v>
      </c>
      <c r="K123" s="1">
        <v>0.14000000000000001</v>
      </c>
      <c r="L123" s="1">
        <v>1.4999999999999999E-2</v>
      </c>
      <c r="M123" s="2" t="s">
        <v>175</v>
      </c>
      <c r="N123" s="105"/>
      <c r="O123" s="119"/>
      <c r="P123" s="119"/>
      <c r="Q123" s="119"/>
      <c r="R123" s="119"/>
      <c r="S123" s="119">
        <v>0.3</v>
      </c>
      <c r="T123" s="119"/>
      <c r="U123" s="119"/>
      <c r="V123" s="119"/>
      <c r="W123" s="119"/>
      <c r="X123" s="119">
        <f t="shared" ref="X123:X193" si="160">MIN(O123:W123)</f>
        <v>0.3</v>
      </c>
      <c r="Y123" s="118">
        <f t="shared" ref="Y123:Y193" si="161">AVERAGE(O123:W123)</f>
        <v>0.3</v>
      </c>
      <c r="Z123" s="109">
        <f t="shared" ref="Z123:Z190" si="162">Y123*N123</f>
        <v>0</v>
      </c>
      <c r="AA123" s="109">
        <f>'CALCULO GERAL'!$G$10</f>
        <v>6300</v>
      </c>
      <c r="AB123" s="109">
        <f t="shared" ref="AB123:AB193" si="163">Z123+AA123</f>
        <v>6300</v>
      </c>
      <c r="AC123" s="109">
        <f>AB123*'CALCULO GERAL'!$C$11</f>
        <v>31619.7</v>
      </c>
      <c r="AD123" s="109">
        <f t="shared" ref="AD123:AD193" si="164">AC123*C123</f>
        <v>4553.2367999999997</v>
      </c>
      <c r="AE123" s="109">
        <f t="shared" ref="AE123:AE193" si="165">(AC123+AD123)*D123</f>
        <v>4033.2824532000004</v>
      </c>
      <c r="AF123" s="109">
        <f t="shared" ref="AF123:AF193" si="166">AC123*E123</f>
        <v>664.01370000000009</v>
      </c>
      <c r="AG123" s="109">
        <f t="shared" ref="AG123:AG193" si="167">AC123*F123</f>
        <v>3051.30105</v>
      </c>
      <c r="AH123" s="109">
        <v>154.22999999999999</v>
      </c>
      <c r="AI123" s="109">
        <f>((AA123*'CALCULO GERAL'!$C$11))*0.08+20</f>
        <v>2549.576</v>
      </c>
      <c r="AJ123" s="109">
        <v>1010</v>
      </c>
      <c r="AK123" s="109">
        <v>2500</v>
      </c>
      <c r="AL123" s="109">
        <f>(AA123*('CALCULO GERAL'!$C$11*1.02))-(AA123*'CALCULO GERAL'!$C$11)</f>
        <v>632.39400000000387</v>
      </c>
      <c r="AM123" s="109">
        <v>1800</v>
      </c>
      <c r="AN123" s="109">
        <v>2600</v>
      </c>
      <c r="AO123" s="109">
        <v>9400</v>
      </c>
      <c r="AP123" s="109">
        <v>1000</v>
      </c>
      <c r="AQ123" s="109">
        <v>0</v>
      </c>
      <c r="AR123" s="109">
        <v>0</v>
      </c>
      <c r="AS123" s="109"/>
      <c r="AT123" s="109">
        <f>SUM(AC123:AS123)</f>
        <v>65567.734003200021</v>
      </c>
      <c r="AU123" s="111">
        <f t="shared" ref="AU123:AU193" si="168">IFERROR((AT123/N123),0)</f>
        <v>0</v>
      </c>
      <c r="AV123" s="109">
        <f>IFERROR((BS123*'CALCULO GERAL'!$E$11)/N123,0)</f>
        <v>0</v>
      </c>
      <c r="AW123" s="109">
        <f>AU123/'CALCULO GERAL'!$C$11</f>
        <v>0</v>
      </c>
      <c r="AX123" s="109">
        <f>BP123-BB123-BD123*'CALCULO GERAL'!$C$11</f>
        <v>0</v>
      </c>
      <c r="AY123" s="109">
        <f t="shared" ref="AY123:AY193" si="169">AX123*G123</f>
        <v>0</v>
      </c>
      <c r="AZ123" s="109">
        <f t="shared" ref="AZ123:AZ193" si="170">AX123*H123</f>
        <v>0</v>
      </c>
      <c r="BA123" s="109">
        <f t="shared" ref="BA123:BA193" si="171">BP123-BD123</f>
        <v>0</v>
      </c>
      <c r="BB123" s="109">
        <f t="shared" ref="BB123:BB193" si="172">BA123*L123</f>
        <v>0</v>
      </c>
      <c r="BC123" s="109">
        <f t="shared" ref="BC123:BC193" si="173">BP123/(1+D123)</f>
        <v>0</v>
      </c>
      <c r="BD123" s="109">
        <f t="shared" ref="BD123:BD193" si="174">BC123*D123</f>
        <v>0</v>
      </c>
      <c r="BE123" s="109">
        <f t="shared" ref="BE123:BE193" si="175">BU123*0.08</f>
        <v>0</v>
      </c>
      <c r="BF123" s="109">
        <f t="shared" ref="BF123:BF193" si="176">BU123*0.12</f>
        <v>0</v>
      </c>
      <c r="BG123" s="109" t="e">
        <f t="shared" ref="BG123:BG193" si="177">(BF123*0.09)/N123</f>
        <v>#DIV/0!</v>
      </c>
      <c r="BH123" s="109" t="e">
        <f t="shared" ref="BH123:BH193" si="178">(BE123*0.15)/N123</f>
        <v>#DIV/0!</v>
      </c>
      <c r="BI123" s="109" t="e">
        <f t="shared" ref="BI123:BI193" si="179">IF(BE123&gt;=$BY$1,($BY$1-BE123)*0.1,IF(BE123&lt;=$BY$1,($BY$1*0)))/N123</f>
        <v>#DIV/0!</v>
      </c>
      <c r="BJ123" s="109" t="e">
        <f t="shared" ref="BJ123:BJ193" si="180">(AY123+AZ123+BB123+AV123+BD123+BG123+BH123+BI123)</f>
        <v>#DIV/0!</v>
      </c>
      <c r="BK123" s="109" t="e">
        <f t="shared" ref="BK123:BK193" si="181">BJ123+AU123</f>
        <v>#DIV/0!</v>
      </c>
      <c r="BL123" s="148">
        <v>0.84</v>
      </c>
      <c r="BM123" s="112">
        <f>ROUND((AW123/BL123)+((AW123*BL123)*'CALCULO GERAL'!$E$11)/BL123,2)</f>
        <v>0</v>
      </c>
      <c r="BN123" s="186">
        <f>BM123</f>
        <v>0</v>
      </c>
      <c r="BO123" s="186">
        <f t="shared" ref="BO123:BO154" si="182">ROUND(FV(0.02,8,,BN123)*-1,3)</f>
        <v>0</v>
      </c>
      <c r="BP123" s="109">
        <f>BM123*'CALCULO GERAL'!$C$11</f>
        <v>0</v>
      </c>
      <c r="BQ123" s="109">
        <f>BO123*'CALCULO GERAL'!$C$11</f>
        <v>0</v>
      </c>
      <c r="BR123" s="186">
        <f>BN123*'CALCULO GERAL'!$C$11</f>
        <v>0</v>
      </c>
      <c r="BS123" s="109">
        <f t="shared" ref="BS123:BS193" si="183">BP123*N123</f>
        <v>0</v>
      </c>
      <c r="BT123" s="109">
        <f t="shared" si="43"/>
        <v>-65567.734003200021</v>
      </c>
      <c r="BU123" s="109">
        <f t="shared" ref="BU123:BU193" si="184">BR123*N123</f>
        <v>0</v>
      </c>
      <c r="BV123" s="109" t="e">
        <f>BK123*N123</f>
        <v>#DIV/0!</v>
      </c>
      <c r="BW123" s="109" t="e">
        <f>BS123-BV123</f>
        <v>#DIV/0!</v>
      </c>
      <c r="BX123" s="114" t="e">
        <f t="shared" ref="BX123:BX193" si="185">(((BK123*N123)-BS123)/BS123*-1)</f>
        <v>#DIV/0!</v>
      </c>
      <c r="BY123" s="152">
        <f>ROUND(BL123,2)</f>
        <v>0.84</v>
      </c>
      <c r="BZ123" s="152"/>
      <c r="CA123" s="55"/>
      <c r="CB123" s="113"/>
      <c r="CC123" s="113"/>
      <c r="CD123" s="152"/>
      <c r="CE123" s="152">
        <f>CC123/BY123</f>
        <v>0</v>
      </c>
      <c r="CF123" s="152">
        <f>100%-CE123</f>
        <v>1</v>
      </c>
      <c r="CG123" s="152">
        <f>AVERAGE(CF123,CD123)</f>
        <v>1</v>
      </c>
      <c r="CH123" s="34"/>
      <c r="CJ123" s="56"/>
      <c r="CK123" s="56"/>
    </row>
    <row r="124" spans="1:89" x14ac:dyDescent="0.2">
      <c r="A124" s="269" t="s">
        <v>250</v>
      </c>
      <c r="B124" s="187" t="s">
        <v>251</v>
      </c>
      <c r="C124" s="6">
        <v>0.128</v>
      </c>
      <c r="D124" s="8">
        <v>0.05</v>
      </c>
      <c r="E124" s="7">
        <v>2.1000000000000001E-2</v>
      </c>
      <c r="F124" s="7">
        <v>0.1065</v>
      </c>
      <c r="G124" s="1">
        <v>1.6500000000000001E-2</v>
      </c>
      <c r="H124" s="1">
        <v>7.5999999999999998E-2</v>
      </c>
      <c r="I124" s="1">
        <v>0.18</v>
      </c>
      <c r="J124" s="1">
        <v>0.04</v>
      </c>
      <c r="K124" s="1">
        <v>0.14000000000000001</v>
      </c>
      <c r="L124" s="1">
        <v>1.4999999999999999E-2</v>
      </c>
      <c r="M124" s="2" t="s">
        <v>175</v>
      </c>
      <c r="N124" s="105">
        <v>1440</v>
      </c>
      <c r="O124" s="119"/>
      <c r="P124" s="119"/>
      <c r="Q124" s="119"/>
      <c r="R124" s="119"/>
      <c r="S124" s="119"/>
      <c r="T124" s="119"/>
      <c r="U124" s="119"/>
      <c r="V124" s="119">
        <v>11.46</v>
      </c>
      <c r="W124" s="119"/>
      <c r="X124" s="119">
        <f t="shared" si="160"/>
        <v>11.46</v>
      </c>
      <c r="Y124" s="118">
        <f t="shared" si="161"/>
        <v>11.46</v>
      </c>
      <c r="Z124" s="109">
        <f t="shared" si="162"/>
        <v>16502.400000000001</v>
      </c>
      <c r="AA124" s="109">
        <f>'CALCULO GERAL'!$G$10</f>
        <v>6300</v>
      </c>
      <c r="AB124" s="109">
        <f t="shared" si="163"/>
        <v>22802.400000000001</v>
      </c>
      <c r="AC124" s="109">
        <f>AB124*'CALCULO GERAL'!$C$11</f>
        <v>114445.24560000001</v>
      </c>
      <c r="AD124" s="109">
        <f t="shared" si="164"/>
        <v>14648.991436800001</v>
      </c>
      <c r="AE124" s="109">
        <f t="shared" si="165"/>
        <v>6454.7118518400011</v>
      </c>
      <c r="AF124" s="109">
        <f t="shared" si="166"/>
        <v>2403.3501576000003</v>
      </c>
      <c r="AG124" s="109">
        <f t="shared" si="167"/>
        <v>12188.418656400001</v>
      </c>
      <c r="AH124" s="109">
        <v>154.22999999999999</v>
      </c>
      <c r="AI124" s="109">
        <f>((AA124*'CALCULO GERAL'!$C$11))*0.08+20</f>
        <v>2549.576</v>
      </c>
      <c r="AJ124" s="109">
        <v>1010</v>
      </c>
      <c r="AK124" s="109">
        <v>2500</v>
      </c>
      <c r="AL124" s="109">
        <f>(AA124*('CALCULO GERAL'!$C$11*1.02))-(AA124*'CALCULO GERAL'!$C$11)</f>
        <v>632.39400000000387</v>
      </c>
      <c r="AM124" s="109">
        <v>1800</v>
      </c>
      <c r="AN124" s="109">
        <v>2600</v>
      </c>
      <c r="AO124" s="109">
        <v>9400</v>
      </c>
      <c r="AP124" s="109">
        <v>1000</v>
      </c>
      <c r="AQ124" s="109">
        <v>0</v>
      </c>
      <c r="AR124" s="109">
        <v>0</v>
      </c>
      <c r="AS124" s="109"/>
      <c r="AT124" s="109">
        <f t="shared" si="44"/>
        <v>171786.91770264003</v>
      </c>
      <c r="AU124" s="111">
        <f t="shared" si="168"/>
        <v>119.29647062683335</v>
      </c>
      <c r="AV124" s="109">
        <f>IFERROR((BS124*'CALCULO GERAL'!$E$11)/N124,0)</f>
        <v>3.9589872000000002</v>
      </c>
      <c r="AW124" s="109">
        <f>AU124/'CALCULO GERAL'!$C$11</f>
        <v>23.768972031646413</v>
      </c>
      <c r="AX124" s="109">
        <f>BP124-BB124-BD124*'CALCULO GERAL'!$C$11</f>
        <v>147.81161495999999</v>
      </c>
      <c r="AY124" s="109">
        <f t="shared" si="169"/>
        <v>2.4388916468399997</v>
      </c>
      <c r="AZ124" s="109">
        <f t="shared" si="170"/>
        <v>11.233682736959999</v>
      </c>
      <c r="BA124" s="109">
        <f t="shared" si="171"/>
        <v>188.52319999999997</v>
      </c>
      <c r="BB124" s="109">
        <f t="shared" si="172"/>
        <v>2.8278479999999995</v>
      </c>
      <c r="BC124" s="109">
        <f t="shared" si="173"/>
        <v>188.52319999999997</v>
      </c>
      <c r="BD124" s="109">
        <f t="shared" si="174"/>
        <v>9.4261599999999994</v>
      </c>
      <c r="BE124" s="109">
        <f t="shared" si="175"/>
        <v>22803.766272000001</v>
      </c>
      <c r="BF124" s="109">
        <f t="shared" si="176"/>
        <v>34205.649407999997</v>
      </c>
      <c r="BG124" s="109">
        <f t="shared" si="177"/>
        <v>2.1378530879999995</v>
      </c>
      <c r="BH124" s="109">
        <f t="shared" si="178"/>
        <v>2.37539232</v>
      </c>
      <c r="BI124" s="109">
        <f t="shared" si="179"/>
        <v>0</v>
      </c>
      <c r="BJ124" s="109">
        <f t="shared" si="180"/>
        <v>34.398814991800002</v>
      </c>
      <c r="BK124" s="109">
        <f t="shared" si="181"/>
        <v>153.69528561863336</v>
      </c>
      <c r="BL124" s="148">
        <v>0.61</v>
      </c>
      <c r="BM124" s="112">
        <f>ROUND((AW124/BL124)+((AW124*BL124)*'CALCULO GERAL'!$E$11)/BL124,2)</f>
        <v>39.44</v>
      </c>
      <c r="BN124" s="186">
        <f t="shared" si="17"/>
        <v>39.44</v>
      </c>
      <c r="BO124" s="186">
        <f t="shared" si="182"/>
        <v>46.21</v>
      </c>
      <c r="BP124" s="109">
        <f>BM124*'CALCULO GERAL'!$C$11</f>
        <v>197.94935999999998</v>
      </c>
      <c r="BQ124" s="109">
        <f>BO124*'CALCULO GERAL'!$C$11</f>
        <v>231.92799000000002</v>
      </c>
      <c r="BR124" s="186">
        <f>BN124*'CALCULO GERAL'!$C$11</f>
        <v>197.94935999999998</v>
      </c>
      <c r="BS124" s="109">
        <f t="shared" si="183"/>
        <v>285047.0784</v>
      </c>
      <c r="BT124" s="109">
        <f t="shared" si="43"/>
        <v>113260.16069735997</v>
      </c>
      <c r="BU124" s="109">
        <f t="shared" si="184"/>
        <v>285047.0784</v>
      </c>
      <c r="BV124" s="109">
        <f t="shared" si="50"/>
        <v>221321.21129083206</v>
      </c>
      <c r="BW124" s="109">
        <f t="shared" si="47"/>
        <v>63725.867109167943</v>
      </c>
      <c r="BX124" s="114">
        <f t="shared" si="185"/>
        <v>0.22356260399814692</v>
      </c>
      <c r="BY124" s="152">
        <f t="shared" si="51"/>
        <v>0.61</v>
      </c>
      <c r="BZ124" s="152"/>
      <c r="CA124" s="55"/>
      <c r="CB124" s="113"/>
      <c r="CC124" s="113"/>
      <c r="CD124" s="152"/>
      <c r="CE124" s="152">
        <f t="shared" si="52"/>
        <v>0</v>
      </c>
      <c r="CF124" s="152">
        <f t="shared" si="48"/>
        <v>1</v>
      </c>
      <c r="CG124" s="152">
        <f t="shared" si="49"/>
        <v>1</v>
      </c>
      <c r="CH124" s="34"/>
      <c r="CJ124" s="56"/>
      <c r="CK124" s="56"/>
    </row>
    <row r="125" spans="1:89" x14ac:dyDescent="0.2">
      <c r="A125" s="269" t="s">
        <v>252</v>
      </c>
      <c r="B125" s="187" t="s">
        <v>251</v>
      </c>
      <c r="C125" s="6">
        <v>0.128</v>
      </c>
      <c r="D125" s="8">
        <v>0.05</v>
      </c>
      <c r="E125" s="7">
        <v>2.1000000000000001E-2</v>
      </c>
      <c r="F125" s="7">
        <v>0.1065</v>
      </c>
      <c r="G125" s="1">
        <v>1.6500000000000001E-2</v>
      </c>
      <c r="H125" s="1">
        <v>7.5999999999999998E-2</v>
      </c>
      <c r="I125" s="1">
        <v>0.18</v>
      </c>
      <c r="J125" s="1">
        <v>0.04</v>
      </c>
      <c r="K125" s="1">
        <v>0.14000000000000001</v>
      </c>
      <c r="L125" s="1">
        <v>1.4999999999999999E-2</v>
      </c>
      <c r="M125" s="2" t="s">
        <v>175</v>
      </c>
      <c r="N125" s="105">
        <v>840</v>
      </c>
      <c r="O125" s="119"/>
      <c r="P125" s="119"/>
      <c r="Q125" s="119"/>
      <c r="R125" s="119"/>
      <c r="S125" s="119"/>
      <c r="T125" s="119">
        <v>4.8599999999999997E-2</v>
      </c>
      <c r="U125" s="119"/>
      <c r="V125" s="119">
        <v>19.850000000000001</v>
      </c>
      <c r="W125" s="119"/>
      <c r="X125" s="119">
        <f t="shared" si="160"/>
        <v>4.8599999999999997E-2</v>
      </c>
      <c r="Y125" s="118">
        <f t="shared" si="161"/>
        <v>9.9493000000000009</v>
      </c>
      <c r="Z125" s="109">
        <f t="shared" si="162"/>
        <v>8357.4120000000003</v>
      </c>
      <c r="AA125" s="109">
        <f>'CALCULO GERAL'!$G$10</f>
        <v>6300</v>
      </c>
      <c r="AB125" s="109">
        <f t="shared" si="163"/>
        <v>14657.412</v>
      </c>
      <c r="AC125" s="109">
        <f>AB125*'CALCULO GERAL'!$C$11</f>
        <v>73565.550828000007</v>
      </c>
      <c r="AD125" s="109">
        <f t="shared" si="164"/>
        <v>9416.3905059840017</v>
      </c>
      <c r="AE125" s="109">
        <f t="shared" si="165"/>
        <v>4149.0970666992007</v>
      </c>
      <c r="AF125" s="109">
        <f t="shared" si="166"/>
        <v>1544.8765673880002</v>
      </c>
      <c r="AG125" s="109">
        <f t="shared" si="167"/>
        <v>7834.7311631820003</v>
      </c>
      <c r="AH125" s="109">
        <v>154.22999999999999</v>
      </c>
      <c r="AI125" s="109">
        <f>((AA125*'CALCULO GERAL'!$C$11))*0.08+20</f>
        <v>2549.576</v>
      </c>
      <c r="AJ125" s="109">
        <v>1010</v>
      </c>
      <c r="AK125" s="109">
        <v>2500</v>
      </c>
      <c r="AL125" s="109">
        <f>(AA125*('CALCULO GERAL'!$C$11*1.02))-(AA125*'CALCULO GERAL'!$C$11)</f>
        <v>632.39400000000387</v>
      </c>
      <c r="AM125" s="109">
        <v>1800</v>
      </c>
      <c r="AN125" s="109">
        <v>2600</v>
      </c>
      <c r="AO125" s="109">
        <v>9400</v>
      </c>
      <c r="AP125" s="109">
        <v>1000</v>
      </c>
      <c r="AQ125" s="109">
        <v>0</v>
      </c>
      <c r="AR125" s="109">
        <v>0</v>
      </c>
      <c r="AS125" s="109"/>
      <c r="AT125" s="109">
        <f t="shared" si="44"/>
        <v>118156.84613125322</v>
      </c>
      <c r="AU125" s="111">
        <f t="shared" si="168"/>
        <v>140.66291206101573</v>
      </c>
      <c r="AV125" s="109">
        <f>IFERROR((BS125*'CALCULO GERAL'!$E$11)/N125,0)</f>
        <v>4.6676700000000002</v>
      </c>
      <c r="AW125" s="109">
        <f>AU125/'CALCULO GERAL'!$C$11</f>
        <v>28.026083295679562</v>
      </c>
      <c r="AX125" s="109">
        <f>BP125-BB125-BD125*'CALCULO GERAL'!$C$11</f>
        <v>174.2707935</v>
      </c>
      <c r="AY125" s="109">
        <f t="shared" si="169"/>
        <v>2.8754680927500003</v>
      </c>
      <c r="AZ125" s="109">
        <f t="shared" si="170"/>
        <v>13.244580306</v>
      </c>
      <c r="BA125" s="109">
        <f t="shared" si="171"/>
        <v>222.27</v>
      </c>
      <c r="BB125" s="109">
        <f t="shared" si="172"/>
        <v>3.33405</v>
      </c>
      <c r="BC125" s="109">
        <f t="shared" si="173"/>
        <v>222.26999999999998</v>
      </c>
      <c r="BD125" s="109">
        <f t="shared" si="174"/>
        <v>11.1135</v>
      </c>
      <c r="BE125" s="109">
        <f t="shared" si="175"/>
        <v>15683.3712</v>
      </c>
      <c r="BF125" s="109">
        <f t="shared" si="176"/>
        <v>23525.056799999998</v>
      </c>
      <c r="BG125" s="109">
        <f t="shared" si="177"/>
        <v>2.5205417999999997</v>
      </c>
      <c r="BH125" s="109">
        <f t="shared" si="178"/>
        <v>2.8006019999999996</v>
      </c>
      <c r="BI125" s="109">
        <f t="shared" si="179"/>
        <v>0</v>
      </c>
      <c r="BJ125" s="109">
        <f t="shared" si="180"/>
        <v>40.556412198749996</v>
      </c>
      <c r="BK125" s="109">
        <f t="shared" si="181"/>
        <v>181.21932425976573</v>
      </c>
      <c r="BL125" s="148">
        <v>0.61</v>
      </c>
      <c r="BM125" s="112">
        <f>ROUND((AW125/BL125)+((AW125*BL125)*'CALCULO GERAL'!$E$11)/BL125,2)</f>
        <v>46.5</v>
      </c>
      <c r="BN125" s="186">
        <f t="shared" si="17"/>
        <v>46.5</v>
      </c>
      <c r="BO125" s="186">
        <f t="shared" si="182"/>
        <v>54.481999999999999</v>
      </c>
      <c r="BP125" s="109">
        <f>BM125*'CALCULO GERAL'!$C$11</f>
        <v>233.3835</v>
      </c>
      <c r="BQ125" s="109">
        <f>BO125*'CALCULO GERAL'!$C$11</f>
        <v>273.44515799999999</v>
      </c>
      <c r="BR125" s="186">
        <f>BN125*'CALCULO GERAL'!$C$11</f>
        <v>233.3835</v>
      </c>
      <c r="BS125" s="109">
        <f t="shared" si="183"/>
        <v>196042.13999999998</v>
      </c>
      <c r="BT125" s="109">
        <f t="shared" si="43"/>
        <v>77885.293868746769</v>
      </c>
      <c r="BU125" s="109">
        <f t="shared" si="184"/>
        <v>196042.13999999998</v>
      </c>
      <c r="BV125" s="109">
        <f t="shared" si="50"/>
        <v>152224.23237820322</v>
      </c>
      <c r="BW125" s="109">
        <f t="shared" si="47"/>
        <v>43817.907621796767</v>
      </c>
      <c r="BX125" s="114">
        <f t="shared" si="185"/>
        <v>0.22351269794237488</v>
      </c>
      <c r="BY125" s="152">
        <f t="shared" si="51"/>
        <v>0.61</v>
      </c>
      <c r="BZ125" s="152"/>
      <c r="CA125" s="55"/>
      <c r="CB125" s="113"/>
      <c r="CC125" s="113"/>
      <c r="CD125" s="152"/>
      <c r="CE125" s="152">
        <f t="shared" si="52"/>
        <v>0</v>
      </c>
      <c r="CF125" s="152">
        <f t="shared" si="48"/>
        <v>1</v>
      </c>
      <c r="CG125" s="152">
        <f t="shared" si="49"/>
        <v>1</v>
      </c>
      <c r="CH125" s="34"/>
      <c r="CJ125" s="56"/>
      <c r="CK125" s="56"/>
    </row>
    <row r="126" spans="1:89" x14ac:dyDescent="0.2">
      <c r="A126" s="471" t="s">
        <v>253</v>
      </c>
      <c r="B126" s="366" t="s">
        <v>251</v>
      </c>
      <c r="C126" s="472">
        <v>0.128</v>
      </c>
      <c r="D126" s="367">
        <v>0.05</v>
      </c>
      <c r="E126" s="368">
        <v>2.1000000000000001E-2</v>
      </c>
      <c r="F126" s="368">
        <v>0.1065</v>
      </c>
      <c r="G126" s="1">
        <v>1.6500000000000001E-2</v>
      </c>
      <c r="H126" s="1">
        <v>7.5999999999999998E-2</v>
      </c>
      <c r="I126" s="1">
        <v>0.18</v>
      </c>
      <c r="J126" s="1">
        <v>0.04</v>
      </c>
      <c r="K126" s="1">
        <v>0.14000000000000001</v>
      </c>
      <c r="L126" s="1">
        <v>1.4999999999999999E-2</v>
      </c>
      <c r="M126" s="2" t="s">
        <v>175</v>
      </c>
      <c r="N126" s="105">
        <v>2880</v>
      </c>
      <c r="O126" s="119"/>
      <c r="P126" s="119"/>
      <c r="Q126" s="119"/>
      <c r="R126" s="119"/>
      <c r="S126" s="119"/>
      <c r="T126" s="119"/>
      <c r="U126" s="119"/>
      <c r="V126" s="119">
        <v>8.09</v>
      </c>
      <c r="W126" s="119"/>
      <c r="X126" s="119">
        <f>MIN(O126:W126)</f>
        <v>8.09</v>
      </c>
      <c r="Y126" s="118">
        <f>AVERAGE(O126:W126)</f>
        <v>8.09</v>
      </c>
      <c r="Z126" s="109">
        <f>Y126*N126</f>
        <v>23299.200000000001</v>
      </c>
      <c r="AA126" s="109">
        <f>'CALCULO GERAL'!$G$10</f>
        <v>6300</v>
      </c>
      <c r="AB126" s="109">
        <f>Z126+AA126</f>
        <v>29599.200000000001</v>
      </c>
      <c r="AC126" s="109">
        <f>AB126*'CALCULO GERAL'!$C$11</f>
        <v>148558.3848</v>
      </c>
      <c r="AD126" s="109">
        <f>AC126*C126</f>
        <v>19015.4732544</v>
      </c>
      <c r="AE126" s="109">
        <f>(AC126+AD126)*D126</f>
        <v>8378.6929027200003</v>
      </c>
      <c r="AF126" s="109">
        <f>AC126*E126</f>
        <v>3119.7260808000001</v>
      </c>
      <c r="AG126" s="109">
        <f>AC126*F126</f>
        <v>15821.467981199999</v>
      </c>
      <c r="AH126" s="109">
        <v>154.22999999999999</v>
      </c>
      <c r="AI126" s="109">
        <f>((AA126*'CALCULO GERAL'!$C$11))*0.08+20</f>
        <v>2549.576</v>
      </c>
      <c r="AJ126" s="109">
        <v>1010</v>
      </c>
      <c r="AK126" s="109">
        <v>2500</v>
      </c>
      <c r="AL126" s="109">
        <f>(AA126*('CALCULO GERAL'!$C$11*1.02))-(AA126*'CALCULO GERAL'!$C$11)</f>
        <v>632.39400000000387</v>
      </c>
      <c r="AM126" s="109">
        <v>1800</v>
      </c>
      <c r="AN126" s="109">
        <v>2600</v>
      </c>
      <c r="AO126" s="109">
        <v>9400</v>
      </c>
      <c r="AP126" s="109">
        <v>1000</v>
      </c>
      <c r="AQ126" s="109">
        <v>0</v>
      </c>
      <c r="AR126" s="109">
        <v>0</v>
      </c>
      <c r="AS126" s="109"/>
      <c r="AT126" s="109">
        <f>SUM(AC126:AS126)</f>
        <v>216539.94501912003</v>
      </c>
      <c r="AU126" s="111">
        <f>IFERROR((AT126/N126),0)</f>
        <v>75.187480909416678</v>
      </c>
      <c r="AV126" s="109">
        <f>IFERROR((BS126*'CALCULO GERAL'!$E$11)/N126,0)</f>
        <v>2.4954468000000003</v>
      </c>
      <c r="AW126" s="109">
        <f>AU126/'CALCULO GERAL'!$C$11</f>
        <v>14.980570015823208</v>
      </c>
      <c r="AX126" s="109">
        <f>BP126-BB126-BD126*'CALCULO GERAL'!$C$11</f>
        <v>93.169288740000013</v>
      </c>
      <c r="AY126" s="109">
        <f>AX126*G126</f>
        <v>1.5372932642100003</v>
      </c>
      <c r="AZ126" s="109">
        <f>AX126*H126</f>
        <v>7.080865944240001</v>
      </c>
      <c r="BA126" s="109">
        <f>BP126-BD126</f>
        <v>118.8308</v>
      </c>
      <c r="BB126" s="109">
        <f>BA126*L126</f>
        <v>1.782462</v>
      </c>
      <c r="BC126" s="109">
        <f>BP126/(1+D126)</f>
        <v>118.8308</v>
      </c>
      <c r="BD126" s="109">
        <f>BC126*D126</f>
        <v>5.9415399999999998</v>
      </c>
      <c r="BE126" s="109">
        <f>BU126*0.08</f>
        <v>28747.547136000001</v>
      </c>
      <c r="BF126" s="109">
        <f>BU126*0.12</f>
        <v>43121.320703999998</v>
      </c>
      <c r="BG126" s="109">
        <f>(BF126*0.09)/N126</f>
        <v>1.347541272</v>
      </c>
      <c r="BH126" s="109">
        <f>(BE126*0.15)/N126</f>
        <v>1.49726808</v>
      </c>
      <c r="BI126" s="109">
        <f>IF(BE126&gt;=$BY$1,($BY$1-BE126)*0.1,IF(BE126&lt;=$BY$1,($BY$1*0)))/N126</f>
        <v>0</v>
      </c>
      <c r="BJ126" s="109">
        <f>(AY126+AZ126+BB126+AV126+BD126+BG126+BH126+BI126)</f>
        <v>21.682417360450003</v>
      </c>
      <c r="BK126" s="109">
        <f>BJ126+AU126</f>
        <v>96.869898269866681</v>
      </c>
      <c r="BL126" s="148">
        <v>0.61</v>
      </c>
      <c r="BM126" s="112">
        <f>ROUND((AW126/BL126)+((AW126*BL126)*'CALCULO GERAL'!$E$11)/BL126,2)</f>
        <v>24.86</v>
      </c>
      <c r="BN126" s="186">
        <f>BM126</f>
        <v>24.86</v>
      </c>
      <c r="BO126" s="186">
        <f>ROUND(FV(0.02,8,,BN126)*-1,3)</f>
        <v>29.126999999999999</v>
      </c>
      <c r="BP126" s="109">
        <f>BM126*'CALCULO GERAL'!$C$11</f>
        <v>124.77234</v>
      </c>
      <c r="BQ126" s="109">
        <f>BO126*'CALCULO GERAL'!$C$11</f>
        <v>146.188413</v>
      </c>
      <c r="BR126" s="186">
        <f>BN126*'CALCULO GERAL'!$C$11</f>
        <v>124.77234</v>
      </c>
      <c r="BS126" s="109">
        <f>BP126*N126</f>
        <v>359344.33919999999</v>
      </c>
      <c r="BT126" s="109">
        <f t="shared" si="43"/>
        <v>142804.39418087996</v>
      </c>
      <c r="BU126" s="109">
        <f>BR126*N126</f>
        <v>359344.33919999999</v>
      </c>
      <c r="BV126" s="109">
        <f>BK126*N126</f>
        <v>278985.30701721605</v>
      </c>
      <c r="BW126" s="109">
        <f>BS126-BV126</f>
        <v>80359.032182783936</v>
      </c>
      <c r="BX126" s="114">
        <f>(((BK126*N126)-BS126)/BS126*-1)</f>
        <v>0.22362682089743058</v>
      </c>
      <c r="BY126" s="152">
        <f>ROUND(BL126,2)</f>
        <v>0.61</v>
      </c>
      <c r="BZ126" s="152"/>
      <c r="CA126" s="55"/>
      <c r="CB126" s="113"/>
      <c r="CC126" s="113"/>
      <c r="CD126" s="152"/>
      <c r="CE126" s="152">
        <f>CC126/BY126</f>
        <v>0</v>
      </c>
      <c r="CF126" s="152">
        <f>100%-CE126</f>
        <v>1</v>
      </c>
      <c r="CG126" s="152">
        <f>AVERAGE(CF126,CD126)</f>
        <v>1</v>
      </c>
      <c r="CH126" s="34"/>
      <c r="CJ126" s="56"/>
      <c r="CK126" s="56"/>
    </row>
    <row r="127" spans="1:89" x14ac:dyDescent="0.2">
      <c r="A127" s="269" t="s">
        <v>591</v>
      </c>
      <c r="B127" s="187" t="s">
        <v>590</v>
      </c>
      <c r="C127" s="6">
        <v>0.16200000000000001</v>
      </c>
      <c r="D127" s="8">
        <v>0.1132</v>
      </c>
      <c r="E127" s="7">
        <v>2.1000000000000001E-2</v>
      </c>
      <c r="F127" s="7">
        <v>0.1065</v>
      </c>
      <c r="G127" s="1">
        <v>1.6500000000000001E-2</v>
      </c>
      <c r="H127" s="1">
        <v>7.5999999999999998E-2</v>
      </c>
      <c r="I127" s="1">
        <v>0.18</v>
      </c>
      <c r="J127" s="1">
        <v>0.04</v>
      </c>
      <c r="K127" s="1">
        <v>0.14000000000000001</v>
      </c>
      <c r="L127" s="1">
        <v>1.4999999999999999E-2</v>
      </c>
      <c r="M127" s="2" t="s">
        <v>175</v>
      </c>
      <c r="N127" s="105">
        <v>2880</v>
      </c>
      <c r="O127" s="119"/>
      <c r="P127" s="119"/>
      <c r="Q127" s="119"/>
      <c r="R127" s="119"/>
      <c r="S127" s="119"/>
      <c r="T127" s="119"/>
      <c r="U127" s="119"/>
      <c r="V127" s="119">
        <v>8.09</v>
      </c>
      <c r="W127" s="119"/>
      <c r="X127" s="119">
        <f t="shared" si="160"/>
        <v>8.09</v>
      </c>
      <c r="Y127" s="118">
        <f t="shared" si="161"/>
        <v>8.09</v>
      </c>
      <c r="Z127" s="109">
        <f t="shared" si="162"/>
        <v>23299.200000000001</v>
      </c>
      <c r="AA127" s="109">
        <f>'CALCULO GERAL'!$G$10</f>
        <v>6300</v>
      </c>
      <c r="AB127" s="109">
        <f t="shared" si="163"/>
        <v>29599.200000000001</v>
      </c>
      <c r="AC127" s="109">
        <f>AB127*'CALCULO GERAL'!$C$11</f>
        <v>148558.3848</v>
      </c>
      <c r="AD127" s="109">
        <f t="shared" si="164"/>
        <v>24066.458337600001</v>
      </c>
      <c r="AE127" s="109">
        <f t="shared" si="165"/>
        <v>19541.132243176318</v>
      </c>
      <c r="AF127" s="109">
        <f t="shared" si="166"/>
        <v>3119.7260808000001</v>
      </c>
      <c r="AG127" s="109">
        <f t="shared" si="167"/>
        <v>15821.467981199999</v>
      </c>
      <c r="AH127" s="109">
        <v>154.22999999999999</v>
      </c>
      <c r="AI127" s="109">
        <f>((AA127*'CALCULO GERAL'!$C$11))*0.08+20</f>
        <v>2549.576</v>
      </c>
      <c r="AJ127" s="109">
        <v>1010</v>
      </c>
      <c r="AK127" s="109">
        <v>2500</v>
      </c>
      <c r="AL127" s="109">
        <f>(AA127*('CALCULO GERAL'!$C$11*1.02))-(AA127*'CALCULO GERAL'!$C$11)</f>
        <v>632.39400000000387</v>
      </c>
      <c r="AM127" s="109">
        <v>1800</v>
      </c>
      <c r="AN127" s="109">
        <v>2600</v>
      </c>
      <c r="AO127" s="109">
        <v>9400</v>
      </c>
      <c r="AP127" s="109">
        <v>1000</v>
      </c>
      <c r="AQ127" s="109">
        <v>0</v>
      </c>
      <c r="AR127" s="109">
        <v>0</v>
      </c>
      <c r="AS127" s="109"/>
      <c r="AT127" s="109">
        <f t="shared" si="44"/>
        <v>232753.36944277631</v>
      </c>
      <c r="AU127" s="111">
        <f t="shared" si="168"/>
        <v>80.817142167630664</v>
      </c>
      <c r="AV127" s="109">
        <f>IFERROR((BS127*'CALCULO GERAL'!$E$11)/N127,0)</f>
        <v>2.6821535999999999</v>
      </c>
      <c r="AW127" s="109">
        <f>AU127/'CALCULO GERAL'!$C$11</f>
        <v>16.102239921823205</v>
      </c>
      <c r="AX127" s="109">
        <f>BP127-BB127-BD127*'CALCULO GERAL'!$C$11</f>
        <v>63.855253770980951</v>
      </c>
      <c r="AY127" s="109">
        <f t="shared" si="169"/>
        <v>1.0536116872211858</v>
      </c>
      <c r="AZ127" s="109">
        <f t="shared" si="170"/>
        <v>4.8529992865945522</v>
      </c>
      <c r="BA127" s="109">
        <f t="shared" si="171"/>
        <v>120.47042759611928</v>
      </c>
      <c r="BB127" s="109">
        <f t="shared" si="172"/>
        <v>1.8070564139417891</v>
      </c>
      <c r="BC127" s="109">
        <f t="shared" si="173"/>
        <v>120.47042759611929</v>
      </c>
      <c r="BD127" s="109">
        <f t="shared" si="174"/>
        <v>13.637252403880703</v>
      </c>
      <c r="BE127" s="109">
        <f t="shared" si="175"/>
        <v>30898.409471999999</v>
      </c>
      <c r="BF127" s="109">
        <f t="shared" si="176"/>
        <v>46347.614207999999</v>
      </c>
      <c r="BG127" s="109">
        <f t="shared" si="177"/>
        <v>1.4483629439999999</v>
      </c>
      <c r="BH127" s="109">
        <f t="shared" si="178"/>
        <v>1.6092921599999999</v>
      </c>
      <c r="BI127" s="109">
        <f t="shared" si="179"/>
        <v>0</v>
      </c>
      <c r="BJ127" s="109">
        <f t="shared" si="180"/>
        <v>27.090728495638228</v>
      </c>
      <c r="BK127" s="109">
        <f t="shared" si="181"/>
        <v>107.90787066326889</v>
      </c>
      <c r="BL127" s="148">
        <v>0.61</v>
      </c>
      <c r="BM127" s="112">
        <f>ROUND((AW127/BL127)+((AW127*BL127)*'CALCULO GERAL'!$E$11)/BL127,2)</f>
        <v>26.72</v>
      </c>
      <c r="BN127" s="186">
        <f t="shared" si="17"/>
        <v>26.72</v>
      </c>
      <c r="BO127" s="186">
        <f t="shared" si="182"/>
        <v>31.306999999999999</v>
      </c>
      <c r="BP127" s="109">
        <f>BM127*'CALCULO GERAL'!$C$11</f>
        <v>134.10767999999999</v>
      </c>
      <c r="BQ127" s="109">
        <f>BO127*'CALCULO GERAL'!$C$11</f>
        <v>157.12983299999999</v>
      </c>
      <c r="BR127" s="186">
        <f>BN127*'CALCULO GERAL'!$C$11</f>
        <v>134.10767999999999</v>
      </c>
      <c r="BS127" s="109">
        <f t="shared" si="183"/>
        <v>386230.11839999998</v>
      </c>
      <c r="BT127" s="109">
        <f t="shared" si="43"/>
        <v>153476.74895722367</v>
      </c>
      <c r="BU127" s="109">
        <f t="shared" si="184"/>
        <v>386230.11839999998</v>
      </c>
      <c r="BV127" s="109">
        <f t="shared" si="50"/>
        <v>310774.66751021444</v>
      </c>
      <c r="BW127" s="109">
        <f t="shared" si="47"/>
        <v>75455.450889785541</v>
      </c>
      <c r="BX127" s="114">
        <f t="shared" si="185"/>
        <v>0.19536397420886778</v>
      </c>
      <c r="BY127" s="152">
        <f t="shared" si="51"/>
        <v>0.61</v>
      </c>
      <c r="BZ127" s="152"/>
      <c r="CA127" s="55"/>
      <c r="CB127" s="113"/>
      <c r="CC127" s="113"/>
      <c r="CD127" s="152"/>
      <c r="CE127" s="152">
        <f t="shared" si="52"/>
        <v>0</v>
      </c>
      <c r="CF127" s="152">
        <f t="shared" si="48"/>
        <v>1</v>
      </c>
      <c r="CG127" s="152">
        <f t="shared" si="49"/>
        <v>1</v>
      </c>
      <c r="CH127" s="34"/>
      <c r="CJ127" s="56"/>
      <c r="CK127" s="56"/>
    </row>
    <row r="128" spans="1:89" x14ac:dyDescent="0.2">
      <c r="A128" s="473" t="s">
        <v>593</v>
      </c>
      <c r="B128" s="366" t="s">
        <v>592</v>
      </c>
      <c r="C128" s="472">
        <v>0.2</v>
      </c>
      <c r="D128" s="367">
        <v>0</v>
      </c>
      <c r="E128" s="368">
        <v>2.1000000000000001E-2</v>
      </c>
      <c r="F128" s="368">
        <v>0.10249999999999999</v>
      </c>
      <c r="G128" s="1">
        <v>1.6500000000000001E-2</v>
      </c>
      <c r="H128" s="1">
        <v>7.5999999999999998E-2</v>
      </c>
      <c r="I128" s="1">
        <v>0.18</v>
      </c>
      <c r="J128" s="1">
        <v>0.04</v>
      </c>
      <c r="K128" s="1">
        <v>0.14000000000000001</v>
      </c>
      <c r="L128" s="1">
        <v>1.4999999999999999E-2</v>
      </c>
      <c r="M128" s="2" t="s">
        <v>175</v>
      </c>
      <c r="N128" s="105">
        <v>1</v>
      </c>
      <c r="O128" s="119"/>
      <c r="P128" s="119"/>
      <c r="Q128" s="119"/>
      <c r="R128" s="119"/>
      <c r="S128" s="119"/>
      <c r="T128" s="119"/>
      <c r="U128" s="119"/>
      <c r="V128" s="119">
        <v>2400</v>
      </c>
      <c r="W128" s="119"/>
      <c r="X128" s="119">
        <f>MIN(O128:W128)</f>
        <v>2400</v>
      </c>
      <c r="Y128" s="118">
        <f>AVERAGE(O128:W128)</f>
        <v>2400</v>
      </c>
      <c r="Z128" s="109">
        <f>Y128*N128</f>
        <v>2400</v>
      </c>
      <c r="AA128" s="109">
        <f>'CALCULO GERAL'!$G$10</f>
        <v>6300</v>
      </c>
      <c r="AB128" s="109">
        <f>Z128+AA128</f>
        <v>8700</v>
      </c>
      <c r="AC128" s="109">
        <f>AB128*'CALCULO GERAL'!$C$11</f>
        <v>43665.3</v>
      </c>
      <c r="AD128" s="109">
        <f>AC128*C128</f>
        <v>8733.0600000000013</v>
      </c>
      <c r="AE128" s="109">
        <f>(AC128+AD128)*D128</f>
        <v>0</v>
      </c>
      <c r="AF128" s="109">
        <f>AC128*E128</f>
        <v>916.97130000000016</v>
      </c>
      <c r="AG128" s="109">
        <f>AC128*F128</f>
        <v>4475.6932500000003</v>
      </c>
      <c r="AH128" s="109">
        <v>154.22999999999999</v>
      </c>
      <c r="AI128" s="109">
        <f>((AA128*'CALCULO GERAL'!$C$11))*0.08+20</f>
        <v>2549.576</v>
      </c>
      <c r="AJ128" s="109">
        <v>1010</v>
      </c>
      <c r="AK128" s="109">
        <v>2500</v>
      </c>
      <c r="AL128" s="109">
        <f>(AA128*('CALCULO GERAL'!$C$11*1.02))-(AA128*'CALCULO GERAL'!$C$11)</f>
        <v>632.39400000000387</v>
      </c>
      <c r="AM128" s="109">
        <v>1800</v>
      </c>
      <c r="AN128" s="109">
        <v>2600</v>
      </c>
      <c r="AO128" s="109">
        <v>9400</v>
      </c>
      <c r="AP128" s="109">
        <v>1000</v>
      </c>
      <c r="AQ128" s="109">
        <v>0</v>
      </c>
      <c r="AR128" s="109">
        <v>0</v>
      </c>
      <c r="AS128" s="109"/>
      <c r="AT128" s="109">
        <f>SUM(AC128:AS128)</f>
        <v>79437.224550000014</v>
      </c>
      <c r="AU128" s="111">
        <f>IFERROR((AT128/N128),0)</f>
        <v>79437.224550000014</v>
      </c>
      <c r="AV128" s="109">
        <f>IFERROR((BS128*'CALCULO GERAL'!$E$11)/N128,0)</f>
        <v>2301.4102524</v>
      </c>
      <c r="AW128" s="109">
        <f>AU128/'CALCULO GERAL'!$C$11</f>
        <v>15827.301165570832</v>
      </c>
      <c r="AX128" s="109">
        <f>BP128-BB128-BD128*'CALCULO GERAL'!$C$11</f>
        <v>113344.4549307</v>
      </c>
      <c r="AY128" s="109">
        <f>AX128*G128</f>
        <v>1870.18350635655</v>
      </c>
      <c r="AZ128" s="109">
        <f>AX128*H128</f>
        <v>8614.1785747331996</v>
      </c>
      <c r="BA128" s="109">
        <f>BP128-BD128</f>
        <v>115070.51261999999</v>
      </c>
      <c r="BB128" s="109">
        <f>BA128*L128</f>
        <v>1726.0576892999998</v>
      </c>
      <c r="BC128" s="109">
        <f>BP128/(1+D128)</f>
        <v>115070.51261999999</v>
      </c>
      <c r="BD128" s="109">
        <f>BC128*D128</f>
        <v>0</v>
      </c>
      <c r="BE128" s="109">
        <f>BU128*0.08</f>
        <v>9205.6410096</v>
      </c>
      <c r="BF128" s="109">
        <f>BU128*0.12</f>
        <v>13808.461514399998</v>
      </c>
      <c r="BG128" s="109">
        <f>(BF128*0.09)/N128</f>
        <v>1242.7615362959998</v>
      </c>
      <c r="BH128" s="109">
        <f>(BE128*0.15)/N128</f>
        <v>1380.8461514399999</v>
      </c>
      <c r="BI128" s="109">
        <f>IF(BE128&gt;=$BY$1,($BY$1-BE128)*0.1,IF(BE128&lt;=$BY$1,($BY$1*0)))/N128</f>
        <v>0</v>
      </c>
      <c r="BJ128" s="109">
        <f>(AY128+AZ128+BB128+AV128+BD128+BG128+BH128+BI128)</f>
        <v>17135.437710525748</v>
      </c>
      <c r="BK128" s="109">
        <f>BJ128+AU128</f>
        <v>96572.662260525758</v>
      </c>
      <c r="BL128" s="148">
        <v>0.7</v>
      </c>
      <c r="BM128" s="112">
        <f>ROUND((AW128/BL128)+((AW128*BL128)*'CALCULO GERAL'!$E$11)/BL128,2)</f>
        <v>22926.98</v>
      </c>
      <c r="BN128" s="186">
        <f>BM128</f>
        <v>22926.98</v>
      </c>
      <c r="BO128" s="186">
        <f>ROUND(FV(0.02,8,,BN128)*-1,3)</f>
        <v>26862.611000000001</v>
      </c>
      <c r="BP128" s="109">
        <f>BM128*'CALCULO GERAL'!$C$11</f>
        <v>115070.51261999999</v>
      </c>
      <c r="BQ128" s="109">
        <f>BO128*'CALCULO GERAL'!$C$11</f>
        <v>134823.444609</v>
      </c>
      <c r="BR128" s="186">
        <f>BN128*'CALCULO GERAL'!$C$11</f>
        <v>115070.51261999999</v>
      </c>
      <c r="BS128" s="109">
        <f>BP128*N128</f>
        <v>115070.51261999999</v>
      </c>
      <c r="BT128" s="109">
        <f t="shared" ref="BT128" si="186">BS128-AT128</f>
        <v>35633.288069999981</v>
      </c>
      <c r="BU128" s="109">
        <f>BR128*N128</f>
        <v>115070.51261999999</v>
      </c>
      <c r="BV128" s="109">
        <f>BK128*N128</f>
        <v>96572.662260525758</v>
      </c>
      <c r="BW128" s="109">
        <f>BS128-BV128</f>
        <v>18497.850359474236</v>
      </c>
      <c r="BX128" s="114">
        <f>(((BK128*N128)-BS128)/BS128*-1)</f>
        <v>0.16075230689690342</v>
      </c>
      <c r="BY128" s="152">
        <f>ROUND(BL128,2)</f>
        <v>0.7</v>
      </c>
      <c r="BZ128" s="152"/>
      <c r="CA128" s="55"/>
      <c r="CB128" s="113"/>
      <c r="CC128" s="113"/>
      <c r="CD128" s="152"/>
      <c r="CE128" s="152">
        <f>CC128/BY128</f>
        <v>0</v>
      </c>
      <c r="CF128" s="152">
        <f>100%-CE128</f>
        <v>1</v>
      </c>
      <c r="CG128" s="152">
        <f>AVERAGE(CF128,CD128)</f>
        <v>1</v>
      </c>
      <c r="CH128" s="34"/>
      <c r="CJ128" s="56"/>
      <c r="CK128" s="56"/>
    </row>
    <row r="129" spans="1:89" x14ac:dyDescent="0.2">
      <c r="A129" s="125" t="s">
        <v>681</v>
      </c>
      <c r="B129" s="187" t="s">
        <v>682</v>
      </c>
      <c r="C129" s="472">
        <v>0.16200000000000001</v>
      </c>
      <c r="D129" s="367">
        <v>0</v>
      </c>
      <c r="E129" s="368">
        <v>2.1000000000000001E-2</v>
      </c>
      <c r="F129" s="368">
        <v>0.10249999999999999</v>
      </c>
      <c r="G129" s="1">
        <v>1.6500000000000001E-2</v>
      </c>
      <c r="H129" s="1">
        <v>7.5999999999999998E-2</v>
      </c>
      <c r="I129" s="1">
        <v>0.18</v>
      </c>
      <c r="J129" s="1">
        <v>0.04</v>
      </c>
      <c r="K129" s="1">
        <v>0.14000000000000001</v>
      </c>
      <c r="L129" s="1">
        <v>1.4999999999999999E-2</v>
      </c>
      <c r="M129" s="2" t="s">
        <v>175</v>
      </c>
      <c r="N129" s="105">
        <v>1</v>
      </c>
      <c r="O129" s="119"/>
      <c r="P129" s="119"/>
      <c r="Q129" s="119"/>
      <c r="R129" s="119"/>
      <c r="S129" s="119"/>
      <c r="T129" s="119"/>
      <c r="U129" s="119"/>
      <c r="V129" s="119">
        <v>2400</v>
      </c>
      <c r="W129" s="119"/>
      <c r="X129" s="119">
        <f>MIN(O129:W129)</f>
        <v>2400</v>
      </c>
      <c r="Y129" s="118">
        <f>AVERAGE(O129:W129)</f>
        <v>2400</v>
      </c>
      <c r="Z129" s="109">
        <f>Y129*N129</f>
        <v>2400</v>
      </c>
      <c r="AA129" s="109">
        <f>'CALCULO GERAL'!$G$10</f>
        <v>6300</v>
      </c>
      <c r="AB129" s="109">
        <f>Z129+AA129</f>
        <v>8700</v>
      </c>
      <c r="AC129" s="109">
        <f>AB129*'CALCULO GERAL'!$C$11</f>
        <v>43665.3</v>
      </c>
      <c r="AD129" s="109">
        <f>AC129*C129</f>
        <v>7073.7786000000006</v>
      </c>
      <c r="AE129" s="109">
        <f>(AC129+AD129)*D129</f>
        <v>0</v>
      </c>
      <c r="AF129" s="109">
        <f>AC129*E129</f>
        <v>916.97130000000016</v>
      </c>
      <c r="AG129" s="109">
        <f>AC129*F129</f>
        <v>4475.6932500000003</v>
      </c>
      <c r="AH129" s="109">
        <v>154.22999999999999</v>
      </c>
      <c r="AI129" s="109">
        <f>((AA129*'CALCULO GERAL'!$C$11))*0.08+20</f>
        <v>2549.576</v>
      </c>
      <c r="AJ129" s="109">
        <v>1010</v>
      </c>
      <c r="AK129" s="109">
        <v>2500</v>
      </c>
      <c r="AL129" s="109">
        <f>(AA129*('CALCULO GERAL'!$C$11*1.02))-(AA129*'CALCULO GERAL'!$C$11)</f>
        <v>632.39400000000387</v>
      </c>
      <c r="AM129" s="109">
        <v>1800</v>
      </c>
      <c r="AN129" s="109">
        <v>2600</v>
      </c>
      <c r="AO129" s="109">
        <v>9400</v>
      </c>
      <c r="AP129" s="109">
        <v>1000</v>
      </c>
      <c r="AQ129" s="109">
        <v>0</v>
      </c>
      <c r="AR129" s="109">
        <v>0</v>
      </c>
      <c r="AS129" s="109"/>
      <c r="AT129" s="109">
        <f>SUM(AC129:AS129)</f>
        <v>77777.943150000006</v>
      </c>
      <c r="AU129" s="111">
        <f>IFERROR((AT129/N129),0)</f>
        <v>77777.943150000006</v>
      </c>
      <c r="AV129" s="109">
        <f>IFERROR((BS129*'CALCULO GERAL'!$E$11)/N129,0)</f>
        <v>2253.3382704000005</v>
      </c>
      <c r="AW129" s="109">
        <f>AU129/'CALCULO GERAL'!$C$11</f>
        <v>15496.701165570832</v>
      </c>
      <c r="AX129" s="109">
        <f>BP129-BB129-BD129*'CALCULO GERAL'!$C$11</f>
        <v>110976.90981720002</v>
      </c>
      <c r="AY129" s="109">
        <f>AX129*G129</f>
        <v>1831.1190119838004</v>
      </c>
      <c r="AZ129" s="109">
        <f>AX129*H129</f>
        <v>8434.2451461072014</v>
      </c>
      <c r="BA129" s="109">
        <f>BP129-BD129</f>
        <v>112666.91352000002</v>
      </c>
      <c r="BB129" s="109">
        <f>BA129*L129</f>
        <v>1690.0037028000002</v>
      </c>
      <c r="BC129" s="109">
        <f>BP129/(1+D129)</f>
        <v>112666.91352000002</v>
      </c>
      <c r="BD129" s="109">
        <f>BC129*D129</f>
        <v>0</v>
      </c>
      <c r="BE129" s="109">
        <f>BU129*0.08</f>
        <v>9013.353081600002</v>
      </c>
      <c r="BF129" s="109">
        <f>BU129*0.12</f>
        <v>13520.029622400001</v>
      </c>
      <c r="BG129" s="109">
        <f>(BF129*0.09)/N129</f>
        <v>1216.8026660160001</v>
      </c>
      <c r="BH129" s="109">
        <f>(BE129*0.15)/N129</f>
        <v>1352.0029622400002</v>
      </c>
      <c r="BI129" s="109">
        <f>IF(BE129&gt;=$BY$1,($BY$1-BE129)*0.1,IF(BE129&lt;=$BY$1,($BY$1*0)))/N129</f>
        <v>0</v>
      </c>
      <c r="BJ129" s="109">
        <f>(AY129+AZ129+BB129+AV129+BD129+BG129+BH129+BI129)</f>
        <v>16777.511759547004</v>
      </c>
      <c r="BK129" s="109">
        <f>BJ129+AU129</f>
        <v>94555.454909547014</v>
      </c>
      <c r="BL129" s="148">
        <v>0.7</v>
      </c>
      <c r="BM129" s="112">
        <f>ROUND((AW129/BL129)+((AW129*BL129)*'CALCULO GERAL'!$E$11)/BL129,2)</f>
        <v>22448.080000000002</v>
      </c>
      <c r="BN129" s="186">
        <f>BM129</f>
        <v>22448.080000000002</v>
      </c>
      <c r="BO129" s="186">
        <f>ROUND(FV(0.02,8,,BN129)*-1,3)</f>
        <v>26301.504000000001</v>
      </c>
      <c r="BP129" s="109">
        <f>BM129*'CALCULO GERAL'!$C$11</f>
        <v>112666.91352000002</v>
      </c>
      <c r="BQ129" s="109">
        <f>BO129*'CALCULO GERAL'!$C$11</f>
        <v>132007.24857600001</v>
      </c>
      <c r="BR129" s="186">
        <f>BN129*'CALCULO GERAL'!$C$11</f>
        <v>112666.91352000002</v>
      </c>
      <c r="BS129" s="109">
        <f>BP129*N129</f>
        <v>112666.91352000002</v>
      </c>
      <c r="BT129" s="109">
        <f t="shared" si="43"/>
        <v>34888.97037000001</v>
      </c>
      <c r="BU129" s="109">
        <f>BR129*N129</f>
        <v>112666.91352000002</v>
      </c>
      <c r="BV129" s="109">
        <f>BK129*N129</f>
        <v>94555.454909547014</v>
      </c>
      <c r="BW129" s="109">
        <f>BS129-BV129</f>
        <v>18111.458610453003</v>
      </c>
      <c r="BX129" s="114">
        <f>(((BK129*N129)-BS129)/BS129*-1)</f>
        <v>0.16075223900793159</v>
      </c>
      <c r="BY129" s="152">
        <f>ROUND(BL129,2)</f>
        <v>0.7</v>
      </c>
      <c r="BZ129" s="152"/>
      <c r="CA129" s="55"/>
      <c r="CB129" s="113"/>
      <c r="CC129" s="113"/>
      <c r="CD129" s="152"/>
      <c r="CE129" s="152">
        <f>CC129/BY129</f>
        <v>0</v>
      </c>
      <c r="CF129" s="152">
        <f>100%-CE129</f>
        <v>1</v>
      </c>
      <c r="CG129" s="152">
        <f>AVERAGE(CF129,CD129)</f>
        <v>1</v>
      </c>
      <c r="CH129" s="34"/>
      <c r="CJ129" s="56"/>
      <c r="CK129" s="56"/>
    </row>
    <row r="130" spans="1:89" x14ac:dyDescent="0.2">
      <c r="A130" s="473" t="s">
        <v>594</v>
      </c>
      <c r="B130" s="366" t="s">
        <v>595</v>
      </c>
      <c r="C130" s="472">
        <v>0</v>
      </c>
      <c r="D130" s="367">
        <v>0</v>
      </c>
      <c r="E130" s="368">
        <v>2.1000000000000001E-2</v>
      </c>
      <c r="F130" s="368">
        <v>0.10249999999999999</v>
      </c>
      <c r="G130" s="1">
        <v>1.6500000000000001E-2</v>
      </c>
      <c r="H130" s="1">
        <v>7.5999999999999998E-2</v>
      </c>
      <c r="I130" s="1">
        <v>0.18</v>
      </c>
      <c r="J130" s="1">
        <v>0.04</v>
      </c>
      <c r="K130" s="1">
        <v>0.14000000000000001</v>
      </c>
      <c r="L130" s="1">
        <v>1.4999999999999999E-2</v>
      </c>
      <c r="M130" s="2" t="s">
        <v>175</v>
      </c>
      <c r="N130" s="105">
        <v>1</v>
      </c>
      <c r="O130" s="119"/>
      <c r="P130" s="119"/>
      <c r="Q130" s="119"/>
      <c r="R130" s="119"/>
      <c r="S130" s="119"/>
      <c r="T130" s="119"/>
      <c r="U130" s="119"/>
      <c r="V130" s="119">
        <v>14788</v>
      </c>
      <c r="W130" s="119"/>
      <c r="X130" s="119">
        <f>MIN(O130:W130)</f>
        <v>14788</v>
      </c>
      <c r="Y130" s="118">
        <f>AVERAGE(O130:W130)</f>
        <v>14788</v>
      </c>
      <c r="Z130" s="109">
        <f>Y130*N130</f>
        <v>14788</v>
      </c>
      <c r="AA130" s="109">
        <f>'CALCULO GERAL'!$G$10</f>
        <v>6300</v>
      </c>
      <c r="AB130" s="109">
        <f>Z130+AA130</f>
        <v>21088</v>
      </c>
      <c r="AC130" s="109">
        <f>AB130*'CALCULO GERAL'!$C$11</f>
        <v>105840.67200000001</v>
      </c>
      <c r="AD130" s="109">
        <f>AC130*C130</f>
        <v>0</v>
      </c>
      <c r="AE130" s="109">
        <f>(AC130+AD130)*D130</f>
        <v>0</v>
      </c>
      <c r="AF130" s="109">
        <f>AC130*E130</f>
        <v>2222.6541120000002</v>
      </c>
      <c r="AG130" s="109">
        <f>AC130*F130</f>
        <v>10848.668879999999</v>
      </c>
      <c r="AH130" s="109">
        <v>154.22999999999999</v>
      </c>
      <c r="AI130" s="109">
        <f>((AA130*'CALCULO GERAL'!$C$11))*0.08+20</f>
        <v>2549.576</v>
      </c>
      <c r="AJ130" s="109">
        <v>1010</v>
      </c>
      <c r="AK130" s="109">
        <v>2500</v>
      </c>
      <c r="AL130" s="109">
        <f>(AA130*('CALCULO GERAL'!$C$11*1.02))-(AA130*'CALCULO GERAL'!$C$11)</f>
        <v>632.39400000000387</v>
      </c>
      <c r="AM130" s="109">
        <v>1800</v>
      </c>
      <c r="AN130" s="109">
        <v>2600</v>
      </c>
      <c r="AO130" s="109">
        <v>9400</v>
      </c>
      <c r="AP130" s="109">
        <v>1000</v>
      </c>
      <c r="AQ130" s="109">
        <v>0</v>
      </c>
      <c r="AR130" s="109">
        <v>0</v>
      </c>
      <c r="AS130" s="109"/>
      <c r="AT130" s="109">
        <f>SUM(AC130:AS130)</f>
        <v>140558.194992</v>
      </c>
      <c r="AU130" s="111">
        <f>IFERROR((AT130/N130),0)</f>
        <v>140558.194992</v>
      </c>
      <c r="AV130" s="109">
        <f>IFERROR((BS130*'CALCULO GERAL'!$E$11)/N130,0)</f>
        <v>4072.1716728000001</v>
      </c>
      <c r="AW130" s="109">
        <f>AU130/'CALCULO GERAL'!$C$11</f>
        <v>28005.21916557083</v>
      </c>
      <c r="AX130" s="109">
        <f>BP130-BB130-BD130*'CALCULO GERAL'!$C$11</f>
        <v>200554.45488539999</v>
      </c>
      <c r="AY130" s="109">
        <f>AX130*G130</f>
        <v>3309.1485056091001</v>
      </c>
      <c r="AZ130" s="109">
        <f>AX130*H130</f>
        <v>15242.138571290399</v>
      </c>
      <c r="BA130" s="109">
        <f>BP130-BD130</f>
        <v>203608.58364</v>
      </c>
      <c r="BB130" s="109">
        <f>BA130*L130</f>
        <v>3054.1287545999999</v>
      </c>
      <c r="BC130" s="109">
        <f>BP130/(1+D130)</f>
        <v>203608.58364</v>
      </c>
      <c r="BD130" s="109">
        <f>BC130*D130</f>
        <v>0</v>
      </c>
      <c r="BE130" s="109">
        <f>BU130*0.08</f>
        <v>16288.6866912</v>
      </c>
      <c r="BF130" s="109">
        <f>BU130*0.12</f>
        <v>24433.030036799999</v>
      </c>
      <c r="BG130" s="109">
        <f>(BF130*0.09)/N130</f>
        <v>2198.9727033119998</v>
      </c>
      <c r="BH130" s="109">
        <f>(BE130*0.15)/N130</f>
        <v>2443.3030036800001</v>
      </c>
      <c r="BI130" s="109">
        <f>IF(BE130&gt;=$BY$1,($BY$1-BE130)*0.1,IF(BE130&lt;=$BY$1,($BY$1*0)))/N130</f>
        <v>0</v>
      </c>
      <c r="BJ130" s="109">
        <f>(AY130+AZ130+BB130+AV130+BD130+BG130+BH130+BI130)</f>
        <v>30319.863211291497</v>
      </c>
      <c r="BK130" s="109">
        <f>BJ130+AU130</f>
        <v>170878.0582032915</v>
      </c>
      <c r="BL130" s="148">
        <v>0.7</v>
      </c>
      <c r="BM130" s="112">
        <f>ROUND((AW130/BL130)+((AW130*BL130)*'CALCULO GERAL'!$E$11)/BL130,2)</f>
        <v>40567.56</v>
      </c>
      <c r="BN130" s="186">
        <f>BM130</f>
        <v>40567.56</v>
      </c>
      <c r="BO130" s="186">
        <f>ROUND(FV(0.02,8,,BN130)*-1,3)</f>
        <v>47531.362000000001</v>
      </c>
      <c r="BP130" s="109">
        <f>BM130*'CALCULO GERAL'!$C$11</f>
        <v>203608.58364</v>
      </c>
      <c r="BQ130" s="109">
        <f>BO130*'CALCULO GERAL'!$C$11</f>
        <v>238559.90587800002</v>
      </c>
      <c r="BR130" s="186">
        <f>BN130*'CALCULO GERAL'!$C$11</f>
        <v>203608.58364</v>
      </c>
      <c r="BS130" s="109">
        <f>BP130*N130</f>
        <v>203608.58364</v>
      </c>
      <c r="BT130" s="109">
        <f t="shared" si="43"/>
        <v>63050.388647999993</v>
      </c>
      <c r="BU130" s="109">
        <f>BR130*N130</f>
        <v>203608.58364</v>
      </c>
      <c r="BV130" s="109">
        <f>BK130*N130</f>
        <v>170878.0582032915</v>
      </c>
      <c r="BW130" s="109">
        <f>BS130-BV130</f>
        <v>32730.5254367085</v>
      </c>
      <c r="BX130" s="114">
        <f>(((BK130*N130)-BS130)/BS130*-1)</f>
        <v>0.16075218859426521</v>
      </c>
      <c r="BY130" s="152">
        <f>ROUND(BL130,2)</f>
        <v>0.7</v>
      </c>
      <c r="BZ130" s="152"/>
      <c r="CA130" s="55"/>
      <c r="CB130" s="113"/>
      <c r="CC130" s="113"/>
      <c r="CD130" s="152"/>
      <c r="CE130" s="152">
        <f>CC130/BY130</f>
        <v>0</v>
      </c>
      <c r="CF130" s="152">
        <f>100%-CE130</f>
        <v>1</v>
      </c>
      <c r="CG130" s="152">
        <f>AVERAGE(CF130,CD130)</f>
        <v>1</v>
      </c>
      <c r="CH130" s="34"/>
      <c r="CJ130" s="56"/>
      <c r="CK130" s="56"/>
    </row>
    <row r="131" spans="1:89" x14ac:dyDescent="0.2">
      <c r="A131" s="125" t="s">
        <v>254</v>
      </c>
      <c r="B131" s="187" t="s">
        <v>255</v>
      </c>
      <c r="C131" s="6">
        <v>7.1999999999999995E-2</v>
      </c>
      <c r="D131" s="8">
        <v>0</v>
      </c>
      <c r="E131" s="7">
        <v>2.1000000000000001E-2</v>
      </c>
      <c r="F131" s="7">
        <v>9.6500000000000002E-2</v>
      </c>
      <c r="G131" s="1">
        <v>1.6500000000000001E-2</v>
      </c>
      <c r="H131" s="1">
        <v>7.5999999999999998E-2</v>
      </c>
      <c r="I131" s="1">
        <v>0.18</v>
      </c>
      <c r="J131" s="1">
        <v>0.04</v>
      </c>
      <c r="K131" s="1">
        <v>0.14000000000000001</v>
      </c>
      <c r="L131" s="1">
        <v>1.4999999999999999E-2</v>
      </c>
      <c r="M131" s="2" t="s">
        <v>175</v>
      </c>
      <c r="N131" s="105">
        <v>2200</v>
      </c>
      <c r="O131" s="119"/>
      <c r="P131" s="119"/>
      <c r="Q131" s="119"/>
      <c r="R131" s="119"/>
      <c r="S131" s="119"/>
      <c r="T131" s="119"/>
      <c r="U131" s="119"/>
      <c r="V131" s="119">
        <v>26.18</v>
      </c>
      <c r="W131" s="119"/>
      <c r="X131" s="119">
        <f t="shared" si="160"/>
        <v>26.18</v>
      </c>
      <c r="Y131" s="118">
        <f t="shared" si="161"/>
        <v>26.18</v>
      </c>
      <c r="Z131" s="109">
        <f t="shared" si="162"/>
        <v>57596</v>
      </c>
      <c r="AA131" s="109">
        <f>'CALCULO GERAL'!$G$10</f>
        <v>6300</v>
      </c>
      <c r="AB131" s="109">
        <f t="shared" si="163"/>
        <v>63896</v>
      </c>
      <c r="AC131" s="109">
        <f>AB131*'CALCULO GERAL'!$C$11</f>
        <v>320694.02400000003</v>
      </c>
      <c r="AD131" s="109">
        <f t="shared" si="164"/>
        <v>23089.969728</v>
      </c>
      <c r="AE131" s="109">
        <f t="shared" si="165"/>
        <v>0</v>
      </c>
      <c r="AF131" s="109">
        <f t="shared" si="166"/>
        <v>6734.5745040000011</v>
      </c>
      <c r="AG131" s="109">
        <f t="shared" si="167"/>
        <v>30946.973316000003</v>
      </c>
      <c r="AH131" s="109">
        <v>154.22999999999999</v>
      </c>
      <c r="AI131" s="109">
        <f>((AA131*'CALCULO GERAL'!$C$11))*0.08+20</f>
        <v>2549.576</v>
      </c>
      <c r="AJ131" s="109">
        <v>1010</v>
      </c>
      <c r="AK131" s="109">
        <v>2500</v>
      </c>
      <c r="AL131" s="109">
        <f>(AA131*('CALCULO GERAL'!$C$11*1.02))-(AA131*'CALCULO GERAL'!$C$11)</f>
        <v>632.39400000000387</v>
      </c>
      <c r="AM131" s="109">
        <v>1800</v>
      </c>
      <c r="AN131" s="109">
        <v>2600</v>
      </c>
      <c r="AO131" s="109">
        <v>9400</v>
      </c>
      <c r="AP131" s="109">
        <v>1000</v>
      </c>
      <c r="AQ131" s="109">
        <v>0</v>
      </c>
      <c r="AR131" s="109">
        <v>0</v>
      </c>
      <c r="AS131" s="109"/>
      <c r="AT131" s="109">
        <f t="shared" si="44"/>
        <v>403111.74154800008</v>
      </c>
      <c r="AU131" s="111">
        <f t="shared" si="168"/>
        <v>183.23260979454548</v>
      </c>
      <c r="AV131" s="109">
        <f>IFERROR((BS131*'CALCULO GERAL'!$E$11)/N131,0)</f>
        <v>5.3080943999999999</v>
      </c>
      <c r="AW131" s="109">
        <f>AU131/'CALCULO GERAL'!$C$11</f>
        <v>36.507792347986744</v>
      </c>
      <c r="AX131" s="109">
        <f>BP131-BB131-BD131*'CALCULO GERAL'!$C$11</f>
        <v>261.4236492</v>
      </c>
      <c r="AY131" s="109">
        <f t="shared" si="169"/>
        <v>4.3134902118000005</v>
      </c>
      <c r="AZ131" s="109">
        <f t="shared" si="170"/>
        <v>19.868197339199998</v>
      </c>
      <c r="BA131" s="109">
        <f t="shared" si="171"/>
        <v>265.40472</v>
      </c>
      <c r="BB131" s="109">
        <f t="shared" si="172"/>
        <v>3.9810707999999999</v>
      </c>
      <c r="BC131" s="109">
        <f t="shared" si="173"/>
        <v>265.40472</v>
      </c>
      <c r="BD131" s="109">
        <f t="shared" si="174"/>
        <v>0</v>
      </c>
      <c r="BE131" s="109">
        <f t="shared" si="175"/>
        <v>46711.23072</v>
      </c>
      <c r="BF131" s="109">
        <f t="shared" si="176"/>
        <v>70066.846079999988</v>
      </c>
      <c r="BG131" s="109">
        <f t="shared" si="177"/>
        <v>2.8663709759999998</v>
      </c>
      <c r="BH131" s="109">
        <f t="shared" si="178"/>
        <v>3.18485664</v>
      </c>
      <c r="BI131" s="109">
        <f t="shared" si="179"/>
        <v>0</v>
      </c>
      <c r="BJ131" s="109">
        <f t="shared" si="180"/>
        <v>39.522080367000001</v>
      </c>
      <c r="BK131" s="109">
        <f t="shared" si="181"/>
        <v>222.75469016154548</v>
      </c>
      <c r="BL131" s="148">
        <v>0.7</v>
      </c>
      <c r="BM131" s="112">
        <f>ROUND((AW131/BL131)+((AW131*BL131)*'CALCULO GERAL'!$E$11)/BL131,2)</f>
        <v>52.88</v>
      </c>
      <c r="BN131" s="186">
        <f t="shared" si="17"/>
        <v>52.88</v>
      </c>
      <c r="BO131" s="186">
        <f t="shared" si="182"/>
        <v>61.957000000000001</v>
      </c>
      <c r="BP131" s="109">
        <f>BM131*'CALCULO GERAL'!$C$11</f>
        <v>265.40472</v>
      </c>
      <c r="BQ131" s="109">
        <f>BO131*'CALCULO GERAL'!$C$11</f>
        <v>310.96218300000004</v>
      </c>
      <c r="BR131" s="186">
        <f>BN131*'CALCULO GERAL'!$C$11</f>
        <v>265.40472</v>
      </c>
      <c r="BS131" s="109">
        <f t="shared" si="183"/>
        <v>583890.38399999996</v>
      </c>
      <c r="BT131" s="109">
        <f t="shared" si="43"/>
        <v>180778.64245199988</v>
      </c>
      <c r="BU131" s="109">
        <f t="shared" si="184"/>
        <v>583890.38399999996</v>
      </c>
      <c r="BV131" s="109">
        <f t="shared" si="50"/>
        <v>490060.31835540006</v>
      </c>
      <c r="BW131" s="109">
        <f t="shared" si="47"/>
        <v>93830.065644599905</v>
      </c>
      <c r="BX131" s="114">
        <f t="shared" si="185"/>
        <v>0.1606980834344412</v>
      </c>
      <c r="BY131" s="152">
        <f t="shared" si="51"/>
        <v>0.7</v>
      </c>
      <c r="BZ131" s="152"/>
      <c r="CA131" s="55"/>
      <c r="CB131" s="113"/>
      <c r="CC131" s="113"/>
      <c r="CD131" s="152"/>
      <c r="CE131" s="152">
        <f t="shared" si="52"/>
        <v>0</v>
      </c>
      <c r="CF131" s="152">
        <f t="shared" si="48"/>
        <v>1</v>
      </c>
      <c r="CG131" s="152">
        <f t="shared" si="49"/>
        <v>1</v>
      </c>
      <c r="CH131" s="34"/>
      <c r="CJ131" s="56"/>
      <c r="CK131" s="56"/>
    </row>
    <row r="132" spans="1:89" x14ac:dyDescent="0.2">
      <c r="A132" s="125" t="s">
        <v>256</v>
      </c>
      <c r="B132" s="187" t="s">
        <v>580</v>
      </c>
      <c r="C132" s="6">
        <v>3.5999999999999997E-2</v>
      </c>
      <c r="D132" s="8">
        <v>0</v>
      </c>
      <c r="E132" s="7">
        <v>2.1000000000000001E-2</v>
      </c>
      <c r="F132" s="7">
        <v>9.6500000000000002E-2</v>
      </c>
      <c r="G132" s="1">
        <v>1.6500000000000001E-2</v>
      </c>
      <c r="H132" s="1">
        <v>7.5999999999999998E-2</v>
      </c>
      <c r="I132" s="1">
        <v>0.18</v>
      </c>
      <c r="J132" s="1">
        <v>0.04</v>
      </c>
      <c r="K132" s="1">
        <v>0.14000000000000001</v>
      </c>
      <c r="L132" s="1">
        <v>1.4999999999999999E-2</v>
      </c>
      <c r="M132" s="2" t="s">
        <v>175</v>
      </c>
      <c r="N132" s="105">
        <v>530</v>
      </c>
      <c r="O132" s="119"/>
      <c r="P132" s="119"/>
      <c r="Q132" s="119"/>
      <c r="R132" s="119"/>
      <c r="S132" s="119"/>
      <c r="T132" s="119"/>
      <c r="U132" s="119"/>
      <c r="V132" s="119">
        <v>48</v>
      </c>
      <c r="W132" s="119"/>
      <c r="X132" s="119">
        <f t="shared" si="160"/>
        <v>48</v>
      </c>
      <c r="Y132" s="118">
        <f t="shared" si="161"/>
        <v>48</v>
      </c>
      <c r="Z132" s="109">
        <f t="shared" si="162"/>
        <v>25440</v>
      </c>
      <c r="AA132" s="109">
        <f>'CALCULO GERAL'!$G$10</f>
        <v>6300</v>
      </c>
      <c r="AB132" s="109">
        <f t="shared" si="163"/>
        <v>31740</v>
      </c>
      <c r="AC132" s="109">
        <f>AB132*'CALCULO GERAL'!$C$11</f>
        <v>159303.06</v>
      </c>
      <c r="AD132" s="109">
        <f t="shared" si="164"/>
        <v>5734.9101599999995</v>
      </c>
      <c r="AE132" s="109">
        <f t="shared" si="165"/>
        <v>0</v>
      </c>
      <c r="AF132" s="109">
        <f t="shared" si="166"/>
        <v>3345.3642600000003</v>
      </c>
      <c r="AG132" s="109">
        <f t="shared" si="167"/>
        <v>15372.745290000001</v>
      </c>
      <c r="AH132" s="109">
        <v>154.22999999999999</v>
      </c>
      <c r="AI132" s="109">
        <f>((AA132*'CALCULO GERAL'!$C$11))*0.08+20</f>
        <v>2549.576</v>
      </c>
      <c r="AJ132" s="109">
        <v>1010</v>
      </c>
      <c r="AK132" s="109">
        <v>2500</v>
      </c>
      <c r="AL132" s="109">
        <f>(AA132*('CALCULO GERAL'!$C$11*1.02))-(AA132*'CALCULO GERAL'!$C$11)</f>
        <v>632.39400000000387</v>
      </c>
      <c r="AM132" s="109">
        <v>1800</v>
      </c>
      <c r="AN132" s="109">
        <v>2600</v>
      </c>
      <c r="AO132" s="109">
        <v>9400</v>
      </c>
      <c r="AP132" s="109">
        <v>1000</v>
      </c>
      <c r="AQ132" s="109">
        <v>0</v>
      </c>
      <c r="AR132" s="109">
        <v>0</v>
      </c>
      <c r="AS132" s="109"/>
      <c r="AT132" s="109">
        <f t="shared" si="44"/>
        <v>205402.27971</v>
      </c>
      <c r="AU132" s="111">
        <f t="shared" si="168"/>
        <v>387.55147115094343</v>
      </c>
      <c r="AV132" s="109">
        <f>IFERROR((BS132*'CALCULO GERAL'!$E$11)/N132,0)</f>
        <v>11.227502999999999</v>
      </c>
      <c r="AW132" s="109">
        <f>AU132/'CALCULO GERAL'!$C$11</f>
        <v>77.21687012371855</v>
      </c>
      <c r="AX132" s="109">
        <f>BP132-BB132-BD132*'CALCULO GERAL'!$C$11</f>
        <v>552.95452274999991</v>
      </c>
      <c r="AY132" s="109">
        <f t="shared" si="169"/>
        <v>9.1237496253749981</v>
      </c>
      <c r="AZ132" s="109">
        <f t="shared" si="170"/>
        <v>42.024543728999994</v>
      </c>
      <c r="BA132" s="109">
        <f t="shared" si="171"/>
        <v>561.37514999999996</v>
      </c>
      <c r="BB132" s="109">
        <f t="shared" si="172"/>
        <v>8.420627249999999</v>
      </c>
      <c r="BC132" s="109">
        <f t="shared" si="173"/>
        <v>561.37514999999996</v>
      </c>
      <c r="BD132" s="109">
        <f t="shared" si="174"/>
        <v>0</v>
      </c>
      <c r="BE132" s="109">
        <f t="shared" si="175"/>
        <v>23802.306359999999</v>
      </c>
      <c r="BF132" s="109">
        <f t="shared" si="176"/>
        <v>35703.459539999996</v>
      </c>
      <c r="BG132" s="109">
        <f t="shared" si="177"/>
        <v>6.0628516199999991</v>
      </c>
      <c r="BH132" s="109">
        <f t="shared" si="178"/>
        <v>6.7365018000000001</v>
      </c>
      <c r="BI132" s="109">
        <f t="shared" si="179"/>
        <v>0</v>
      </c>
      <c r="BJ132" s="109">
        <f t="shared" si="180"/>
        <v>83.595777024374996</v>
      </c>
      <c r="BK132" s="109">
        <f t="shared" si="181"/>
        <v>471.1472481753184</v>
      </c>
      <c r="BL132" s="148">
        <v>0.7</v>
      </c>
      <c r="BM132" s="112">
        <f>ROUND((AW132/BL132)+((AW132*BL132)*'CALCULO GERAL'!$E$11)/BL132,2)</f>
        <v>111.85</v>
      </c>
      <c r="BN132" s="186">
        <f t="shared" si="17"/>
        <v>111.85</v>
      </c>
      <c r="BO132" s="186">
        <f t="shared" si="182"/>
        <v>131.05000000000001</v>
      </c>
      <c r="BP132" s="109">
        <f>BM132*'CALCULO GERAL'!$C$11</f>
        <v>561.37514999999996</v>
      </c>
      <c r="BQ132" s="109">
        <f>BO132*'CALCULO GERAL'!$C$11</f>
        <v>657.73995000000002</v>
      </c>
      <c r="BR132" s="186">
        <f>BN132*'CALCULO GERAL'!$C$11</f>
        <v>561.37514999999996</v>
      </c>
      <c r="BS132" s="109">
        <f t="shared" si="183"/>
        <v>297528.82949999999</v>
      </c>
      <c r="BT132" s="109">
        <f t="shared" ref="BT132:BT195" si="187">BS132-AT132</f>
        <v>92126.54978999999</v>
      </c>
      <c r="BU132" s="109">
        <f t="shared" si="184"/>
        <v>297528.82949999999</v>
      </c>
      <c r="BV132" s="109">
        <f t="shared" si="50"/>
        <v>249708.04153291875</v>
      </c>
      <c r="BW132" s="109">
        <f t="shared" si="47"/>
        <v>47820.78796708124</v>
      </c>
      <c r="BX132" s="114">
        <f t="shared" si="185"/>
        <v>0.16072656907716984</v>
      </c>
      <c r="BY132" s="152">
        <f t="shared" si="51"/>
        <v>0.7</v>
      </c>
      <c r="BZ132" s="152"/>
      <c r="CA132" s="55"/>
      <c r="CB132" s="113"/>
      <c r="CC132" s="113"/>
      <c r="CD132" s="152"/>
      <c r="CE132" s="152">
        <f t="shared" si="52"/>
        <v>0</v>
      </c>
      <c r="CF132" s="152">
        <f t="shared" si="48"/>
        <v>1</v>
      </c>
      <c r="CG132" s="152">
        <f t="shared" si="49"/>
        <v>1</v>
      </c>
      <c r="CH132" s="34"/>
      <c r="CJ132" s="56"/>
      <c r="CK132" s="56"/>
    </row>
    <row r="133" spans="1:89" x14ac:dyDescent="0.2">
      <c r="A133" s="125" t="s">
        <v>257</v>
      </c>
      <c r="B133" s="187" t="s">
        <v>258</v>
      </c>
      <c r="C133" s="6">
        <v>9.6000000000000002E-2</v>
      </c>
      <c r="D133" s="8">
        <v>0</v>
      </c>
      <c r="E133" s="7">
        <v>2.1000000000000001E-2</v>
      </c>
      <c r="F133" s="7">
        <v>9.6500000000000002E-2</v>
      </c>
      <c r="G133" s="1">
        <v>1.6500000000000001E-2</v>
      </c>
      <c r="H133" s="1">
        <v>7.5999999999999998E-2</v>
      </c>
      <c r="I133" s="1">
        <v>0.18</v>
      </c>
      <c r="J133" s="1">
        <v>0.04</v>
      </c>
      <c r="K133" s="1">
        <v>0.14000000000000001</v>
      </c>
      <c r="L133" s="1">
        <v>1.4999999999999999E-2</v>
      </c>
      <c r="M133" s="2" t="s">
        <v>175</v>
      </c>
      <c r="N133" s="105">
        <v>1200</v>
      </c>
      <c r="O133" s="119"/>
      <c r="P133" s="119"/>
      <c r="Q133" s="119"/>
      <c r="R133" s="119"/>
      <c r="S133" s="119"/>
      <c r="T133" s="119"/>
      <c r="U133" s="119"/>
      <c r="V133" s="119">
        <v>0.99</v>
      </c>
      <c r="W133" s="119"/>
      <c r="X133" s="119">
        <f t="shared" si="160"/>
        <v>0.99</v>
      </c>
      <c r="Y133" s="118">
        <f t="shared" si="161"/>
        <v>0.99</v>
      </c>
      <c r="Z133" s="109">
        <f t="shared" si="162"/>
        <v>1188</v>
      </c>
      <c r="AA133" s="109">
        <f>'CALCULO GERAL'!$G$10</f>
        <v>6300</v>
      </c>
      <c r="AB133" s="109">
        <f t="shared" si="163"/>
        <v>7488</v>
      </c>
      <c r="AC133" s="109">
        <f>AB133*'CALCULO GERAL'!$C$11</f>
        <v>37582.272000000004</v>
      </c>
      <c r="AD133" s="109">
        <f t="shared" si="164"/>
        <v>3607.8981120000003</v>
      </c>
      <c r="AE133" s="109">
        <f t="shared" si="165"/>
        <v>0</v>
      </c>
      <c r="AF133" s="109">
        <f t="shared" si="166"/>
        <v>789.22771200000011</v>
      </c>
      <c r="AG133" s="109">
        <f t="shared" si="167"/>
        <v>3626.6892480000006</v>
      </c>
      <c r="AH133" s="109">
        <v>154.22999999999999</v>
      </c>
      <c r="AI133" s="109">
        <f>((AA133*'CALCULO GERAL'!$C$11))*0.08+20</f>
        <v>2549.576</v>
      </c>
      <c r="AJ133" s="109">
        <v>1010</v>
      </c>
      <c r="AK133" s="109">
        <v>2500</v>
      </c>
      <c r="AL133" s="109">
        <f>(AA133*('CALCULO GERAL'!$C$11*1.02))-(AA133*'CALCULO GERAL'!$C$11)</f>
        <v>632.39400000000387</v>
      </c>
      <c r="AM133" s="109">
        <v>1800</v>
      </c>
      <c r="AN133" s="109">
        <v>2600</v>
      </c>
      <c r="AO133" s="109">
        <v>9400</v>
      </c>
      <c r="AP133" s="109">
        <v>1000</v>
      </c>
      <c r="AQ133" s="109">
        <v>0</v>
      </c>
      <c r="AR133" s="109">
        <v>0</v>
      </c>
      <c r="AS133" s="109"/>
      <c r="AT133" s="109">
        <f t="shared" si="44"/>
        <v>67252.287072000021</v>
      </c>
      <c r="AU133" s="111">
        <f t="shared" si="168"/>
        <v>56.043572560000015</v>
      </c>
      <c r="AV133" s="109">
        <f>IFERROR((BS133*'CALCULO GERAL'!$E$11)/N133,0)</f>
        <v>1.6241483999999999</v>
      </c>
      <c r="AW133" s="109">
        <f>AU133/'CALCULO GERAL'!$C$11</f>
        <v>11.166282637975694</v>
      </c>
      <c r="AX133" s="109">
        <f>BP133-BB133-BD133*'CALCULO GERAL'!$C$11</f>
        <v>79.989308699999995</v>
      </c>
      <c r="AY133" s="109">
        <f t="shared" si="169"/>
        <v>1.31982359355</v>
      </c>
      <c r="AZ133" s="109">
        <f t="shared" si="170"/>
        <v>6.0791874611999992</v>
      </c>
      <c r="BA133" s="109">
        <f t="shared" si="171"/>
        <v>81.207419999999999</v>
      </c>
      <c r="BB133" s="109">
        <f t="shared" si="172"/>
        <v>1.2181112999999999</v>
      </c>
      <c r="BC133" s="109">
        <f t="shared" si="173"/>
        <v>81.207419999999999</v>
      </c>
      <c r="BD133" s="109">
        <f t="shared" si="174"/>
        <v>0</v>
      </c>
      <c r="BE133" s="109">
        <f t="shared" si="175"/>
        <v>7795.9123199999995</v>
      </c>
      <c r="BF133" s="109">
        <f t="shared" si="176"/>
        <v>11693.868479999999</v>
      </c>
      <c r="BG133" s="109">
        <f t="shared" si="177"/>
        <v>0.87704013599999997</v>
      </c>
      <c r="BH133" s="109">
        <f t="shared" si="178"/>
        <v>0.97448903999999992</v>
      </c>
      <c r="BI133" s="109">
        <f t="shared" si="179"/>
        <v>0</v>
      </c>
      <c r="BJ133" s="109">
        <f t="shared" si="180"/>
        <v>12.092799930749997</v>
      </c>
      <c r="BK133" s="109">
        <f t="shared" si="181"/>
        <v>68.136372490750006</v>
      </c>
      <c r="BL133" s="148">
        <v>0.7</v>
      </c>
      <c r="BM133" s="112">
        <f>ROUND((AW133/BL133)+((AW133*BL133)*'CALCULO GERAL'!$E$11)/BL133,2)</f>
        <v>16.18</v>
      </c>
      <c r="BN133" s="186">
        <f t="shared" si="17"/>
        <v>16.18</v>
      </c>
      <c r="BO133" s="186">
        <f t="shared" si="182"/>
        <v>18.957000000000001</v>
      </c>
      <c r="BP133" s="109">
        <f>BM133*'CALCULO GERAL'!$C$11</f>
        <v>81.207419999999999</v>
      </c>
      <c r="BQ133" s="109">
        <f>BO133*'CALCULO GERAL'!$C$11</f>
        <v>95.145183000000003</v>
      </c>
      <c r="BR133" s="186">
        <f>BN133*'CALCULO GERAL'!$C$11</f>
        <v>81.207419999999999</v>
      </c>
      <c r="BS133" s="109">
        <f t="shared" si="183"/>
        <v>97448.903999999995</v>
      </c>
      <c r="BT133" s="109">
        <f t="shared" si="187"/>
        <v>30196.616927999974</v>
      </c>
      <c r="BU133" s="109">
        <f t="shared" si="184"/>
        <v>97448.903999999995</v>
      </c>
      <c r="BV133" s="109">
        <f t="shared" si="50"/>
        <v>81763.6469889</v>
      </c>
      <c r="BW133" s="109">
        <f t="shared" si="47"/>
        <v>15685.257011099995</v>
      </c>
      <c r="BX133" s="114">
        <f t="shared" si="185"/>
        <v>0.16095878319062465</v>
      </c>
      <c r="BY133" s="152">
        <f t="shared" si="51"/>
        <v>0.7</v>
      </c>
      <c r="BZ133" s="152"/>
      <c r="CA133" s="55"/>
      <c r="CB133" s="113"/>
      <c r="CC133" s="113"/>
      <c r="CD133" s="152"/>
      <c r="CE133" s="152">
        <f t="shared" si="52"/>
        <v>0</v>
      </c>
      <c r="CF133" s="152">
        <f t="shared" si="48"/>
        <v>1</v>
      </c>
      <c r="CG133" s="152">
        <f t="shared" si="49"/>
        <v>1</v>
      </c>
      <c r="CH133" s="34"/>
      <c r="CJ133" s="56"/>
      <c r="CK133" s="56"/>
    </row>
    <row r="134" spans="1:89" x14ac:dyDescent="0.2">
      <c r="A134" s="125" t="s">
        <v>259</v>
      </c>
      <c r="B134" s="187" t="s">
        <v>260</v>
      </c>
      <c r="C134" s="6">
        <v>0.25</v>
      </c>
      <c r="D134" s="8">
        <v>0</v>
      </c>
      <c r="E134" s="7">
        <v>2.1000000000000001E-2</v>
      </c>
      <c r="F134" s="7">
        <v>9.6500000000000002E-2</v>
      </c>
      <c r="G134" s="1">
        <v>1.6500000000000001E-2</v>
      </c>
      <c r="H134" s="1">
        <v>7.5999999999999998E-2</v>
      </c>
      <c r="I134" s="1">
        <v>0.18</v>
      </c>
      <c r="J134" s="1">
        <v>0.04</v>
      </c>
      <c r="K134" s="1">
        <v>0.14000000000000001</v>
      </c>
      <c r="L134" s="1">
        <v>1.4999999999999999E-2</v>
      </c>
      <c r="M134" s="2" t="s">
        <v>175</v>
      </c>
      <c r="N134" s="105">
        <v>2200</v>
      </c>
      <c r="O134" s="119"/>
      <c r="P134" s="119"/>
      <c r="Q134" s="119"/>
      <c r="R134" s="119"/>
      <c r="S134" s="119"/>
      <c r="T134" s="119"/>
      <c r="U134" s="119"/>
      <c r="V134" s="119">
        <v>13.8</v>
      </c>
      <c r="W134" s="119"/>
      <c r="X134" s="119">
        <f t="shared" si="160"/>
        <v>13.8</v>
      </c>
      <c r="Y134" s="118">
        <f t="shared" si="161"/>
        <v>13.8</v>
      </c>
      <c r="Z134" s="109">
        <f t="shared" si="162"/>
        <v>30360</v>
      </c>
      <c r="AA134" s="109">
        <f>'CALCULO GERAL'!$G$10</f>
        <v>6300</v>
      </c>
      <c r="AB134" s="109">
        <f t="shared" si="163"/>
        <v>36660</v>
      </c>
      <c r="AC134" s="109">
        <f>AB134*'CALCULO GERAL'!$C$11</f>
        <v>183996.54</v>
      </c>
      <c r="AD134" s="109">
        <f t="shared" si="164"/>
        <v>45999.135000000002</v>
      </c>
      <c r="AE134" s="109">
        <f t="shared" si="165"/>
        <v>0</v>
      </c>
      <c r="AF134" s="109">
        <f t="shared" si="166"/>
        <v>3863.9273400000002</v>
      </c>
      <c r="AG134" s="109">
        <f t="shared" si="167"/>
        <v>17755.666110000002</v>
      </c>
      <c r="AH134" s="109">
        <v>154.22999999999999</v>
      </c>
      <c r="AI134" s="109">
        <f>((AA134*'CALCULO GERAL'!$C$11))*0.08+20</f>
        <v>2549.576</v>
      </c>
      <c r="AJ134" s="109">
        <v>1010</v>
      </c>
      <c r="AK134" s="109">
        <v>2500</v>
      </c>
      <c r="AL134" s="109">
        <f>(AA134*('CALCULO GERAL'!$C$11*1.02))-(AA134*'CALCULO GERAL'!$C$11)</f>
        <v>632.39400000000387</v>
      </c>
      <c r="AM134" s="109">
        <v>1800</v>
      </c>
      <c r="AN134" s="109">
        <v>2600</v>
      </c>
      <c r="AO134" s="109">
        <v>9400</v>
      </c>
      <c r="AP134" s="109">
        <v>1000</v>
      </c>
      <c r="AQ134" s="109">
        <v>0</v>
      </c>
      <c r="AR134" s="109">
        <v>0</v>
      </c>
      <c r="AS134" s="109"/>
      <c r="AT134" s="109">
        <f t="shared" si="44"/>
        <v>273261.46845000004</v>
      </c>
      <c r="AU134" s="111">
        <f t="shared" si="168"/>
        <v>124.20975838636366</v>
      </c>
      <c r="AV134" s="109">
        <f>IFERROR((BS134*'CALCULO GERAL'!$E$11)/N134,0)</f>
        <v>3.5986230000000003</v>
      </c>
      <c r="AW134" s="109">
        <f>AU134/'CALCULO GERAL'!$C$11</f>
        <v>24.747909620714019</v>
      </c>
      <c r="AX134" s="109">
        <f>BP134-BB134-BD134*'CALCULO GERAL'!$C$11</f>
        <v>177.23218274999999</v>
      </c>
      <c r="AY134" s="109">
        <f t="shared" si="169"/>
        <v>2.924331015375</v>
      </c>
      <c r="AZ134" s="109">
        <f t="shared" si="170"/>
        <v>13.469645888999999</v>
      </c>
      <c r="BA134" s="109">
        <f t="shared" si="171"/>
        <v>179.93115</v>
      </c>
      <c r="BB134" s="109">
        <f t="shared" si="172"/>
        <v>2.6989672499999999</v>
      </c>
      <c r="BC134" s="109">
        <f t="shared" si="173"/>
        <v>179.93115</v>
      </c>
      <c r="BD134" s="109">
        <f t="shared" si="174"/>
        <v>0</v>
      </c>
      <c r="BE134" s="109">
        <f t="shared" si="175"/>
        <v>31667.882400000002</v>
      </c>
      <c r="BF134" s="109">
        <f t="shared" si="176"/>
        <v>47501.823600000003</v>
      </c>
      <c r="BG134" s="109">
        <f t="shared" si="177"/>
        <v>1.94325642</v>
      </c>
      <c r="BH134" s="109">
        <f t="shared" si="178"/>
        <v>2.1591738</v>
      </c>
      <c r="BI134" s="109">
        <f t="shared" si="179"/>
        <v>0</v>
      </c>
      <c r="BJ134" s="109">
        <f t="shared" si="180"/>
        <v>26.793997374375</v>
      </c>
      <c r="BK134" s="109">
        <f t="shared" si="181"/>
        <v>151.00375576073867</v>
      </c>
      <c r="BL134" s="148">
        <v>0.7</v>
      </c>
      <c r="BM134" s="112">
        <f>ROUND((AW134/BL134)+((AW134*BL134)*'CALCULO GERAL'!$E$11)/BL134,2)</f>
        <v>35.85</v>
      </c>
      <c r="BN134" s="186">
        <f t="shared" si="17"/>
        <v>35.85</v>
      </c>
      <c r="BO134" s="186">
        <f t="shared" si="182"/>
        <v>42.003999999999998</v>
      </c>
      <c r="BP134" s="109">
        <f>BM134*'CALCULO GERAL'!$C$11</f>
        <v>179.93115</v>
      </c>
      <c r="BQ134" s="109">
        <f>BO134*'CALCULO GERAL'!$C$11</f>
        <v>210.81807599999999</v>
      </c>
      <c r="BR134" s="186">
        <f>BN134*'CALCULO GERAL'!$C$11</f>
        <v>179.93115</v>
      </c>
      <c r="BS134" s="109">
        <f t="shared" si="183"/>
        <v>395848.53</v>
      </c>
      <c r="BT134" s="109">
        <f t="shared" si="187"/>
        <v>122587.06154999998</v>
      </c>
      <c r="BU134" s="109">
        <f t="shared" si="184"/>
        <v>395848.53</v>
      </c>
      <c r="BV134" s="109">
        <f t="shared" si="50"/>
        <v>332208.26267362508</v>
      </c>
      <c r="BW134" s="109">
        <f t="shared" si="47"/>
        <v>63640.267326374946</v>
      </c>
      <c r="BX134" s="114">
        <f t="shared" si="185"/>
        <v>0.16076924000797715</v>
      </c>
      <c r="BY134" s="152">
        <f t="shared" si="51"/>
        <v>0.7</v>
      </c>
      <c r="BZ134" s="152"/>
      <c r="CA134" s="55"/>
      <c r="CB134" s="113"/>
      <c r="CC134" s="113"/>
      <c r="CD134" s="152"/>
      <c r="CE134" s="152">
        <f t="shared" si="52"/>
        <v>0</v>
      </c>
      <c r="CF134" s="152">
        <f t="shared" si="48"/>
        <v>1</v>
      </c>
      <c r="CG134" s="152">
        <f t="shared" si="49"/>
        <v>1</v>
      </c>
      <c r="CH134" s="34"/>
      <c r="CJ134" s="56"/>
      <c r="CK134" s="56"/>
    </row>
    <row r="135" spans="1:89" x14ac:dyDescent="0.2">
      <c r="A135" s="125" t="s">
        <v>40</v>
      </c>
      <c r="B135" s="187" t="s">
        <v>260</v>
      </c>
      <c r="C135" s="6">
        <v>0.25</v>
      </c>
      <c r="D135" s="8">
        <v>0</v>
      </c>
      <c r="E135" s="7">
        <v>2.1000000000000001E-2</v>
      </c>
      <c r="F135" s="7">
        <v>9.6500000000000002E-2</v>
      </c>
      <c r="G135" s="1">
        <v>1.6500000000000001E-2</v>
      </c>
      <c r="H135" s="1">
        <v>7.5999999999999998E-2</v>
      </c>
      <c r="I135" s="1">
        <v>0.18</v>
      </c>
      <c r="J135" s="1">
        <v>0.04</v>
      </c>
      <c r="K135" s="1">
        <v>0.14000000000000001</v>
      </c>
      <c r="L135" s="1">
        <v>1.4999999999999999E-2</v>
      </c>
      <c r="M135" s="2" t="s">
        <v>175</v>
      </c>
      <c r="N135" s="105">
        <v>1250</v>
      </c>
      <c r="O135" s="119"/>
      <c r="P135" s="119"/>
      <c r="Q135" s="119"/>
      <c r="R135" s="119"/>
      <c r="S135" s="119"/>
      <c r="T135" s="119"/>
      <c r="U135" s="119"/>
      <c r="V135" s="119">
        <v>31.5</v>
      </c>
      <c r="W135" s="119"/>
      <c r="X135" s="119">
        <f t="shared" si="160"/>
        <v>31.5</v>
      </c>
      <c r="Y135" s="118">
        <f t="shared" si="161"/>
        <v>31.5</v>
      </c>
      <c r="Z135" s="109">
        <f t="shared" si="162"/>
        <v>39375</v>
      </c>
      <c r="AA135" s="109">
        <f>'CALCULO GERAL'!$G$10</f>
        <v>6300</v>
      </c>
      <c r="AB135" s="109">
        <f t="shared" si="163"/>
        <v>45675</v>
      </c>
      <c r="AC135" s="109">
        <f>AB135*'CALCULO GERAL'!$C$11</f>
        <v>229242.82500000001</v>
      </c>
      <c r="AD135" s="109">
        <f t="shared" si="164"/>
        <v>57310.706250000003</v>
      </c>
      <c r="AE135" s="109">
        <f t="shared" si="165"/>
        <v>0</v>
      </c>
      <c r="AF135" s="109">
        <f t="shared" si="166"/>
        <v>4814.0993250000001</v>
      </c>
      <c r="AG135" s="109">
        <f t="shared" si="167"/>
        <v>22121.932612500001</v>
      </c>
      <c r="AH135" s="109">
        <v>154.22999999999999</v>
      </c>
      <c r="AI135" s="109">
        <f>((AA135*'CALCULO GERAL'!$C$11))*0.08+20</f>
        <v>2549.576</v>
      </c>
      <c r="AJ135" s="109">
        <v>1010</v>
      </c>
      <c r="AK135" s="109">
        <v>2500</v>
      </c>
      <c r="AL135" s="109">
        <f>(AA135*('CALCULO GERAL'!$C$11*1.02))-(AA135*'CALCULO GERAL'!$C$11)</f>
        <v>632.39400000000387</v>
      </c>
      <c r="AM135" s="109">
        <v>1800</v>
      </c>
      <c r="AN135" s="109">
        <v>2600</v>
      </c>
      <c r="AO135" s="109">
        <v>9400</v>
      </c>
      <c r="AP135" s="109">
        <v>1000</v>
      </c>
      <c r="AQ135" s="109">
        <v>0</v>
      </c>
      <c r="AR135" s="109">
        <v>0</v>
      </c>
      <c r="AS135" s="109"/>
      <c r="AT135" s="109">
        <f t="shared" si="44"/>
        <v>335135.76318750001</v>
      </c>
      <c r="AU135" s="111">
        <f t="shared" si="168"/>
        <v>268.10861054999998</v>
      </c>
      <c r="AV135" s="109">
        <f>IFERROR((BS135*'CALCULO GERAL'!$E$11)/N135,0)</f>
        <v>7.7674043999999993</v>
      </c>
      <c r="AW135" s="109">
        <f>AU135/'CALCULO GERAL'!$C$11</f>
        <v>53.418730932456661</v>
      </c>
      <c r="AX135" s="109">
        <f>BP135-BB135-BD135*'CALCULO GERAL'!$C$11</f>
        <v>382.54466669999994</v>
      </c>
      <c r="AY135" s="109">
        <f t="shared" si="169"/>
        <v>6.3119870005499994</v>
      </c>
      <c r="AZ135" s="109">
        <f t="shared" si="170"/>
        <v>29.073394669199995</v>
      </c>
      <c r="BA135" s="109">
        <f t="shared" si="171"/>
        <v>388.37021999999996</v>
      </c>
      <c r="BB135" s="109">
        <f t="shared" si="172"/>
        <v>5.8255532999999993</v>
      </c>
      <c r="BC135" s="109">
        <f t="shared" si="173"/>
        <v>388.37021999999996</v>
      </c>
      <c r="BD135" s="109">
        <f t="shared" si="174"/>
        <v>0</v>
      </c>
      <c r="BE135" s="109">
        <f t="shared" si="175"/>
        <v>38837.021999999997</v>
      </c>
      <c r="BF135" s="109">
        <f t="shared" si="176"/>
        <v>58255.532999999996</v>
      </c>
      <c r="BG135" s="109">
        <f t="shared" si="177"/>
        <v>4.1943983759999997</v>
      </c>
      <c r="BH135" s="109">
        <f t="shared" si="178"/>
        <v>4.6604426399999994</v>
      </c>
      <c r="BI135" s="109">
        <f t="shared" si="179"/>
        <v>0</v>
      </c>
      <c r="BJ135" s="109">
        <f t="shared" si="180"/>
        <v>57.833180385749998</v>
      </c>
      <c r="BK135" s="109">
        <f t="shared" si="181"/>
        <v>325.94179093574996</v>
      </c>
      <c r="BL135" s="148">
        <v>0.7</v>
      </c>
      <c r="BM135" s="112">
        <f>ROUND((AW135/BL135)+((AW135*BL135)*'CALCULO GERAL'!$E$11)/BL135,2)</f>
        <v>77.38</v>
      </c>
      <c r="BN135" s="186">
        <f t="shared" si="17"/>
        <v>77.38</v>
      </c>
      <c r="BO135" s="186">
        <f t="shared" si="182"/>
        <v>90.662999999999997</v>
      </c>
      <c r="BP135" s="109">
        <f>BM135*'CALCULO GERAL'!$C$11</f>
        <v>388.37021999999996</v>
      </c>
      <c r="BQ135" s="109">
        <f>BO135*'CALCULO GERAL'!$C$11</f>
        <v>455.03759700000001</v>
      </c>
      <c r="BR135" s="186">
        <f>BN135*'CALCULO GERAL'!$C$11</f>
        <v>388.37021999999996</v>
      </c>
      <c r="BS135" s="109">
        <f t="shared" si="183"/>
        <v>485462.77499999997</v>
      </c>
      <c r="BT135" s="109">
        <f t="shared" si="187"/>
        <v>150327.01181249996</v>
      </c>
      <c r="BU135" s="109">
        <f t="shared" si="184"/>
        <v>485462.77499999997</v>
      </c>
      <c r="BV135" s="109">
        <f t="shared" si="50"/>
        <v>407427.23866968747</v>
      </c>
      <c r="BW135" s="109">
        <f t="shared" si="47"/>
        <v>78035.53633031249</v>
      </c>
      <c r="BX135" s="114">
        <f t="shared" si="185"/>
        <v>0.16074463449913848</v>
      </c>
      <c r="BY135" s="152">
        <f t="shared" si="51"/>
        <v>0.7</v>
      </c>
      <c r="BZ135" s="152"/>
      <c r="CA135" s="55"/>
      <c r="CB135" s="113"/>
      <c r="CC135" s="113"/>
      <c r="CD135" s="152"/>
      <c r="CE135" s="152">
        <f t="shared" si="52"/>
        <v>0</v>
      </c>
      <c r="CF135" s="152">
        <f t="shared" si="48"/>
        <v>1</v>
      </c>
      <c r="CG135" s="152">
        <f t="shared" si="49"/>
        <v>1</v>
      </c>
      <c r="CH135" s="34"/>
      <c r="CJ135" s="56"/>
      <c r="CK135" s="56"/>
    </row>
    <row r="136" spans="1:89" x14ac:dyDescent="0.2">
      <c r="A136" s="125" t="s">
        <v>474</v>
      </c>
      <c r="B136" s="187" t="s">
        <v>475</v>
      </c>
      <c r="C136" s="6">
        <v>0.09</v>
      </c>
      <c r="D136" s="8">
        <v>0</v>
      </c>
      <c r="E136" s="7">
        <v>2.1000000000000001E-2</v>
      </c>
      <c r="F136" s="7">
        <v>9.6500000000000002E-2</v>
      </c>
      <c r="G136" s="1">
        <v>1.6500000000000001E-2</v>
      </c>
      <c r="H136" s="1">
        <v>7.5999999999999998E-2</v>
      </c>
      <c r="I136" s="1">
        <v>0.18</v>
      </c>
      <c r="J136" s="1">
        <v>0.04</v>
      </c>
      <c r="K136" s="1">
        <v>0.14000000000000001</v>
      </c>
      <c r="L136" s="1">
        <v>1.4999999999999999E-2</v>
      </c>
      <c r="M136" s="2" t="s">
        <v>175</v>
      </c>
      <c r="N136" s="105">
        <v>5000</v>
      </c>
      <c r="O136" s="119"/>
      <c r="P136" s="119"/>
      <c r="Q136" s="119"/>
      <c r="R136" s="119"/>
      <c r="S136" s="119"/>
      <c r="T136" s="119"/>
      <c r="U136" s="119"/>
      <c r="V136" s="119">
        <v>7.13</v>
      </c>
      <c r="W136" s="119"/>
      <c r="X136" s="119">
        <f t="shared" si="160"/>
        <v>7.13</v>
      </c>
      <c r="Y136" s="118">
        <f t="shared" si="161"/>
        <v>7.13</v>
      </c>
      <c r="Z136" s="109">
        <f t="shared" si="162"/>
        <v>35650</v>
      </c>
      <c r="AA136" s="109">
        <f>'CALCULO GERAL'!$G$10</f>
        <v>6300</v>
      </c>
      <c r="AB136" s="109">
        <f t="shared" si="163"/>
        <v>41950</v>
      </c>
      <c r="AC136" s="109">
        <f>AB136*'CALCULO GERAL'!$C$11</f>
        <v>210547.05000000002</v>
      </c>
      <c r="AD136" s="109">
        <f t="shared" si="164"/>
        <v>18949.234500000002</v>
      </c>
      <c r="AE136" s="109">
        <f t="shared" si="165"/>
        <v>0</v>
      </c>
      <c r="AF136" s="109">
        <f t="shared" si="166"/>
        <v>4421.4880500000008</v>
      </c>
      <c r="AG136" s="109">
        <f t="shared" si="167"/>
        <v>20317.790325000002</v>
      </c>
      <c r="AH136" s="109">
        <v>154.22999999999999</v>
      </c>
      <c r="AI136" s="109">
        <f>((AA136*'CALCULO GERAL'!$C$11))*0.08+20</f>
        <v>2549.576</v>
      </c>
      <c r="AJ136" s="109">
        <v>1010</v>
      </c>
      <c r="AK136" s="109">
        <v>2500</v>
      </c>
      <c r="AL136" s="109">
        <f>(AA136*('CALCULO GERAL'!$C$11*1.02))-(AA136*'CALCULO GERAL'!$C$11)</f>
        <v>632.39400000000387</v>
      </c>
      <c r="AM136" s="109">
        <v>1800</v>
      </c>
      <c r="AN136" s="109">
        <v>2600</v>
      </c>
      <c r="AO136" s="109">
        <v>9400</v>
      </c>
      <c r="AP136" s="109">
        <v>1000</v>
      </c>
      <c r="AQ136" s="109">
        <v>0</v>
      </c>
      <c r="AR136" s="109">
        <v>0</v>
      </c>
      <c r="AS136" s="109"/>
      <c r="AT136" s="109">
        <f t="shared" si="44"/>
        <v>275881.76287500001</v>
      </c>
      <c r="AU136" s="111">
        <f t="shared" si="168"/>
        <v>55.176352575000003</v>
      </c>
      <c r="AV136" s="109">
        <f>IFERROR((BS136*'CALCULO GERAL'!$E$11)/N136,0)</f>
        <v>1.5980496</v>
      </c>
      <c r="AW136" s="109">
        <f>AU136/'CALCULO GERAL'!$C$11</f>
        <v>10.993495233114167</v>
      </c>
      <c r="AX136" s="109">
        <f>BP136-BB136-BD136*'CALCULO GERAL'!$C$11</f>
        <v>78.703942799999993</v>
      </c>
      <c r="AY136" s="109">
        <f t="shared" si="169"/>
        <v>1.2986150561999998</v>
      </c>
      <c r="AZ136" s="109">
        <f t="shared" si="170"/>
        <v>5.9814996527999993</v>
      </c>
      <c r="BA136" s="109">
        <f t="shared" si="171"/>
        <v>79.902479999999997</v>
      </c>
      <c r="BB136" s="109">
        <f t="shared" si="172"/>
        <v>1.1985371999999999</v>
      </c>
      <c r="BC136" s="109">
        <f t="shared" si="173"/>
        <v>79.902479999999997</v>
      </c>
      <c r="BD136" s="109">
        <f t="shared" si="174"/>
        <v>0</v>
      </c>
      <c r="BE136" s="109">
        <f t="shared" si="175"/>
        <v>31960.991999999998</v>
      </c>
      <c r="BF136" s="109">
        <f t="shared" si="176"/>
        <v>47941.487999999998</v>
      </c>
      <c r="BG136" s="109">
        <f t="shared" si="177"/>
        <v>0.86294678399999991</v>
      </c>
      <c r="BH136" s="109">
        <f t="shared" si="178"/>
        <v>0.95882975999999998</v>
      </c>
      <c r="BI136" s="109">
        <f t="shared" si="179"/>
        <v>0</v>
      </c>
      <c r="BJ136" s="109">
        <f t="shared" si="180"/>
        <v>11.898478053</v>
      </c>
      <c r="BK136" s="109">
        <f t="shared" si="181"/>
        <v>67.074830628000001</v>
      </c>
      <c r="BL136" s="148">
        <v>0.7</v>
      </c>
      <c r="BM136" s="112">
        <f>ROUND((AW136/BL136)+((AW136*BL136)*'CALCULO GERAL'!$E$11)/BL136,2)</f>
        <v>15.92</v>
      </c>
      <c r="BN136" s="186">
        <f t="shared" si="17"/>
        <v>15.92</v>
      </c>
      <c r="BO136" s="186">
        <f t="shared" si="182"/>
        <v>18.652999999999999</v>
      </c>
      <c r="BP136" s="109">
        <f>BM136*'CALCULO GERAL'!$C$11</f>
        <v>79.902479999999997</v>
      </c>
      <c r="BQ136" s="109">
        <f>BO136*'CALCULO GERAL'!$C$11</f>
        <v>93.619406999999995</v>
      </c>
      <c r="BR136" s="186">
        <f>BN136*'CALCULO GERAL'!$C$11</f>
        <v>79.902479999999997</v>
      </c>
      <c r="BS136" s="109">
        <f t="shared" si="183"/>
        <v>399512.39999999997</v>
      </c>
      <c r="BT136" s="109">
        <f t="shared" si="187"/>
        <v>123630.63712499995</v>
      </c>
      <c r="BU136" s="109">
        <f t="shared" si="184"/>
        <v>399512.39999999997</v>
      </c>
      <c r="BV136" s="109">
        <f t="shared" si="50"/>
        <v>335374.15314000001</v>
      </c>
      <c r="BW136" s="109">
        <f t="shared" si="47"/>
        <v>64138.246859999956</v>
      </c>
      <c r="BX136" s="114">
        <f t="shared" si="185"/>
        <v>0.16054131701544172</v>
      </c>
      <c r="BY136" s="152">
        <f t="shared" si="51"/>
        <v>0.7</v>
      </c>
      <c r="BZ136" s="152"/>
      <c r="CA136" s="55"/>
      <c r="CB136" s="113"/>
      <c r="CC136" s="113"/>
      <c r="CD136" s="152"/>
      <c r="CE136" s="152">
        <f t="shared" si="52"/>
        <v>0</v>
      </c>
      <c r="CF136" s="152">
        <f t="shared" si="48"/>
        <v>1</v>
      </c>
      <c r="CG136" s="152">
        <f t="shared" si="49"/>
        <v>1</v>
      </c>
      <c r="CH136" s="34"/>
      <c r="CJ136" s="56"/>
      <c r="CK136" s="56"/>
    </row>
    <row r="137" spans="1:89" x14ac:dyDescent="0.2">
      <c r="A137" s="125" t="s">
        <v>261</v>
      </c>
      <c r="B137" s="187" t="s">
        <v>262</v>
      </c>
      <c r="C137" s="6">
        <v>0.112</v>
      </c>
      <c r="D137" s="8">
        <v>3.61E-2</v>
      </c>
      <c r="E137" s="7">
        <v>2.1000000000000001E-2</v>
      </c>
      <c r="F137" s="7">
        <v>9.6500000000000002E-2</v>
      </c>
      <c r="G137" s="1">
        <v>1.6500000000000001E-2</v>
      </c>
      <c r="H137" s="1">
        <v>7.5999999999999998E-2</v>
      </c>
      <c r="I137" s="1">
        <v>0.18</v>
      </c>
      <c r="J137" s="1">
        <v>0.04</v>
      </c>
      <c r="K137" s="1">
        <v>0.14000000000000001</v>
      </c>
      <c r="L137" s="1">
        <v>1.4999999999999999E-2</v>
      </c>
      <c r="M137" s="2" t="s">
        <v>175</v>
      </c>
      <c r="N137" s="105">
        <v>5000</v>
      </c>
      <c r="O137" s="119"/>
      <c r="P137" s="119"/>
      <c r="Q137" s="119"/>
      <c r="R137" s="119"/>
      <c r="S137" s="119"/>
      <c r="T137" s="119"/>
      <c r="U137" s="119"/>
      <c r="V137" s="119">
        <v>7.13</v>
      </c>
      <c r="W137" s="119"/>
      <c r="X137" s="119">
        <f t="shared" si="160"/>
        <v>7.13</v>
      </c>
      <c r="Y137" s="118">
        <f t="shared" si="161"/>
        <v>7.13</v>
      </c>
      <c r="Z137" s="109">
        <f t="shared" si="162"/>
        <v>35650</v>
      </c>
      <c r="AA137" s="109">
        <f>'CALCULO GERAL'!$G$10</f>
        <v>6300</v>
      </c>
      <c r="AB137" s="109">
        <f t="shared" si="163"/>
        <v>41950</v>
      </c>
      <c r="AC137" s="109">
        <f>AB137*'CALCULO GERAL'!$C$11</f>
        <v>210547.05000000002</v>
      </c>
      <c r="AD137" s="109">
        <f t="shared" si="164"/>
        <v>23581.269600000003</v>
      </c>
      <c r="AE137" s="109">
        <f t="shared" si="165"/>
        <v>8452.0323375600001</v>
      </c>
      <c r="AF137" s="109">
        <f t="shared" si="166"/>
        <v>4421.4880500000008</v>
      </c>
      <c r="AG137" s="109">
        <f t="shared" si="167"/>
        <v>20317.790325000002</v>
      </c>
      <c r="AH137" s="109">
        <v>154.22999999999999</v>
      </c>
      <c r="AI137" s="109">
        <f>((AA137*'CALCULO GERAL'!$C$11))*0.08+20</f>
        <v>2549.576</v>
      </c>
      <c r="AJ137" s="109">
        <v>1010</v>
      </c>
      <c r="AK137" s="109">
        <v>2500</v>
      </c>
      <c r="AL137" s="109">
        <f>(AA137*('CALCULO GERAL'!$C$11*1.02))-(AA137*'CALCULO GERAL'!$C$11)</f>
        <v>632.39400000000387</v>
      </c>
      <c r="AM137" s="109">
        <v>1800</v>
      </c>
      <c r="AN137" s="109">
        <v>2600</v>
      </c>
      <c r="AO137" s="109">
        <v>9400</v>
      </c>
      <c r="AP137" s="109">
        <v>1000</v>
      </c>
      <c r="AQ137" s="109">
        <v>0</v>
      </c>
      <c r="AR137" s="109">
        <v>0</v>
      </c>
      <c r="AS137" s="109"/>
      <c r="AT137" s="109">
        <f t="shared" si="44"/>
        <v>288965.83031256002</v>
      </c>
      <c r="AU137" s="111">
        <f t="shared" si="168"/>
        <v>57.793166062512007</v>
      </c>
      <c r="AV137" s="109">
        <f>IFERROR((BS137*'CALCULO GERAL'!$E$11)/N137,0)</f>
        <v>1.6743384000000001</v>
      </c>
      <c r="AW137" s="109">
        <f>AU137/'CALCULO GERAL'!$C$11</f>
        <v>11.514876681114167</v>
      </c>
      <c r="AX137" s="109">
        <f>BP137-BB137-BD137*'CALCULO GERAL'!$C$11</f>
        <v>67.865091705985918</v>
      </c>
      <c r="AY137" s="109">
        <f t="shared" si="169"/>
        <v>1.1197740131487677</v>
      </c>
      <c r="AZ137" s="109">
        <f t="shared" si="170"/>
        <v>5.1577469696549301</v>
      </c>
      <c r="BA137" s="109">
        <f t="shared" si="171"/>
        <v>80.800038606312128</v>
      </c>
      <c r="BB137" s="109">
        <f t="shared" si="172"/>
        <v>1.212000579094682</v>
      </c>
      <c r="BC137" s="109">
        <f t="shared" si="173"/>
        <v>80.800038606312128</v>
      </c>
      <c r="BD137" s="109">
        <f t="shared" si="174"/>
        <v>2.9168813936878677</v>
      </c>
      <c r="BE137" s="109">
        <f t="shared" si="175"/>
        <v>33486.768000000004</v>
      </c>
      <c r="BF137" s="109">
        <f t="shared" si="176"/>
        <v>50230.152000000002</v>
      </c>
      <c r="BG137" s="109">
        <f t="shared" si="177"/>
        <v>0.90414273599999995</v>
      </c>
      <c r="BH137" s="109">
        <f t="shared" si="178"/>
        <v>1.0046030400000001</v>
      </c>
      <c r="BI137" s="109">
        <f t="shared" si="179"/>
        <v>0</v>
      </c>
      <c r="BJ137" s="109">
        <f t="shared" si="180"/>
        <v>13.989487131586248</v>
      </c>
      <c r="BK137" s="109">
        <f t="shared" si="181"/>
        <v>71.782653194098259</v>
      </c>
      <c r="BL137" s="148">
        <v>0.7</v>
      </c>
      <c r="BM137" s="112">
        <f>ROUND((AW137/BL137)+((AW137*BL137)*'CALCULO GERAL'!$E$11)/BL137,2)</f>
        <v>16.68</v>
      </c>
      <c r="BN137" s="186">
        <f t="shared" si="17"/>
        <v>16.68</v>
      </c>
      <c r="BO137" s="186">
        <f t="shared" si="182"/>
        <v>19.542999999999999</v>
      </c>
      <c r="BP137" s="109">
        <f>BM137*'CALCULO GERAL'!$C$11</f>
        <v>83.716920000000002</v>
      </c>
      <c r="BQ137" s="109">
        <f>BO137*'CALCULO GERAL'!$C$11</f>
        <v>98.086316999999994</v>
      </c>
      <c r="BR137" s="186">
        <f>BN137*'CALCULO GERAL'!$C$11</f>
        <v>83.716920000000002</v>
      </c>
      <c r="BS137" s="109">
        <f t="shared" si="183"/>
        <v>418584.60000000003</v>
      </c>
      <c r="BT137" s="109">
        <f t="shared" si="187"/>
        <v>129618.76968744001</v>
      </c>
      <c r="BU137" s="109">
        <f t="shared" si="184"/>
        <v>418584.60000000003</v>
      </c>
      <c r="BV137" s="109">
        <f t="shared" si="50"/>
        <v>358913.26597049128</v>
      </c>
      <c r="BW137" s="109">
        <f t="shared" si="47"/>
        <v>59671.334029508755</v>
      </c>
      <c r="BX137" s="114">
        <f t="shared" si="185"/>
        <v>0.14255501523350059</v>
      </c>
      <c r="BY137" s="152">
        <f t="shared" si="51"/>
        <v>0.7</v>
      </c>
      <c r="BZ137" s="152"/>
      <c r="CA137" s="55"/>
      <c r="CB137" s="113"/>
      <c r="CC137" s="113"/>
      <c r="CD137" s="152"/>
      <c r="CE137" s="152">
        <f t="shared" si="52"/>
        <v>0</v>
      </c>
      <c r="CF137" s="152">
        <f t="shared" si="48"/>
        <v>1</v>
      </c>
      <c r="CG137" s="152">
        <f t="shared" si="49"/>
        <v>1</v>
      </c>
      <c r="CH137" s="34"/>
      <c r="CJ137" s="56"/>
      <c r="CK137" s="56"/>
    </row>
    <row r="138" spans="1:89" x14ac:dyDescent="0.2">
      <c r="A138" s="125" t="s">
        <v>263</v>
      </c>
      <c r="B138" s="187" t="s">
        <v>264</v>
      </c>
      <c r="C138" s="6">
        <v>0.126</v>
      </c>
      <c r="D138" s="8">
        <v>0</v>
      </c>
      <c r="E138" s="7">
        <v>2.1000000000000001E-2</v>
      </c>
      <c r="F138" s="7">
        <v>9.6500000000000002E-2</v>
      </c>
      <c r="G138" s="1">
        <v>1.6500000000000001E-2</v>
      </c>
      <c r="H138" s="1">
        <v>7.5999999999999998E-2</v>
      </c>
      <c r="I138" s="1">
        <v>0.18</v>
      </c>
      <c r="J138" s="1">
        <v>0.04</v>
      </c>
      <c r="K138" s="1">
        <v>0.14000000000000001</v>
      </c>
      <c r="L138" s="1">
        <v>1.4999999999999999E-2</v>
      </c>
      <c r="M138" s="2" t="s">
        <v>175</v>
      </c>
      <c r="N138" s="105">
        <v>458000</v>
      </c>
      <c r="O138" s="119"/>
      <c r="P138" s="119"/>
      <c r="Q138" s="119"/>
      <c r="R138" s="119"/>
      <c r="S138" s="119"/>
      <c r="T138" s="119"/>
      <c r="U138" s="119"/>
      <c r="V138" s="119">
        <v>0.08</v>
      </c>
      <c r="W138" s="119"/>
      <c r="X138" s="119">
        <f>MIN(O138:W138)</f>
        <v>0.08</v>
      </c>
      <c r="Y138" s="118">
        <f>AVERAGE(O138:W138)</f>
        <v>0.08</v>
      </c>
      <c r="Z138" s="109">
        <f>Y138*N138</f>
        <v>36640</v>
      </c>
      <c r="AA138" s="109">
        <f>'CALCULO GERAL'!$G$10</f>
        <v>6300</v>
      </c>
      <c r="AB138" s="109">
        <f>Z138+AA138</f>
        <v>42940</v>
      </c>
      <c r="AC138" s="109">
        <f>AB138*'CALCULO GERAL'!$C$11</f>
        <v>215515.86000000002</v>
      </c>
      <c r="AD138" s="109">
        <f>AC138*C138</f>
        <v>27154.998360000001</v>
      </c>
      <c r="AE138" s="109">
        <f>(AC138+AD138)*D138</f>
        <v>0</v>
      </c>
      <c r="AF138" s="109">
        <f>AC138*E138</f>
        <v>4525.8330600000008</v>
      </c>
      <c r="AG138" s="109">
        <f>AC138*F138</f>
        <v>20797.280490000001</v>
      </c>
      <c r="AH138" s="109">
        <v>154.22999999999999</v>
      </c>
      <c r="AI138" s="109">
        <f>((AA138*'CALCULO GERAL'!$C$11))*0.08+20</f>
        <v>2549.576</v>
      </c>
      <c r="AJ138" s="109">
        <v>1010</v>
      </c>
      <c r="AK138" s="109">
        <v>2500</v>
      </c>
      <c r="AL138" s="109">
        <f>(AA138*('CALCULO GERAL'!$C$11*1.02))-(AA138*'CALCULO GERAL'!$C$11)</f>
        <v>632.39400000000387</v>
      </c>
      <c r="AM138" s="109">
        <v>1800</v>
      </c>
      <c r="AN138" s="109">
        <v>2600</v>
      </c>
      <c r="AO138" s="109">
        <v>9400</v>
      </c>
      <c r="AP138" s="109">
        <v>1000</v>
      </c>
      <c r="AQ138" s="109">
        <v>0</v>
      </c>
      <c r="AR138" s="109">
        <v>0</v>
      </c>
      <c r="AS138" s="109"/>
      <c r="AT138" s="109">
        <f>SUM(AC138:AS138)</f>
        <v>289640.17191000003</v>
      </c>
      <c r="AU138" s="111">
        <f>IFERROR((AT138/N138),0)</f>
        <v>0.63240212207423585</v>
      </c>
      <c r="AV138" s="109">
        <f>IFERROR((BS138*'CALCULO GERAL'!$E$11)/N138,0)</f>
        <v>1.8068399999999998E-2</v>
      </c>
      <c r="AW138" s="109">
        <f>AU138/'CALCULO GERAL'!$C$11</f>
        <v>0.12600161826543851</v>
      </c>
      <c r="AX138" s="109">
        <f>BP138-BB138-BD138*'CALCULO GERAL'!$C$11</f>
        <v>0.88986869999999996</v>
      </c>
      <c r="AY138" s="109">
        <f>AX138*G138</f>
        <v>1.468283355E-2</v>
      </c>
      <c r="AZ138" s="109">
        <f>AX138*H138</f>
        <v>6.7630021200000001E-2</v>
      </c>
      <c r="BA138" s="109">
        <f>BP138-BD138</f>
        <v>0.90342</v>
      </c>
      <c r="BB138" s="109">
        <f>BA138*L138</f>
        <v>1.3551299999999999E-2</v>
      </c>
      <c r="BC138" s="109">
        <f>BP138/(1+D138)</f>
        <v>0.90342</v>
      </c>
      <c r="BD138" s="109">
        <f>BC138*D138</f>
        <v>0</v>
      </c>
      <c r="BE138" s="109">
        <f>BU138*0.08</f>
        <v>33101.308799999999</v>
      </c>
      <c r="BF138" s="109">
        <f>BU138*0.12</f>
        <v>49651.963199999998</v>
      </c>
      <c r="BG138" s="109">
        <f>(BF138*0.09)/N138</f>
        <v>9.756935999999999E-3</v>
      </c>
      <c r="BH138" s="109">
        <f>(BE138*0.15)/N138</f>
        <v>1.084104E-2</v>
      </c>
      <c r="BI138" s="109">
        <f>IF(BE138&gt;=$BY$1,($BY$1-BE138)*0.1,IF(BE138&lt;=$BY$1,($BY$1*0)))/N138</f>
        <v>0</v>
      </c>
      <c r="BJ138" s="109">
        <f>(AY138+AZ138+BB138+AV138+BD138+BG138+BH138+BI138)</f>
        <v>0.13453053074999999</v>
      </c>
      <c r="BK138" s="109">
        <f>BJ138+AU138</f>
        <v>0.76693265282423584</v>
      </c>
      <c r="BL138" s="148">
        <v>0.7</v>
      </c>
      <c r="BM138" s="112">
        <f>ROUND((AW138/BL138)+((AW138*BL138)*'CALCULO GERAL'!$E$11)/BL138,2)</f>
        <v>0.18</v>
      </c>
      <c r="BN138" s="186">
        <f>BM138</f>
        <v>0.18</v>
      </c>
      <c r="BO138" s="186">
        <f>ROUND(FV(0.02,8,,BN138)*-1,3)</f>
        <v>0.21099999999999999</v>
      </c>
      <c r="BP138" s="109">
        <f>BM138*'CALCULO GERAL'!$C$11</f>
        <v>0.90342</v>
      </c>
      <c r="BQ138" s="109">
        <f>BO138*'CALCULO GERAL'!$C$11</f>
        <v>1.0590090000000001</v>
      </c>
      <c r="BR138" s="186">
        <f>BN138*'CALCULO GERAL'!$C$11</f>
        <v>0.90342</v>
      </c>
      <c r="BS138" s="109">
        <f>BP138*N138</f>
        <v>413766.36</v>
      </c>
      <c r="BT138" s="109">
        <f t="shared" si="187"/>
        <v>124126.18808999995</v>
      </c>
      <c r="BU138" s="109">
        <f>BR138*N138</f>
        <v>413766.36</v>
      </c>
      <c r="BV138" s="109">
        <f>BK138*N138</f>
        <v>351255.15499350004</v>
      </c>
      <c r="BW138" s="109">
        <f>BS138-BV138</f>
        <v>62511.205006499949</v>
      </c>
      <c r="BX138" s="114">
        <f>(((BK138*N138)-BS138)/BS138*-1)</f>
        <v>0.1510785096364527</v>
      </c>
      <c r="BY138" s="152">
        <f>ROUND(BL138,2)</f>
        <v>0.7</v>
      </c>
      <c r="BZ138" s="152"/>
      <c r="CA138" s="55"/>
      <c r="CB138" s="113"/>
      <c r="CC138" s="113"/>
      <c r="CD138" s="152"/>
      <c r="CE138" s="152">
        <f>CC138/BY138</f>
        <v>0</v>
      </c>
      <c r="CF138" s="152">
        <f>100%-CE138</f>
        <v>1</v>
      </c>
      <c r="CG138" s="152">
        <f>AVERAGE(CF138,CD138)</f>
        <v>1</v>
      </c>
      <c r="CH138" s="34"/>
      <c r="CJ138" s="56"/>
      <c r="CK138" s="56"/>
    </row>
    <row r="139" spans="1:89" x14ac:dyDescent="0.2">
      <c r="A139" s="125" t="s">
        <v>265</v>
      </c>
      <c r="B139" s="187" t="s">
        <v>266</v>
      </c>
      <c r="C139" s="6">
        <v>0.126</v>
      </c>
      <c r="D139" s="8">
        <v>3.6499999999999998E-2</v>
      </c>
      <c r="E139" s="7">
        <v>2.1000000000000001E-2</v>
      </c>
      <c r="F139" s="7">
        <v>9.6500000000000002E-2</v>
      </c>
      <c r="G139" s="1">
        <v>1.6500000000000001E-2</v>
      </c>
      <c r="H139" s="1">
        <v>7.5999999999999998E-2</v>
      </c>
      <c r="I139" s="1">
        <v>0.18</v>
      </c>
      <c r="J139" s="1">
        <v>0.04</v>
      </c>
      <c r="K139" s="1">
        <v>0.14000000000000001</v>
      </c>
      <c r="L139" s="1">
        <v>1.4999999999999999E-2</v>
      </c>
      <c r="M139" s="2" t="s">
        <v>175</v>
      </c>
      <c r="N139" s="105">
        <v>25000</v>
      </c>
      <c r="O139" s="119"/>
      <c r="P139" s="119"/>
      <c r="Q139" s="119"/>
      <c r="R139" s="119"/>
      <c r="S139" s="119"/>
      <c r="T139" s="119"/>
      <c r="U139" s="119"/>
      <c r="V139" s="119">
        <v>0.68500000000000005</v>
      </c>
      <c r="W139" s="119"/>
      <c r="X139" s="119">
        <f>MIN(O139:W139)</f>
        <v>0.68500000000000005</v>
      </c>
      <c r="Y139" s="118">
        <f>AVERAGE(O139:W139)</f>
        <v>0.68500000000000005</v>
      </c>
      <c r="Z139" s="109">
        <f>Y139*N139</f>
        <v>17125</v>
      </c>
      <c r="AA139" s="109">
        <f>'CALCULO GERAL'!$G$10</f>
        <v>6300</v>
      </c>
      <c r="AB139" s="109">
        <f>Z139+AA139</f>
        <v>23425</v>
      </c>
      <c r="AC139" s="109">
        <f>AB139*'CALCULO GERAL'!$C$11</f>
        <v>117570.075</v>
      </c>
      <c r="AD139" s="109">
        <f>AC139*C139</f>
        <v>14813.829449999999</v>
      </c>
      <c r="AE139" s="109">
        <f>(AC139+AD139)*D139</f>
        <v>4832.0125124249998</v>
      </c>
      <c r="AF139" s="109">
        <f>AC139*E139</f>
        <v>2468.971575</v>
      </c>
      <c r="AG139" s="109">
        <f>AC139*F139</f>
        <v>11345.512237499999</v>
      </c>
      <c r="AH139" s="109">
        <v>154.22999999999999</v>
      </c>
      <c r="AI139" s="109">
        <f>((AA139*'CALCULO GERAL'!$C$11))*0.08+20</f>
        <v>2549.576</v>
      </c>
      <c r="AJ139" s="109">
        <v>1010</v>
      </c>
      <c r="AK139" s="109">
        <v>2500</v>
      </c>
      <c r="AL139" s="109">
        <f>(AA139*('CALCULO GERAL'!$C$11*1.02))-(AA139*'CALCULO GERAL'!$C$11)</f>
        <v>632.39400000000387</v>
      </c>
      <c r="AM139" s="109">
        <v>1800</v>
      </c>
      <c r="AN139" s="109">
        <v>2600</v>
      </c>
      <c r="AO139" s="109">
        <v>9400</v>
      </c>
      <c r="AP139" s="109">
        <v>1000</v>
      </c>
      <c r="AQ139" s="109">
        <v>0</v>
      </c>
      <c r="AR139" s="109">
        <v>0</v>
      </c>
      <c r="AS139" s="109"/>
      <c r="AT139" s="109">
        <f>SUM(AC139:AS139)</f>
        <v>172676.600774925</v>
      </c>
      <c r="AU139" s="111">
        <f>IFERROR((AT139/N139),0)</f>
        <v>6.9070640309969997</v>
      </c>
      <c r="AV139" s="109">
        <f>IFERROR((BS139*'CALCULO GERAL'!$E$11)/N139,0)</f>
        <v>0.19975619999999999</v>
      </c>
      <c r="AW139" s="109">
        <f>AU139/'CALCULO GERAL'!$C$11</f>
        <v>1.3761833096228331</v>
      </c>
      <c r="AX139" s="109">
        <f>BP139-BB139-BD139*'CALCULO GERAL'!$C$11</f>
        <v>8.0779990774384949</v>
      </c>
      <c r="AY139" s="109">
        <f>AX139*G139</f>
        <v>0.13328698477773518</v>
      </c>
      <c r="AZ139" s="109">
        <f>AX139*H139</f>
        <v>0.61392792988532563</v>
      </c>
      <c r="BA139" s="109">
        <f>BP139-BD139</f>
        <v>9.6360926193921852</v>
      </c>
      <c r="BB139" s="109">
        <f>BA139*L139</f>
        <v>0.14454138929088278</v>
      </c>
      <c r="BC139" s="109">
        <f>BP139/(1+D139)</f>
        <v>9.6360926193921852</v>
      </c>
      <c r="BD139" s="109">
        <f>BC139*D139</f>
        <v>0.35171738060781471</v>
      </c>
      <c r="BE139" s="109">
        <f>BU139*0.08</f>
        <v>19975.62</v>
      </c>
      <c r="BF139" s="109">
        <f>BU139*0.12</f>
        <v>29963.43</v>
      </c>
      <c r="BG139" s="109">
        <f>(BF139*0.09)/N139</f>
        <v>0.107868348</v>
      </c>
      <c r="BH139" s="109">
        <f>(BE139*0.15)/N139</f>
        <v>0.11985372</v>
      </c>
      <c r="BI139" s="109">
        <f>IF(BE139&gt;=$BY$1,($BY$1-BE139)*0.1,IF(BE139&lt;=$BY$1,($BY$1*0)))/N139</f>
        <v>0</v>
      </c>
      <c r="BJ139" s="109">
        <f>(AY139+AZ139+BB139+AV139+BD139+BG139+BH139+BI139)</f>
        <v>1.6709519525617582</v>
      </c>
      <c r="BK139" s="109">
        <f>BJ139+AU139</f>
        <v>8.5780159835587586</v>
      </c>
      <c r="BL139" s="148">
        <v>0.7</v>
      </c>
      <c r="BM139" s="112">
        <f>ROUND((AW139/BL139)+((AW139*BL139)*'CALCULO GERAL'!$E$11)/BL139,2)</f>
        <v>1.99</v>
      </c>
      <c r="BN139" s="186">
        <f>BM139</f>
        <v>1.99</v>
      </c>
      <c r="BO139" s="186">
        <f>ROUND(FV(0.02,8,,BN139)*-1,3)</f>
        <v>2.3319999999999999</v>
      </c>
      <c r="BP139" s="109">
        <f>BM139*'CALCULO GERAL'!$C$11</f>
        <v>9.9878099999999996</v>
      </c>
      <c r="BQ139" s="109">
        <f>BO139*'CALCULO GERAL'!$C$11</f>
        <v>11.704307999999999</v>
      </c>
      <c r="BR139" s="186">
        <f>BN139*'CALCULO GERAL'!$C$11</f>
        <v>9.9878099999999996</v>
      </c>
      <c r="BS139" s="109">
        <f>BP139*N139</f>
        <v>249695.25</v>
      </c>
      <c r="BT139" s="109">
        <f t="shared" si="187"/>
        <v>77018.649225075002</v>
      </c>
      <c r="BU139" s="109">
        <f>BR139*N139</f>
        <v>249695.25</v>
      </c>
      <c r="BV139" s="109">
        <f>BK139*N139</f>
        <v>214450.39958896895</v>
      </c>
      <c r="BW139" s="109">
        <f>BS139-BV139</f>
        <v>35244.850411031046</v>
      </c>
      <c r="BX139" s="114">
        <f>(((BK139*N139)-BS139)/BS139*-1)</f>
        <v>0.14115146528030087</v>
      </c>
      <c r="BY139" s="152">
        <f>ROUND(BL139,2)</f>
        <v>0.7</v>
      </c>
      <c r="BZ139" s="152"/>
      <c r="CA139" s="55"/>
      <c r="CB139" s="113"/>
      <c r="CC139" s="113"/>
      <c r="CD139" s="152"/>
      <c r="CE139" s="152">
        <f>CC139/BY139</f>
        <v>0</v>
      </c>
      <c r="CF139" s="152">
        <f>100%-CE139</f>
        <v>1</v>
      </c>
      <c r="CG139" s="152">
        <f>AVERAGE(CF139,CD139)</f>
        <v>1</v>
      </c>
      <c r="CH139" s="34"/>
      <c r="CJ139" s="56"/>
      <c r="CK139" s="56"/>
    </row>
    <row r="140" spans="1:89" x14ac:dyDescent="0.2">
      <c r="A140" s="125" t="s">
        <v>267</v>
      </c>
      <c r="B140" s="187" t="s">
        <v>268</v>
      </c>
      <c r="C140" s="6">
        <v>0.112</v>
      </c>
      <c r="D140" s="8">
        <v>0</v>
      </c>
      <c r="E140" s="7">
        <v>2.1000000000000001E-2</v>
      </c>
      <c r="F140" s="7">
        <v>0.1065</v>
      </c>
      <c r="G140" s="1">
        <v>1.6500000000000001E-2</v>
      </c>
      <c r="H140" s="1">
        <v>7.5999999999999998E-2</v>
      </c>
      <c r="I140" s="1">
        <v>0.18</v>
      </c>
      <c r="J140" s="1">
        <v>0.04</v>
      </c>
      <c r="K140" s="1">
        <v>0.14000000000000001</v>
      </c>
      <c r="L140" s="1">
        <v>1.4999999999999999E-2</v>
      </c>
      <c r="M140" s="2" t="s">
        <v>175</v>
      </c>
      <c r="N140" s="105">
        <v>1</v>
      </c>
      <c r="O140" s="119"/>
      <c r="P140" s="119"/>
      <c r="Q140" s="119"/>
      <c r="R140" s="119"/>
      <c r="S140" s="119"/>
      <c r="T140" s="119"/>
      <c r="U140" s="119"/>
      <c r="V140" s="119">
        <v>87000</v>
      </c>
      <c r="W140" s="119">
        <v>78700</v>
      </c>
      <c r="X140" s="119">
        <f>MIN(O140:W140)</f>
        <v>78700</v>
      </c>
      <c r="Y140" s="118">
        <f>AVERAGE(O140:W140)</f>
        <v>82850</v>
      </c>
      <c r="Z140" s="109">
        <f>Y140*N140</f>
        <v>82850</v>
      </c>
      <c r="AA140" s="109">
        <f>'CALCULO GERAL'!$G$10</f>
        <v>6300</v>
      </c>
      <c r="AB140" s="109">
        <f>Z140+AA140</f>
        <v>89150</v>
      </c>
      <c r="AC140" s="109">
        <f>AB140*'CALCULO GERAL'!$C$11</f>
        <v>447443.85000000003</v>
      </c>
      <c r="AD140" s="109">
        <f>AC140*C140</f>
        <v>50113.711200000005</v>
      </c>
      <c r="AE140" s="109">
        <f>(AC140+AD140)*D140</f>
        <v>0</v>
      </c>
      <c r="AF140" s="109">
        <f>AC140*E140</f>
        <v>9396.3208500000019</v>
      </c>
      <c r="AG140" s="109">
        <f>AC140*F140</f>
        <v>47652.770025000005</v>
      </c>
      <c r="AH140" s="109">
        <v>154.22999999999999</v>
      </c>
      <c r="AI140" s="109">
        <f>((AA140*'CALCULO GERAL'!$C$11))*0.08+20</f>
        <v>2549.576</v>
      </c>
      <c r="AJ140" s="109">
        <v>1010</v>
      </c>
      <c r="AK140" s="109">
        <v>2500</v>
      </c>
      <c r="AL140" s="109">
        <f>(AA140*('CALCULO GERAL'!$C$11*1.02))-(AA140*'CALCULO GERAL'!$C$11)</f>
        <v>632.39400000000387</v>
      </c>
      <c r="AM140" s="109">
        <v>1800</v>
      </c>
      <c r="AN140" s="109">
        <v>2600</v>
      </c>
      <c r="AO140" s="109">
        <v>9400</v>
      </c>
      <c r="AP140" s="109">
        <v>1000</v>
      </c>
      <c r="AQ140" s="109">
        <v>0</v>
      </c>
      <c r="AR140" s="109">
        <v>0</v>
      </c>
      <c r="AS140" s="109"/>
      <c r="AT140" s="109">
        <f>SUM(AC140:AS140)</f>
        <v>576252.85207500006</v>
      </c>
      <c r="AU140" s="111">
        <f>IFERROR((AT140/N140),0)</f>
        <v>576252.85207500006</v>
      </c>
      <c r="AV140" s="109">
        <f>IFERROR((BS140*'CALCULO GERAL'!$E$11)/N140,0)</f>
        <v>16694.8683384</v>
      </c>
      <c r="AW140" s="109">
        <f>AU140/'CALCULO GERAL'!$C$11</f>
        <v>114814.27616557085</v>
      </c>
      <c r="AX140" s="109">
        <f>BP140-BB140-BD140*'CALCULO GERAL'!$C$11</f>
        <v>822222.26566619996</v>
      </c>
      <c r="AY140" s="109">
        <f>AX140*G140</f>
        <v>13566.6673834923</v>
      </c>
      <c r="AZ140" s="109">
        <f>AX140*H140</f>
        <v>62488.892190631195</v>
      </c>
      <c r="BA140" s="109">
        <f>BP140-BD140</f>
        <v>834743.41691999999</v>
      </c>
      <c r="BB140" s="109">
        <f>BA140*L140</f>
        <v>12521.151253799999</v>
      </c>
      <c r="BC140" s="109">
        <f>BP140/(1+D140)</f>
        <v>834743.41691999999</v>
      </c>
      <c r="BD140" s="109">
        <f>BC140*D140</f>
        <v>0</v>
      </c>
      <c r="BE140" s="109">
        <f>BU140*0.08</f>
        <v>66779.473353599999</v>
      </c>
      <c r="BF140" s="109">
        <f>BU140*0.12</f>
        <v>100169.21003039999</v>
      </c>
      <c r="BG140" s="109">
        <f>(BF140*0.09)/N140</f>
        <v>9015.2289027359984</v>
      </c>
      <c r="BH140" s="109">
        <f>(BE140*0.15)/N140</f>
        <v>10016.921003039999</v>
      </c>
      <c r="BI140" s="109">
        <f>IF(BE140&gt;=$BY$1,($BY$1-BE140)*0.1,IF(BE140&lt;=$BY$1,($BY$1*0)))/N140</f>
        <v>-677.9483353600001</v>
      </c>
      <c r="BJ140" s="109">
        <f>(AY140+AZ140+BB140+AV140+BD140+BG140+BH140+BI140)</f>
        <v>123625.7807367395</v>
      </c>
      <c r="BK140" s="109">
        <f>BJ140+AU140</f>
        <v>699878.63281173958</v>
      </c>
      <c r="BL140" s="148">
        <v>0.7</v>
      </c>
      <c r="BM140" s="112">
        <f>ROUND((AW140/BL140)+((AW140*BL140)*'CALCULO GERAL'!$E$11)/BL140,2)</f>
        <v>166316.68</v>
      </c>
      <c r="BN140" s="186">
        <f>BM140</f>
        <v>166316.68</v>
      </c>
      <c r="BO140" s="186">
        <f>ROUND(FV(0.02,8,,BN140)*-1,3)</f>
        <v>194866.49799999999</v>
      </c>
      <c r="BP140" s="109">
        <f>BM140*'CALCULO GERAL'!$C$11</f>
        <v>834743.41691999999</v>
      </c>
      <c r="BQ140" s="109">
        <f>BO140*'CALCULO GERAL'!$C$11</f>
        <v>978034.953462</v>
      </c>
      <c r="BR140" s="186">
        <f>BN140*'CALCULO GERAL'!$C$11</f>
        <v>834743.41691999999</v>
      </c>
      <c r="BS140" s="109">
        <f>BP140*N140</f>
        <v>834743.41691999999</v>
      </c>
      <c r="BT140" s="109">
        <f t="shared" si="187"/>
        <v>258490.56484499993</v>
      </c>
      <c r="BU140" s="109">
        <f>BR140*N140</f>
        <v>834743.41691999999</v>
      </c>
      <c r="BV140" s="109">
        <f>BK140*N140</f>
        <v>699878.63281173958</v>
      </c>
      <c r="BW140" s="109">
        <f>BS140-BV140</f>
        <v>134864.78410826041</v>
      </c>
      <c r="BX140" s="114">
        <f>(((BK140*N140)-BS140)/BS140*-1)</f>
        <v>0.16156435783091125</v>
      </c>
      <c r="BY140" s="152">
        <f>ROUND(BL140,2)</f>
        <v>0.7</v>
      </c>
      <c r="BZ140" s="152"/>
      <c r="CA140" s="55"/>
      <c r="CB140" s="113"/>
      <c r="CC140" s="113"/>
      <c r="CD140" s="152"/>
      <c r="CE140" s="152">
        <f>CC140/BY140</f>
        <v>0</v>
      </c>
      <c r="CF140" s="152">
        <f>100%-CE140</f>
        <v>1</v>
      </c>
      <c r="CG140" s="152">
        <f>AVERAGE(CF140,CD140)</f>
        <v>1</v>
      </c>
      <c r="CH140" s="34"/>
      <c r="CJ140" s="56"/>
      <c r="CK140" s="56"/>
    </row>
    <row r="141" spans="1:89" x14ac:dyDescent="0.2">
      <c r="A141" s="125" t="s">
        <v>269</v>
      </c>
      <c r="B141" s="187" t="s">
        <v>270</v>
      </c>
      <c r="C141" s="6">
        <v>0.112</v>
      </c>
      <c r="D141" s="8">
        <v>0</v>
      </c>
      <c r="E141" s="7">
        <v>2.1000000000000001E-2</v>
      </c>
      <c r="F141" s="7">
        <v>0.1065</v>
      </c>
      <c r="G141" s="1">
        <v>1.6500000000000001E-2</v>
      </c>
      <c r="H141" s="1">
        <v>7.5999999999999998E-2</v>
      </c>
      <c r="I141" s="1">
        <v>0.18</v>
      </c>
      <c r="J141" s="1">
        <v>0.04</v>
      </c>
      <c r="K141" s="1">
        <v>0.14000000000000001</v>
      </c>
      <c r="L141" s="1">
        <v>1.4999999999999999E-2</v>
      </c>
      <c r="M141" s="2" t="s">
        <v>175</v>
      </c>
      <c r="N141" s="105">
        <v>1</v>
      </c>
      <c r="O141" s="119"/>
      <c r="P141" s="119"/>
      <c r="Q141" s="119"/>
      <c r="R141" s="119"/>
      <c r="S141" s="119"/>
      <c r="T141" s="119"/>
      <c r="U141" s="119"/>
      <c r="V141" s="119">
        <v>19500</v>
      </c>
      <c r="W141" s="119"/>
      <c r="X141" s="119">
        <f t="shared" si="160"/>
        <v>19500</v>
      </c>
      <c r="Y141" s="118">
        <f t="shared" si="161"/>
        <v>19500</v>
      </c>
      <c r="Z141" s="109">
        <f t="shared" si="162"/>
        <v>19500</v>
      </c>
      <c r="AA141" s="109">
        <f>'CALCULO GERAL'!$G$10</f>
        <v>6300</v>
      </c>
      <c r="AB141" s="109">
        <f t="shared" si="163"/>
        <v>25800</v>
      </c>
      <c r="AC141" s="109">
        <f>AB141*'CALCULO GERAL'!$C$11</f>
        <v>129490.2</v>
      </c>
      <c r="AD141" s="109">
        <f t="shared" si="164"/>
        <v>14502.902400000001</v>
      </c>
      <c r="AE141" s="109">
        <f t="shared" si="165"/>
        <v>0</v>
      </c>
      <c r="AF141" s="109">
        <f t="shared" si="166"/>
        <v>2719.2942000000003</v>
      </c>
      <c r="AG141" s="109">
        <f t="shared" si="167"/>
        <v>13790.7063</v>
      </c>
      <c r="AH141" s="109">
        <v>154.22999999999999</v>
      </c>
      <c r="AI141" s="109">
        <f>((AA141*'CALCULO GERAL'!$C$11))*0.08+20</f>
        <v>2549.576</v>
      </c>
      <c r="AJ141" s="109">
        <v>1010</v>
      </c>
      <c r="AK141" s="109">
        <v>2500</v>
      </c>
      <c r="AL141" s="109">
        <f>(AA141*('CALCULO GERAL'!$C$11*1.02))-(AA141*'CALCULO GERAL'!$C$11)</f>
        <v>632.39400000000387</v>
      </c>
      <c r="AM141" s="109">
        <v>1800</v>
      </c>
      <c r="AN141" s="109">
        <v>2600</v>
      </c>
      <c r="AO141" s="109">
        <v>9400</v>
      </c>
      <c r="AP141" s="109">
        <v>1000</v>
      </c>
      <c r="AQ141" s="109">
        <v>0</v>
      </c>
      <c r="AR141" s="109">
        <v>0</v>
      </c>
      <c r="AS141" s="109"/>
      <c r="AT141" s="109">
        <f t="shared" si="44"/>
        <v>182149.30290000001</v>
      </c>
      <c r="AU141" s="111">
        <f t="shared" si="168"/>
        <v>182149.30290000001</v>
      </c>
      <c r="AV141" s="109">
        <f>IFERROR((BS141*'CALCULO GERAL'!$E$11)/N141,0)</f>
        <v>5277.1251624000006</v>
      </c>
      <c r="AW141" s="109">
        <f>AU141/'CALCULO GERAL'!$C$11</f>
        <v>36291.951165570834</v>
      </c>
      <c r="AX141" s="109">
        <f>BP141-BB141-BD141*'CALCULO GERAL'!$C$11</f>
        <v>259898.41424820002</v>
      </c>
      <c r="AY141" s="109">
        <f t="shared" si="169"/>
        <v>4288.3238350953006</v>
      </c>
      <c r="AZ141" s="109">
        <f t="shared" si="170"/>
        <v>19752.2794828632</v>
      </c>
      <c r="BA141" s="109">
        <f t="shared" si="171"/>
        <v>263856.25812000001</v>
      </c>
      <c r="BB141" s="109">
        <f t="shared" si="172"/>
        <v>3957.8438718000002</v>
      </c>
      <c r="BC141" s="109">
        <f t="shared" si="173"/>
        <v>263856.25812000001</v>
      </c>
      <c r="BD141" s="109">
        <f t="shared" si="174"/>
        <v>0</v>
      </c>
      <c r="BE141" s="109">
        <f t="shared" si="175"/>
        <v>21108.500649600002</v>
      </c>
      <c r="BF141" s="109">
        <f t="shared" si="176"/>
        <v>31662.750974400002</v>
      </c>
      <c r="BG141" s="109">
        <f t="shared" si="177"/>
        <v>2849.6475876959998</v>
      </c>
      <c r="BH141" s="109">
        <f t="shared" si="178"/>
        <v>3166.2750974400001</v>
      </c>
      <c r="BI141" s="109">
        <f t="shared" si="179"/>
        <v>0</v>
      </c>
      <c r="BJ141" s="109">
        <f t="shared" si="180"/>
        <v>39291.495037294502</v>
      </c>
      <c r="BK141" s="109">
        <f t="shared" si="181"/>
        <v>221440.79793729453</v>
      </c>
      <c r="BL141" s="148">
        <v>0.7</v>
      </c>
      <c r="BM141" s="112">
        <f>ROUND((AW141/BL141)+((AW141*BL141)*'CALCULO GERAL'!$E$11)/BL141,2)</f>
        <v>52571.48</v>
      </c>
      <c r="BN141" s="186">
        <f t="shared" si="17"/>
        <v>52571.48</v>
      </c>
      <c r="BO141" s="186">
        <f t="shared" si="182"/>
        <v>61595.868000000002</v>
      </c>
      <c r="BP141" s="109">
        <f>BM141*'CALCULO GERAL'!$C$11</f>
        <v>263856.25812000001</v>
      </c>
      <c r="BQ141" s="109">
        <f>BO141*'CALCULO GERAL'!$C$11</f>
        <v>309149.66149200004</v>
      </c>
      <c r="BR141" s="186">
        <f>BN141*'CALCULO GERAL'!$C$11</f>
        <v>263856.25812000001</v>
      </c>
      <c r="BS141" s="109">
        <f t="shared" si="183"/>
        <v>263856.25812000001</v>
      </c>
      <c r="BT141" s="109">
        <f t="shared" si="187"/>
        <v>81706.955220000003</v>
      </c>
      <c r="BU141" s="109">
        <f t="shared" si="184"/>
        <v>263856.25812000001</v>
      </c>
      <c r="BV141" s="109">
        <f t="shared" si="50"/>
        <v>221440.79793729453</v>
      </c>
      <c r="BW141" s="109">
        <f t="shared" si="47"/>
        <v>42415.460182705487</v>
      </c>
      <c r="BX141" s="114">
        <f t="shared" si="185"/>
        <v>0.16075214772209506</v>
      </c>
      <c r="BY141" s="152">
        <f t="shared" si="51"/>
        <v>0.7</v>
      </c>
      <c r="BZ141" s="152"/>
      <c r="CA141" s="55"/>
      <c r="CB141" s="113"/>
      <c r="CC141" s="113"/>
      <c r="CD141" s="152"/>
      <c r="CE141" s="152">
        <f t="shared" si="52"/>
        <v>0</v>
      </c>
      <c r="CF141" s="152">
        <f t="shared" si="48"/>
        <v>1</v>
      </c>
      <c r="CG141" s="152">
        <f t="shared" si="49"/>
        <v>1</v>
      </c>
      <c r="CH141" s="34"/>
      <c r="CJ141" s="56"/>
      <c r="CK141" s="56"/>
    </row>
    <row r="142" spans="1:89" x14ac:dyDescent="0.2">
      <c r="A142" s="125" t="s">
        <v>599</v>
      </c>
      <c r="B142" s="187" t="s">
        <v>600</v>
      </c>
      <c r="C142" s="6">
        <v>0.12</v>
      </c>
      <c r="D142" s="8">
        <v>6.5000000000000002E-2</v>
      </c>
      <c r="E142" s="7">
        <v>2.1000000000000001E-2</v>
      </c>
      <c r="F142" s="7">
        <v>9.6500000000000002E-2</v>
      </c>
      <c r="G142" s="1">
        <v>1.6500000000000001E-2</v>
      </c>
      <c r="H142" s="1">
        <v>7.5999999999999998E-2</v>
      </c>
      <c r="I142" s="1">
        <v>0.18</v>
      </c>
      <c r="J142" s="1">
        <v>0.04</v>
      </c>
      <c r="K142" s="1">
        <v>0.14000000000000001</v>
      </c>
      <c r="L142" s="1">
        <v>1.4999999999999999E-2</v>
      </c>
      <c r="M142" s="2" t="s">
        <v>175</v>
      </c>
      <c r="N142" s="105"/>
      <c r="O142" s="119"/>
      <c r="P142" s="119"/>
      <c r="Q142" s="119"/>
      <c r="R142" s="119"/>
      <c r="S142" s="119"/>
      <c r="T142" s="119"/>
      <c r="U142" s="119"/>
      <c r="V142" s="119">
        <v>0.04</v>
      </c>
      <c r="W142" s="119"/>
      <c r="X142" s="119">
        <f>MIN(O142:W142)</f>
        <v>0.04</v>
      </c>
      <c r="Y142" s="118">
        <f>AVERAGE(O142:W142)</f>
        <v>0.04</v>
      </c>
      <c r="Z142" s="109">
        <f>Y142*N142</f>
        <v>0</v>
      </c>
      <c r="AA142" s="109">
        <f>'CALCULO GERAL'!$G$10</f>
        <v>6300</v>
      </c>
      <c r="AB142" s="109">
        <f>Z142+AA142</f>
        <v>6300</v>
      </c>
      <c r="AC142" s="109">
        <f>AB142*'CALCULO GERAL'!$C$11</f>
        <v>31619.7</v>
      </c>
      <c r="AD142" s="109">
        <f>AC142*C142</f>
        <v>3794.364</v>
      </c>
      <c r="AE142" s="109">
        <f>(AC142+AD142)*D142</f>
        <v>2301.9141599999998</v>
      </c>
      <c r="AF142" s="109">
        <f>AC142*E142</f>
        <v>664.01370000000009</v>
      </c>
      <c r="AG142" s="109">
        <f>AC142*F142</f>
        <v>3051.30105</v>
      </c>
      <c r="AH142" s="109">
        <v>154.22999999999999</v>
      </c>
      <c r="AI142" s="109">
        <f>((AA142*'CALCULO GERAL'!$C$11))*0.08+20</f>
        <v>2549.576</v>
      </c>
      <c r="AJ142" s="109">
        <v>1010</v>
      </c>
      <c r="AK142" s="109">
        <v>2500</v>
      </c>
      <c r="AL142" s="109">
        <f>(AA142*('CALCULO GERAL'!$C$11*1.02))-(AA142*'CALCULO GERAL'!$C$11)</f>
        <v>632.39400000000387</v>
      </c>
      <c r="AM142" s="109">
        <v>1800</v>
      </c>
      <c r="AN142" s="109">
        <v>2600</v>
      </c>
      <c r="AO142" s="109">
        <v>9400</v>
      </c>
      <c r="AP142" s="109">
        <v>1000</v>
      </c>
      <c r="AQ142" s="109">
        <v>0</v>
      </c>
      <c r="AR142" s="109">
        <v>0</v>
      </c>
      <c r="AS142" s="109"/>
      <c r="AT142" s="109">
        <f>SUM(AC142:AS142)</f>
        <v>63077.492910000015</v>
      </c>
      <c r="AU142" s="111">
        <f>IFERROR((AT142/N142),0)</f>
        <v>0</v>
      </c>
      <c r="AV142" s="109">
        <f>IFERROR((BS142*'CALCULO GERAL'!$E$11)/N142,0)</f>
        <v>0</v>
      </c>
      <c r="AW142" s="109">
        <f>AU142/'CALCULO GERAL'!$C$11</f>
        <v>0</v>
      </c>
      <c r="AX142" s="109">
        <f>BP142-BB142-BD142*'CALCULO GERAL'!$C$11</f>
        <v>0</v>
      </c>
      <c r="AY142" s="109">
        <f>AX142*G142</f>
        <v>0</v>
      </c>
      <c r="AZ142" s="109">
        <f>AX142*H142</f>
        <v>0</v>
      </c>
      <c r="BA142" s="109">
        <f>BP142-BD142</f>
        <v>0</v>
      </c>
      <c r="BB142" s="109">
        <f>BA142*L142</f>
        <v>0</v>
      </c>
      <c r="BC142" s="109">
        <f>BP142/(1+D142)</f>
        <v>0</v>
      </c>
      <c r="BD142" s="109">
        <f>BC142*D142</f>
        <v>0</v>
      </c>
      <c r="BE142" s="109">
        <f>BU142*0.08</f>
        <v>0</v>
      </c>
      <c r="BF142" s="109">
        <f>BU142*0.12</f>
        <v>0</v>
      </c>
      <c r="BG142" s="109" t="e">
        <f>(BF142*0.09)/N142</f>
        <v>#DIV/0!</v>
      </c>
      <c r="BH142" s="109" t="e">
        <f>(BE142*0.15)/N142</f>
        <v>#DIV/0!</v>
      </c>
      <c r="BI142" s="109" t="e">
        <f>IF(BE142&gt;=$BY$1,($BY$1-BE142)*0.1,IF(BE142&lt;=$BY$1,($BY$1*0)))/N142</f>
        <v>#DIV/0!</v>
      </c>
      <c r="BJ142" s="109" t="e">
        <f>(AY142+AZ142+BB142+AV142+BD142+BG142+BH142+BI142)</f>
        <v>#DIV/0!</v>
      </c>
      <c r="BK142" s="109" t="e">
        <f>BJ142+AU142</f>
        <v>#DIV/0!</v>
      </c>
      <c r="BL142" s="148">
        <v>0.82</v>
      </c>
      <c r="BM142" s="112">
        <f>ROUND((AW142/BL142)+((AW142*BL142)*'CALCULO GERAL'!$E$11)/BL142,2)</f>
        <v>0</v>
      </c>
      <c r="BN142" s="186">
        <f>BM142</f>
        <v>0</v>
      </c>
      <c r="BO142" s="186">
        <f>ROUND(FV(0.02,8,,BN142)*-1,3)</f>
        <v>0</v>
      </c>
      <c r="BP142" s="109">
        <f>BM142*'CALCULO GERAL'!$C$11</f>
        <v>0</v>
      </c>
      <c r="BQ142" s="109">
        <f>BO142*'CALCULO GERAL'!$C$11</f>
        <v>0</v>
      </c>
      <c r="BR142" s="186">
        <f>BN142*'CALCULO GERAL'!$C$11</f>
        <v>0</v>
      </c>
      <c r="BS142" s="109">
        <f>BP142*N142</f>
        <v>0</v>
      </c>
      <c r="BT142" s="109">
        <f t="shared" si="187"/>
        <v>-63077.492910000015</v>
      </c>
      <c r="BU142" s="109">
        <f>BR142*N142</f>
        <v>0</v>
      </c>
      <c r="BV142" s="109" t="e">
        <f>BK142*N142</f>
        <v>#DIV/0!</v>
      </c>
      <c r="BW142" s="109" t="e">
        <f>BS142-BV142</f>
        <v>#DIV/0!</v>
      </c>
      <c r="BX142" s="114" t="e">
        <f>(((BK142*N142)-BS142)/BS142*-1)</f>
        <v>#DIV/0!</v>
      </c>
      <c r="BY142" s="152">
        <f>ROUND(BL142,2)</f>
        <v>0.82</v>
      </c>
      <c r="BZ142" s="152"/>
      <c r="CA142" s="55"/>
      <c r="CB142" s="113"/>
      <c r="CC142" s="113"/>
      <c r="CD142" s="152"/>
      <c r="CE142" s="152">
        <f>CC142/BY142</f>
        <v>0</v>
      </c>
      <c r="CF142" s="152">
        <f>100%-CE142</f>
        <v>1</v>
      </c>
      <c r="CG142" s="152">
        <f>AVERAGE(CF142,CD142)</f>
        <v>1</v>
      </c>
      <c r="CH142" s="34"/>
      <c r="CJ142" s="56"/>
      <c r="CK142" s="56"/>
    </row>
    <row r="143" spans="1:89" x14ac:dyDescent="0.2">
      <c r="A143" s="125" t="s">
        <v>601</v>
      </c>
      <c r="B143" s="187" t="s">
        <v>602</v>
      </c>
      <c r="C143" s="6">
        <v>0.18</v>
      </c>
      <c r="D143" s="8">
        <v>5.8999999999999997E-2</v>
      </c>
      <c r="E143" s="7">
        <v>2.1000000000000001E-2</v>
      </c>
      <c r="F143" s="7">
        <v>9.6500000000000002E-2</v>
      </c>
      <c r="G143" s="1">
        <v>1.6500000000000001E-2</v>
      </c>
      <c r="H143" s="1">
        <v>7.5999999999999998E-2</v>
      </c>
      <c r="I143" s="1">
        <v>0.18</v>
      </c>
      <c r="J143" s="1">
        <v>0.04</v>
      </c>
      <c r="K143" s="1">
        <v>0.14000000000000001</v>
      </c>
      <c r="L143" s="1">
        <v>1.4999999999999999E-2</v>
      </c>
      <c r="M143" s="2" t="s">
        <v>175</v>
      </c>
      <c r="N143" s="105"/>
      <c r="O143" s="119"/>
      <c r="P143" s="119"/>
      <c r="Q143" s="119"/>
      <c r="R143" s="119"/>
      <c r="S143" s="119"/>
      <c r="T143" s="119"/>
      <c r="U143" s="119"/>
      <c r="V143" s="119">
        <v>0.04</v>
      </c>
      <c r="W143" s="119"/>
      <c r="X143" s="119">
        <f>MIN(O143:W143)</f>
        <v>0.04</v>
      </c>
      <c r="Y143" s="118">
        <f>AVERAGE(O143:W143)</f>
        <v>0.04</v>
      </c>
      <c r="Z143" s="109">
        <f>Y143*N143</f>
        <v>0</v>
      </c>
      <c r="AA143" s="109">
        <f>'CALCULO GERAL'!$G$10</f>
        <v>6300</v>
      </c>
      <c r="AB143" s="109">
        <f>Z143+AA143</f>
        <v>6300</v>
      </c>
      <c r="AC143" s="109">
        <f>AB143*'CALCULO GERAL'!$C$11</f>
        <v>31619.7</v>
      </c>
      <c r="AD143" s="109">
        <f>AC143*C143</f>
        <v>5691.5460000000003</v>
      </c>
      <c r="AE143" s="109">
        <f>(AC143+AD143)*D143</f>
        <v>2201.3635139999997</v>
      </c>
      <c r="AF143" s="109">
        <f>AC143*E143</f>
        <v>664.01370000000009</v>
      </c>
      <c r="AG143" s="109">
        <f>AC143*F143</f>
        <v>3051.30105</v>
      </c>
      <c r="AH143" s="109">
        <v>154.22999999999999</v>
      </c>
      <c r="AI143" s="109">
        <f>((AA143*'CALCULO GERAL'!$C$11))*0.08+20</f>
        <v>2549.576</v>
      </c>
      <c r="AJ143" s="109">
        <v>1010</v>
      </c>
      <c r="AK143" s="109">
        <v>2500</v>
      </c>
      <c r="AL143" s="109">
        <f>(AA143*('CALCULO GERAL'!$C$11*1.02))-(AA143*'CALCULO GERAL'!$C$11)</f>
        <v>632.39400000000387</v>
      </c>
      <c r="AM143" s="109">
        <v>1800</v>
      </c>
      <c r="AN143" s="109">
        <v>2600</v>
      </c>
      <c r="AO143" s="109">
        <v>9400</v>
      </c>
      <c r="AP143" s="109">
        <v>1000</v>
      </c>
      <c r="AQ143" s="109">
        <v>0</v>
      </c>
      <c r="AR143" s="109">
        <v>0</v>
      </c>
      <c r="AS143" s="109"/>
      <c r="AT143" s="109">
        <f>SUM(AC143:AS143)</f>
        <v>64874.124264000013</v>
      </c>
      <c r="AU143" s="111">
        <f>IFERROR((AT143/N143),0)</f>
        <v>0</v>
      </c>
      <c r="AV143" s="109">
        <f>IFERROR((BS143*'CALCULO GERAL'!$E$11)/N143,0)</f>
        <v>0</v>
      </c>
      <c r="AW143" s="109">
        <f>AU143/'CALCULO GERAL'!$C$11</f>
        <v>0</v>
      </c>
      <c r="AX143" s="109">
        <f>BP143-BB143-BD143*'CALCULO GERAL'!$C$11</f>
        <v>0</v>
      </c>
      <c r="AY143" s="109">
        <f>AX143*G143</f>
        <v>0</v>
      </c>
      <c r="AZ143" s="109">
        <f>AX143*H143</f>
        <v>0</v>
      </c>
      <c r="BA143" s="109">
        <f>BP143-BD143</f>
        <v>0</v>
      </c>
      <c r="BB143" s="109">
        <f>BA143*L143</f>
        <v>0</v>
      </c>
      <c r="BC143" s="109">
        <f>BP143/(1+D143)</f>
        <v>0</v>
      </c>
      <c r="BD143" s="109">
        <f>BC143*D143</f>
        <v>0</v>
      </c>
      <c r="BE143" s="109">
        <f>BU143*0.08</f>
        <v>0</v>
      </c>
      <c r="BF143" s="109">
        <f>BU143*0.12</f>
        <v>0</v>
      </c>
      <c r="BG143" s="109" t="e">
        <f>(BF143*0.09)/N143</f>
        <v>#DIV/0!</v>
      </c>
      <c r="BH143" s="109" t="e">
        <f>(BE143*0.15)/N143</f>
        <v>#DIV/0!</v>
      </c>
      <c r="BI143" s="109" t="e">
        <f>IF(BE143&gt;=$BY$1,($BY$1-BE143)*0.1,IF(BE143&lt;=$BY$1,($BY$1*0)))/N143</f>
        <v>#DIV/0!</v>
      </c>
      <c r="BJ143" s="109" t="e">
        <f>(AY143+AZ143+BB143+AV143+BD143+BG143+BH143+BI143)</f>
        <v>#DIV/0!</v>
      </c>
      <c r="BK143" s="109" t="e">
        <f>BJ143+AU143</f>
        <v>#DIV/0!</v>
      </c>
      <c r="BL143" s="148">
        <v>0.82</v>
      </c>
      <c r="BM143" s="112">
        <f>ROUND((AW143/BL143)+((AW143*BL143)*'CALCULO GERAL'!$E$11)/BL143,2)</f>
        <v>0</v>
      </c>
      <c r="BN143" s="186">
        <f>BM143</f>
        <v>0</v>
      </c>
      <c r="BO143" s="186">
        <f>ROUND(FV(0.02,8,,BN143)*-1,3)</f>
        <v>0</v>
      </c>
      <c r="BP143" s="109">
        <f>BM143*'CALCULO GERAL'!$C$11</f>
        <v>0</v>
      </c>
      <c r="BQ143" s="109">
        <f>BO143*'CALCULO GERAL'!$C$11</f>
        <v>0</v>
      </c>
      <c r="BR143" s="186">
        <f>BN143*'CALCULO GERAL'!$C$11</f>
        <v>0</v>
      </c>
      <c r="BS143" s="109">
        <f>BP143*N143</f>
        <v>0</v>
      </c>
      <c r="BT143" s="109">
        <f t="shared" si="187"/>
        <v>-64874.124264000013</v>
      </c>
      <c r="BU143" s="109">
        <f>BR143*N143</f>
        <v>0</v>
      </c>
      <c r="BV143" s="109" t="e">
        <f>BK143*N143</f>
        <v>#DIV/0!</v>
      </c>
      <c r="BW143" s="109" t="e">
        <f>BS143-BV143</f>
        <v>#DIV/0!</v>
      </c>
      <c r="BX143" s="114" t="e">
        <f>(((BK143*N143)-BS143)/BS143*-1)</f>
        <v>#DIV/0!</v>
      </c>
      <c r="BY143" s="152">
        <f>ROUND(BL143,2)</f>
        <v>0.82</v>
      </c>
      <c r="BZ143" s="152"/>
      <c r="CA143" s="55"/>
      <c r="CB143" s="113"/>
      <c r="CC143" s="113"/>
      <c r="CD143" s="152"/>
      <c r="CE143" s="152">
        <f>CC143/BY143</f>
        <v>0</v>
      </c>
      <c r="CF143" s="152">
        <f>100%-CE143</f>
        <v>1</v>
      </c>
      <c r="CG143" s="152">
        <f>AVERAGE(CF143,CD143)</f>
        <v>1</v>
      </c>
      <c r="CH143" s="34"/>
      <c r="CJ143" s="56"/>
      <c r="CK143" s="56"/>
    </row>
    <row r="144" spans="1:89" x14ac:dyDescent="0.2">
      <c r="A144" s="125" t="s">
        <v>603</v>
      </c>
      <c r="B144" s="187" t="s">
        <v>604</v>
      </c>
      <c r="C144" s="6">
        <v>0.16200000000000001</v>
      </c>
      <c r="D144" s="8">
        <v>0</v>
      </c>
      <c r="E144" s="7">
        <v>2.1000000000000001E-2</v>
      </c>
      <c r="F144" s="7">
        <v>9.6500000000000002E-2</v>
      </c>
      <c r="G144" s="1">
        <v>1.6500000000000001E-2</v>
      </c>
      <c r="H144" s="1">
        <v>7.5999999999999998E-2</v>
      </c>
      <c r="I144" s="1">
        <v>0.18</v>
      </c>
      <c r="J144" s="1">
        <v>0.04</v>
      </c>
      <c r="K144" s="1">
        <v>0.14000000000000001</v>
      </c>
      <c r="L144" s="1">
        <v>1.4999999999999999E-2</v>
      </c>
      <c r="M144" s="2" t="s">
        <v>175</v>
      </c>
      <c r="N144" s="105"/>
      <c r="O144" s="119"/>
      <c r="P144" s="119"/>
      <c r="Q144" s="119"/>
      <c r="R144" s="119"/>
      <c r="S144" s="119"/>
      <c r="T144" s="119"/>
      <c r="U144" s="119"/>
      <c r="V144" s="119">
        <v>0.04</v>
      </c>
      <c r="W144" s="119"/>
      <c r="X144" s="119">
        <f>MIN(O144:W144)</f>
        <v>0.04</v>
      </c>
      <c r="Y144" s="118">
        <f>AVERAGE(O144:W144)</f>
        <v>0.04</v>
      </c>
      <c r="Z144" s="109">
        <f>Y144*N144</f>
        <v>0</v>
      </c>
      <c r="AA144" s="109">
        <f>'CALCULO GERAL'!$G$10</f>
        <v>6300</v>
      </c>
      <c r="AB144" s="109">
        <f>Z144+AA144</f>
        <v>6300</v>
      </c>
      <c r="AC144" s="109">
        <f>AB144*'CALCULO GERAL'!$C$11</f>
        <v>31619.7</v>
      </c>
      <c r="AD144" s="109">
        <f>AC144*C144</f>
        <v>5122.3914000000004</v>
      </c>
      <c r="AE144" s="109">
        <f>(AC144+AD144)*D144</f>
        <v>0</v>
      </c>
      <c r="AF144" s="109">
        <f>AC144*E144</f>
        <v>664.01370000000009</v>
      </c>
      <c r="AG144" s="109">
        <f>AC144*F144</f>
        <v>3051.30105</v>
      </c>
      <c r="AH144" s="109">
        <v>154.22999999999999</v>
      </c>
      <c r="AI144" s="109">
        <f>((AA144*'CALCULO GERAL'!$C$11))*0.08+20</f>
        <v>2549.576</v>
      </c>
      <c r="AJ144" s="109">
        <v>1010</v>
      </c>
      <c r="AK144" s="109">
        <v>2500</v>
      </c>
      <c r="AL144" s="109">
        <f>(AA144*('CALCULO GERAL'!$C$11*1.02))-(AA144*'CALCULO GERAL'!$C$11)</f>
        <v>632.39400000000387</v>
      </c>
      <c r="AM144" s="109">
        <v>1800</v>
      </c>
      <c r="AN144" s="109">
        <v>2600</v>
      </c>
      <c r="AO144" s="109">
        <v>9400</v>
      </c>
      <c r="AP144" s="109">
        <v>1000</v>
      </c>
      <c r="AQ144" s="109">
        <v>0</v>
      </c>
      <c r="AR144" s="109">
        <v>0</v>
      </c>
      <c r="AS144" s="109"/>
      <c r="AT144" s="109">
        <f>SUM(AC144:AS144)</f>
        <v>62103.606150000021</v>
      </c>
      <c r="AU144" s="111">
        <f>IFERROR((AT144/N144),0)</f>
        <v>0</v>
      </c>
      <c r="AV144" s="109">
        <f>IFERROR((BS144*'CALCULO GERAL'!$E$11)/N144,0)</f>
        <v>0</v>
      </c>
      <c r="AW144" s="109">
        <f>AU144/'CALCULO GERAL'!$C$11</f>
        <v>0</v>
      </c>
      <c r="AX144" s="109">
        <f>BP144-BB144-BD144*'CALCULO GERAL'!$C$11</f>
        <v>0</v>
      </c>
      <c r="AY144" s="109">
        <f>AX144*G144</f>
        <v>0</v>
      </c>
      <c r="AZ144" s="109">
        <f>AX144*H144</f>
        <v>0</v>
      </c>
      <c r="BA144" s="109">
        <f>BP144-BD144</f>
        <v>0</v>
      </c>
      <c r="BB144" s="109">
        <f>BA144*L144</f>
        <v>0</v>
      </c>
      <c r="BC144" s="109">
        <f>BP144/(1+D144)</f>
        <v>0</v>
      </c>
      <c r="BD144" s="109">
        <f>BC144*D144</f>
        <v>0</v>
      </c>
      <c r="BE144" s="109">
        <f>BU144*0.08</f>
        <v>0</v>
      </c>
      <c r="BF144" s="109">
        <f>BU144*0.12</f>
        <v>0</v>
      </c>
      <c r="BG144" s="109" t="e">
        <f>(BF144*0.09)/N144</f>
        <v>#DIV/0!</v>
      </c>
      <c r="BH144" s="109" t="e">
        <f>(BE144*0.15)/N144</f>
        <v>#DIV/0!</v>
      </c>
      <c r="BI144" s="109" t="e">
        <f>IF(BE144&gt;=$BY$1,($BY$1-BE144)*0.1,IF(BE144&lt;=$BY$1,($BY$1*0)))/N144</f>
        <v>#DIV/0!</v>
      </c>
      <c r="BJ144" s="109" t="e">
        <f>(AY144+AZ144+BB144+AV144+BD144+BG144+BH144+BI144)</f>
        <v>#DIV/0!</v>
      </c>
      <c r="BK144" s="109" t="e">
        <f>BJ144+AU144</f>
        <v>#DIV/0!</v>
      </c>
      <c r="BL144" s="148">
        <v>0.82</v>
      </c>
      <c r="BM144" s="112">
        <f>ROUND((AW144/BL144)+((AW144*BL144)*'CALCULO GERAL'!$E$11)/BL144,2)</f>
        <v>0</v>
      </c>
      <c r="BN144" s="186">
        <f>BM144</f>
        <v>0</v>
      </c>
      <c r="BO144" s="186">
        <f>ROUND(FV(0.02,8,,BN144)*-1,3)</f>
        <v>0</v>
      </c>
      <c r="BP144" s="109">
        <f>BM144*'CALCULO GERAL'!$C$11</f>
        <v>0</v>
      </c>
      <c r="BQ144" s="109">
        <f>BO144*'CALCULO GERAL'!$C$11</f>
        <v>0</v>
      </c>
      <c r="BR144" s="186">
        <f>BN144*'CALCULO GERAL'!$C$11</f>
        <v>0</v>
      </c>
      <c r="BS144" s="109">
        <f>BP144*N144</f>
        <v>0</v>
      </c>
      <c r="BT144" s="109">
        <f t="shared" si="187"/>
        <v>-62103.606150000021</v>
      </c>
      <c r="BU144" s="109">
        <f>BR144*N144</f>
        <v>0</v>
      </c>
      <c r="BV144" s="109" t="e">
        <f>BK144*N144</f>
        <v>#DIV/0!</v>
      </c>
      <c r="BW144" s="109" t="e">
        <f>BS144-BV144</f>
        <v>#DIV/0!</v>
      </c>
      <c r="BX144" s="114" t="e">
        <f>(((BK144*N144)-BS144)/BS144*-1)</f>
        <v>#DIV/0!</v>
      </c>
      <c r="BY144" s="152">
        <f>ROUND(BL144,2)</f>
        <v>0.82</v>
      </c>
      <c r="BZ144" s="152"/>
      <c r="CA144" s="55"/>
      <c r="CB144" s="113"/>
      <c r="CC144" s="113"/>
      <c r="CD144" s="152"/>
      <c r="CE144" s="152">
        <f>CC144/BY144</f>
        <v>0</v>
      </c>
      <c r="CF144" s="152">
        <f>100%-CE144</f>
        <v>1</v>
      </c>
      <c r="CG144" s="152">
        <f>AVERAGE(CF144,CD144)</f>
        <v>1</v>
      </c>
      <c r="CH144" s="34"/>
      <c r="CJ144" s="56"/>
      <c r="CK144" s="56"/>
    </row>
    <row r="145" spans="1:89" x14ac:dyDescent="0.2">
      <c r="A145" s="125" t="s">
        <v>605</v>
      </c>
      <c r="B145" s="187" t="s">
        <v>606</v>
      </c>
      <c r="C145" s="6">
        <v>0.16200000000000001</v>
      </c>
      <c r="D145" s="8">
        <v>3.7699999999999997E-2</v>
      </c>
      <c r="E145" s="7">
        <v>2.1000000000000001E-2</v>
      </c>
      <c r="F145" s="7">
        <v>9.6500000000000002E-2</v>
      </c>
      <c r="G145" s="1">
        <v>1.6500000000000001E-2</v>
      </c>
      <c r="H145" s="1">
        <v>7.5999999999999998E-2</v>
      </c>
      <c r="I145" s="1">
        <v>0.18</v>
      </c>
      <c r="J145" s="1">
        <v>0.04</v>
      </c>
      <c r="K145" s="1">
        <v>0.14000000000000001</v>
      </c>
      <c r="L145" s="1">
        <v>1.4999999999999999E-2</v>
      </c>
      <c r="M145" s="2" t="s">
        <v>175</v>
      </c>
      <c r="N145" s="105">
        <v>1000000</v>
      </c>
      <c r="O145" s="119"/>
      <c r="P145" s="119"/>
      <c r="Q145" s="119"/>
      <c r="R145" s="119"/>
      <c r="S145" s="119"/>
      <c r="T145" s="119"/>
      <c r="U145" s="119"/>
      <c r="V145" s="119">
        <v>0.04</v>
      </c>
      <c r="W145" s="119"/>
      <c r="X145" s="119">
        <f t="shared" si="160"/>
        <v>0.04</v>
      </c>
      <c r="Y145" s="118">
        <f t="shared" si="161"/>
        <v>0.04</v>
      </c>
      <c r="Z145" s="109">
        <f t="shared" si="162"/>
        <v>40000</v>
      </c>
      <c r="AA145" s="109">
        <f>'CALCULO GERAL'!$G$10</f>
        <v>6300</v>
      </c>
      <c r="AB145" s="109">
        <f t="shared" si="163"/>
        <v>46300</v>
      </c>
      <c r="AC145" s="109">
        <f>AB145*'CALCULO GERAL'!$C$11</f>
        <v>232379.7</v>
      </c>
      <c r="AD145" s="109">
        <f t="shared" si="164"/>
        <v>37645.511400000003</v>
      </c>
      <c r="AE145" s="109">
        <f t="shared" si="165"/>
        <v>10179.95046978</v>
      </c>
      <c r="AF145" s="109">
        <f t="shared" si="166"/>
        <v>4879.9737000000005</v>
      </c>
      <c r="AG145" s="109">
        <f t="shared" si="167"/>
        <v>22424.641050000002</v>
      </c>
      <c r="AH145" s="109">
        <v>154.22999999999999</v>
      </c>
      <c r="AI145" s="109">
        <f>((AA145*'CALCULO GERAL'!$C$11))*0.08+20</f>
        <v>2549.576</v>
      </c>
      <c r="AJ145" s="109">
        <v>1010</v>
      </c>
      <c r="AK145" s="109">
        <v>2500</v>
      </c>
      <c r="AL145" s="109">
        <f>(AA145*('CALCULO GERAL'!$C$11*1.02))-(AA145*'CALCULO GERAL'!$C$11)</f>
        <v>632.39400000000387</v>
      </c>
      <c r="AM145" s="109">
        <v>1800</v>
      </c>
      <c r="AN145" s="109">
        <v>2600</v>
      </c>
      <c r="AO145" s="109">
        <v>9400</v>
      </c>
      <c r="AP145" s="109">
        <v>1000</v>
      </c>
      <c r="AQ145" s="109">
        <v>0</v>
      </c>
      <c r="AR145" s="109">
        <v>0</v>
      </c>
      <c r="AS145" s="109"/>
      <c r="AT145" s="109">
        <f t="shared" si="44"/>
        <v>329155.97661978001</v>
      </c>
      <c r="AU145" s="111">
        <f t="shared" si="168"/>
        <v>0.32915597661978002</v>
      </c>
      <c r="AV145" s="109">
        <f>IFERROR((BS145*'CALCULO GERAL'!$E$11)/N145,0)</f>
        <v>8.0304000000000018E-3</v>
      </c>
      <c r="AW145" s="109">
        <f>AU145/'CALCULO GERAL'!$C$11</f>
        <v>6.5581983785570827E-2</v>
      </c>
      <c r="AX145" s="109">
        <f>BP145-BB145-BD145*'CALCULO GERAL'!$C$11</f>
        <v>0.32250204801387689</v>
      </c>
      <c r="AY145" s="109">
        <f t="shared" si="169"/>
        <v>5.3212837922289686E-3</v>
      </c>
      <c r="AZ145" s="109">
        <f t="shared" si="170"/>
        <v>2.4510155649054642E-2</v>
      </c>
      <c r="BA145" s="109">
        <f t="shared" si="171"/>
        <v>0.38693263949118245</v>
      </c>
      <c r="BB145" s="109">
        <f t="shared" si="172"/>
        <v>5.8039895923677363E-3</v>
      </c>
      <c r="BC145" s="109">
        <f t="shared" si="173"/>
        <v>0.38693263949118245</v>
      </c>
      <c r="BD145" s="109">
        <f t="shared" si="174"/>
        <v>1.4587360508817577E-2</v>
      </c>
      <c r="BE145" s="109">
        <f t="shared" si="175"/>
        <v>32121.600000000006</v>
      </c>
      <c r="BF145" s="109">
        <f t="shared" si="176"/>
        <v>48182.400000000009</v>
      </c>
      <c r="BG145" s="109">
        <f t="shared" si="177"/>
        <v>4.3364160000000009E-3</v>
      </c>
      <c r="BH145" s="109">
        <f t="shared" si="178"/>
        <v>4.8182400000000005E-3</v>
      </c>
      <c r="BI145" s="109">
        <f t="shared" si="179"/>
        <v>0</v>
      </c>
      <c r="BJ145" s="109">
        <f t="shared" si="180"/>
        <v>6.7407845542468925E-2</v>
      </c>
      <c r="BK145" s="109">
        <f t="shared" si="181"/>
        <v>0.39656382216224895</v>
      </c>
      <c r="BL145" s="148">
        <v>0.82</v>
      </c>
      <c r="BM145" s="112">
        <f>ROUND((AW145/BL145)+((AW145*BL145)*'CALCULO GERAL'!$E$11)/BL145,2)</f>
        <v>0.08</v>
      </c>
      <c r="BN145" s="186">
        <f t="shared" si="17"/>
        <v>0.08</v>
      </c>
      <c r="BO145" s="186">
        <f t="shared" si="182"/>
        <v>9.4E-2</v>
      </c>
      <c r="BP145" s="109">
        <f>BM145*'CALCULO GERAL'!$C$11</f>
        <v>0.40152000000000004</v>
      </c>
      <c r="BQ145" s="109">
        <f>BO145*'CALCULO GERAL'!$C$11</f>
        <v>0.47178600000000004</v>
      </c>
      <c r="BR145" s="186">
        <f>BN145*'CALCULO GERAL'!$C$11</f>
        <v>0.40152000000000004</v>
      </c>
      <c r="BS145" s="109">
        <f t="shared" si="183"/>
        <v>401520.00000000006</v>
      </c>
      <c r="BT145" s="109">
        <f t="shared" si="187"/>
        <v>72364.023380220053</v>
      </c>
      <c r="BU145" s="109">
        <f t="shared" si="184"/>
        <v>401520.00000000006</v>
      </c>
      <c r="BV145" s="109">
        <f t="shared" si="50"/>
        <v>396563.82216224895</v>
      </c>
      <c r="BW145" s="109">
        <f t="shared" si="47"/>
        <v>4956.1778377511073</v>
      </c>
      <c r="BX145" s="114">
        <f t="shared" si="185"/>
        <v>1.2343539145624393E-2</v>
      </c>
      <c r="BY145" s="152">
        <f t="shared" si="51"/>
        <v>0.82</v>
      </c>
      <c r="BZ145" s="152"/>
      <c r="CA145" s="55"/>
      <c r="CB145" s="113"/>
      <c r="CC145" s="113"/>
      <c r="CD145" s="152"/>
      <c r="CE145" s="152">
        <f t="shared" si="52"/>
        <v>0</v>
      </c>
      <c r="CF145" s="152">
        <f t="shared" si="48"/>
        <v>1</v>
      </c>
      <c r="CG145" s="152">
        <f t="shared" si="49"/>
        <v>1</v>
      </c>
      <c r="CH145" s="34"/>
      <c r="CJ145" s="56"/>
      <c r="CK145" s="56"/>
    </row>
    <row r="146" spans="1:89" x14ac:dyDescent="0.2">
      <c r="A146" s="125" t="s">
        <v>607</v>
      </c>
      <c r="B146" s="188" t="s">
        <v>608</v>
      </c>
      <c r="C146" s="6">
        <v>0.18</v>
      </c>
      <c r="D146" s="8">
        <v>0.115</v>
      </c>
      <c r="E146" s="7">
        <v>2.1000000000000001E-2</v>
      </c>
      <c r="F146" s="7">
        <v>9.6500000000000002E-2</v>
      </c>
      <c r="G146" s="1">
        <v>1.6500000000000001E-2</v>
      </c>
      <c r="H146" s="1">
        <v>7.5999999999999998E-2</v>
      </c>
      <c r="I146" s="1">
        <v>0.18</v>
      </c>
      <c r="J146" s="1">
        <v>0.04</v>
      </c>
      <c r="K146" s="1">
        <v>0.14000000000000001</v>
      </c>
      <c r="L146" s="1">
        <v>1.4999999999999999E-2</v>
      </c>
      <c r="M146" s="2" t="s">
        <v>175</v>
      </c>
      <c r="N146" s="105">
        <v>25000</v>
      </c>
      <c r="O146" s="119"/>
      <c r="P146" s="119"/>
      <c r="Q146" s="119"/>
      <c r="R146" s="119"/>
      <c r="S146" s="119"/>
      <c r="T146" s="119"/>
      <c r="U146" s="119"/>
      <c r="V146" s="119">
        <v>0.70199999999999996</v>
      </c>
      <c r="W146" s="119"/>
      <c r="X146" s="119">
        <f t="shared" si="160"/>
        <v>0.70199999999999996</v>
      </c>
      <c r="Y146" s="118">
        <f t="shared" si="161"/>
        <v>0.70199999999999996</v>
      </c>
      <c r="Z146" s="109">
        <f t="shared" si="162"/>
        <v>17550</v>
      </c>
      <c r="AA146" s="109">
        <f>'CALCULO GERAL'!$G$10</f>
        <v>6300</v>
      </c>
      <c r="AB146" s="109">
        <f t="shared" si="163"/>
        <v>23850</v>
      </c>
      <c r="AC146" s="109">
        <f>AB146*'CALCULO GERAL'!$C$11</f>
        <v>119703.15000000001</v>
      </c>
      <c r="AD146" s="109">
        <f t="shared" si="164"/>
        <v>21546.566999999999</v>
      </c>
      <c r="AE146" s="109">
        <f t="shared" si="165"/>
        <v>16243.717455000002</v>
      </c>
      <c r="AF146" s="109">
        <f t="shared" si="166"/>
        <v>2513.7661500000004</v>
      </c>
      <c r="AG146" s="109">
        <f t="shared" si="167"/>
        <v>11551.353975000002</v>
      </c>
      <c r="AH146" s="109">
        <v>154.22999999999999</v>
      </c>
      <c r="AI146" s="109">
        <f>((AA146*'CALCULO GERAL'!$C$11))*0.08+20</f>
        <v>2549.576</v>
      </c>
      <c r="AJ146" s="109">
        <v>1010</v>
      </c>
      <c r="AK146" s="109">
        <v>2500</v>
      </c>
      <c r="AL146" s="109">
        <f>(AA146*('CALCULO GERAL'!$C$11*1.02))-(AA146*'CALCULO GERAL'!$C$11)</f>
        <v>632.39400000000387</v>
      </c>
      <c r="AM146" s="109">
        <v>1800</v>
      </c>
      <c r="AN146" s="109">
        <v>2600</v>
      </c>
      <c r="AO146" s="109">
        <v>9400</v>
      </c>
      <c r="AP146" s="109">
        <v>1000</v>
      </c>
      <c r="AQ146" s="109">
        <v>0</v>
      </c>
      <c r="AR146" s="109">
        <v>0</v>
      </c>
      <c r="AS146" s="109"/>
      <c r="AT146" s="109">
        <f t="shared" si="44"/>
        <v>193204.75458000004</v>
      </c>
      <c r="AU146" s="111">
        <f t="shared" si="168"/>
        <v>7.7281901832000015</v>
      </c>
      <c r="AV146" s="109">
        <f>IFERROR((BS146*'CALCULO GERAL'!$E$11)/N146,0)</f>
        <v>0.19172580000000003</v>
      </c>
      <c r="AW146" s="109">
        <f>AU146/'CALCULO GERAL'!$C$11</f>
        <v>1.5397868466228335</v>
      </c>
      <c r="AX146" s="109">
        <f>BP146-BB146-BD146*'CALCULO GERAL'!$C$11</f>
        <v>4.4949383016591922</v>
      </c>
      <c r="AY146" s="109">
        <f t="shared" si="169"/>
        <v>7.4166481977376672E-2</v>
      </c>
      <c r="AZ146" s="109">
        <f t="shared" si="170"/>
        <v>0.34161531092609859</v>
      </c>
      <c r="BA146" s="109">
        <f t="shared" si="171"/>
        <v>8.5975695067264581</v>
      </c>
      <c r="BB146" s="109">
        <f t="shared" si="172"/>
        <v>0.12896354260089687</v>
      </c>
      <c r="BC146" s="109">
        <f t="shared" si="173"/>
        <v>8.5975695067264581</v>
      </c>
      <c r="BD146" s="109">
        <f t="shared" si="174"/>
        <v>0.98872049327354272</v>
      </c>
      <c r="BE146" s="109">
        <f t="shared" si="175"/>
        <v>19172.580000000002</v>
      </c>
      <c r="BF146" s="109">
        <f t="shared" si="176"/>
        <v>28758.87</v>
      </c>
      <c r="BG146" s="109">
        <f t="shared" si="177"/>
        <v>0.10353193199999999</v>
      </c>
      <c r="BH146" s="109">
        <f t="shared" si="178"/>
        <v>0.11503548000000001</v>
      </c>
      <c r="BI146" s="109">
        <f t="shared" si="179"/>
        <v>0</v>
      </c>
      <c r="BJ146" s="109">
        <f t="shared" si="180"/>
        <v>1.9437590407779148</v>
      </c>
      <c r="BK146" s="109">
        <f t="shared" si="181"/>
        <v>9.6719492239779168</v>
      </c>
      <c r="BL146" s="148">
        <v>0.82</v>
      </c>
      <c r="BM146" s="112">
        <f>ROUND((AW146/BL146)+((AW146*BL146)*'CALCULO GERAL'!$E$11)/BL146,2)</f>
        <v>1.91</v>
      </c>
      <c r="BN146" s="186">
        <f t="shared" si="17"/>
        <v>1.91</v>
      </c>
      <c r="BO146" s="186">
        <f t="shared" si="182"/>
        <v>2.238</v>
      </c>
      <c r="BP146" s="109">
        <f>BM146*'CALCULO GERAL'!$C$11</f>
        <v>9.58629</v>
      </c>
      <c r="BQ146" s="109">
        <f>BO146*'CALCULO GERAL'!$C$11</f>
        <v>11.232521999999999</v>
      </c>
      <c r="BR146" s="186">
        <f>BN146*'CALCULO GERAL'!$C$11</f>
        <v>9.58629</v>
      </c>
      <c r="BS146" s="109">
        <f t="shared" si="183"/>
        <v>239657.25</v>
      </c>
      <c r="BT146" s="109">
        <f t="shared" si="187"/>
        <v>46452.495419999963</v>
      </c>
      <c r="BU146" s="109">
        <f t="shared" si="184"/>
        <v>239657.25</v>
      </c>
      <c r="BV146" s="109">
        <f t="shared" si="50"/>
        <v>241798.73059944791</v>
      </c>
      <c r="BW146" s="109">
        <f t="shared" si="47"/>
        <v>-2141.4805994479102</v>
      </c>
      <c r="BX146" s="114">
        <f t="shared" si="185"/>
        <v>-8.9355969804706947E-3</v>
      </c>
      <c r="BY146" s="152">
        <f t="shared" si="51"/>
        <v>0.82</v>
      </c>
      <c r="BZ146" s="152"/>
      <c r="CA146" s="55"/>
      <c r="CB146" s="113"/>
      <c r="CC146" s="113"/>
      <c r="CD146" s="152"/>
      <c r="CE146" s="152">
        <f t="shared" si="52"/>
        <v>0</v>
      </c>
      <c r="CF146" s="152">
        <f t="shared" si="48"/>
        <v>1</v>
      </c>
      <c r="CG146" s="152">
        <f t="shared" si="49"/>
        <v>1</v>
      </c>
      <c r="CH146" s="34"/>
      <c r="CJ146" s="56"/>
      <c r="CK146" s="56"/>
    </row>
    <row r="147" spans="1:89" x14ac:dyDescent="0.2">
      <c r="A147" s="125" t="s">
        <v>273</v>
      </c>
      <c r="B147" s="187" t="s">
        <v>274</v>
      </c>
      <c r="C147" s="6">
        <v>0.128</v>
      </c>
      <c r="D147" s="8">
        <v>0</v>
      </c>
      <c r="E147" s="7">
        <v>2.1000000000000001E-2</v>
      </c>
      <c r="F147" s="7">
        <v>9.6500000000000002E-2</v>
      </c>
      <c r="G147" s="1">
        <v>1.6500000000000001E-2</v>
      </c>
      <c r="H147" s="1">
        <v>7.5999999999999998E-2</v>
      </c>
      <c r="I147" s="1">
        <v>0.18</v>
      </c>
      <c r="J147" s="1">
        <v>0.04</v>
      </c>
      <c r="K147" s="1">
        <v>0.14000000000000001</v>
      </c>
      <c r="L147" s="1">
        <v>1.4999999999999999E-2</v>
      </c>
      <c r="M147" s="2" t="s">
        <v>175</v>
      </c>
      <c r="N147" s="105">
        <v>76800</v>
      </c>
      <c r="O147" s="119"/>
      <c r="P147" s="119"/>
      <c r="Q147" s="119"/>
      <c r="R147" s="119"/>
      <c r="S147" s="119"/>
      <c r="T147" s="119">
        <v>3.95</v>
      </c>
      <c r="U147" s="119"/>
      <c r="V147" s="119"/>
      <c r="W147" s="119"/>
      <c r="X147" s="119">
        <f t="shared" si="160"/>
        <v>3.95</v>
      </c>
      <c r="Y147" s="118">
        <f t="shared" si="161"/>
        <v>3.95</v>
      </c>
      <c r="Z147" s="109">
        <f t="shared" si="162"/>
        <v>303360</v>
      </c>
      <c r="AA147" s="109">
        <f>'CALCULO GERAL'!$G$10</f>
        <v>6300</v>
      </c>
      <c r="AB147" s="109">
        <f t="shared" si="163"/>
        <v>309660</v>
      </c>
      <c r="AC147" s="109">
        <f>AB147*'CALCULO GERAL'!$C$11</f>
        <v>1554183.54</v>
      </c>
      <c r="AD147" s="109">
        <f t="shared" si="164"/>
        <v>198935.49312</v>
      </c>
      <c r="AE147" s="109">
        <f t="shared" si="165"/>
        <v>0</v>
      </c>
      <c r="AF147" s="109">
        <f t="shared" si="166"/>
        <v>32637.854340000002</v>
      </c>
      <c r="AG147" s="109">
        <f t="shared" si="167"/>
        <v>149978.71161</v>
      </c>
      <c r="AH147" s="109">
        <v>154.22999999999999</v>
      </c>
      <c r="AI147" s="109">
        <f>((AA147*'CALCULO GERAL'!$C$11))*0.08+20</f>
        <v>2549.576</v>
      </c>
      <c r="AJ147" s="109">
        <v>1010</v>
      </c>
      <c r="AK147" s="109">
        <v>2500</v>
      </c>
      <c r="AL147" s="109">
        <f>(AA147*('CALCULO GERAL'!$C$11*1.02))-(AA147*'CALCULO GERAL'!$C$11)</f>
        <v>632.39400000000387</v>
      </c>
      <c r="AM147" s="109">
        <v>1800</v>
      </c>
      <c r="AN147" s="109">
        <v>2600</v>
      </c>
      <c r="AO147" s="109">
        <v>9400</v>
      </c>
      <c r="AP147" s="109">
        <v>1000</v>
      </c>
      <c r="AQ147" s="109">
        <v>0</v>
      </c>
      <c r="AR147" s="109">
        <v>0</v>
      </c>
      <c r="AS147" s="109"/>
      <c r="AT147" s="109">
        <f t="shared" si="44"/>
        <v>1957381.79907</v>
      </c>
      <c r="AU147" s="111">
        <f t="shared" si="168"/>
        <v>25.486742175390624</v>
      </c>
      <c r="AV147" s="109">
        <f>IFERROR((BS147*'CALCULO GERAL'!$E$11)/N147,0)</f>
        <v>0.63139020000000012</v>
      </c>
      <c r="AW147" s="109">
        <f>AU147/'CALCULO GERAL'!$C$11</f>
        <v>5.0780518380933701</v>
      </c>
      <c r="AX147" s="109">
        <f>BP147-BB147-BD147*'CALCULO GERAL'!$C$11</f>
        <v>31.095967350000002</v>
      </c>
      <c r="AY147" s="109">
        <f t="shared" si="169"/>
        <v>0.51308346127500004</v>
      </c>
      <c r="AZ147" s="109">
        <f t="shared" si="170"/>
        <v>2.3632935185999999</v>
      </c>
      <c r="BA147" s="109">
        <f t="shared" si="171"/>
        <v>31.569510000000001</v>
      </c>
      <c r="BB147" s="109">
        <f t="shared" si="172"/>
        <v>0.47354265000000001</v>
      </c>
      <c r="BC147" s="109">
        <f t="shared" si="173"/>
        <v>31.569510000000001</v>
      </c>
      <c r="BD147" s="109">
        <f t="shared" si="174"/>
        <v>0</v>
      </c>
      <c r="BE147" s="109">
        <f t="shared" si="175"/>
        <v>193963.06944000002</v>
      </c>
      <c r="BF147" s="109">
        <f t="shared" si="176"/>
        <v>290944.60416000005</v>
      </c>
      <c r="BG147" s="109">
        <f t="shared" si="177"/>
        <v>0.34095070800000005</v>
      </c>
      <c r="BH147" s="109">
        <f t="shared" si="178"/>
        <v>0.37883412</v>
      </c>
      <c r="BI147" s="109">
        <f t="shared" si="179"/>
        <v>-0.17443109302083337</v>
      </c>
      <c r="BJ147" s="109">
        <f t="shared" si="180"/>
        <v>4.5266635648541671</v>
      </c>
      <c r="BK147" s="109">
        <f t="shared" si="181"/>
        <v>30.013405740244792</v>
      </c>
      <c r="BL147" s="148">
        <v>0.82</v>
      </c>
      <c r="BM147" s="112">
        <f>ROUND((AW147/BL147)+((AW147*BL147)*'CALCULO GERAL'!$E$11)/BL147,2)</f>
        <v>6.29</v>
      </c>
      <c r="BN147" s="186">
        <f t="shared" si="17"/>
        <v>6.29</v>
      </c>
      <c r="BO147" s="186">
        <f t="shared" si="182"/>
        <v>7.37</v>
      </c>
      <c r="BP147" s="109">
        <f>BM147*'CALCULO GERAL'!$C$11</f>
        <v>31.569510000000001</v>
      </c>
      <c r="BQ147" s="109">
        <f>BO147*'CALCULO GERAL'!$C$11</f>
        <v>36.990030000000004</v>
      </c>
      <c r="BR147" s="186">
        <f>BN147*'CALCULO GERAL'!$C$11</f>
        <v>31.569510000000001</v>
      </c>
      <c r="BS147" s="109">
        <f t="shared" si="183"/>
        <v>2424538.3680000002</v>
      </c>
      <c r="BT147" s="109">
        <f t="shared" si="187"/>
        <v>467156.5689300003</v>
      </c>
      <c r="BU147" s="109">
        <f t="shared" si="184"/>
        <v>2424538.3680000002</v>
      </c>
      <c r="BV147" s="109">
        <f t="shared" si="50"/>
        <v>2305029.5608508</v>
      </c>
      <c r="BW147" s="109">
        <f t="shared" si="47"/>
        <v>119508.80714920023</v>
      </c>
      <c r="BX147" s="114">
        <f t="shared" si="185"/>
        <v>4.9291365616862953E-2</v>
      </c>
      <c r="BY147" s="152">
        <f t="shared" si="51"/>
        <v>0.82</v>
      </c>
      <c r="BZ147" s="152"/>
      <c r="CA147" s="55"/>
      <c r="CB147" s="113"/>
      <c r="CC147" s="113"/>
      <c r="CD147" s="152"/>
      <c r="CE147" s="152">
        <f t="shared" si="52"/>
        <v>0</v>
      </c>
      <c r="CF147" s="152">
        <f t="shared" si="48"/>
        <v>1</v>
      </c>
      <c r="CG147" s="152">
        <f t="shared" si="49"/>
        <v>1</v>
      </c>
      <c r="CH147" s="34"/>
      <c r="CJ147" s="56"/>
      <c r="CK147" s="56"/>
    </row>
    <row r="148" spans="1:89" x14ac:dyDescent="0.2">
      <c r="A148" s="125" t="s">
        <v>275</v>
      </c>
      <c r="B148" s="187" t="s">
        <v>274</v>
      </c>
      <c r="C148" s="6">
        <v>0.128</v>
      </c>
      <c r="D148" s="8">
        <v>0</v>
      </c>
      <c r="E148" s="7">
        <v>2.1000000000000001E-2</v>
      </c>
      <c r="F148" s="7">
        <v>9.6500000000000002E-2</v>
      </c>
      <c r="G148" s="1">
        <v>1.6500000000000001E-2</v>
      </c>
      <c r="H148" s="1">
        <v>7.5999999999999998E-2</v>
      </c>
      <c r="I148" s="1">
        <v>0.18</v>
      </c>
      <c r="J148" s="1">
        <v>0.04</v>
      </c>
      <c r="K148" s="1">
        <v>0.14000000000000001</v>
      </c>
      <c r="L148" s="1">
        <v>1.4999999999999999E-2</v>
      </c>
      <c r="M148" s="2" t="s">
        <v>175</v>
      </c>
      <c r="N148" s="105">
        <v>32200</v>
      </c>
      <c r="O148" s="119"/>
      <c r="P148" s="119"/>
      <c r="Q148" s="119"/>
      <c r="R148" s="119"/>
      <c r="S148" s="119"/>
      <c r="T148" s="119">
        <v>4.3</v>
      </c>
      <c r="U148" s="119"/>
      <c r="V148" s="119"/>
      <c r="W148" s="119"/>
      <c r="X148" s="119">
        <f t="shared" si="160"/>
        <v>4.3</v>
      </c>
      <c r="Y148" s="118">
        <f t="shared" si="161"/>
        <v>4.3</v>
      </c>
      <c r="Z148" s="109">
        <f t="shared" si="162"/>
        <v>138460</v>
      </c>
      <c r="AA148" s="109">
        <f>'CALCULO GERAL'!$G$10</f>
        <v>6300</v>
      </c>
      <c r="AB148" s="109">
        <f t="shared" si="163"/>
        <v>144760</v>
      </c>
      <c r="AC148" s="109">
        <f>AB148*'CALCULO GERAL'!$C$11</f>
        <v>726550.44000000006</v>
      </c>
      <c r="AD148" s="109">
        <f t="shared" si="164"/>
        <v>92998.456320000012</v>
      </c>
      <c r="AE148" s="109">
        <f t="shared" si="165"/>
        <v>0</v>
      </c>
      <c r="AF148" s="109">
        <f t="shared" si="166"/>
        <v>15257.559240000002</v>
      </c>
      <c r="AG148" s="109">
        <f t="shared" si="167"/>
        <v>70112.117460000009</v>
      </c>
      <c r="AH148" s="109">
        <v>154.22999999999999</v>
      </c>
      <c r="AI148" s="109">
        <f>((AA148*'CALCULO GERAL'!$C$11))*0.08+20</f>
        <v>2549.576</v>
      </c>
      <c r="AJ148" s="109">
        <v>1010</v>
      </c>
      <c r="AK148" s="109">
        <v>2500</v>
      </c>
      <c r="AL148" s="109">
        <f>(AA148*('CALCULO GERAL'!$C$11*1.02))-(AA148*'CALCULO GERAL'!$C$11)</f>
        <v>632.39400000000387</v>
      </c>
      <c r="AM148" s="109">
        <v>1800</v>
      </c>
      <c r="AN148" s="109">
        <v>2600</v>
      </c>
      <c r="AO148" s="109">
        <v>9400</v>
      </c>
      <c r="AP148" s="109">
        <v>1000</v>
      </c>
      <c r="AQ148" s="109">
        <v>0</v>
      </c>
      <c r="AR148" s="109">
        <v>0</v>
      </c>
      <c r="AS148" s="109"/>
      <c r="AT148" s="109">
        <f t="shared" si="44"/>
        <v>926564.77301999996</v>
      </c>
      <c r="AU148" s="111">
        <f t="shared" si="168"/>
        <v>28.775303509937888</v>
      </c>
      <c r="AV148" s="109">
        <f>IFERROR((BS148*'CALCULO GERAL'!$E$11)/N148,0)</f>
        <v>0.71370180000000005</v>
      </c>
      <c r="AW148" s="109">
        <f>AU148/'CALCULO GERAL'!$C$11</f>
        <v>5.7332742598003366</v>
      </c>
      <c r="AX148" s="109">
        <f>BP148-BB148-BD148*'CALCULO GERAL'!$C$11</f>
        <v>35.149813650000006</v>
      </c>
      <c r="AY148" s="109">
        <f t="shared" si="169"/>
        <v>0.57997192522500007</v>
      </c>
      <c r="AZ148" s="109">
        <f t="shared" si="170"/>
        <v>2.6713858374000004</v>
      </c>
      <c r="BA148" s="109">
        <f t="shared" si="171"/>
        <v>35.685090000000002</v>
      </c>
      <c r="BB148" s="109">
        <f t="shared" si="172"/>
        <v>0.53527635000000007</v>
      </c>
      <c r="BC148" s="109">
        <f t="shared" si="173"/>
        <v>35.685090000000002</v>
      </c>
      <c r="BD148" s="109">
        <f t="shared" si="174"/>
        <v>0</v>
      </c>
      <c r="BE148" s="109">
        <f t="shared" si="175"/>
        <v>91924.791840000005</v>
      </c>
      <c r="BF148" s="109">
        <f t="shared" si="176"/>
        <v>137887.18776</v>
      </c>
      <c r="BG148" s="109">
        <f t="shared" si="177"/>
        <v>0.38539897199999995</v>
      </c>
      <c r="BH148" s="109">
        <f t="shared" si="178"/>
        <v>0.42822107999999998</v>
      </c>
      <c r="BI148" s="109">
        <f t="shared" si="179"/>
        <v>-9.9145347329192571E-2</v>
      </c>
      <c r="BJ148" s="109">
        <f t="shared" si="180"/>
        <v>5.2148106172958082</v>
      </c>
      <c r="BK148" s="109">
        <f t="shared" si="181"/>
        <v>33.990114127233696</v>
      </c>
      <c r="BL148" s="148">
        <v>0.82</v>
      </c>
      <c r="BM148" s="112">
        <f>ROUND((AW148/BL148)+((AW148*BL148)*'CALCULO GERAL'!$E$11)/BL148,2)</f>
        <v>7.11</v>
      </c>
      <c r="BN148" s="186">
        <f t="shared" si="17"/>
        <v>7.11</v>
      </c>
      <c r="BO148" s="186">
        <f t="shared" si="182"/>
        <v>8.33</v>
      </c>
      <c r="BP148" s="109">
        <f>BM148*'CALCULO GERAL'!$C$11</f>
        <v>35.685090000000002</v>
      </c>
      <c r="BQ148" s="109">
        <f>BO148*'CALCULO GERAL'!$C$11</f>
        <v>41.80827</v>
      </c>
      <c r="BR148" s="186">
        <f>BN148*'CALCULO GERAL'!$C$11</f>
        <v>35.685090000000002</v>
      </c>
      <c r="BS148" s="109">
        <f t="shared" si="183"/>
        <v>1149059.898</v>
      </c>
      <c r="BT148" s="109">
        <f t="shared" si="187"/>
        <v>222495.12498000008</v>
      </c>
      <c r="BU148" s="109">
        <f t="shared" si="184"/>
        <v>1149059.898</v>
      </c>
      <c r="BV148" s="109">
        <f t="shared" si="50"/>
        <v>1094481.674896925</v>
      </c>
      <c r="BW148" s="109">
        <f t="shared" si="47"/>
        <v>54578.223103075055</v>
      </c>
      <c r="BX148" s="114">
        <f t="shared" si="185"/>
        <v>4.7498153227757196E-2</v>
      </c>
      <c r="BY148" s="152">
        <f t="shared" si="51"/>
        <v>0.82</v>
      </c>
      <c r="BZ148" s="152"/>
      <c r="CA148" s="55"/>
      <c r="CB148" s="113"/>
      <c r="CC148" s="113"/>
      <c r="CD148" s="152"/>
      <c r="CE148" s="152">
        <f t="shared" si="52"/>
        <v>0</v>
      </c>
      <c r="CF148" s="152">
        <f t="shared" si="48"/>
        <v>1</v>
      </c>
      <c r="CG148" s="152">
        <f t="shared" si="49"/>
        <v>1</v>
      </c>
      <c r="CH148" s="34"/>
      <c r="CJ148" s="56"/>
      <c r="CK148" s="56"/>
    </row>
    <row r="149" spans="1:89" x14ac:dyDescent="0.2">
      <c r="A149" s="125" t="s">
        <v>276</v>
      </c>
      <c r="B149" s="187" t="s">
        <v>274</v>
      </c>
      <c r="C149" s="6">
        <v>0.128</v>
      </c>
      <c r="D149" s="8">
        <v>0</v>
      </c>
      <c r="E149" s="7">
        <v>2.1000000000000001E-2</v>
      </c>
      <c r="F149" s="7">
        <v>9.6500000000000002E-2</v>
      </c>
      <c r="G149" s="1">
        <v>1.6500000000000001E-2</v>
      </c>
      <c r="H149" s="1">
        <v>7.5999999999999998E-2</v>
      </c>
      <c r="I149" s="1">
        <v>0.18</v>
      </c>
      <c r="J149" s="1">
        <v>0.04</v>
      </c>
      <c r="K149" s="1">
        <v>0.14000000000000001</v>
      </c>
      <c r="L149" s="1">
        <v>1.4999999999999999E-2</v>
      </c>
      <c r="M149" s="2" t="s">
        <v>175</v>
      </c>
      <c r="N149" s="105">
        <v>32200</v>
      </c>
      <c r="O149" s="119"/>
      <c r="P149" s="119"/>
      <c r="Q149" s="119"/>
      <c r="R149" s="119"/>
      <c r="S149" s="119"/>
      <c r="T149" s="119">
        <v>4.0999999999999996</v>
      </c>
      <c r="U149" s="119"/>
      <c r="V149" s="119"/>
      <c r="W149" s="119"/>
      <c r="X149" s="119">
        <f t="shared" si="160"/>
        <v>4.0999999999999996</v>
      </c>
      <c r="Y149" s="118">
        <f t="shared" si="161"/>
        <v>4.0999999999999996</v>
      </c>
      <c r="Z149" s="109">
        <f t="shared" si="162"/>
        <v>132020</v>
      </c>
      <c r="AA149" s="109">
        <f>'CALCULO GERAL'!$G$10</f>
        <v>6300</v>
      </c>
      <c r="AB149" s="109">
        <f t="shared" si="163"/>
        <v>138320</v>
      </c>
      <c r="AC149" s="109">
        <f>AB149*'CALCULO GERAL'!$C$11</f>
        <v>694228.08000000007</v>
      </c>
      <c r="AD149" s="109">
        <f t="shared" si="164"/>
        <v>88861.194240000012</v>
      </c>
      <c r="AE149" s="109">
        <f t="shared" si="165"/>
        <v>0</v>
      </c>
      <c r="AF149" s="109">
        <f t="shared" si="166"/>
        <v>14578.789680000002</v>
      </c>
      <c r="AG149" s="109">
        <f t="shared" si="167"/>
        <v>66993.009720000002</v>
      </c>
      <c r="AH149" s="109">
        <v>154.22999999999999</v>
      </c>
      <c r="AI149" s="109">
        <f>((AA149*'CALCULO GERAL'!$C$11))*0.08+20</f>
        <v>2549.576</v>
      </c>
      <c r="AJ149" s="109">
        <v>1010</v>
      </c>
      <c r="AK149" s="109">
        <v>2500</v>
      </c>
      <c r="AL149" s="109">
        <f>(AA149*('CALCULO GERAL'!$C$11*1.02))-(AA149*'CALCULO GERAL'!$C$11)</f>
        <v>632.39400000000387</v>
      </c>
      <c r="AM149" s="109">
        <v>1800</v>
      </c>
      <c r="AN149" s="109">
        <v>2600</v>
      </c>
      <c r="AO149" s="109">
        <v>9400</v>
      </c>
      <c r="AP149" s="109">
        <v>1000</v>
      </c>
      <c r="AQ149" s="109">
        <v>0</v>
      </c>
      <c r="AR149" s="109">
        <v>0</v>
      </c>
      <c r="AS149" s="109"/>
      <c r="AT149" s="109">
        <f t="shared" si="44"/>
        <v>886307.27364000003</v>
      </c>
      <c r="AU149" s="111">
        <f t="shared" si="168"/>
        <v>27.525070609937888</v>
      </c>
      <c r="AV149" s="109">
        <f>IFERROR((BS149*'CALCULO GERAL'!$E$11)/N149,0)</f>
        <v>0.68258399999999997</v>
      </c>
      <c r="AW149" s="109">
        <f>AU149/'CALCULO GERAL'!$C$11</f>
        <v>5.4841742598003362</v>
      </c>
      <c r="AX149" s="109">
        <f>BP149-BB149-BD149*'CALCULO GERAL'!$C$11</f>
        <v>33.617261999999997</v>
      </c>
      <c r="AY149" s="109">
        <f t="shared" si="169"/>
        <v>0.55468482299999999</v>
      </c>
      <c r="AZ149" s="109">
        <f t="shared" si="170"/>
        <v>2.5549119119999997</v>
      </c>
      <c r="BA149" s="109">
        <f t="shared" si="171"/>
        <v>34.129199999999997</v>
      </c>
      <c r="BB149" s="109">
        <f t="shared" si="172"/>
        <v>0.51193799999999989</v>
      </c>
      <c r="BC149" s="109">
        <f t="shared" si="173"/>
        <v>34.129199999999997</v>
      </c>
      <c r="BD149" s="109">
        <f t="shared" si="174"/>
        <v>0</v>
      </c>
      <c r="BE149" s="109">
        <f t="shared" si="175"/>
        <v>87916.819199999998</v>
      </c>
      <c r="BF149" s="109">
        <f t="shared" si="176"/>
        <v>131875.22879999998</v>
      </c>
      <c r="BG149" s="109">
        <f t="shared" si="177"/>
        <v>0.36859535999999993</v>
      </c>
      <c r="BH149" s="109">
        <f t="shared" si="178"/>
        <v>0.40955039999999998</v>
      </c>
      <c r="BI149" s="109">
        <f t="shared" si="179"/>
        <v>-8.6698227329192551E-2</v>
      </c>
      <c r="BJ149" s="109">
        <f t="shared" si="180"/>
        <v>4.9955662676708057</v>
      </c>
      <c r="BK149" s="109">
        <f t="shared" si="181"/>
        <v>32.520636877608695</v>
      </c>
      <c r="BL149" s="148">
        <v>0.82</v>
      </c>
      <c r="BM149" s="112">
        <f>ROUND((AW149/BL149)+((AW149*BL149)*'CALCULO GERAL'!$E$11)/BL149,2)</f>
        <v>6.8</v>
      </c>
      <c r="BN149" s="186">
        <f t="shared" si="17"/>
        <v>6.8</v>
      </c>
      <c r="BO149" s="186">
        <f t="shared" si="182"/>
        <v>7.9669999999999996</v>
      </c>
      <c r="BP149" s="109">
        <f>BM149*'CALCULO GERAL'!$C$11</f>
        <v>34.129199999999997</v>
      </c>
      <c r="BQ149" s="109">
        <f>BO149*'CALCULO GERAL'!$C$11</f>
        <v>39.986373</v>
      </c>
      <c r="BR149" s="186">
        <f>BN149*'CALCULO GERAL'!$C$11</f>
        <v>34.129199999999997</v>
      </c>
      <c r="BS149" s="109">
        <f t="shared" si="183"/>
        <v>1098960.24</v>
      </c>
      <c r="BT149" s="109">
        <f t="shared" si="187"/>
        <v>212652.96635999996</v>
      </c>
      <c r="BU149" s="109">
        <f t="shared" si="184"/>
        <v>1098960.24</v>
      </c>
      <c r="BV149" s="109">
        <f t="shared" si="50"/>
        <v>1047164.507459</v>
      </c>
      <c r="BW149" s="109">
        <f t="shared" si="47"/>
        <v>51795.732541000005</v>
      </c>
      <c r="BX149" s="114">
        <f t="shared" si="185"/>
        <v>4.7131580066081376E-2</v>
      </c>
      <c r="BY149" s="152">
        <f t="shared" si="51"/>
        <v>0.82</v>
      </c>
      <c r="BZ149" s="152"/>
      <c r="CA149" s="55"/>
      <c r="CB149" s="113"/>
      <c r="CC149" s="113"/>
      <c r="CD149" s="152"/>
      <c r="CE149" s="152">
        <f t="shared" si="52"/>
        <v>0</v>
      </c>
      <c r="CF149" s="152">
        <f t="shared" si="48"/>
        <v>1</v>
      </c>
      <c r="CG149" s="152">
        <f t="shared" si="49"/>
        <v>1</v>
      </c>
      <c r="CH149" s="34"/>
      <c r="CJ149" s="56"/>
      <c r="CK149" s="56"/>
    </row>
    <row r="150" spans="1:89" x14ac:dyDescent="0.2">
      <c r="A150" s="125" t="s">
        <v>277</v>
      </c>
      <c r="B150" s="187" t="s">
        <v>274</v>
      </c>
      <c r="C150" s="6">
        <v>0.128</v>
      </c>
      <c r="D150" s="8">
        <v>0</v>
      </c>
      <c r="E150" s="7">
        <v>2.1000000000000001E-2</v>
      </c>
      <c r="F150" s="7">
        <v>9.6500000000000002E-2</v>
      </c>
      <c r="G150" s="1">
        <v>1.6500000000000001E-2</v>
      </c>
      <c r="H150" s="1">
        <v>7.5999999999999998E-2</v>
      </c>
      <c r="I150" s="1">
        <v>0.18</v>
      </c>
      <c r="J150" s="1">
        <v>0.04</v>
      </c>
      <c r="K150" s="1">
        <v>0.14000000000000001</v>
      </c>
      <c r="L150" s="1">
        <v>1.4999999999999999E-2</v>
      </c>
      <c r="M150" s="2" t="s">
        <v>175</v>
      </c>
      <c r="N150" s="105">
        <v>38600</v>
      </c>
      <c r="O150" s="119"/>
      <c r="P150" s="119"/>
      <c r="Q150" s="119"/>
      <c r="R150" s="119"/>
      <c r="S150" s="119"/>
      <c r="T150" s="119">
        <v>4.8</v>
      </c>
      <c r="U150" s="119"/>
      <c r="V150" s="119"/>
      <c r="W150" s="119"/>
      <c r="X150" s="119">
        <f t="shared" si="160"/>
        <v>4.8</v>
      </c>
      <c r="Y150" s="118">
        <f t="shared" si="161"/>
        <v>4.8</v>
      </c>
      <c r="Z150" s="109">
        <f t="shared" si="162"/>
        <v>185280</v>
      </c>
      <c r="AA150" s="109">
        <f>'CALCULO GERAL'!$G$10</f>
        <v>6300</v>
      </c>
      <c r="AB150" s="109">
        <f t="shared" si="163"/>
        <v>191580</v>
      </c>
      <c r="AC150" s="109">
        <f>AB150*'CALCULO GERAL'!$C$11</f>
        <v>961540.02</v>
      </c>
      <c r="AD150" s="109">
        <f t="shared" si="164"/>
        <v>123077.12256</v>
      </c>
      <c r="AE150" s="109">
        <f t="shared" si="165"/>
        <v>0</v>
      </c>
      <c r="AF150" s="109">
        <f t="shared" si="166"/>
        <v>20192.34042</v>
      </c>
      <c r="AG150" s="109">
        <f t="shared" si="167"/>
        <v>92788.611929999999</v>
      </c>
      <c r="AH150" s="109">
        <v>154.22999999999999</v>
      </c>
      <c r="AI150" s="109">
        <f>((AA150*'CALCULO GERAL'!$C$11))*0.08+20</f>
        <v>2549.576</v>
      </c>
      <c r="AJ150" s="109">
        <v>1010</v>
      </c>
      <c r="AK150" s="109">
        <v>2500</v>
      </c>
      <c r="AL150" s="109">
        <f>(AA150*('CALCULO GERAL'!$C$11*1.02))-(AA150*'CALCULO GERAL'!$C$11)</f>
        <v>632.39400000000387</v>
      </c>
      <c r="AM150" s="109">
        <v>1800</v>
      </c>
      <c r="AN150" s="109">
        <v>2600</v>
      </c>
      <c r="AO150" s="109">
        <v>9400</v>
      </c>
      <c r="AP150" s="109">
        <v>1000</v>
      </c>
      <c r="AQ150" s="109">
        <v>0</v>
      </c>
      <c r="AR150" s="109">
        <v>0</v>
      </c>
      <c r="AS150" s="109"/>
      <c r="AT150" s="109">
        <f t="shared" si="44"/>
        <v>1219244.2949099999</v>
      </c>
      <c r="AU150" s="111">
        <f t="shared" si="168"/>
        <v>31.586639764507769</v>
      </c>
      <c r="AV150" s="109">
        <f>IFERROR((BS150*'CALCULO GERAL'!$E$11)/N150,0)</f>
        <v>0.78296399999999999</v>
      </c>
      <c r="AW150" s="109">
        <f>AU150/'CALCULO GERAL'!$C$11</f>
        <v>6.2934129835640107</v>
      </c>
      <c r="AX150" s="109">
        <f>BP150-BB150-BD150*'CALCULO GERAL'!$C$11</f>
        <v>38.560977000000001</v>
      </c>
      <c r="AY150" s="109">
        <f t="shared" si="169"/>
        <v>0.63625612050000002</v>
      </c>
      <c r="AZ150" s="109">
        <f t="shared" si="170"/>
        <v>2.9306342519999999</v>
      </c>
      <c r="BA150" s="109">
        <f t="shared" si="171"/>
        <v>39.148200000000003</v>
      </c>
      <c r="BB150" s="109">
        <f t="shared" si="172"/>
        <v>0.58722300000000005</v>
      </c>
      <c r="BC150" s="109">
        <f t="shared" si="173"/>
        <v>39.148200000000003</v>
      </c>
      <c r="BD150" s="109">
        <f t="shared" si="174"/>
        <v>0</v>
      </c>
      <c r="BE150" s="109">
        <f t="shared" si="175"/>
        <v>120889.6416</v>
      </c>
      <c r="BF150" s="109">
        <f t="shared" si="176"/>
        <v>181334.46239999999</v>
      </c>
      <c r="BG150" s="109">
        <f t="shared" si="177"/>
        <v>0.42280055999999994</v>
      </c>
      <c r="BH150" s="109">
        <f t="shared" si="178"/>
        <v>0.46977840000000004</v>
      </c>
      <c r="BI150" s="109">
        <f t="shared" si="179"/>
        <v>-0.15774521139896375</v>
      </c>
      <c r="BJ150" s="109">
        <f t="shared" si="180"/>
        <v>5.6719111211010365</v>
      </c>
      <c r="BK150" s="109">
        <f t="shared" si="181"/>
        <v>37.258550885608805</v>
      </c>
      <c r="BL150" s="148">
        <v>0.82</v>
      </c>
      <c r="BM150" s="112">
        <f>ROUND((AW150/BL150)+((AW150*BL150)*'CALCULO GERAL'!$E$11)/BL150,2)</f>
        <v>7.8</v>
      </c>
      <c r="BN150" s="186">
        <f t="shared" si="17"/>
        <v>7.8</v>
      </c>
      <c r="BO150" s="186">
        <f t="shared" si="182"/>
        <v>9.1389999999999993</v>
      </c>
      <c r="BP150" s="109">
        <f>BM150*'CALCULO GERAL'!$C$11</f>
        <v>39.148200000000003</v>
      </c>
      <c r="BQ150" s="109">
        <f>BO150*'CALCULO GERAL'!$C$11</f>
        <v>45.868640999999997</v>
      </c>
      <c r="BR150" s="186">
        <f>BN150*'CALCULO GERAL'!$C$11</f>
        <v>39.148200000000003</v>
      </c>
      <c r="BS150" s="109">
        <f t="shared" si="183"/>
        <v>1511120.52</v>
      </c>
      <c r="BT150" s="109">
        <f t="shared" si="187"/>
        <v>291876.22509000008</v>
      </c>
      <c r="BU150" s="109">
        <f t="shared" si="184"/>
        <v>1511120.52</v>
      </c>
      <c r="BV150" s="109">
        <f t="shared" si="50"/>
        <v>1438180.0641844999</v>
      </c>
      <c r="BW150" s="109">
        <f t="shared" si="47"/>
        <v>72940.455815500114</v>
      </c>
      <c r="BX150" s="114">
        <f t="shared" si="185"/>
        <v>4.8269118743421019E-2</v>
      </c>
      <c r="BY150" s="152">
        <f t="shared" si="51"/>
        <v>0.82</v>
      </c>
      <c r="BZ150" s="152"/>
      <c r="CA150" s="55"/>
      <c r="CB150" s="113"/>
      <c r="CC150" s="113"/>
      <c r="CD150" s="152"/>
      <c r="CE150" s="152">
        <f t="shared" si="52"/>
        <v>0</v>
      </c>
      <c r="CF150" s="152">
        <f t="shared" si="48"/>
        <v>1</v>
      </c>
      <c r="CG150" s="152">
        <f t="shared" si="49"/>
        <v>1</v>
      </c>
      <c r="CH150" s="34"/>
      <c r="CJ150" s="56"/>
      <c r="CK150" s="56"/>
    </row>
    <row r="151" spans="1:89" x14ac:dyDescent="0.2">
      <c r="A151" s="125" t="s">
        <v>278</v>
      </c>
      <c r="B151" s="187" t="s">
        <v>279</v>
      </c>
      <c r="C151" s="6">
        <v>0.16200000000000001</v>
      </c>
      <c r="D151" s="8">
        <v>9.7500000000000003E-2</v>
      </c>
      <c r="E151" s="7">
        <v>2.1000000000000001E-2</v>
      </c>
      <c r="F151" s="7">
        <v>0.1065</v>
      </c>
      <c r="G151" s="1">
        <v>1.6500000000000001E-2</v>
      </c>
      <c r="H151" s="1">
        <v>7.5999999999999998E-2</v>
      </c>
      <c r="I151" s="1">
        <v>0.18</v>
      </c>
      <c r="J151" s="1">
        <v>0.04</v>
      </c>
      <c r="K151" s="1">
        <v>0.14000000000000001</v>
      </c>
      <c r="L151" s="1">
        <v>1.4999999999999999E-2</v>
      </c>
      <c r="M151" s="2" t="s">
        <v>175</v>
      </c>
      <c r="N151" s="105">
        <v>490</v>
      </c>
      <c r="O151" s="119"/>
      <c r="P151" s="119"/>
      <c r="Q151" s="119"/>
      <c r="R151" s="119"/>
      <c r="S151" s="119"/>
      <c r="T151" s="119"/>
      <c r="U151" s="119"/>
      <c r="V151" s="119">
        <v>25</v>
      </c>
      <c r="W151" s="119"/>
      <c r="X151" s="119">
        <f t="shared" si="160"/>
        <v>25</v>
      </c>
      <c r="Y151" s="118">
        <f t="shared" si="161"/>
        <v>25</v>
      </c>
      <c r="Z151" s="109">
        <f t="shared" si="162"/>
        <v>12250</v>
      </c>
      <c r="AA151" s="109">
        <f>'CALCULO GERAL'!$G$10</f>
        <v>6300</v>
      </c>
      <c r="AB151" s="109">
        <f t="shared" si="163"/>
        <v>18550</v>
      </c>
      <c r="AC151" s="109">
        <f>AB151*'CALCULO GERAL'!$C$11</f>
        <v>93102.45</v>
      </c>
      <c r="AD151" s="109">
        <f t="shared" si="164"/>
        <v>15082.5969</v>
      </c>
      <c r="AE151" s="109">
        <f t="shared" si="165"/>
        <v>10548.04207275</v>
      </c>
      <c r="AF151" s="109">
        <f t="shared" si="166"/>
        <v>1955.1514500000001</v>
      </c>
      <c r="AG151" s="109">
        <f t="shared" si="167"/>
        <v>9915.4109250000001</v>
      </c>
      <c r="AH151" s="109">
        <v>154.22999999999999</v>
      </c>
      <c r="AI151" s="109">
        <f>((AA151*'CALCULO GERAL'!$C$11))*0.08+20</f>
        <v>2549.576</v>
      </c>
      <c r="AJ151" s="109">
        <v>1010</v>
      </c>
      <c r="AK151" s="109">
        <v>2500</v>
      </c>
      <c r="AL151" s="109">
        <f>(AA151*('CALCULO GERAL'!$C$11*1.02))-(AA151*'CALCULO GERAL'!$C$11)</f>
        <v>632.39400000000387</v>
      </c>
      <c r="AM151" s="109">
        <v>1800</v>
      </c>
      <c r="AN151" s="109">
        <v>2600</v>
      </c>
      <c r="AO151" s="109">
        <v>9400</v>
      </c>
      <c r="AP151" s="109">
        <v>1000</v>
      </c>
      <c r="AQ151" s="109">
        <v>0</v>
      </c>
      <c r="AR151" s="109">
        <v>0</v>
      </c>
      <c r="AS151" s="109"/>
      <c r="AT151" s="109">
        <f t="shared" si="44"/>
        <v>152249.85134774999</v>
      </c>
      <c r="AU151" s="111">
        <f t="shared" si="168"/>
        <v>310.71398234234692</v>
      </c>
      <c r="AV151" s="109">
        <f>IFERROR((BS151*'CALCULO GERAL'!$E$11)/N151,0)</f>
        <v>7.8918756000000014</v>
      </c>
      <c r="AW151" s="109">
        <f>AU151/'CALCULO GERAL'!$C$11</f>
        <v>61.907547786879242</v>
      </c>
      <c r="AX151" s="109">
        <f>BP151-BB151-BD151*'CALCULO GERAL'!$C$11</f>
        <v>213.25951172897493</v>
      </c>
      <c r="AY151" s="109">
        <f t="shared" si="169"/>
        <v>3.5187819435280865</v>
      </c>
      <c r="AZ151" s="109">
        <f t="shared" si="170"/>
        <v>16.207722891402096</v>
      </c>
      <c r="BA151" s="109">
        <f t="shared" si="171"/>
        <v>359.53875170842826</v>
      </c>
      <c r="BB151" s="109">
        <f t="shared" si="172"/>
        <v>5.3930812756264235</v>
      </c>
      <c r="BC151" s="109">
        <f t="shared" si="173"/>
        <v>359.53875170842832</v>
      </c>
      <c r="BD151" s="109">
        <f t="shared" si="174"/>
        <v>35.055028291571766</v>
      </c>
      <c r="BE151" s="109">
        <f t="shared" si="175"/>
        <v>15468.076176000002</v>
      </c>
      <c r="BF151" s="109">
        <f t="shared" si="176"/>
        <v>23202.114264000003</v>
      </c>
      <c r="BG151" s="109">
        <f t="shared" si="177"/>
        <v>4.2616128240000002</v>
      </c>
      <c r="BH151" s="109">
        <f t="shared" si="178"/>
        <v>4.7351253600000005</v>
      </c>
      <c r="BI151" s="109">
        <f t="shared" si="179"/>
        <v>0</v>
      </c>
      <c r="BJ151" s="109">
        <f t="shared" si="180"/>
        <v>77.06322818612837</v>
      </c>
      <c r="BK151" s="109">
        <f t="shared" si="181"/>
        <v>387.77721052847528</v>
      </c>
      <c r="BL151" s="148">
        <v>0.8</v>
      </c>
      <c r="BM151" s="112">
        <f>ROUND((AW151/BL151)+((AW151*BL151)*'CALCULO GERAL'!$E$11)/BL151,2)</f>
        <v>78.62</v>
      </c>
      <c r="BN151" s="186">
        <f t="shared" si="17"/>
        <v>78.62</v>
      </c>
      <c r="BO151" s="186">
        <f t="shared" si="182"/>
        <v>92.116</v>
      </c>
      <c r="BP151" s="109">
        <f>BM151*'CALCULO GERAL'!$C$11</f>
        <v>394.59378000000004</v>
      </c>
      <c r="BQ151" s="109">
        <f>BO151*'CALCULO GERAL'!$C$11</f>
        <v>462.33020400000004</v>
      </c>
      <c r="BR151" s="186">
        <f>BN151*'CALCULO GERAL'!$C$11</f>
        <v>394.59378000000004</v>
      </c>
      <c r="BS151" s="109">
        <f t="shared" si="183"/>
        <v>193350.95220000003</v>
      </c>
      <c r="BT151" s="109">
        <f t="shared" si="187"/>
        <v>41101.100852250034</v>
      </c>
      <c r="BU151" s="109">
        <f t="shared" si="184"/>
        <v>193350.95220000003</v>
      </c>
      <c r="BV151" s="109">
        <f t="shared" si="50"/>
        <v>190010.83315895288</v>
      </c>
      <c r="BW151" s="109">
        <f t="shared" si="47"/>
        <v>3340.1190410471463</v>
      </c>
      <c r="BX151" s="114">
        <f t="shared" si="185"/>
        <v>1.727490350082251E-2</v>
      </c>
      <c r="BY151" s="152">
        <f t="shared" si="51"/>
        <v>0.8</v>
      </c>
      <c r="BZ151" s="152"/>
      <c r="CA151" s="55"/>
      <c r="CB151" s="113"/>
      <c r="CC151" s="113"/>
      <c r="CD151" s="152"/>
      <c r="CE151" s="152">
        <f t="shared" si="52"/>
        <v>0</v>
      </c>
      <c r="CF151" s="152">
        <f t="shared" si="48"/>
        <v>1</v>
      </c>
      <c r="CG151" s="152">
        <f t="shared" si="49"/>
        <v>1</v>
      </c>
      <c r="CH151" s="34"/>
      <c r="CJ151" s="56"/>
      <c r="CK151" s="56"/>
    </row>
    <row r="152" spans="1:89" x14ac:dyDescent="0.2">
      <c r="A152" s="125" t="s">
        <v>532</v>
      </c>
      <c r="B152" s="187" t="s">
        <v>533</v>
      </c>
      <c r="C152" s="6">
        <v>3.5999999999999997E-2</v>
      </c>
      <c r="D152" s="8">
        <v>0</v>
      </c>
      <c r="E152" s="7">
        <v>2.1000000000000001E-2</v>
      </c>
      <c r="F152" s="7">
        <v>9.6500000000000002E-2</v>
      </c>
      <c r="G152" s="1">
        <v>1.6500000000000001E-2</v>
      </c>
      <c r="H152" s="1">
        <v>7.5999999999999998E-2</v>
      </c>
      <c r="I152" s="1">
        <v>0.18</v>
      </c>
      <c r="J152" s="1">
        <v>0.04</v>
      </c>
      <c r="K152" s="1">
        <v>0.14000000000000001</v>
      </c>
      <c r="L152" s="1">
        <v>1.4999999999999999E-2</v>
      </c>
      <c r="M152" s="2" t="s">
        <v>175</v>
      </c>
      <c r="N152" s="105">
        <v>385</v>
      </c>
      <c r="O152" s="119"/>
      <c r="P152" s="119"/>
      <c r="Q152" s="119"/>
      <c r="R152" s="119"/>
      <c r="S152" s="119"/>
      <c r="T152" s="119"/>
      <c r="U152" s="119"/>
      <c r="V152" s="119">
        <v>25</v>
      </c>
      <c r="W152" s="119"/>
      <c r="X152" s="119">
        <f>MIN(O152:W152)</f>
        <v>25</v>
      </c>
      <c r="Y152" s="118">
        <f>AVERAGE(O152:W152)</f>
        <v>25</v>
      </c>
      <c r="Z152" s="109">
        <f>Y152*N152</f>
        <v>9625</v>
      </c>
      <c r="AA152" s="109">
        <f>'CALCULO GERAL'!$G$10</f>
        <v>6300</v>
      </c>
      <c r="AB152" s="109">
        <f>Z152+AA152</f>
        <v>15925</v>
      </c>
      <c r="AC152" s="109">
        <f>AB152*'CALCULO GERAL'!$C$11</f>
        <v>79927.574999999997</v>
      </c>
      <c r="AD152" s="109">
        <f>AC152*C152</f>
        <v>2877.3926999999999</v>
      </c>
      <c r="AE152" s="109">
        <f>(AC152+AD152)*D152</f>
        <v>0</v>
      </c>
      <c r="AF152" s="109">
        <f>AC152*E152</f>
        <v>1678.479075</v>
      </c>
      <c r="AG152" s="109">
        <f>AC152*F152</f>
        <v>7713.0109874999998</v>
      </c>
      <c r="AH152" s="109">
        <v>154.22999999999999</v>
      </c>
      <c r="AI152" s="109">
        <f>((AA152*'CALCULO GERAL'!$C$11))*0.08+20</f>
        <v>2549.576</v>
      </c>
      <c r="AJ152" s="109">
        <v>1010</v>
      </c>
      <c r="AK152" s="109">
        <v>2500</v>
      </c>
      <c r="AL152" s="109">
        <f>(AA152*('CALCULO GERAL'!$C$11*1.02))-(AA152*'CALCULO GERAL'!$C$11)</f>
        <v>632.39400000000387</v>
      </c>
      <c r="AM152" s="109">
        <v>1800</v>
      </c>
      <c r="AN152" s="109">
        <v>2600</v>
      </c>
      <c r="AO152" s="109">
        <v>9400</v>
      </c>
      <c r="AP152" s="109">
        <v>1000</v>
      </c>
      <c r="AQ152" s="109">
        <v>0</v>
      </c>
      <c r="AR152" s="109">
        <v>0</v>
      </c>
      <c r="AS152" s="109"/>
      <c r="AT152" s="109">
        <f>SUM(AC152:AS152)</f>
        <v>113842.65776249999</v>
      </c>
      <c r="AU152" s="111">
        <f>IFERROR((AT152/N152),0)</f>
        <v>295.69521496753242</v>
      </c>
      <c r="AV152" s="109">
        <f>IFERROR((BS152*'CALCULO GERAL'!$E$11)/N152,0)</f>
        <v>7.5104315999999987</v>
      </c>
      <c r="AW152" s="109">
        <f>AU152/'CALCULO GERAL'!$C$11</f>
        <v>58.91516536511903</v>
      </c>
      <c r="AX152" s="109">
        <f>BP152-BB152-BD152*'CALCULO GERAL'!$C$11</f>
        <v>369.88875629999995</v>
      </c>
      <c r="AY152" s="109">
        <f>AX152*G152</f>
        <v>6.1031644789499992</v>
      </c>
      <c r="AZ152" s="109">
        <f>AX152*H152</f>
        <v>28.111545478799997</v>
      </c>
      <c r="BA152" s="109">
        <f>BP152-BD152</f>
        <v>375.52157999999997</v>
      </c>
      <c r="BB152" s="109">
        <f>BA152*L152</f>
        <v>5.6328236999999994</v>
      </c>
      <c r="BC152" s="109">
        <f>BP152/(1+D152)</f>
        <v>375.52157999999997</v>
      </c>
      <c r="BD152" s="109">
        <f>BC152*D152</f>
        <v>0</v>
      </c>
      <c r="BE152" s="109">
        <f>BU152*0.08</f>
        <v>11566.064663999998</v>
      </c>
      <c r="BF152" s="109">
        <f>BU152*0.12</f>
        <v>17349.096995999997</v>
      </c>
      <c r="BG152" s="109">
        <f>(BF152*0.09)/N152</f>
        <v>4.0556330639999993</v>
      </c>
      <c r="BH152" s="109">
        <f>(BE152*0.15)/N152</f>
        <v>4.5062589599999994</v>
      </c>
      <c r="BI152" s="109">
        <f>IF(BE152&gt;=$BY$1,($BY$1-BE152)*0.1,IF(BE152&lt;=$BY$1,($BY$1*0)))/N152</f>
        <v>0</v>
      </c>
      <c r="BJ152" s="109">
        <f>(AY152+AZ152+BB152+AV152+BD152+BG152+BH152+BI152)</f>
        <v>55.919857281749984</v>
      </c>
      <c r="BK152" s="109">
        <f>BJ152+AU152</f>
        <v>351.61507224928243</v>
      </c>
      <c r="BL152" s="148">
        <v>0.8</v>
      </c>
      <c r="BM152" s="112">
        <f>ROUND((AW152/BL152)+((AW152*BL152)*'CALCULO GERAL'!$E$11)/BL152,2)</f>
        <v>74.819999999999993</v>
      </c>
      <c r="BN152" s="186">
        <f>BM152</f>
        <v>74.819999999999993</v>
      </c>
      <c r="BO152" s="186">
        <f>ROUND(FV(0.02,8,,BN152)*-1,3)</f>
        <v>87.664000000000001</v>
      </c>
      <c r="BP152" s="109">
        <f>BM152*'CALCULO GERAL'!$C$11</f>
        <v>375.52157999999997</v>
      </c>
      <c r="BQ152" s="109">
        <f>BO152*'CALCULO GERAL'!$C$11</f>
        <v>439.98561599999999</v>
      </c>
      <c r="BR152" s="186">
        <f>BN152*'CALCULO GERAL'!$C$11</f>
        <v>375.52157999999997</v>
      </c>
      <c r="BS152" s="109">
        <f>BP152*N152</f>
        <v>144575.80829999998</v>
      </c>
      <c r="BT152" s="109">
        <f t="shared" si="187"/>
        <v>30733.150537499983</v>
      </c>
      <c r="BU152" s="109">
        <f>BR152*N152</f>
        <v>144575.80829999998</v>
      </c>
      <c r="BV152" s="109">
        <f>BK152*N152</f>
        <v>135371.80281597373</v>
      </c>
      <c r="BW152" s="109">
        <f>BS152-BV152</f>
        <v>9204.0054840262455</v>
      </c>
      <c r="BX152" s="114">
        <f>(((BK152*N152)-BS152)/BS152*-1)</f>
        <v>6.3662140936660755E-2</v>
      </c>
      <c r="BY152" s="152">
        <f>ROUND(BL152,2)</f>
        <v>0.8</v>
      </c>
      <c r="BZ152" s="152"/>
      <c r="CA152" s="55"/>
      <c r="CB152" s="113"/>
      <c r="CC152" s="113"/>
      <c r="CD152" s="152"/>
      <c r="CE152" s="152">
        <f>CC152/BY152</f>
        <v>0</v>
      </c>
      <c r="CF152" s="152">
        <f>100%-CE152</f>
        <v>1</v>
      </c>
      <c r="CG152" s="152">
        <f>AVERAGE(CF152,CD152)</f>
        <v>1</v>
      </c>
      <c r="CH152" s="34"/>
      <c r="CJ152" s="56"/>
      <c r="CK152" s="56"/>
    </row>
    <row r="153" spans="1:89" x14ac:dyDescent="0.2">
      <c r="A153" s="125" t="s">
        <v>280</v>
      </c>
      <c r="B153" s="187" t="s">
        <v>281</v>
      </c>
      <c r="C153" s="6">
        <v>0.128</v>
      </c>
      <c r="D153" s="8">
        <v>0</v>
      </c>
      <c r="E153" s="7">
        <v>2.1000000000000001E-2</v>
      </c>
      <c r="F153" s="7">
        <v>9.6500000000000002E-2</v>
      </c>
      <c r="G153" s="1">
        <v>1.6500000000000001E-2</v>
      </c>
      <c r="H153" s="1">
        <v>7.5999999999999998E-2</v>
      </c>
      <c r="I153" s="1">
        <v>0.18</v>
      </c>
      <c r="J153" s="1">
        <v>0.04</v>
      </c>
      <c r="K153" s="1">
        <v>0.14000000000000001</v>
      </c>
      <c r="L153" s="1">
        <v>1.4999999999999999E-2</v>
      </c>
      <c r="M153" s="2" t="s">
        <v>175</v>
      </c>
      <c r="N153" s="105">
        <f>100*24</f>
        <v>2400</v>
      </c>
      <c r="O153" s="119"/>
      <c r="P153" s="119"/>
      <c r="Q153" s="119"/>
      <c r="R153" s="119"/>
      <c r="S153" s="119"/>
      <c r="T153" s="119"/>
      <c r="U153" s="119"/>
      <c r="V153" s="119">
        <v>0.6875</v>
      </c>
      <c r="W153" s="119"/>
      <c r="X153" s="119">
        <f t="shared" si="160"/>
        <v>0.6875</v>
      </c>
      <c r="Y153" s="118">
        <f t="shared" si="161"/>
        <v>0.6875</v>
      </c>
      <c r="Z153" s="109">
        <f t="shared" si="162"/>
        <v>1650</v>
      </c>
      <c r="AA153" s="109">
        <f>'CALCULO GERAL'!$G$10</f>
        <v>6300</v>
      </c>
      <c r="AB153" s="109">
        <f t="shared" si="163"/>
        <v>7950</v>
      </c>
      <c r="AC153" s="109">
        <f>AB153*'CALCULO GERAL'!$C$11</f>
        <v>39901.050000000003</v>
      </c>
      <c r="AD153" s="109">
        <f t="shared" si="164"/>
        <v>5107.3344000000006</v>
      </c>
      <c r="AE153" s="109">
        <f t="shared" si="165"/>
        <v>0</v>
      </c>
      <c r="AF153" s="109">
        <f t="shared" si="166"/>
        <v>837.92205000000013</v>
      </c>
      <c r="AG153" s="109">
        <f t="shared" si="167"/>
        <v>3850.4513250000005</v>
      </c>
      <c r="AH153" s="109">
        <v>154.22999999999999</v>
      </c>
      <c r="AI153" s="109">
        <f>((AA153*'CALCULO GERAL'!$C$11))*0.08+20</f>
        <v>2549.576</v>
      </c>
      <c r="AJ153" s="109">
        <v>1010</v>
      </c>
      <c r="AK153" s="109">
        <v>2500</v>
      </c>
      <c r="AL153" s="109">
        <f>(AA153*('CALCULO GERAL'!$C$11*1.02))-(AA153*'CALCULO GERAL'!$C$11)</f>
        <v>632.39400000000387</v>
      </c>
      <c r="AM153" s="109">
        <v>1800</v>
      </c>
      <c r="AN153" s="109">
        <v>2600</v>
      </c>
      <c r="AO153" s="109">
        <v>9400</v>
      </c>
      <c r="AP153" s="109">
        <v>1000</v>
      </c>
      <c r="AQ153" s="109">
        <v>0</v>
      </c>
      <c r="AR153" s="109">
        <v>0</v>
      </c>
      <c r="AS153" s="109"/>
      <c r="AT153" s="109">
        <f t="shared" si="44"/>
        <v>71342.957775000017</v>
      </c>
      <c r="AU153" s="111">
        <f t="shared" si="168"/>
        <v>29.726232406250006</v>
      </c>
      <c r="AV153" s="109">
        <f>IFERROR((BS153*'CALCULO GERAL'!$E$11)/N153,0)</f>
        <v>0.75485760000000002</v>
      </c>
      <c r="AW153" s="109">
        <f>AU153/'CALCULO GERAL'!$C$11</f>
        <v>5.9227400689878476</v>
      </c>
      <c r="AX153" s="109">
        <f>BP153-BB153-BD153*'CALCULO GERAL'!$C$11</f>
        <v>37.1767368</v>
      </c>
      <c r="AY153" s="109">
        <f t="shared" si="169"/>
        <v>0.61341615720000009</v>
      </c>
      <c r="AZ153" s="109">
        <f t="shared" si="170"/>
        <v>2.8254319967999999</v>
      </c>
      <c r="BA153" s="109">
        <f t="shared" si="171"/>
        <v>37.74288</v>
      </c>
      <c r="BB153" s="109">
        <f t="shared" si="172"/>
        <v>0.56614319999999996</v>
      </c>
      <c r="BC153" s="109">
        <f t="shared" si="173"/>
        <v>37.74288</v>
      </c>
      <c r="BD153" s="109">
        <f t="shared" si="174"/>
        <v>0</v>
      </c>
      <c r="BE153" s="109">
        <f t="shared" si="175"/>
        <v>7246.6329599999999</v>
      </c>
      <c r="BF153" s="109">
        <f t="shared" si="176"/>
        <v>10869.949439999999</v>
      </c>
      <c r="BG153" s="109">
        <f t="shared" si="177"/>
        <v>0.40762310399999996</v>
      </c>
      <c r="BH153" s="109">
        <f t="shared" si="178"/>
        <v>0.45291456000000002</v>
      </c>
      <c r="BI153" s="109">
        <f t="shared" si="179"/>
        <v>0</v>
      </c>
      <c r="BJ153" s="109">
        <f t="shared" si="180"/>
        <v>5.6203866179999995</v>
      </c>
      <c r="BK153" s="109">
        <f t="shared" si="181"/>
        <v>35.346619024250003</v>
      </c>
      <c r="BL153" s="148">
        <v>0.8</v>
      </c>
      <c r="BM153" s="112">
        <f>ROUND((AW153/BL153)+((AW153*BL153)*'CALCULO GERAL'!$E$11)/BL153,2)</f>
        <v>7.52</v>
      </c>
      <c r="BN153" s="186">
        <f t="shared" si="17"/>
        <v>7.52</v>
      </c>
      <c r="BO153" s="186">
        <f t="shared" si="182"/>
        <v>8.8109999999999999</v>
      </c>
      <c r="BP153" s="109">
        <f>BM153*'CALCULO GERAL'!$C$11</f>
        <v>37.74288</v>
      </c>
      <c r="BQ153" s="109">
        <f>BO153*'CALCULO GERAL'!$C$11</f>
        <v>44.222408999999999</v>
      </c>
      <c r="BR153" s="186">
        <f>BN153*'CALCULO GERAL'!$C$11</f>
        <v>37.74288</v>
      </c>
      <c r="BS153" s="109">
        <f t="shared" si="183"/>
        <v>90582.911999999997</v>
      </c>
      <c r="BT153" s="109">
        <f t="shared" si="187"/>
        <v>19239.954224999979</v>
      </c>
      <c r="BU153" s="109">
        <f t="shared" si="184"/>
        <v>90582.911999999997</v>
      </c>
      <c r="BV153" s="109">
        <f t="shared" si="50"/>
        <v>84831.885658200015</v>
      </c>
      <c r="BW153" s="109">
        <f t="shared" si="47"/>
        <v>5751.0263417999813</v>
      </c>
      <c r="BX153" s="114">
        <f t="shared" si="185"/>
        <v>6.3489086570764935E-2</v>
      </c>
      <c r="BY153" s="152">
        <f t="shared" si="51"/>
        <v>0.8</v>
      </c>
      <c r="BZ153" s="152"/>
      <c r="CA153" s="55"/>
      <c r="CB153" s="113"/>
      <c r="CC153" s="113"/>
      <c r="CD153" s="152"/>
      <c r="CE153" s="152">
        <f t="shared" si="52"/>
        <v>0</v>
      </c>
      <c r="CF153" s="152">
        <f t="shared" si="48"/>
        <v>1</v>
      </c>
      <c r="CG153" s="152">
        <f t="shared" si="49"/>
        <v>1</v>
      </c>
      <c r="CH153" s="34"/>
      <c r="CJ153" s="56"/>
      <c r="CK153" s="56"/>
    </row>
    <row r="154" spans="1:89" x14ac:dyDescent="0.2">
      <c r="A154" s="125" t="s">
        <v>466</v>
      </c>
      <c r="B154" s="187" t="s">
        <v>467</v>
      </c>
      <c r="C154" s="6">
        <v>0.14399999999999999</v>
      </c>
      <c r="D154" s="8">
        <v>0.1115</v>
      </c>
      <c r="E154" s="7">
        <v>2.1000000000000001E-2</v>
      </c>
      <c r="F154" s="7">
        <v>9.6500000000000002E-2</v>
      </c>
      <c r="G154" s="1">
        <v>1.6500000000000001E-2</v>
      </c>
      <c r="H154" s="1">
        <v>7.5999999999999998E-2</v>
      </c>
      <c r="I154" s="1">
        <v>0.18</v>
      </c>
      <c r="J154" s="1">
        <v>0.04</v>
      </c>
      <c r="K154" s="1">
        <v>0.14000000000000001</v>
      </c>
      <c r="L154" s="1">
        <v>1.4999999999999999E-2</v>
      </c>
      <c r="M154" s="2" t="s">
        <v>175</v>
      </c>
      <c r="N154" s="105">
        <v>25000</v>
      </c>
      <c r="O154" s="119"/>
      <c r="P154" s="119"/>
      <c r="Q154" s="119"/>
      <c r="R154" s="119"/>
      <c r="S154" s="119"/>
      <c r="T154" s="119"/>
      <c r="U154" s="119"/>
      <c r="V154" s="119">
        <v>2.1</v>
      </c>
      <c r="W154" s="119"/>
      <c r="X154" s="119">
        <f t="shared" si="160"/>
        <v>2.1</v>
      </c>
      <c r="Y154" s="118">
        <f t="shared" si="161"/>
        <v>2.1</v>
      </c>
      <c r="Z154" s="109">
        <f t="shared" si="162"/>
        <v>52500</v>
      </c>
      <c r="AA154" s="109">
        <f>'CALCULO GERAL'!$G$10</f>
        <v>6300</v>
      </c>
      <c r="AB154" s="109">
        <f t="shared" si="163"/>
        <v>58800</v>
      </c>
      <c r="AC154" s="109">
        <f>AB154*'CALCULO GERAL'!$C$11</f>
        <v>295117.2</v>
      </c>
      <c r="AD154" s="109">
        <f t="shared" si="164"/>
        <v>42496.876799999998</v>
      </c>
      <c r="AE154" s="109">
        <f t="shared" si="165"/>
        <v>37643.969563200008</v>
      </c>
      <c r="AF154" s="109">
        <f t="shared" si="166"/>
        <v>6197.4612000000006</v>
      </c>
      <c r="AG154" s="109">
        <f t="shared" si="167"/>
        <v>28478.809800000003</v>
      </c>
      <c r="AH154" s="109">
        <v>154.22999999999999</v>
      </c>
      <c r="AI154" s="109">
        <f>((AA154*'CALCULO GERAL'!$C$11))*0.08+20</f>
        <v>2549.576</v>
      </c>
      <c r="AJ154" s="109">
        <v>1010</v>
      </c>
      <c r="AK154" s="109">
        <v>2500</v>
      </c>
      <c r="AL154" s="109">
        <f>(AA154*('CALCULO GERAL'!$C$11*1.02))-(AA154*'CALCULO GERAL'!$C$11)</f>
        <v>632.39400000000387</v>
      </c>
      <c r="AM154" s="109">
        <v>1800</v>
      </c>
      <c r="AN154" s="109">
        <v>2600</v>
      </c>
      <c r="AO154" s="109">
        <v>9400</v>
      </c>
      <c r="AP154" s="109">
        <v>1000</v>
      </c>
      <c r="AQ154" s="109">
        <v>0</v>
      </c>
      <c r="AR154" s="109">
        <v>0</v>
      </c>
      <c r="AS154" s="109"/>
      <c r="AT154" s="109">
        <f t="shared" si="44"/>
        <v>431580.51736320008</v>
      </c>
      <c r="AU154" s="111">
        <f t="shared" si="168"/>
        <v>17.263220694528002</v>
      </c>
      <c r="AV154" s="109">
        <f>IFERROR((BS154*'CALCULO GERAL'!$E$11)/N154,0)</f>
        <v>0.45572520000000005</v>
      </c>
      <c r="AW154" s="109">
        <f>AU154/'CALCULO GERAL'!$C$11</f>
        <v>3.4395737586228337</v>
      </c>
      <c r="AX154" s="109">
        <f>BP154-BB154-BD154*'CALCULO GERAL'!$C$11</f>
        <v>11.006317092388665</v>
      </c>
      <c r="AY154" s="109">
        <f t="shared" si="169"/>
        <v>0.18160423202441298</v>
      </c>
      <c r="AZ154" s="109">
        <f t="shared" si="170"/>
        <v>0.83648009902153853</v>
      </c>
      <c r="BA154" s="109">
        <f t="shared" si="171"/>
        <v>20.50045883940621</v>
      </c>
      <c r="BB154" s="109">
        <f t="shared" si="172"/>
        <v>0.30750688259109316</v>
      </c>
      <c r="BC154" s="109">
        <f t="shared" si="173"/>
        <v>20.50045883940621</v>
      </c>
      <c r="BD154" s="109">
        <f t="shared" si="174"/>
        <v>2.2858011605937927</v>
      </c>
      <c r="BE154" s="109">
        <f t="shared" si="175"/>
        <v>45572.520000000004</v>
      </c>
      <c r="BF154" s="109">
        <f t="shared" si="176"/>
        <v>68358.78</v>
      </c>
      <c r="BG154" s="109">
        <f t="shared" si="177"/>
        <v>0.24609160799999999</v>
      </c>
      <c r="BH154" s="109">
        <f t="shared" si="178"/>
        <v>0.27343512000000003</v>
      </c>
      <c r="BI154" s="109">
        <f t="shared" si="179"/>
        <v>0</v>
      </c>
      <c r="BJ154" s="109">
        <f t="shared" si="180"/>
        <v>4.5866443022308383</v>
      </c>
      <c r="BK154" s="109">
        <f t="shared" si="181"/>
        <v>21.849864996758839</v>
      </c>
      <c r="BL154" s="148">
        <v>0.77</v>
      </c>
      <c r="BM154" s="112">
        <f>ROUND((AW154/BL154)+((AW154*BL154)*'CALCULO GERAL'!$E$11)/BL154,2)</f>
        <v>4.54</v>
      </c>
      <c r="BN154" s="186">
        <f t="shared" si="17"/>
        <v>4.54</v>
      </c>
      <c r="BO154" s="186">
        <f t="shared" si="182"/>
        <v>5.319</v>
      </c>
      <c r="BP154" s="109">
        <f>BM154*'CALCULO GERAL'!$C$11</f>
        <v>22.786260000000002</v>
      </c>
      <c r="BQ154" s="109">
        <f>BO154*'CALCULO GERAL'!$C$11</f>
        <v>26.696061</v>
      </c>
      <c r="BR154" s="186">
        <f>BN154*'CALCULO GERAL'!$C$11</f>
        <v>22.786260000000002</v>
      </c>
      <c r="BS154" s="109">
        <f t="shared" si="183"/>
        <v>569656.5</v>
      </c>
      <c r="BT154" s="109">
        <f t="shared" si="187"/>
        <v>138075.98263679992</v>
      </c>
      <c r="BU154" s="109">
        <f t="shared" si="184"/>
        <v>569656.5</v>
      </c>
      <c r="BV154" s="109">
        <f t="shared" si="50"/>
        <v>546246.62491897098</v>
      </c>
      <c r="BW154" s="109">
        <f t="shared" si="47"/>
        <v>23409.875081029022</v>
      </c>
      <c r="BX154" s="114">
        <f t="shared" si="185"/>
        <v>4.1094721259265929E-2</v>
      </c>
      <c r="BY154" s="152">
        <f t="shared" si="51"/>
        <v>0.77</v>
      </c>
      <c r="BZ154" s="152"/>
      <c r="CA154" s="55"/>
      <c r="CB154" s="113"/>
      <c r="CC154" s="113"/>
      <c r="CD154" s="152"/>
      <c r="CE154" s="152">
        <f t="shared" si="52"/>
        <v>0</v>
      </c>
      <c r="CF154" s="152">
        <f t="shared" si="48"/>
        <v>1</v>
      </c>
      <c r="CG154" s="152">
        <f t="shared" si="49"/>
        <v>1</v>
      </c>
      <c r="CH154" s="34"/>
      <c r="CJ154" s="56"/>
      <c r="CK154" s="56"/>
    </row>
    <row r="155" spans="1:89" x14ac:dyDescent="0.2">
      <c r="A155" s="125" t="s">
        <v>282</v>
      </c>
      <c r="B155" s="187" t="s">
        <v>283</v>
      </c>
      <c r="C155" s="6">
        <v>0.128</v>
      </c>
      <c r="D155" s="8">
        <v>0.05</v>
      </c>
      <c r="E155" s="7">
        <v>2.1000000000000001E-2</v>
      </c>
      <c r="F155" s="7">
        <v>0.1065</v>
      </c>
      <c r="G155" s="1">
        <v>1.6500000000000001E-2</v>
      </c>
      <c r="H155" s="1">
        <v>7.5999999999999998E-2</v>
      </c>
      <c r="I155" s="1">
        <v>0.18</v>
      </c>
      <c r="J155" s="1">
        <v>0.04</v>
      </c>
      <c r="K155" s="1">
        <v>0.14000000000000001</v>
      </c>
      <c r="L155" s="1">
        <v>1.4999999999999999E-2</v>
      </c>
      <c r="M155" s="2" t="s">
        <v>175</v>
      </c>
      <c r="N155" s="105">
        <v>160000</v>
      </c>
      <c r="O155" s="119"/>
      <c r="P155" s="119"/>
      <c r="Q155" s="119"/>
      <c r="R155" s="119"/>
      <c r="S155" s="119"/>
      <c r="T155" s="119"/>
      <c r="U155" s="119"/>
      <c r="V155" s="119">
        <v>0.17499999999999999</v>
      </c>
      <c r="W155" s="119"/>
      <c r="X155" s="119">
        <f t="shared" si="160"/>
        <v>0.17499999999999999</v>
      </c>
      <c r="Y155" s="118">
        <f t="shared" si="161"/>
        <v>0.17499999999999999</v>
      </c>
      <c r="Z155" s="109">
        <f t="shared" si="162"/>
        <v>28000</v>
      </c>
      <c r="AA155" s="109">
        <f>'CALCULO GERAL'!$G$10</f>
        <v>6300</v>
      </c>
      <c r="AB155" s="109">
        <f t="shared" si="163"/>
        <v>34300</v>
      </c>
      <c r="AC155" s="109">
        <f>AB155*'CALCULO GERAL'!$C$11</f>
        <v>172151.7</v>
      </c>
      <c r="AD155" s="109">
        <f t="shared" si="164"/>
        <v>22035.417600000001</v>
      </c>
      <c r="AE155" s="109">
        <f t="shared" si="165"/>
        <v>9709.355880000001</v>
      </c>
      <c r="AF155" s="109">
        <f t="shared" si="166"/>
        <v>3615.1857000000005</v>
      </c>
      <c r="AG155" s="109">
        <f t="shared" si="167"/>
        <v>18334.156050000001</v>
      </c>
      <c r="AH155" s="109">
        <v>154.22999999999999</v>
      </c>
      <c r="AI155" s="109">
        <f>((AA155*'CALCULO GERAL'!$C$11))*0.08+20</f>
        <v>2549.576</v>
      </c>
      <c r="AJ155" s="109">
        <v>1010</v>
      </c>
      <c r="AK155" s="109">
        <v>2500</v>
      </c>
      <c r="AL155" s="109">
        <f>(AA155*('CALCULO GERAL'!$C$11*1.02))-(AA155*'CALCULO GERAL'!$C$11)</f>
        <v>632.39400000000387</v>
      </c>
      <c r="AM155" s="109">
        <v>1800</v>
      </c>
      <c r="AN155" s="109">
        <v>2600</v>
      </c>
      <c r="AO155" s="109">
        <v>9400</v>
      </c>
      <c r="AP155" s="109">
        <v>1000</v>
      </c>
      <c r="AQ155" s="109">
        <v>0</v>
      </c>
      <c r="AR155" s="109">
        <v>0</v>
      </c>
      <c r="AS155" s="109"/>
      <c r="AT155" s="109">
        <f t="shared" si="44"/>
        <v>247492.01522999999</v>
      </c>
      <c r="AU155" s="111">
        <f t="shared" si="168"/>
        <v>1.5468250951875</v>
      </c>
      <c r="AV155" s="109">
        <f>IFERROR((BS155*'CALCULO GERAL'!$E$11)/N155,0)</f>
        <v>4.1155799999999999E-2</v>
      </c>
      <c r="AW155" s="109">
        <f>AU155/'CALCULO GERAL'!$C$11</f>
        <v>0.3081938822848177</v>
      </c>
      <c r="AX155" s="109">
        <f>BP155-BB155-BD155*'CALCULO GERAL'!$C$11</f>
        <v>1.5365811899999999</v>
      </c>
      <c r="AY155" s="109">
        <f t="shared" si="169"/>
        <v>2.5353589635E-2</v>
      </c>
      <c r="AZ155" s="109">
        <f t="shared" si="170"/>
        <v>0.11678017044</v>
      </c>
      <c r="BA155" s="109">
        <f t="shared" si="171"/>
        <v>1.9597999999999998</v>
      </c>
      <c r="BB155" s="109">
        <f t="shared" si="172"/>
        <v>2.9396999999999996E-2</v>
      </c>
      <c r="BC155" s="109">
        <f t="shared" si="173"/>
        <v>1.9597999999999998</v>
      </c>
      <c r="BD155" s="109">
        <f t="shared" si="174"/>
        <v>9.7989999999999994E-2</v>
      </c>
      <c r="BE155" s="109">
        <f t="shared" si="175"/>
        <v>26339.712</v>
      </c>
      <c r="BF155" s="109">
        <f t="shared" si="176"/>
        <v>39509.567999999992</v>
      </c>
      <c r="BG155" s="109">
        <f t="shared" si="177"/>
        <v>2.2224131999999994E-2</v>
      </c>
      <c r="BH155" s="109">
        <f t="shared" si="178"/>
        <v>2.469348E-2</v>
      </c>
      <c r="BI155" s="109">
        <f t="shared" si="179"/>
        <v>0</v>
      </c>
      <c r="BJ155" s="109">
        <f t="shared" si="180"/>
        <v>0.35759417207499999</v>
      </c>
      <c r="BK155" s="109">
        <f t="shared" si="181"/>
        <v>1.9044192672625</v>
      </c>
      <c r="BL155" s="148">
        <v>0.77</v>
      </c>
      <c r="BM155" s="112">
        <f>ROUND((AW155/BL155)+((AW155*BL155)*'CALCULO GERAL'!$E$11)/BL155,2)</f>
        <v>0.41</v>
      </c>
      <c r="BN155" s="186">
        <f t="shared" si="17"/>
        <v>0.41</v>
      </c>
      <c r="BO155" s="186">
        <f>ROUND(FV(0.02,8,,BN155)*-1,3)</f>
        <v>0.48</v>
      </c>
      <c r="BP155" s="109">
        <f>BM155*'CALCULO GERAL'!$C$11</f>
        <v>2.0577899999999998</v>
      </c>
      <c r="BQ155" s="109">
        <f>BO155*'CALCULO GERAL'!$C$11</f>
        <v>2.4091200000000002</v>
      </c>
      <c r="BR155" s="186">
        <f>BN155*'CALCULO GERAL'!$C$11</f>
        <v>2.0577899999999998</v>
      </c>
      <c r="BS155" s="109">
        <f t="shared" si="183"/>
        <v>329246.39999999997</v>
      </c>
      <c r="BT155" s="109">
        <f t="shared" si="187"/>
        <v>81754.384769999975</v>
      </c>
      <c r="BU155" s="109">
        <f t="shared" si="184"/>
        <v>329246.39999999997</v>
      </c>
      <c r="BV155" s="109">
        <f t="shared" si="50"/>
        <v>304707.08276199998</v>
      </c>
      <c r="BW155" s="109">
        <f t="shared" si="47"/>
        <v>24539.317237999989</v>
      </c>
      <c r="BX155" s="114">
        <f t="shared" si="185"/>
        <v>7.453177085003812E-2</v>
      </c>
      <c r="BY155" s="152">
        <f t="shared" si="51"/>
        <v>0.77</v>
      </c>
      <c r="BZ155" s="152"/>
      <c r="CA155" s="55"/>
      <c r="CB155" s="113"/>
      <c r="CC155" s="113"/>
      <c r="CD155" s="152"/>
      <c r="CE155" s="152">
        <f t="shared" si="52"/>
        <v>0</v>
      </c>
      <c r="CF155" s="152">
        <f t="shared" si="48"/>
        <v>1</v>
      </c>
      <c r="CG155" s="152">
        <f t="shared" si="49"/>
        <v>1</v>
      </c>
      <c r="CH155" s="34"/>
      <c r="CJ155" s="56"/>
      <c r="CK155" s="56"/>
    </row>
    <row r="156" spans="1:89" x14ac:dyDescent="0.2">
      <c r="A156" s="125" t="s">
        <v>284</v>
      </c>
      <c r="B156" s="187" t="s">
        <v>283</v>
      </c>
      <c r="C156" s="6">
        <v>0.128</v>
      </c>
      <c r="D156" s="8">
        <v>0.05</v>
      </c>
      <c r="E156" s="7">
        <v>2.1000000000000001E-2</v>
      </c>
      <c r="F156" s="7">
        <v>0.1065</v>
      </c>
      <c r="G156" s="1">
        <v>1.6500000000000001E-2</v>
      </c>
      <c r="H156" s="1">
        <v>7.5999999999999998E-2</v>
      </c>
      <c r="I156" s="1">
        <v>0.18</v>
      </c>
      <c r="J156" s="1">
        <v>0.04</v>
      </c>
      <c r="K156" s="1">
        <v>0.14000000000000001</v>
      </c>
      <c r="L156" s="1">
        <v>1.4999999999999999E-2</v>
      </c>
      <c r="M156" s="2" t="s">
        <v>175</v>
      </c>
      <c r="N156" s="105">
        <v>105000</v>
      </c>
      <c r="O156" s="119"/>
      <c r="P156" s="119"/>
      <c r="Q156" s="119"/>
      <c r="R156" s="119"/>
      <c r="S156" s="119"/>
      <c r="T156" s="119"/>
      <c r="U156" s="119"/>
      <c r="V156" s="119">
        <v>0.44600000000000001</v>
      </c>
      <c r="W156" s="119"/>
      <c r="X156" s="119">
        <f t="shared" si="160"/>
        <v>0.44600000000000001</v>
      </c>
      <c r="Y156" s="118">
        <f t="shared" si="161"/>
        <v>0.44600000000000001</v>
      </c>
      <c r="Z156" s="109">
        <f t="shared" si="162"/>
        <v>46830</v>
      </c>
      <c r="AA156" s="109">
        <f>'CALCULO GERAL'!$G$10</f>
        <v>6300</v>
      </c>
      <c r="AB156" s="109">
        <f t="shared" si="163"/>
        <v>53130</v>
      </c>
      <c r="AC156" s="109">
        <f>AB156*'CALCULO GERAL'!$C$11</f>
        <v>266659.47000000003</v>
      </c>
      <c r="AD156" s="109">
        <f t="shared" si="164"/>
        <v>34132.412160000007</v>
      </c>
      <c r="AE156" s="109">
        <f t="shared" si="165"/>
        <v>15039.594108000003</v>
      </c>
      <c r="AF156" s="109">
        <f t="shared" si="166"/>
        <v>5599.8488700000007</v>
      </c>
      <c r="AG156" s="109">
        <f t="shared" si="167"/>
        <v>28399.233555000003</v>
      </c>
      <c r="AH156" s="109">
        <v>154.22999999999999</v>
      </c>
      <c r="AI156" s="109">
        <f>((AA156*'CALCULO GERAL'!$C$11))*0.08+20</f>
        <v>2549.576</v>
      </c>
      <c r="AJ156" s="109">
        <v>1010</v>
      </c>
      <c r="AK156" s="109">
        <v>2500</v>
      </c>
      <c r="AL156" s="109">
        <f>(AA156*('CALCULO GERAL'!$C$11*1.02))-(AA156*'CALCULO GERAL'!$C$11)</f>
        <v>632.39400000000387</v>
      </c>
      <c r="AM156" s="109">
        <v>1800</v>
      </c>
      <c r="AN156" s="109">
        <v>2600</v>
      </c>
      <c r="AO156" s="109">
        <v>9400</v>
      </c>
      <c r="AP156" s="109">
        <v>1000</v>
      </c>
      <c r="AQ156" s="109">
        <v>0</v>
      </c>
      <c r="AR156" s="109">
        <v>0</v>
      </c>
      <c r="AS156" s="109"/>
      <c r="AT156" s="109">
        <f t="shared" si="44"/>
        <v>371476.75869300001</v>
      </c>
      <c r="AU156" s="111">
        <f t="shared" si="168"/>
        <v>3.5378738923142858</v>
      </c>
      <c r="AV156" s="109">
        <f>IFERROR((BS156*'CALCULO GERAL'!$E$11)/N156,0)</f>
        <v>8.8334399999999993E-2</v>
      </c>
      <c r="AW156" s="109">
        <f>AU156/'CALCULO GERAL'!$C$11</f>
        <v>0.7048961730054365</v>
      </c>
      <c r="AX156" s="109">
        <f>BP156-BB156-BD156*'CALCULO GERAL'!$C$11</f>
        <v>3.29802792</v>
      </c>
      <c r="AY156" s="109">
        <f t="shared" si="169"/>
        <v>5.4417460680000002E-2</v>
      </c>
      <c r="AZ156" s="109">
        <f t="shared" si="170"/>
        <v>0.25065012191999997</v>
      </c>
      <c r="BA156" s="109">
        <f t="shared" si="171"/>
        <v>4.2063999999999995</v>
      </c>
      <c r="BB156" s="109">
        <f t="shared" si="172"/>
        <v>6.3095999999999985E-2</v>
      </c>
      <c r="BC156" s="109">
        <f t="shared" si="173"/>
        <v>4.2063999999999995</v>
      </c>
      <c r="BD156" s="109">
        <f t="shared" si="174"/>
        <v>0.21031999999999998</v>
      </c>
      <c r="BE156" s="109">
        <f t="shared" si="175"/>
        <v>37100.447999999997</v>
      </c>
      <c r="BF156" s="109">
        <f t="shared" si="176"/>
        <v>55650.671999999999</v>
      </c>
      <c r="BG156" s="109">
        <f t="shared" si="177"/>
        <v>4.7700576000000001E-2</v>
      </c>
      <c r="BH156" s="109">
        <f t="shared" si="178"/>
        <v>5.3000639999999995E-2</v>
      </c>
      <c r="BI156" s="109">
        <f t="shared" si="179"/>
        <v>0</v>
      </c>
      <c r="BJ156" s="109">
        <f t="shared" si="180"/>
        <v>0.76751919859999995</v>
      </c>
      <c r="BK156" s="109">
        <f t="shared" si="181"/>
        <v>4.3053930909142855</v>
      </c>
      <c r="BL156" s="148">
        <v>0.81</v>
      </c>
      <c r="BM156" s="112">
        <f>ROUND((AW156/BL156)+((AW156*BL156)*'CALCULO GERAL'!$E$11)/BL156,2)</f>
        <v>0.88</v>
      </c>
      <c r="BN156" s="186">
        <f t="shared" si="17"/>
        <v>0.88</v>
      </c>
      <c r="BO156" s="186">
        <f>ROUND(FV(0.02,8,,BN156)*-1,3)</f>
        <v>1.0309999999999999</v>
      </c>
      <c r="BP156" s="109">
        <f>BM156*'CALCULO GERAL'!$C$11</f>
        <v>4.4167199999999998</v>
      </c>
      <c r="BQ156" s="109">
        <f>BO156*'CALCULO GERAL'!$C$11</f>
        <v>5.1745890000000001</v>
      </c>
      <c r="BR156" s="186">
        <f>BN156*'CALCULO GERAL'!$C$11</f>
        <v>4.4167199999999998</v>
      </c>
      <c r="BS156" s="109">
        <f t="shared" si="183"/>
        <v>463755.6</v>
      </c>
      <c r="BT156" s="109">
        <f t="shared" si="187"/>
        <v>92278.841306999966</v>
      </c>
      <c r="BU156" s="109">
        <f t="shared" si="184"/>
        <v>463755.6</v>
      </c>
      <c r="BV156" s="109">
        <f t="shared" si="50"/>
        <v>452066.274546</v>
      </c>
      <c r="BW156" s="109">
        <f t="shared" si="47"/>
        <v>11689.325453999976</v>
      </c>
      <c r="BX156" s="114">
        <f t="shared" si="185"/>
        <v>2.5205788251397885E-2</v>
      </c>
      <c r="BY156" s="152">
        <f t="shared" si="51"/>
        <v>0.81</v>
      </c>
      <c r="BZ156" s="152"/>
      <c r="CA156" s="55"/>
      <c r="CB156" s="113"/>
      <c r="CC156" s="113"/>
      <c r="CD156" s="152"/>
      <c r="CE156" s="152">
        <f t="shared" si="52"/>
        <v>0</v>
      </c>
      <c r="CF156" s="152">
        <f t="shared" si="48"/>
        <v>1</v>
      </c>
      <c r="CG156" s="152">
        <f t="shared" si="49"/>
        <v>1</v>
      </c>
      <c r="CH156" s="34"/>
      <c r="CJ156" s="56"/>
      <c r="CK156" s="56"/>
    </row>
    <row r="157" spans="1:89" x14ac:dyDescent="0.2">
      <c r="A157" s="125" t="s">
        <v>285</v>
      </c>
      <c r="B157" s="187" t="s">
        <v>283</v>
      </c>
      <c r="C157" s="6">
        <v>0.128</v>
      </c>
      <c r="D157" s="8">
        <v>0.05</v>
      </c>
      <c r="E157" s="7">
        <v>2.1000000000000001E-2</v>
      </c>
      <c r="F157" s="7">
        <v>0.1065</v>
      </c>
      <c r="G157" s="1">
        <v>1.6500000000000001E-2</v>
      </c>
      <c r="H157" s="1">
        <v>7.5999999999999998E-2</v>
      </c>
      <c r="I157" s="1">
        <v>0.18</v>
      </c>
      <c r="J157" s="1">
        <v>0.04</v>
      </c>
      <c r="K157" s="1">
        <v>0.14000000000000001</v>
      </c>
      <c r="L157" s="1">
        <v>1.4999999999999999E-2</v>
      </c>
      <c r="M157" s="2" t="s">
        <v>175</v>
      </c>
      <c r="N157" s="105">
        <v>95000</v>
      </c>
      <c r="O157" s="119"/>
      <c r="P157" s="119"/>
      <c r="Q157" s="119"/>
      <c r="R157" s="119"/>
      <c r="S157" s="119"/>
      <c r="T157" s="119"/>
      <c r="U157" s="119"/>
      <c r="V157" s="119">
        <v>0.74</v>
      </c>
      <c r="W157" s="119"/>
      <c r="X157" s="119">
        <f t="shared" si="160"/>
        <v>0.74</v>
      </c>
      <c r="Y157" s="118">
        <f t="shared" si="161"/>
        <v>0.74</v>
      </c>
      <c r="Z157" s="109">
        <f t="shared" si="162"/>
        <v>70300</v>
      </c>
      <c r="AA157" s="109">
        <f>'CALCULO GERAL'!$G$10</f>
        <v>6300</v>
      </c>
      <c r="AB157" s="109">
        <f t="shared" si="163"/>
        <v>76600</v>
      </c>
      <c r="AC157" s="109">
        <f>AB157*'CALCULO GERAL'!$C$11</f>
        <v>384455.4</v>
      </c>
      <c r="AD157" s="109">
        <f t="shared" si="164"/>
        <v>49210.291200000007</v>
      </c>
      <c r="AE157" s="109">
        <f t="shared" si="165"/>
        <v>21683.28456</v>
      </c>
      <c r="AF157" s="109">
        <f t="shared" si="166"/>
        <v>8073.5634000000009</v>
      </c>
      <c r="AG157" s="109">
        <f t="shared" si="167"/>
        <v>40944.500100000005</v>
      </c>
      <c r="AH157" s="109">
        <v>154.22999999999999</v>
      </c>
      <c r="AI157" s="109">
        <f>((AA157*'CALCULO GERAL'!$C$11))*0.08+20</f>
        <v>2549.576</v>
      </c>
      <c r="AJ157" s="109">
        <v>1010</v>
      </c>
      <c r="AK157" s="109">
        <v>2500</v>
      </c>
      <c r="AL157" s="109">
        <f>(AA157*('CALCULO GERAL'!$C$11*1.02))-(AA157*'CALCULO GERAL'!$C$11)</f>
        <v>632.39400000000387</v>
      </c>
      <c r="AM157" s="109">
        <v>1800</v>
      </c>
      <c r="AN157" s="109">
        <v>2600</v>
      </c>
      <c r="AO157" s="109">
        <v>9400</v>
      </c>
      <c r="AP157" s="109">
        <v>1000</v>
      </c>
      <c r="AQ157" s="109">
        <v>0</v>
      </c>
      <c r="AR157" s="109">
        <v>0</v>
      </c>
      <c r="AS157" s="109"/>
      <c r="AT157" s="109">
        <f t="shared" si="44"/>
        <v>526013.23925999994</v>
      </c>
      <c r="AU157" s="111">
        <f t="shared" si="168"/>
        <v>5.5369814658947361</v>
      </c>
      <c r="AV157" s="109">
        <f>IFERROR((BS157*'CALCULO GERAL'!$E$11)/N157,0)</f>
        <v>0.13551300000000002</v>
      </c>
      <c r="AW157" s="109">
        <f>AU157/'CALCULO GERAL'!$C$11</f>
        <v>1.1032041175323244</v>
      </c>
      <c r="AX157" s="109">
        <f>BP157-BB157-BD157*'CALCULO GERAL'!$C$11</f>
        <v>5.0594746500000003</v>
      </c>
      <c r="AY157" s="109">
        <f t="shared" si="169"/>
        <v>8.348133172500001E-2</v>
      </c>
      <c r="AZ157" s="109">
        <f t="shared" si="170"/>
        <v>0.3845200734</v>
      </c>
      <c r="BA157" s="109">
        <f t="shared" si="171"/>
        <v>6.4530000000000003</v>
      </c>
      <c r="BB157" s="109">
        <f t="shared" si="172"/>
        <v>9.6795000000000006E-2</v>
      </c>
      <c r="BC157" s="109">
        <f t="shared" si="173"/>
        <v>6.4530000000000003</v>
      </c>
      <c r="BD157" s="109">
        <f t="shared" si="174"/>
        <v>0.32265000000000005</v>
      </c>
      <c r="BE157" s="109">
        <f t="shared" si="175"/>
        <v>51494.94000000001</v>
      </c>
      <c r="BF157" s="109">
        <f t="shared" si="176"/>
        <v>77242.410000000018</v>
      </c>
      <c r="BG157" s="109">
        <f t="shared" si="177"/>
        <v>7.3177020000000023E-2</v>
      </c>
      <c r="BH157" s="109">
        <f t="shared" si="178"/>
        <v>8.1307800000000013E-2</v>
      </c>
      <c r="BI157" s="109">
        <f t="shared" si="179"/>
        <v>0</v>
      </c>
      <c r="BJ157" s="109">
        <f t="shared" si="180"/>
        <v>1.1774442251249999</v>
      </c>
      <c r="BK157" s="109">
        <f t="shared" si="181"/>
        <v>6.714425691019736</v>
      </c>
      <c r="BL157" s="148">
        <v>0.83</v>
      </c>
      <c r="BM157" s="112">
        <f>ROUND((AW157/BL157)+((AW157*BL157)*'CALCULO GERAL'!$E$11)/BL157,2)</f>
        <v>1.35</v>
      </c>
      <c r="BN157" s="186">
        <f t="shared" si="17"/>
        <v>1.35</v>
      </c>
      <c r="BO157" s="186">
        <f>ROUND(FV(0.02,8,,BN157)*-1,3)</f>
        <v>1.5820000000000001</v>
      </c>
      <c r="BP157" s="109">
        <f>BM157*'CALCULO GERAL'!$C$11</f>
        <v>6.7756500000000006</v>
      </c>
      <c r="BQ157" s="109">
        <f>BO157*'CALCULO GERAL'!$C$11</f>
        <v>7.9400580000000005</v>
      </c>
      <c r="BR157" s="186">
        <f>BN157*'CALCULO GERAL'!$C$11</f>
        <v>6.7756500000000006</v>
      </c>
      <c r="BS157" s="109">
        <f t="shared" si="183"/>
        <v>643686.75000000012</v>
      </c>
      <c r="BT157" s="109">
        <f t="shared" si="187"/>
        <v>117673.51074000017</v>
      </c>
      <c r="BU157" s="109">
        <f t="shared" si="184"/>
        <v>643686.75000000012</v>
      </c>
      <c r="BV157" s="109">
        <f t="shared" si="50"/>
        <v>637870.44064687495</v>
      </c>
      <c r="BW157" s="109">
        <f t="shared" si="47"/>
        <v>5816.3093531251652</v>
      </c>
      <c r="BX157" s="114">
        <f t="shared" si="185"/>
        <v>9.0359314575376368E-3</v>
      </c>
      <c r="BY157" s="152">
        <f t="shared" si="51"/>
        <v>0.83</v>
      </c>
      <c r="BZ157" s="152"/>
      <c r="CA157" s="55"/>
      <c r="CB157" s="113"/>
      <c r="CC157" s="113"/>
      <c r="CD157" s="152"/>
      <c r="CE157" s="152">
        <f t="shared" si="52"/>
        <v>0</v>
      </c>
      <c r="CF157" s="152">
        <f t="shared" si="48"/>
        <v>1</v>
      </c>
      <c r="CG157" s="152">
        <f t="shared" si="49"/>
        <v>1</v>
      </c>
      <c r="CH157" s="34"/>
      <c r="CJ157" s="56"/>
      <c r="CK157" s="56"/>
    </row>
    <row r="158" spans="1:89" x14ac:dyDescent="0.2">
      <c r="A158" s="125" t="s">
        <v>286</v>
      </c>
      <c r="B158" s="187" t="s">
        <v>287</v>
      </c>
      <c r="C158" s="8">
        <v>0.26</v>
      </c>
      <c r="D158" s="8">
        <v>0</v>
      </c>
      <c r="E158" s="7">
        <v>2.1000000000000001E-2</v>
      </c>
      <c r="F158" s="7">
        <v>0.1065</v>
      </c>
      <c r="G158" s="1">
        <v>1.6500000000000001E-2</v>
      </c>
      <c r="H158" s="1">
        <v>7.5999999999999998E-2</v>
      </c>
      <c r="I158" s="1">
        <v>0.18</v>
      </c>
      <c r="J158" s="1">
        <v>0.04</v>
      </c>
      <c r="K158" s="1">
        <v>0.14000000000000001</v>
      </c>
      <c r="L158" s="1">
        <v>1.4999999999999999E-2</v>
      </c>
      <c r="M158" s="2" t="s">
        <v>175</v>
      </c>
      <c r="N158" s="105">
        <v>50000</v>
      </c>
      <c r="O158" s="119"/>
      <c r="P158" s="119"/>
      <c r="Q158" s="119"/>
      <c r="R158" s="119"/>
      <c r="S158" s="119"/>
      <c r="T158" s="119"/>
      <c r="U158" s="119">
        <v>2</v>
      </c>
      <c r="V158" s="119"/>
      <c r="W158" s="119">
        <v>1.87</v>
      </c>
      <c r="X158" s="119">
        <f t="shared" si="160"/>
        <v>1.87</v>
      </c>
      <c r="Y158" s="118">
        <f t="shared" si="161"/>
        <v>1.9350000000000001</v>
      </c>
      <c r="Z158" s="109">
        <f t="shared" si="162"/>
        <v>96750</v>
      </c>
      <c r="AA158" s="109">
        <f>'CALCULO GERAL'!$G$10</f>
        <v>6300</v>
      </c>
      <c r="AB158" s="109">
        <f t="shared" si="163"/>
        <v>103050</v>
      </c>
      <c r="AC158" s="109">
        <f>AB158*'CALCULO GERAL'!$C$11</f>
        <v>517207.95</v>
      </c>
      <c r="AD158" s="109">
        <f t="shared" si="164"/>
        <v>134474.06700000001</v>
      </c>
      <c r="AE158" s="109">
        <f t="shared" si="165"/>
        <v>0</v>
      </c>
      <c r="AF158" s="109">
        <f t="shared" si="166"/>
        <v>10861.366950000001</v>
      </c>
      <c r="AG158" s="109">
        <f t="shared" si="167"/>
        <v>55082.646674999996</v>
      </c>
      <c r="AH158" s="109">
        <v>154.22999999999999</v>
      </c>
      <c r="AI158" s="109">
        <f>((AA158*'CALCULO GERAL'!$C$11))*0.08+20</f>
        <v>2549.576</v>
      </c>
      <c r="AJ158" s="109">
        <v>1010</v>
      </c>
      <c r="AK158" s="109">
        <v>2500</v>
      </c>
      <c r="AL158" s="109">
        <f>(AA158*('CALCULO GERAL'!$C$11*1.02))-(AA158*'CALCULO GERAL'!$C$11)</f>
        <v>632.39400000000387</v>
      </c>
      <c r="AM158" s="109">
        <v>1800</v>
      </c>
      <c r="AN158" s="109">
        <v>2600</v>
      </c>
      <c r="AO158" s="109">
        <v>9400</v>
      </c>
      <c r="AP158" s="109">
        <v>1000</v>
      </c>
      <c r="AQ158" s="109">
        <v>0</v>
      </c>
      <c r="AR158" s="109">
        <v>0</v>
      </c>
      <c r="AS158" s="109"/>
      <c r="AT158" s="109">
        <f t="shared" si="44"/>
        <v>739272.23062499997</v>
      </c>
      <c r="AU158" s="111">
        <f t="shared" si="168"/>
        <v>14.785444612499999</v>
      </c>
      <c r="AV158" s="109">
        <f>IFERROR((BS158*'CALCULO GERAL'!$E$11)/N158,0)</f>
        <v>0.33828059999999999</v>
      </c>
      <c r="AW158" s="109">
        <f>AU158/'CALCULO GERAL'!$C$11</f>
        <v>2.9458945233114164</v>
      </c>
      <c r="AX158" s="109">
        <f>BP158-BB158-BD158*'CALCULO GERAL'!$C$11</f>
        <v>16.660319550000001</v>
      </c>
      <c r="AY158" s="109">
        <f t="shared" si="169"/>
        <v>0.27489527257500002</v>
      </c>
      <c r="AZ158" s="109">
        <f t="shared" si="170"/>
        <v>1.2661842858000001</v>
      </c>
      <c r="BA158" s="109">
        <f t="shared" si="171"/>
        <v>16.91403</v>
      </c>
      <c r="BB158" s="109">
        <f t="shared" si="172"/>
        <v>0.25371044999999998</v>
      </c>
      <c r="BC158" s="109">
        <f t="shared" si="173"/>
        <v>16.91403</v>
      </c>
      <c r="BD158" s="109">
        <f t="shared" si="174"/>
        <v>0</v>
      </c>
      <c r="BE158" s="109">
        <f t="shared" si="175"/>
        <v>67656.12</v>
      </c>
      <c r="BF158" s="109">
        <f t="shared" si="176"/>
        <v>101484.18</v>
      </c>
      <c r="BG158" s="109">
        <f t="shared" si="177"/>
        <v>0.182671524</v>
      </c>
      <c r="BH158" s="109">
        <f t="shared" si="178"/>
        <v>0.20296835999999999</v>
      </c>
      <c r="BI158" s="109">
        <f t="shared" si="179"/>
        <v>-1.5312259999999996E-2</v>
      </c>
      <c r="BJ158" s="109">
        <f t="shared" si="180"/>
        <v>2.5033982323749999</v>
      </c>
      <c r="BK158" s="109">
        <f t="shared" si="181"/>
        <v>17.288842844874999</v>
      </c>
      <c r="BL158" s="148">
        <v>0.89</v>
      </c>
      <c r="BM158" s="112">
        <f>ROUND((AW158/BL158)+((AW158*BL158)*'CALCULO GERAL'!$E$11)/BL158,2)</f>
        <v>3.37</v>
      </c>
      <c r="BN158" s="186">
        <f t="shared" si="17"/>
        <v>3.37</v>
      </c>
      <c r="BO158" s="186">
        <f>ROUND(FV(0.02,8,,BN158)*-1,3)</f>
        <v>3.948</v>
      </c>
      <c r="BP158" s="109">
        <f>BM158*'CALCULO GERAL'!$C$11</f>
        <v>16.91403</v>
      </c>
      <c r="BQ158" s="109">
        <f>BO158*'CALCULO GERAL'!$C$11</f>
        <v>19.815011999999999</v>
      </c>
      <c r="BR158" s="186">
        <f>BN158*'CALCULO GERAL'!$C$11</f>
        <v>16.91403</v>
      </c>
      <c r="BS158" s="109">
        <f t="shared" si="183"/>
        <v>845701.5</v>
      </c>
      <c r="BT158" s="109">
        <f t="shared" si="187"/>
        <v>106429.26937500003</v>
      </c>
      <c r="BU158" s="109">
        <f t="shared" si="184"/>
        <v>845701.5</v>
      </c>
      <c r="BV158" s="109">
        <f t="shared" si="50"/>
        <v>864442.14224374993</v>
      </c>
      <c r="BW158" s="109">
        <f t="shared" si="47"/>
        <v>-18740.642243749928</v>
      </c>
      <c r="BX158" s="114">
        <f t="shared" si="185"/>
        <v>-2.2159878212052276E-2</v>
      </c>
      <c r="BY158" s="152">
        <f t="shared" si="51"/>
        <v>0.89</v>
      </c>
      <c r="BZ158" s="152"/>
      <c r="CA158" s="55"/>
      <c r="CB158" s="113"/>
      <c r="CC158" s="113"/>
      <c r="CD158" s="152"/>
      <c r="CE158" s="152">
        <f t="shared" si="52"/>
        <v>0</v>
      </c>
      <c r="CF158" s="152">
        <f t="shared" si="48"/>
        <v>1</v>
      </c>
      <c r="CG158" s="152">
        <f t="shared" si="49"/>
        <v>1</v>
      </c>
      <c r="CH158" s="34"/>
    </row>
    <row r="159" spans="1:89" x14ac:dyDescent="0.2">
      <c r="A159" s="125" t="s">
        <v>288</v>
      </c>
      <c r="B159" s="187" t="s">
        <v>287</v>
      </c>
      <c r="C159" s="8">
        <v>0.26</v>
      </c>
      <c r="D159" s="8">
        <v>0</v>
      </c>
      <c r="E159" s="7">
        <v>2.1000000000000001E-2</v>
      </c>
      <c r="F159" s="7">
        <v>0.1065</v>
      </c>
      <c r="G159" s="1">
        <v>1.6500000000000001E-2</v>
      </c>
      <c r="H159" s="1">
        <v>7.5999999999999998E-2</v>
      </c>
      <c r="I159" s="1">
        <v>0.18</v>
      </c>
      <c r="J159" s="1">
        <v>0.04</v>
      </c>
      <c r="K159" s="1">
        <v>0.14000000000000001</v>
      </c>
      <c r="L159" s="1">
        <v>1.4999999999999999E-2</v>
      </c>
      <c r="M159" s="2" t="s">
        <v>175</v>
      </c>
      <c r="N159" s="105">
        <v>50000</v>
      </c>
      <c r="O159" s="119"/>
      <c r="P159" s="119"/>
      <c r="Q159" s="119"/>
      <c r="R159" s="119"/>
      <c r="S159" s="119"/>
      <c r="T159" s="119"/>
      <c r="U159" s="119">
        <v>2.5</v>
      </c>
      <c r="V159" s="119"/>
      <c r="W159" s="119">
        <v>2.36</v>
      </c>
      <c r="X159" s="119">
        <f t="shared" si="160"/>
        <v>2.36</v>
      </c>
      <c r="Y159" s="118">
        <f t="shared" si="161"/>
        <v>2.4299999999999997</v>
      </c>
      <c r="Z159" s="109">
        <f t="shared" si="162"/>
        <v>121499.99999999999</v>
      </c>
      <c r="AA159" s="109">
        <f>'CALCULO GERAL'!$G$10</f>
        <v>6300</v>
      </c>
      <c r="AB159" s="109">
        <f t="shared" si="163"/>
        <v>127799.99999999999</v>
      </c>
      <c r="AC159" s="109">
        <f>AB159*'CALCULO GERAL'!$C$11</f>
        <v>641428.19999999995</v>
      </c>
      <c r="AD159" s="109">
        <f t="shared" si="164"/>
        <v>166771.33199999999</v>
      </c>
      <c r="AE159" s="109">
        <f t="shared" si="165"/>
        <v>0</v>
      </c>
      <c r="AF159" s="109">
        <f t="shared" si="166"/>
        <v>13469.992200000001</v>
      </c>
      <c r="AG159" s="109">
        <f t="shared" si="167"/>
        <v>68312.103299999988</v>
      </c>
      <c r="AH159" s="109">
        <v>154.22999999999999</v>
      </c>
      <c r="AI159" s="109">
        <f>((AA159*'CALCULO GERAL'!$C$11))*0.08+20</f>
        <v>2549.576</v>
      </c>
      <c r="AJ159" s="109">
        <v>1010</v>
      </c>
      <c r="AK159" s="109">
        <v>2500</v>
      </c>
      <c r="AL159" s="109">
        <f>(AA159*('CALCULO GERAL'!$C$11*1.02))-(AA159*'CALCULO GERAL'!$C$11)</f>
        <v>632.39400000000387</v>
      </c>
      <c r="AM159" s="109">
        <v>1800</v>
      </c>
      <c r="AN159" s="109">
        <v>2600</v>
      </c>
      <c r="AO159" s="109">
        <v>9400</v>
      </c>
      <c r="AP159" s="109">
        <v>1000</v>
      </c>
      <c r="AQ159" s="109">
        <v>0</v>
      </c>
      <c r="AR159" s="109">
        <v>0</v>
      </c>
      <c r="AS159" s="109"/>
      <c r="AT159" s="109">
        <f t="shared" ref="AT159:AT281" si="188">SUM(AC159:AS159)</f>
        <v>911627.82749999978</v>
      </c>
      <c r="AU159" s="111">
        <f t="shared" si="168"/>
        <v>18.232556549999995</v>
      </c>
      <c r="AV159" s="109">
        <f>IFERROR((BS159*'CALCULO GERAL'!$E$11)/N159,0)</f>
        <v>0.41456940000000003</v>
      </c>
      <c r="AW159" s="109">
        <f>AU159/'CALCULO GERAL'!$C$11</f>
        <v>3.6327070233114154</v>
      </c>
      <c r="AX159" s="109">
        <f>BP159-BB159-BD159*'CALCULO GERAL'!$C$11</f>
        <v>20.417542950000001</v>
      </c>
      <c r="AY159" s="109">
        <f t="shared" si="169"/>
        <v>0.33688945867500003</v>
      </c>
      <c r="AZ159" s="109">
        <f t="shared" si="170"/>
        <v>1.5517332642000001</v>
      </c>
      <c r="BA159" s="109">
        <f t="shared" si="171"/>
        <v>20.728470000000002</v>
      </c>
      <c r="BB159" s="109">
        <f t="shared" si="172"/>
        <v>0.31092705000000004</v>
      </c>
      <c r="BC159" s="109">
        <f t="shared" si="173"/>
        <v>20.728470000000002</v>
      </c>
      <c r="BD159" s="109">
        <f t="shared" si="174"/>
        <v>0</v>
      </c>
      <c r="BE159" s="109">
        <f t="shared" si="175"/>
        <v>82913.88</v>
      </c>
      <c r="BF159" s="109">
        <f t="shared" si="176"/>
        <v>124370.82</v>
      </c>
      <c r="BG159" s="109">
        <f t="shared" si="177"/>
        <v>0.22386747599999998</v>
      </c>
      <c r="BH159" s="109">
        <f t="shared" si="178"/>
        <v>0.24874164000000001</v>
      </c>
      <c r="BI159" s="109">
        <f t="shared" si="179"/>
        <v>-4.5827780000000012E-2</v>
      </c>
      <c r="BJ159" s="109">
        <f t="shared" si="180"/>
        <v>3.0409005088750001</v>
      </c>
      <c r="BK159" s="109">
        <f t="shared" si="181"/>
        <v>21.273457058874996</v>
      </c>
      <c r="BL159" s="148">
        <v>0.89500000000000002</v>
      </c>
      <c r="BM159" s="112">
        <f>ROUND((AW159/BL159)+((AW159*BL159)*'CALCULO GERAL'!$E$11)/BL159,2)</f>
        <v>4.13</v>
      </c>
      <c r="BN159" s="186">
        <f t="shared" ref="BN159:BN281" si="189">BM159</f>
        <v>4.13</v>
      </c>
      <c r="BO159" s="186">
        <f t="shared" ref="BO159:BO281" si="190">ROUND(FV(0.02,8,,BN159)*-1,3)</f>
        <v>4.8390000000000004</v>
      </c>
      <c r="BP159" s="109">
        <f>BM159*'CALCULO GERAL'!$C$11</f>
        <v>20.728470000000002</v>
      </c>
      <c r="BQ159" s="109">
        <f>BO159*'CALCULO GERAL'!$C$11</f>
        <v>24.286941000000002</v>
      </c>
      <c r="BR159" s="186">
        <f>BN159*'CALCULO GERAL'!$C$11</f>
        <v>20.728470000000002</v>
      </c>
      <c r="BS159" s="109">
        <f t="shared" si="183"/>
        <v>1036423.5000000001</v>
      </c>
      <c r="BT159" s="109">
        <f t="shared" si="187"/>
        <v>124795.67250000034</v>
      </c>
      <c r="BU159" s="109">
        <f t="shared" si="184"/>
        <v>1036423.5000000001</v>
      </c>
      <c r="BV159" s="109">
        <f t="shared" si="50"/>
        <v>1063672.8529437499</v>
      </c>
      <c r="BW159" s="109">
        <f t="shared" ref="BW159:BW281" si="191">BS159-BV159</f>
        <v>-27249.352943749749</v>
      </c>
      <c r="BX159" s="114">
        <f t="shared" si="185"/>
        <v>-2.6291716604023109E-2</v>
      </c>
      <c r="BY159" s="152">
        <f t="shared" si="51"/>
        <v>0.9</v>
      </c>
      <c r="BZ159" s="152"/>
      <c r="CA159" s="55"/>
      <c r="CB159" s="113"/>
      <c r="CC159" s="113"/>
      <c r="CD159" s="152"/>
      <c r="CE159" s="152">
        <f t="shared" si="52"/>
        <v>0</v>
      </c>
      <c r="CF159" s="152">
        <f t="shared" ref="CF159:CF281" si="192">100%-CE159</f>
        <v>1</v>
      </c>
      <c r="CG159" s="152">
        <f t="shared" ref="CG159:CG281" si="193">AVERAGE(CF159,CD159)</f>
        <v>1</v>
      </c>
      <c r="CH159" s="34"/>
    </row>
    <row r="160" spans="1:89" x14ac:dyDescent="0.2">
      <c r="A160" s="125" t="s">
        <v>289</v>
      </c>
      <c r="B160" s="187" t="s">
        <v>287</v>
      </c>
      <c r="C160" s="8">
        <v>0.26</v>
      </c>
      <c r="D160" s="8">
        <v>0</v>
      </c>
      <c r="E160" s="7">
        <v>2.1000000000000001E-2</v>
      </c>
      <c r="F160" s="7">
        <v>0.1065</v>
      </c>
      <c r="G160" s="1">
        <v>1.6500000000000001E-2</v>
      </c>
      <c r="H160" s="1">
        <v>7.5999999999999998E-2</v>
      </c>
      <c r="I160" s="1">
        <v>0.18</v>
      </c>
      <c r="J160" s="1">
        <v>0.04</v>
      </c>
      <c r="K160" s="1">
        <v>0.14000000000000001</v>
      </c>
      <c r="L160" s="1">
        <v>1.4999999999999999E-2</v>
      </c>
      <c r="M160" s="2" t="s">
        <v>175</v>
      </c>
      <c r="N160" s="105">
        <v>37500</v>
      </c>
      <c r="O160" s="119"/>
      <c r="P160" s="119"/>
      <c r="Q160" s="119"/>
      <c r="R160" s="119"/>
      <c r="S160" s="119"/>
      <c r="T160" s="119"/>
      <c r="U160" s="119"/>
      <c r="V160" s="119">
        <v>1.73</v>
      </c>
      <c r="W160" s="119"/>
      <c r="X160" s="119">
        <f t="shared" si="160"/>
        <v>1.73</v>
      </c>
      <c r="Y160" s="118">
        <f t="shared" si="161"/>
        <v>1.73</v>
      </c>
      <c r="Z160" s="109">
        <f t="shared" si="162"/>
        <v>64875</v>
      </c>
      <c r="AA160" s="109">
        <f>'CALCULO GERAL'!$G$10</f>
        <v>6300</v>
      </c>
      <c r="AB160" s="109">
        <f t="shared" si="163"/>
        <v>71175</v>
      </c>
      <c r="AC160" s="109">
        <f>AB160*'CALCULO GERAL'!$C$11</f>
        <v>357227.32500000001</v>
      </c>
      <c r="AD160" s="109">
        <f t="shared" si="164"/>
        <v>92879.104500000001</v>
      </c>
      <c r="AE160" s="109">
        <f t="shared" si="165"/>
        <v>0</v>
      </c>
      <c r="AF160" s="109">
        <f t="shared" si="166"/>
        <v>7501.7738250000011</v>
      </c>
      <c r="AG160" s="109">
        <f t="shared" si="167"/>
        <v>38044.710112499997</v>
      </c>
      <c r="AH160" s="109">
        <v>154.22999999999999</v>
      </c>
      <c r="AI160" s="109">
        <f>((AA160*'CALCULO GERAL'!$C$11))*0.08+20</f>
        <v>2549.576</v>
      </c>
      <c r="AJ160" s="109">
        <v>1010</v>
      </c>
      <c r="AK160" s="109">
        <v>2500</v>
      </c>
      <c r="AL160" s="109">
        <f>(AA160*('CALCULO GERAL'!$C$11*1.02))-(AA160*'CALCULO GERAL'!$C$11)</f>
        <v>632.39400000000387</v>
      </c>
      <c r="AM160" s="109">
        <v>1800</v>
      </c>
      <c r="AN160" s="109">
        <v>2600</v>
      </c>
      <c r="AO160" s="109">
        <v>9400</v>
      </c>
      <c r="AP160" s="109">
        <v>1000</v>
      </c>
      <c r="AQ160" s="109">
        <v>0</v>
      </c>
      <c r="AR160" s="109">
        <v>0</v>
      </c>
      <c r="AS160" s="109"/>
      <c r="AT160" s="109">
        <f t="shared" si="188"/>
        <v>517299.11343750003</v>
      </c>
      <c r="AU160" s="111">
        <f t="shared" si="168"/>
        <v>13.794643025000001</v>
      </c>
      <c r="AV160" s="109">
        <f>IFERROR((BS160*'CALCULO GERAL'!$E$11)/N160,0)</f>
        <v>0.3222198</v>
      </c>
      <c r="AW160" s="109">
        <f>AU160/'CALCULO GERAL'!$C$11</f>
        <v>2.7484843644152224</v>
      </c>
      <c r="AX160" s="109">
        <f>BP160-BB160-BD160*'CALCULO GERAL'!$C$11</f>
        <v>15.869325150000002</v>
      </c>
      <c r="AY160" s="109">
        <f t="shared" si="169"/>
        <v>0.26184386497500006</v>
      </c>
      <c r="AZ160" s="109">
        <f t="shared" si="170"/>
        <v>1.2060687114000002</v>
      </c>
      <c r="BA160" s="109">
        <f t="shared" si="171"/>
        <v>16.110990000000001</v>
      </c>
      <c r="BB160" s="109">
        <f t="shared" si="172"/>
        <v>0.24166485000000001</v>
      </c>
      <c r="BC160" s="109">
        <f t="shared" si="173"/>
        <v>16.110990000000001</v>
      </c>
      <c r="BD160" s="109">
        <f t="shared" si="174"/>
        <v>0</v>
      </c>
      <c r="BE160" s="109">
        <f t="shared" si="175"/>
        <v>48332.97</v>
      </c>
      <c r="BF160" s="109">
        <f t="shared" si="176"/>
        <v>72499.455000000002</v>
      </c>
      <c r="BG160" s="109">
        <f t="shared" si="177"/>
        <v>0.17399869199999998</v>
      </c>
      <c r="BH160" s="109">
        <f t="shared" si="178"/>
        <v>0.19333187999999998</v>
      </c>
      <c r="BI160" s="109">
        <f t="shared" si="179"/>
        <v>0</v>
      </c>
      <c r="BJ160" s="109">
        <f t="shared" si="180"/>
        <v>2.3991277983750003</v>
      </c>
      <c r="BK160" s="109">
        <f t="shared" si="181"/>
        <v>16.193770823375001</v>
      </c>
      <c r="BL160" s="148">
        <v>0.87</v>
      </c>
      <c r="BM160" s="112">
        <f>ROUND((AW160/BL160)+((AW160*BL160)*'CALCULO GERAL'!$E$11)/BL160,2)</f>
        <v>3.21</v>
      </c>
      <c r="BN160" s="186">
        <f t="shared" si="189"/>
        <v>3.21</v>
      </c>
      <c r="BO160" s="186">
        <f t="shared" si="190"/>
        <v>3.7610000000000001</v>
      </c>
      <c r="BP160" s="109">
        <f>BM160*'CALCULO GERAL'!$C$11</f>
        <v>16.110990000000001</v>
      </c>
      <c r="BQ160" s="109">
        <f>BO160*'CALCULO GERAL'!$C$11</f>
        <v>18.876459000000001</v>
      </c>
      <c r="BR160" s="186">
        <f>BN160*'CALCULO GERAL'!$C$11</f>
        <v>16.110990000000001</v>
      </c>
      <c r="BS160" s="109">
        <f t="shared" si="183"/>
        <v>604162.125</v>
      </c>
      <c r="BT160" s="109">
        <f t="shared" si="187"/>
        <v>86863.011562499974</v>
      </c>
      <c r="BU160" s="109">
        <f t="shared" si="184"/>
        <v>604162.125</v>
      </c>
      <c r="BV160" s="109">
        <f t="shared" ref="BV160:BV282" si="194">BK160*N160</f>
        <v>607266.40587656258</v>
      </c>
      <c r="BW160" s="109">
        <f t="shared" si="191"/>
        <v>-3104.2808765625814</v>
      </c>
      <c r="BX160" s="114">
        <f t="shared" si="185"/>
        <v>-5.1381586963310244E-3</v>
      </c>
      <c r="BY160" s="152">
        <f t="shared" ref="BY160:BY290" si="195">ROUND(BL160,2)</f>
        <v>0.87</v>
      </c>
      <c r="BZ160" s="152"/>
      <c r="CA160" s="55"/>
      <c r="CB160" s="113"/>
      <c r="CC160" s="113"/>
      <c r="CD160" s="152"/>
      <c r="CE160" s="152">
        <f t="shared" ref="CE160:CE290" si="196">CC160/BY160</f>
        <v>0</v>
      </c>
      <c r="CF160" s="152">
        <f t="shared" si="192"/>
        <v>1</v>
      </c>
      <c r="CG160" s="152">
        <f t="shared" si="193"/>
        <v>1</v>
      </c>
      <c r="CH160" s="34"/>
    </row>
    <row r="161" spans="1:89" x14ac:dyDescent="0.2">
      <c r="A161" s="125" t="s">
        <v>290</v>
      </c>
      <c r="B161" s="187" t="s">
        <v>287</v>
      </c>
      <c r="C161" s="8">
        <v>0.26</v>
      </c>
      <c r="D161" s="8">
        <v>0</v>
      </c>
      <c r="E161" s="7">
        <v>2.1000000000000001E-2</v>
      </c>
      <c r="F161" s="7">
        <v>0.1065</v>
      </c>
      <c r="G161" s="1">
        <v>1.6500000000000001E-2</v>
      </c>
      <c r="H161" s="1">
        <v>7.5999999999999998E-2</v>
      </c>
      <c r="I161" s="1">
        <v>0.18</v>
      </c>
      <c r="J161" s="1">
        <v>0.04</v>
      </c>
      <c r="K161" s="1">
        <v>0.14000000000000001</v>
      </c>
      <c r="L161" s="1">
        <v>1.4999999999999999E-2</v>
      </c>
      <c r="M161" s="2" t="s">
        <v>175</v>
      </c>
      <c r="N161" s="105">
        <v>45000</v>
      </c>
      <c r="O161" s="119"/>
      <c r="P161" s="119"/>
      <c r="Q161" s="119"/>
      <c r="R161" s="119"/>
      <c r="S161" s="119"/>
      <c r="T161" s="119"/>
      <c r="U161" s="119">
        <v>1.34</v>
      </c>
      <c r="V161" s="119">
        <v>1.34</v>
      </c>
      <c r="W161" s="119">
        <v>1.34</v>
      </c>
      <c r="X161" s="119">
        <f t="shared" si="160"/>
        <v>1.34</v>
      </c>
      <c r="Y161" s="118">
        <f t="shared" si="161"/>
        <v>1.34</v>
      </c>
      <c r="Z161" s="109">
        <f>X161*N161</f>
        <v>60300</v>
      </c>
      <c r="AA161" s="109">
        <f>'CALCULO GERAL'!$G$10</f>
        <v>6300</v>
      </c>
      <c r="AB161" s="109">
        <f t="shared" si="163"/>
        <v>66600</v>
      </c>
      <c r="AC161" s="109">
        <f>AB161*'CALCULO GERAL'!$C$11</f>
        <v>334265.40000000002</v>
      </c>
      <c r="AD161" s="109">
        <f t="shared" si="164"/>
        <v>86909.004000000015</v>
      </c>
      <c r="AE161" s="109">
        <f t="shared" si="165"/>
        <v>0</v>
      </c>
      <c r="AF161" s="109">
        <f t="shared" si="166"/>
        <v>7019.5734000000011</v>
      </c>
      <c r="AG161" s="109">
        <f t="shared" si="167"/>
        <v>35599.265100000004</v>
      </c>
      <c r="AH161" s="109">
        <v>154.22999999999999</v>
      </c>
      <c r="AI161" s="109">
        <f>((AA161*'CALCULO GERAL'!$C$11))*0.08+20</f>
        <v>2549.576</v>
      </c>
      <c r="AJ161" s="109">
        <v>1010</v>
      </c>
      <c r="AK161" s="109">
        <v>2500</v>
      </c>
      <c r="AL161" s="109">
        <f>(AA161*('CALCULO GERAL'!$C$11*1.02))-(AA161*'CALCULO GERAL'!$C$11)</f>
        <v>632.39400000000387</v>
      </c>
      <c r="AM161" s="109">
        <v>1800</v>
      </c>
      <c r="AN161" s="109">
        <v>2600</v>
      </c>
      <c r="AO161" s="109">
        <v>9400</v>
      </c>
      <c r="AP161" s="109">
        <v>1000</v>
      </c>
      <c r="AQ161" s="109">
        <v>0</v>
      </c>
      <c r="AR161" s="109">
        <v>0</v>
      </c>
      <c r="AS161" s="109"/>
      <c r="AT161" s="109">
        <f>SUM(AC161:AS161)</f>
        <v>485439.44250000006</v>
      </c>
      <c r="AU161" s="111">
        <f t="shared" si="168"/>
        <v>10.787543166666667</v>
      </c>
      <c r="AV161" s="109">
        <f>IFERROR((BS161*'CALCULO GERAL'!$E$11)/N161,0)</f>
        <v>0.24994620000000004</v>
      </c>
      <c r="AW161" s="109">
        <f>AU161/'CALCULO GERAL'!$C$11</f>
        <v>2.1493411370126854</v>
      </c>
      <c r="AX161" s="109">
        <f>BP161-BB161-BD161*'CALCULO GERAL'!$C$11</f>
        <v>12.309850350000001</v>
      </c>
      <c r="AY161" s="109">
        <f t="shared" si="169"/>
        <v>0.20311253077500002</v>
      </c>
      <c r="AZ161" s="109">
        <f t="shared" si="170"/>
        <v>0.93554862660000004</v>
      </c>
      <c r="BA161" s="109">
        <f t="shared" si="171"/>
        <v>12.497310000000001</v>
      </c>
      <c r="BB161" s="109">
        <f t="shared" si="172"/>
        <v>0.18745965000000001</v>
      </c>
      <c r="BC161" s="109">
        <f t="shared" si="173"/>
        <v>12.497310000000001</v>
      </c>
      <c r="BD161" s="109">
        <f t="shared" si="174"/>
        <v>0</v>
      </c>
      <c r="BE161" s="109">
        <f t="shared" si="175"/>
        <v>44990.316000000006</v>
      </c>
      <c r="BF161" s="109">
        <f t="shared" si="176"/>
        <v>67485.474000000002</v>
      </c>
      <c r="BG161" s="109">
        <f t="shared" si="177"/>
        <v>0.13497094800000001</v>
      </c>
      <c r="BH161" s="109">
        <f t="shared" si="178"/>
        <v>0.14996772</v>
      </c>
      <c r="BI161" s="109">
        <f t="shared" si="179"/>
        <v>0</v>
      </c>
      <c r="BJ161" s="109">
        <f t="shared" si="180"/>
        <v>1.8610056753750004</v>
      </c>
      <c r="BK161" s="109">
        <f t="shared" si="181"/>
        <v>12.648548842041668</v>
      </c>
      <c r="BL161" s="148">
        <v>0.88</v>
      </c>
      <c r="BM161" s="112">
        <f>ROUND((AW161/BL161)+((AW161*BL161)*'CALCULO GERAL'!$E$11)/BL161,2)</f>
        <v>2.4900000000000002</v>
      </c>
      <c r="BN161" s="186">
        <f t="shared" si="189"/>
        <v>2.4900000000000002</v>
      </c>
      <c r="BO161" s="186">
        <f t="shared" si="190"/>
        <v>2.9169999999999998</v>
      </c>
      <c r="BP161" s="109">
        <f>BM161*'CALCULO GERAL'!$C$11</f>
        <v>12.497310000000001</v>
      </c>
      <c r="BQ161" s="109">
        <f>BO161*'CALCULO GERAL'!$C$11</f>
        <v>14.640423</v>
      </c>
      <c r="BR161" s="186">
        <f>BN161*'CALCULO GERAL'!$C$11</f>
        <v>12.497310000000001</v>
      </c>
      <c r="BS161" s="109">
        <f t="shared" si="183"/>
        <v>562378.95000000007</v>
      </c>
      <c r="BT161" s="109">
        <f t="shared" si="187"/>
        <v>76939.507500000007</v>
      </c>
      <c r="BU161" s="109">
        <f t="shared" si="184"/>
        <v>562378.95000000007</v>
      </c>
      <c r="BV161" s="109">
        <f t="shared" si="194"/>
        <v>569184.69789187505</v>
      </c>
      <c r="BW161" s="109">
        <f t="shared" si="191"/>
        <v>-6805.7478918749839</v>
      </c>
      <c r="BX161" s="114">
        <f t="shared" si="185"/>
        <v>-1.2101711651680745E-2</v>
      </c>
      <c r="BY161" s="152">
        <f t="shared" si="195"/>
        <v>0.88</v>
      </c>
      <c r="BZ161" s="152"/>
      <c r="CA161" s="55"/>
      <c r="CB161" s="113"/>
      <c r="CC161" s="113"/>
      <c r="CD161" s="152"/>
      <c r="CE161" s="152">
        <f t="shared" si="196"/>
        <v>0</v>
      </c>
      <c r="CF161" s="152">
        <f t="shared" si="192"/>
        <v>1</v>
      </c>
      <c r="CG161" s="152">
        <f t="shared" si="193"/>
        <v>1</v>
      </c>
      <c r="CH161" s="34"/>
    </row>
    <row r="162" spans="1:89" x14ac:dyDescent="0.2">
      <c r="A162" s="125" t="s">
        <v>291</v>
      </c>
      <c r="B162" s="187" t="s">
        <v>287</v>
      </c>
      <c r="C162" s="8">
        <v>0.26</v>
      </c>
      <c r="D162" s="8">
        <v>0</v>
      </c>
      <c r="E162" s="7">
        <v>2.1000000000000001E-2</v>
      </c>
      <c r="F162" s="7">
        <v>0.1065</v>
      </c>
      <c r="G162" s="1">
        <v>1.6500000000000001E-2</v>
      </c>
      <c r="H162" s="1">
        <v>7.5999999999999998E-2</v>
      </c>
      <c r="I162" s="1">
        <v>0.18</v>
      </c>
      <c r="J162" s="1">
        <v>0.04</v>
      </c>
      <c r="K162" s="1">
        <v>0.14000000000000001</v>
      </c>
      <c r="L162" s="1">
        <v>1.4999999999999999E-2</v>
      </c>
      <c r="M162" s="2" t="s">
        <v>175</v>
      </c>
      <c r="N162" s="105">
        <v>27000</v>
      </c>
      <c r="O162" s="119"/>
      <c r="P162" s="119"/>
      <c r="Q162" s="119"/>
      <c r="R162" s="119"/>
      <c r="S162" s="119"/>
      <c r="T162" s="119"/>
      <c r="U162" s="119"/>
      <c r="V162" s="119">
        <v>2.65</v>
      </c>
      <c r="W162" s="119"/>
      <c r="X162" s="119">
        <f t="shared" si="160"/>
        <v>2.65</v>
      </c>
      <c r="Y162" s="118">
        <f t="shared" si="161"/>
        <v>2.65</v>
      </c>
      <c r="Z162" s="109">
        <f t="shared" si="162"/>
        <v>71550</v>
      </c>
      <c r="AA162" s="109">
        <f>'CALCULO GERAL'!$G$10</f>
        <v>6300</v>
      </c>
      <c r="AB162" s="109">
        <f t="shared" si="163"/>
        <v>77850</v>
      </c>
      <c r="AC162" s="109">
        <f>AB162*'CALCULO GERAL'!$C$11</f>
        <v>390729.15</v>
      </c>
      <c r="AD162" s="109">
        <f t="shared" si="164"/>
        <v>101589.57900000001</v>
      </c>
      <c r="AE162" s="109">
        <f t="shared" si="165"/>
        <v>0</v>
      </c>
      <c r="AF162" s="109">
        <f t="shared" si="166"/>
        <v>8205.3121500000016</v>
      </c>
      <c r="AG162" s="109">
        <f t="shared" si="167"/>
        <v>41612.654475000003</v>
      </c>
      <c r="AH162" s="109">
        <v>154.22999999999999</v>
      </c>
      <c r="AI162" s="109">
        <f>((AA162*'CALCULO GERAL'!$C$11))*0.08+20</f>
        <v>2549.576</v>
      </c>
      <c r="AJ162" s="109">
        <v>1010</v>
      </c>
      <c r="AK162" s="109">
        <v>2500</v>
      </c>
      <c r="AL162" s="109">
        <f>(AA162*('CALCULO GERAL'!$C$11*1.02))-(AA162*'CALCULO GERAL'!$C$11)</f>
        <v>632.39400000000387</v>
      </c>
      <c r="AM162" s="109">
        <v>1800</v>
      </c>
      <c r="AN162" s="109">
        <v>2600</v>
      </c>
      <c r="AO162" s="109">
        <v>9400</v>
      </c>
      <c r="AP162" s="109">
        <v>1000</v>
      </c>
      <c r="AQ162" s="109">
        <v>0</v>
      </c>
      <c r="AR162" s="109">
        <v>0</v>
      </c>
      <c r="AS162" s="109"/>
      <c r="AT162" s="109">
        <f t="shared" si="188"/>
        <v>563782.895625</v>
      </c>
      <c r="AU162" s="111">
        <f t="shared" si="168"/>
        <v>20.88084798611111</v>
      </c>
      <c r="AV162" s="109">
        <f>IFERROR((BS162*'CALCULO GERAL'!$E$11)/N162,0)</f>
        <v>0.48583920000000003</v>
      </c>
      <c r="AW162" s="109">
        <f>AU162/'CALCULO GERAL'!$C$11</f>
        <v>4.1603602283544747</v>
      </c>
      <c r="AX162" s="109">
        <f>BP162-BB162-BD162*'CALCULO GERAL'!$C$11</f>
        <v>23.927580599999999</v>
      </c>
      <c r="AY162" s="109">
        <f t="shared" si="169"/>
        <v>0.39480507990000002</v>
      </c>
      <c r="AZ162" s="109">
        <f t="shared" si="170"/>
        <v>1.8184961255999998</v>
      </c>
      <c r="BA162" s="109">
        <f t="shared" si="171"/>
        <v>24.29196</v>
      </c>
      <c r="BB162" s="109">
        <f t="shared" si="172"/>
        <v>0.36437939999999996</v>
      </c>
      <c r="BC162" s="109">
        <f t="shared" si="173"/>
        <v>24.29196</v>
      </c>
      <c r="BD162" s="109">
        <f t="shared" si="174"/>
        <v>0</v>
      </c>
      <c r="BE162" s="109">
        <f t="shared" si="175"/>
        <v>52470.633600000001</v>
      </c>
      <c r="BF162" s="109">
        <f t="shared" si="176"/>
        <v>78705.950400000002</v>
      </c>
      <c r="BG162" s="109">
        <f t="shared" si="177"/>
        <v>0.26235316800000003</v>
      </c>
      <c r="BH162" s="109">
        <f t="shared" si="178"/>
        <v>0.29150352000000002</v>
      </c>
      <c r="BI162" s="109">
        <f t="shared" si="179"/>
        <v>0</v>
      </c>
      <c r="BJ162" s="109">
        <f t="shared" si="180"/>
        <v>3.6173764934999997</v>
      </c>
      <c r="BK162" s="109">
        <f t="shared" si="181"/>
        <v>24.49822447961111</v>
      </c>
      <c r="BL162" s="148">
        <v>0.875</v>
      </c>
      <c r="BM162" s="112">
        <f>ROUND((AW162/BL162)+((AW162*BL162)*'CALCULO GERAL'!$E$11)/BL162,2)</f>
        <v>4.84</v>
      </c>
      <c r="BN162" s="186">
        <f t="shared" si="189"/>
        <v>4.84</v>
      </c>
      <c r="BO162" s="186">
        <f t="shared" si="190"/>
        <v>5.6710000000000003</v>
      </c>
      <c r="BP162" s="109">
        <f>BM162*'CALCULO GERAL'!$C$11</f>
        <v>24.29196</v>
      </c>
      <c r="BQ162" s="109">
        <f>BO162*'CALCULO GERAL'!$C$11</f>
        <v>28.462749000000002</v>
      </c>
      <c r="BR162" s="186">
        <f>BN162*'CALCULO GERAL'!$C$11</f>
        <v>24.29196</v>
      </c>
      <c r="BS162" s="109">
        <f t="shared" si="183"/>
        <v>655882.92000000004</v>
      </c>
      <c r="BT162" s="109">
        <f t="shared" si="187"/>
        <v>92100.024375000037</v>
      </c>
      <c r="BU162" s="109">
        <f t="shared" si="184"/>
        <v>655882.92000000004</v>
      </c>
      <c r="BV162" s="109">
        <f t="shared" si="194"/>
        <v>661452.06094949995</v>
      </c>
      <c r="BW162" s="109">
        <f t="shared" si="191"/>
        <v>-5569.1409494999098</v>
      </c>
      <c r="BX162" s="114">
        <f t="shared" si="185"/>
        <v>-8.4910595773707749E-3</v>
      </c>
      <c r="BY162" s="152">
        <f t="shared" si="195"/>
        <v>0.88</v>
      </c>
      <c r="BZ162" s="152"/>
      <c r="CA162" s="55"/>
      <c r="CB162" s="113"/>
      <c r="CC162" s="113"/>
      <c r="CD162" s="152"/>
      <c r="CE162" s="152">
        <f t="shared" si="196"/>
        <v>0</v>
      </c>
      <c r="CF162" s="152">
        <f t="shared" si="192"/>
        <v>1</v>
      </c>
      <c r="CG162" s="152">
        <f t="shared" si="193"/>
        <v>1</v>
      </c>
      <c r="CH162" s="34"/>
    </row>
    <row r="163" spans="1:89" x14ac:dyDescent="0.2">
      <c r="A163" s="125" t="s">
        <v>292</v>
      </c>
      <c r="B163" s="187" t="s">
        <v>287</v>
      </c>
      <c r="C163" s="8">
        <v>0.26</v>
      </c>
      <c r="D163" s="8">
        <v>0</v>
      </c>
      <c r="E163" s="7">
        <v>2.1000000000000001E-2</v>
      </c>
      <c r="F163" s="7">
        <v>0.1065</v>
      </c>
      <c r="G163" s="1">
        <v>1.6500000000000001E-2</v>
      </c>
      <c r="H163" s="1">
        <v>7.5999999999999998E-2</v>
      </c>
      <c r="I163" s="1">
        <v>0.18</v>
      </c>
      <c r="J163" s="1">
        <v>0.04</v>
      </c>
      <c r="K163" s="1">
        <v>0.14000000000000001</v>
      </c>
      <c r="L163" s="1">
        <v>1.4999999999999999E-2</v>
      </c>
      <c r="M163" s="2" t="s">
        <v>175</v>
      </c>
      <c r="N163" s="105">
        <v>39000</v>
      </c>
      <c r="O163" s="119"/>
      <c r="P163" s="119"/>
      <c r="Q163" s="119"/>
      <c r="R163" s="119"/>
      <c r="S163" s="119"/>
      <c r="T163" s="119"/>
      <c r="U163" s="119"/>
      <c r="V163" s="119">
        <v>1.47</v>
      </c>
      <c r="W163" s="119"/>
      <c r="X163" s="119">
        <f t="shared" si="160"/>
        <v>1.47</v>
      </c>
      <c r="Y163" s="118">
        <f t="shared" si="161"/>
        <v>1.47</v>
      </c>
      <c r="Z163" s="109">
        <f t="shared" si="162"/>
        <v>57330</v>
      </c>
      <c r="AA163" s="109">
        <f>'CALCULO GERAL'!$G$10</f>
        <v>6300</v>
      </c>
      <c r="AB163" s="109">
        <f t="shared" si="163"/>
        <v>63630</v>
      </c>
      <c r="AC163" s="109">
        <f>AB163*'CALCULO GERAL'!$C$11</f>
        <v>319358.97000000003</v>
      </c>
      <c r="AD163" s="109">
        <f t="shared" si="164"/>
        <v>83033.332200000004</v>
      </c>
      <c r="AE163" s="109">
        <f t="shared" si="165"/>
        <v>0</v>
      </c>
      <c r="AF163" s="109">
        <f t="shared" si="166"/>
        <v>6706.5383700000011</v>
      </c>
      <c r="AG163" s="109">
        <f t="shared" si="167"/>
        <v>34011.730305000005</v>
      </c>
      <c r="AH163" s="109">
        <v>154.22999999999999</v>
      </c>
      <c r="AI163" s="109">
        <f>((AA163*'CALCULO GERAL'!$C$11))*0.08+20</f>
        <v>2549.576</v>
      </c>
      <c r="AJ163" s="109">
        <v>1010</v>
      </c>
      <c r="AK163" s="109">
        <v>2500</v>
      </c>
      <c r="AL163" s="109">
        <f>(AA163*('CALCULO GERAL'!$C$11*1.02))-(AA163*'CALCULO GERAL'!$C$11)</f>
        <v>632.39400000000387</v>
      </c>
      <c r="AM163" s="109">
        <v>1800</v>
      </c>
      <c r="AN163" s="109">
        <v>2600</v>
      </c>
      <c r="AO163" s="109">
        <v>9400</v>
      </c>
      <c r="AP163" s="109">
        <v>1000</v>
      </c>
      <c r="AQ163" s="109">
        <v>0</v>
      </c>
      <c r="AR163" s="109">
        <v>0</v>
      </c>
      <c r="AS163" s="109"/>
      <c r="AT163" s="109">
        <f t="shared" si="188"/>
        <v>464756.7708750001</v>
      </c>
      <c r="AU163" s="111">
        <f t="shared" si="168"/>
        <v>11.916840278846157</v>
      </c>
      <c r="AV163" s="109">
        <f>IFERROR((BS163*'CALCULO GERAL'!$E$11)/N163,0)</f>
        <v>0.28206780000000009</v>
      </c>
      <c r="AW163" s="109">
        <f>AU163/'CALCULO GERAL'!$C$11</f>
        <v>2.3743455427069451</v>
      </c>
      <c r="AX163" s="109">
        <f>BP163-BB163-BD163*'CALCULO GERAL'!$C$11</f>
        <v>13.891839150000001</v>
      </c>
      <c r="AY163" s="109">
        <f t="shared" si="169"/>
        <v>0.22921534597500001</v>
      </c>
      <c r="AZ163" s="109">
        <f t="shared" si="170"/>
        <v>1.0557797754</v>
      </c>
      <c r="BA163" s="109">
        <f t="shared" si="171"/>
        <v>14.103390000000001</v>
      </c>
      <c r="BB163" s="109">
        <f t="shared" si="172"/>
        <v>0.21155085000000001</v>
      </c>
      <c r="BC163" s="109">
        <f t="shared" si="173"/>
        <v>14.103390000000001</v>
      </c>
      <c r="BD163" s="109">
        <f t="shared" si="174"/>
        <v>0</v>
      </c>
      <c r="BE163" s="109">
        <f t="shared" si="175"/>
        <v>44002.57680000001</v>
      </c>
      <c r="BF163" s="109">
        <f t="shared" si="176"/>
        <v>66003.8652</v>
      </c>
      <c r="BG163" s="109">
        <f t="shared" si="177"/>
        <v>0.15231661199999999</v>
      </c>
      <c r="BH163" s="109">
        <f t="shared" si="178"/>
        <v>0.16924068000000003</v>
      </c>
      <c r="BI163" s="109">
        <f t="shared" si="179"/>
        <v>0</v>
      </c>
      <c r="BJ163" s="109">
        <f t="shared" si="180"/>
        <v>2.1001710633749999</v>
      </c>
      <c r="BK163" s="109">
        <f t="shared" si="181"/>
        <v>14.017011342221156</v>
      </c>
      <c r="BL163" s="148">
        <v>0.86</v>
      </c>
      <c r="BM163" s="112">
        <f>ROUND((AW163/BL163)+((AW163*BL163)*'CALCULO GERAL'!$E$11)/BL163,2)</f>
        <v>2.81</v>
      </c>
      <c r="BN163" s="186">
        <f t="shared" si="189"/>
        <v>2.81</v>
      </c>
      <c r="BO163" s="186">
        <f t="shared" si="190"/>
        <v>3.2919999999999998</v>
      </c>
      <c r="BP163" s="109">
        <f>BM163*'CALCULO GERAL'!$C$11</f>
        <v>14.103390000000001</v>
      </c>
      <c r="BQ163" s="109">
        <f>BO163*'CALCULO GERAL'!$C$11</f>
        <v>16.522548</v>
      </c>
      <c r="BR163" s="186">
        <f>BN163*'CALCULO GERAL'!$C$11</f>
        <v>14.103390000000001</v>
      </c>
      <c r="BS163" s="109">
        <f t="shared" si="183"/>
        <v>550032.21000000008</v>
      </c>
      <c r="BT163" s="109">
        <f t="shared" si="187"/>
        <v>85275.439124999975</v>
      </c>
      <c r="BU163" s="109">
        <f t="shared" si="184"/>
        <v>550032.21000000008</v>
      </c>
      <c r="BV163" s="109">
        <f t="shared" si="194"/>
        <v>546663.44234662515</v>
      </c>
      <c r="BW163" s="109">
        <f t="shared" si="191"/>
        <v>3368.7676533749327</v>
      </c>
      <c r="BX163" s="114">
        <f t="shared" si="185"/>
        <v>6.1246734138986738E-3</v>
      </c>
      <c r="BY163" s="152">
        <f t="shared" si="195"/>
        <v>0.86</v>
      </c>
      <c r="BZ163" s="152"/>
      <c r="CA163" s="55"/>
      <c r="CB163" s="113"/>
      <c r="CC163" s="113"/>
      <c r="CD163" s="152"/>
      <c r="CE163" s="152">
        <f t="shared" si="196"/>
        <v>0</v>
      </c>
      <c r="CF163" s="152">
        <f t="shared" si="192"/>
        <v>1</v>
      </c>
      <c r="CG163" s="152">
        <f t="shared" si="193"/>
        <v>1</v>
      </c>
      <c r="CH163" s="34"/>
    </row>
    <row r="164" spans="1:89" x14ac:dyDescent="0.2">
      <c r="A164" s="125" t="s">
        <v>293</v>
      </c>
      <c r="B164" s="187" t="s">
        <v>287</v>
      </c>
      <c r="C164" s="8">
        <v>0.26</v>
      </c>
      <c r="D164" s="8">
        <v>0</v>
      </c>
      <c r="E164" s="7">
        <v>2.1000000000000001E-2</v>
      </c>
      <c r="F164" s="7">
        <v>0.1065</v>
      </c>
      <c r="G164" s="1">
        <v>1.6500000000000001E-2</v>
      </c>
      <c r="H164" s="1">
        <v>7.5999999999999998E-2</v>
      </c>
      <c r="I164" s="1">
        <v>0.18</v>
      </c>
      <c r="J164" s="1">
        <v>0.04</v>
      </c>
      <c r="K164" s="1">
        <v>0.14000000000000001</v>
      </c>
      <c r="L164" s="1">
        <v>1.4999999999999999E-2</v>
      </c>
      <c r="M164" s="2" t="s">
        <v>175</v>
      </c>
      <c r="N164" s="105">
        <v>39000</v>
      </c>
      <c r="O164" s="119"/>
      <c r="P164" s="119"/>
      <c r="Q164" s="119"/>
      <c r="R164" s="119"/>
      <c r="S164" s="119"/>
      <c r="T164" s="119"/>
      <c r="U164" s="119"/>
      <c r="V164" s="119">
        <v>1.38</v>
      </c>
      <c r="W164" s="119"/>
      <c r="X164" s="119">
        <f t="shared" si="160"/>
        <v>1.38</v>
      </c>
      <c r="Y164" s="118">
        <f t="shared" si="161"/>
        <v>1.38</v>
      </c>
      <c r="Z164" s="109">
        <f t="shared" si="162"/>
        <v>53819.999999999993</v>
      </c>
      <c r="AA164" s="109">
        <f>'CALCULO GERAL'!$G$10</f>
        <v>6300</v>
      </c>
      <c r="AB164" s="109">
        <f t="shared" si="163"/>
        <v>60119.999999999993</v>
      </c>
      <c r="AC164" s="109">
        <f>AB164*'CALCULO GERAL'!$C$11</f>
        <v>301742.27999999997</v>
      </c>
      <c r="AD164" s="109">
        <f t="shared" si="164"/>
        <v>78452.992799999993</v>
      </c>
      <c r="AE164" s="109">
        <f t="shared" si="165"/>
        <v>0</v>
      </c>
      <c r="AF164" s="109">
        <f t="shared" si="166"/>
        <v>6336.58788</v>
      </c>
      <c r="AG164" s="109">
        <f t="shared" si="167"/>
        <v>32135.552819999997</v>
      </c>
      <c r="AH164" s="109">
        <v>154.22999999999999</v>
      </c>
      <c r="AI164" s="109">
        <f>((AA164*'CALCULO GERAL'!$C$11))*0.08+20</f>
        <v>2549.576</v>
      </c>
      <c r="AJ164" s="109">
        <v>1010</v>
      </c>
      <c r="AK164" s="109">
        <v>2500</v>
      </c>
      <c r="AL164" s="109">
        <f>(AA164*('CALCULO GERAL'!$C$11*1.02))-(AA164*'CALCULO GERAL'!$C$11)</f>
        <v>632.39400000000387</v>
      </c>
      <c r="AM164" s="109">
        <v>1800</v>
      </c>
      <c r="AN164" s="109">
        <v>2600</v>
      </c>
      <c r="AO164" s="109">
        <v>9400</v>
      </c>
      <c r="AP164" s="109">
        <v>1000</v>
      </c>
      <c r="AQ164" s="109">
        <v>0</v>
      </c>
      <c r="AR164" s="109">
        <v>0</v>
      </c>
      <c r="AS164" s="109"/>
      <c r="AT164" s="109">
        <f t="shared" si="188"/>
        <v>440313.61349999998</v>
      </c>
      <c r="AU164" s="111">
        <f t="shared" si="168"/>
        <v>11.290092653846154</v>
      </c>
      <c r="AV164" s="109">
        <f>IFERROR((BS164*'CALCULO GERAL'!$E$11)/N164,0)</f>
        <v>0.26701079999999999</v>
      </c>
      <c r="AW164" s="109">
        <f>AU164/'CALCULO GERAL'!$C$11</f>
        <v>2.2494705427069444</v>
      </c>
      <c r="AX164" s="109">
        <f>BP164-BB164-BD164*'CALCULO GERAL'!$C$11</f>
        <v>13.150281900000001</v>
      </c>
      <c r="AY164" s="109">
        <f t="shared" si="169"/>
        <v>0.21697965135000002</v>
      </c>
      <c r="AZ164" s="109">
        <f t="shared" si="170"/>
        <v>0.99942142440000004</v>
      </c>
      <c r="BA164" s="109">
        <f t="shared" si="171"/>
        <v>13.350540000000001</v>
      </c>
      <c r="BB164" s="109">
        <f t="shared" si="172"/>
        <v>0.20025809999999999</v>
      </c>
      <c r="BC164" s="109">
        <f t="shared" si="173"/>
        <v>13.350540000000001</v>
      </c>
      <c r="BD164" s="109">
        <f t="shared" si="174"/>
        <v>0</v>
      </c>
      <c r="BE164" s="109">
        <f t="shared" si="175"/>
        <v>41653.684800000003</v>
      </c>
      <c r="BF164" s="109">
        <f t="shared" si="176"/>
        <v>62480.527199999997</v>
      </c>
      <c r="BG164" s="109">
        <f t="shared" si="177"/>
        <v>0.14418583199999999</v>
      </c>
      <c r="BH164" s="109">
        <f t="shared" si="178"/>
        <v>0.16020648000000001</v>
      </c>
      <c r="BI164" s="109">
        <f t="shared" si="179"/>
        <v>0</v>
      </c>
      <c r="BJ164" s="109">
        <f t="shared" si="180"/>
        <v>1.98806228775</v>
      </c>
      <c r="BK164" s="109">
        <f t="shared" si="181"/>
        <v>13.278154941596153</v>
      </c>
      <c r="BL164" s="148">
        <v>0.86</v>
      </c>
      <c r="BM164" s="112">
        <f>ROUND((AW164/BL164)+((AW164*BL164)*'CALCULO GERAL'!$E$11)/BL164,2)</f>
        <v>2.66</v>
      </c>
      <c r="BN164" s="186">
        <f t="shared" si="189"/>
        <v>2.66</v>
      </c>
      <c r="BO164" s="186">
        <f t="shared" si="190"/>
        <v>3.117</v>
      </c>
      <c r="BP164" s="109">
        <f>BM164*'CALCULO GERAL'!$C$11</f>
        <v>13.350540000000001</v>
      </c>
      <c r="BQ164" s="109">
        <f>BO164*'CALCULO GERAL'!$C$11</f>
        <v>15.644223</v>
      </c>
      <c r="BR164" s="186">
        <f>BN164*'CALCULO GERAL'!$C$11</f>
        <v>13.350540000000001</v>
      </c>
      <c r="BS164" s="109">
        <f t="shared" si="183"/>
        <v>520671.06</v>
      </c>
      <c r="BT164" s="109">
        <f t="shared" si="187"/>
        <v>80357.44650000002</v>
      </c>
      <c r="BU164" s="109">
        <f t="shared" si="184"/>
        <v>520671.06</v>
      </c>
      <c r="BV164" s="109">
        <f t="shared" si="194"/>
        <v>517848.04272224999</v>
      </c>
      <c r="BW164" s="109">
        <f t="shared" si="191"/>
        <v>2823.017277750012</v>
      </c>
      <c r="BX164" s="114">
        <f t="shared" si="185"/>
        <v>5.4218824409983761E-3</v>
      </c>
      <c r="BY164" s="152">
        <f t="shared" si="195"/>
        <v>0.86</v>
      </c>
      <c r="BZ164" s="152"/>
      <c r="CA164" s="55"/>
      <c r="CB164" s="113"/>
      <c r="CC164" s="113"/>
      <c r="CD164" s="152"/>
      <c r="CE164" s="152">
        <f t="shared" si="196"/>
        <v>0</v>
      </c>
      <c r="CF164" s="152">
        <f t="shared" si="192"/>
        <v>1</v>
      </c>
      <c r="CG164" s="152">
        <f t="shared" si="193"/>
        <v>1</v>
      </c>
      <c r="CH164" s="34"/>
    </row>
    <row r="165" spans="1:89" s="152" customFormat="1" x14ac:dyDescent="0.2">
      <c r="A165" s="125" t="s">
        <v>296</v>
      </c>
      <c r="B165" s="187" t="s">
        <v>297</v>
      </c>
      <c r="C165" s="8">
        <v>0.26</v>
      </c>
      <c r="D165" s="8">
        <v>0</v>
      </c>
      <c r="E165" s="7">
        <v>2.1000000000000001E-2</v>
      </c>
      <c r="F165" s="7">
        <v>0.1065</v>
      </c>
      <c r="G165" s="1">
        <v>1.6500000000000001E-2</v>
      </c>
      <c r="H165" s="1">
        <v>7.5999999999999998E-2</v>
      </c>
      <c r="I165" s="1">
        <v>0.18</v>
      </c>
      <c r="J165" s="1">
        <v>0.04</v>
      </c>
      <c r="K165" s="1">
        <v>0.14000000000000001</v>
      </c>
      <c r="L165" s="1">
        <v>1.4999999999999999E-2</v>
      </c>
      <c r="M165" s="2" t="s">
        <v>175</v>
      </c>
      <c r="N165" s="105">
        <v>62000</v>
      </c>
      <c r="O165" s="119"/>
      <c r="P165" s="119"/>
      <c r="Q165" s="119"/>
      <c r="R165" s="119"/>
      <c r="S165" s="119"/>
      <c r="T165" s="119"/>
      <c r="U165" s="119"/>
      <c r="V165" s="119">
        <v>1.1200000000000001</v>
      </c>
      <c r="W165" s="119"/>
      <c r="X165" s="119">
        <f t="shared" si="160"/>
        <v>1.1200000000000001</v>
      </c>
      <c r="Y165" s="118">
        <f t="shared" si="161"/>
        <v>1.1200000000000001</v>
      </c>
      <c r="Z165" s="109">
        <f t="shared" si="162"/>
        <v>69440</v>
      </c>
      <c r="AA165" s="109">
        <f>'CALCULO GERAL'!$G$10</f>
        <v>6300</v>
      </c>
      <c r="AB165" s="109">
        <f t="shared" si="163"/>
        <v>75740</v>
      </c>
      <c r="AC165" s="109">
        <f>AB165*'CALCULO GERAL'!$C$11</f>
        <v>380139.06</v>
      </c>
      <c r="AD165" s="109">
        <f t="shared" si="164"/>
        <v>98836.155599999998</v>
      </c>
      <c r="AE165" s="109">
        <f t="shared" si="165"/>
        <v>0</v>
      </c>
      <c r="AF165" s="109">
        <f t="shared" si="166"/>
        <v>7982.9202600000008</v>
      </c>
      <c r="AG165" s="109">
        <f t="shared" si="167"/>
        <v>40484.809889999997</v>
      </c>
      <c r="AH165" s="109">
        <v>154.22999999999999</v>
      </c>
      <c r="AI165" s="109">
        <f>((AA165*'CALCULO GERAL'!$C$11))*0.08+20</f>
        <v>2549.576</v>
      </c>
      <c r="AJ165" s="109">
        <v>1010</v>
      </c>
      <c r="AK165" s="109">
        <v>2500</v>
      </c>
      <c r="AL165" s="109">
        <f>(AA165*('CALCULO GERAL'!$C$11*1.02))-(AA165*'CALCULO GERAL'!$C$11)</f>
        <v>632.39400000000387</v>
      </c>
      <c r="AM165" s="109">
        <v>1800</v>
      </c>
      <c r="AN165" s="109">
        <v>2600</v>
      </c>
      <c r="AO165" s="109">
        <v>9400</v>
      </c>
      <c r="AP165" s="109">
        <v>1000</v>
      </c>
      <c r="AQ165" s="109">
        <v>0</v>
      </c>
      <c r="AR165" s="109">
        <v>0</v>
      </c>
      <c r="AS165" s="109"/>
      <c r="AT165" s="109">
        <f t="shared" si="188"/>
        <v>549089.14574999991</v>
      </c>
      <c r="AU165" s="111">
        <f t="shared" si="168"/>
        <v>8.8562765443548379</v>
      </c>
      <c r="AV165" s="109">
        <f>IFERROR((BS165*'CALCULO GERAL'!$E$11)/N165,0)</f>
        <v>0.20577900000000002</v>
      </c>
      <c r="AW165" s="109">
        <f>AU165/'CALCULO GERAL'!$C$11</f>
        <v>1.7645500187995293</v>
      </c>
      <c r="AX165" s="109">
        <f>BP165-BB165-BD165*'CALCULO GERAL'!$C$11</f>
        <v>10.13461575</v>
      </c>
      <c r="AY165" s="109">
        <f t="shared" si="169"/>
        <v>0.167221159875</v>
      </c>
      <c r="AZ165" s="109">
        <f t="shared" si="170"/>
        <v>0.77023079699999997</v>
      </c>
      <c r="BA165" s="109">
        <f t="shared" si="171"/>
        <v>10.28895</v>
      </c>
      <c r="BB165" s="109">
        <f t="shared" si="172"/>
        <v>0.15433424999999998</v>
      </c>
      <c r="BC165" s="109">
        <f t="shared" si="173"/>
        <v>10.28895</v>
      </c>
      <c r="BD165" s="109">
        <f t="shared" si="174"/>
        <v>0</v>
      </c>
      <c r="BE165" s="109">
        <f t="shared" si="175"/>
        <v>51033.192000000003</v>
      </c>
      <c r="BF165" s="109">
        <f t="shared" si="176"/>
        <v>76549.788</v>
      </c>
      <c r="BG165" s="109">
        <f t="shared" si="177"/>
        <v>0.11112066</v>
      </c>
      <c r="BH165" s="109">
        <f t="shared" si="178"/>
        <v>0.12346739999999999</v>
      </c>
      <c r="BI165" s="109">
        <f t="shared" si="179"/>
        <v>0</v>
      </c>
      <c r="BJ165" s="109">
        <f t="shared" si="180"/>
        <v>1.532153266875</v>
      </c>
      <c r="BK165" s="109">
        <f t="shared" si="181"/>
        <v>10.388429811229837</v>
      </c>
      <c r="BL165" s="148">
        <v>0.875</v>
      </c>
      <c r="BM165" s="112">
        <f>ROUND((AW165/BL165)+((AW165*BL165)*'CALCULO GERAL'!$E$11)/BL165,2)</f>
        <v>2.0499999999999998</v>
      </c>
      <c r="BN165" s="186">
        <f t="shared" si="189"/>
        <v>2.0499999999999998</v>
      </c>
      <c r="BO165" s="186">
        <f t="shared" si="190"/>
        <v>2.4020000000000001</v>
      </c>
      <c r="BP165" s="109">
        <f>BM165*'CALCULO GERAL'!$C$11</f>
        <v>10.28895</v>
      </c>
      <c r="BQ165" s="109">
        <f>BO165*'CALCULO GERAL'!$C$11</f>
        <v>12.055638000000002</v>
      </c>
      <c r="BR165" s="186">
        <f>BN165*'CALCULO GERAL'!$C$11</f>
        <v>10.28895</v>
      </c>
      <c r="BS165" s="109">
        <f t="shared" si="183"/>
        <v>637914.9</v>
      </c>
      <c r="BT165" s="109">
        <f t="shared" si="187"/>
        <v>88825.754250000115</v>
      </c>
      <c r="BU165" s="109">
        <f t="shared" si="184"/>
        <v>637914.9</v>
      </c>
      <c r="BV165" s="109">
        <f t="shared" si="194"/>
        <v>644082.64829624991</v>
      </c>
      <c r="BW165" s="109">
        <f t="shared" si="191"/>
        <v>-6167.7482962498907</v>
      </c>
      <c r="BX165" s="114">
        <f t="shared" si="185"/>
        <v>-9.6686067314776473E-3</v>
      </c>
      <c r="BY165" s="152">
        <f t="shared" si="195"/>
        <v>0.88</v>
      </c>
      <c r="CA165" s="55"/>
      <c r="CB165" s="113"/>
      <c r="CC165" s="113"/>
      <c r="CE165" s="152">
        <f t="shared" si="196"/>
        <v>0</v>
      </c>
      <c r="CF165" s="152">
        <f t="shared" si="192"/>
        <v>1</v>
      </c>
      <c r="CG165" s="152">
        <f t="shared" si="193"/>
        <v>1</v>
      </c>
      <c r="CH165" s="34"/>
      <c r="CJ165" s="11"/>
      <c r="CK165" s="11"/>
    </row>
    <row r="166" spans="1:89" s="152" customFormat="1" x14ac:dyDescent="0.2">
      <c r="A166" s="125" t="s">
        <v>298</v>
      </c>
      <c r="B166" s="187" t="s">
        <v>297</v>
      </c>
      <c r="C166" s="8">
        <v>0.26</v>
      </c>
      <c r="D166" s="8">
        <v>0</v>
      </c>
      <c r="E166" s="7">
        <v>2.1000000000000001E-2</v>
      </c>
      <c r="F166" s="7">
        <v>0.1065</v>
      </c>
      <c r="G166" s="1">
        <v>1.6500000000000001E-2</v>
      </c>
      <c r="H166" s="1">
        <v>7.5999999999999998E-2</v>
      </c>
      <c r="I166" s="1">
        <v>0.18</v>
      </c>
      <c r="J166" s="1">
        <v>0.04</v>
      </c>
      <c r="K166" s="1">
        <v>0.14000000000000001</v>
      </c>
      <c r="L166" s="1">
        <v>1.4999999999999999E-2</v>
      </c>
      <c r="M166" s="2" t="s">
        <v>175</v>
      </c>
      <c r="N166" s="105">
        <v>62000</v>
      </c>
      <c r="O166" s="119"/>
      <c r="P166" s="119"/>
      <c r="Q166" s="119"/>
      <c r="R166" s="119"/>
      <c r="S166" s="119"/>
      <c r="T166" s="119"/>
      <c r="U166" s="119"/>
      <c r="V166" s="119">
        <v>1.1599999999999999</v>
      </c>
      <c r="W166" s="119"/>
      <c r="X166" s="119">
        <f t="shared" si="160"/>
        <v>1.1599999999999999</v>
      </c>
      <c r="Y166" s="118">
        <f t="shared" si="161"/>
        <v>1.1599999999999999</v>
      </c>
      <c r="Z166" s="109">
        <f t="shared" si="162"/>
        <v>71920</v>
      </c>
      <c r="AA166" s="109">
        <f>'CALCULO GERAL'!$G$10</f>
        <v>6300</v>
      </c>
      <c r="AB166" s="109">
        <f t="shared" si="163"/>
        <v>78220</v>
      </c>
      <c r="AC166" s="109">
        <f>AB166*'CALCULO GERAL'!$C$11</f>
        <v>392586.18</v>
      </c>
      <c r="AD166" s="109">
        <f t="shared" si="164"/>
        <v>102072.4068</v>
      </c>
      <c r="AE166" s="109">
        <f t="shared" si="165"/>
        <v>0</v>
      </c>
      <c r="AF166" s="109">
        <f t="shared" si="166"/>
        <v>8244.3097799999996</v>
      </c>
      <c r="AG166" s="109">
        <f t="shared" si="167"/>
        <v>41810.428169999999</v>
      </c>
      <c r="AH166" s="109">
        <v>154.22999999999999</v>
      </c>
      <c r="AI166" s="109">
        <f>((AA166*'CALCULO GERAL'!$C$11))*0.08+20</f>
        <v>2549.576</v>
      </c>
      <c r="AJ166" s="109">
        <v>1010</v>
      </c>
      <c r="AK166" s="109">
        <v>2500</v>
      </c>
      <c r="AL166" s="109">
        <f>(AA166*('CALCULO GERAL'!$C$11*1.02))-(AA166*'CALCULO GERAL'!$C$11)</f>
        <v>632.39400000000387</v>
      </c>
      <c r="AM166" s="109">
        <v>1800</v>
      </c>
      <c r="AN166" s="109">
        <v>2600</v>
      </c>
      <c r="AO166" s="109">
        <v>9400</v>
      </c>
      <c r="AP166" s="109">
        <v>1000</v>
      </c>
      <c r="AQ166" s="109">
        <v>0</v>
      </c>
      <c r="AR166" s="109">
        <v>0</v>
      </c>
      <c r="AS166" s="109"/>
      <c r="AT166" s="109">
        <f t="shared" si="188"/>
        <v>566359.52474999998</v>
      </c>
      <c r="AU166" s="111">
        <f t="shared" si="168"/>
        <v>9.1348310443548382</v>
      </c>
      <c r="AV166" s="109">
        <f>IFERROR((BS166*'CALCULO GERAL'!$E$11)/N166,0)</f>
        <v>0.21280560000000001</v>
      </c>
      <c r="AW166" s="109">
        <f>AU166/'CALCULO GERAL'!$C$11</f>
        <v>1.8200500187995294</v>
      </c>
      <c r="AX166" s="109">
        <f>BP166-BB166-BD166*'CALCULO GERAL'!$C$11</f>
        <v>10.4806758</v>
      </c>
      <c r="AY166" s="109">
        <f t="shared" si="169"/>
        <v>0.17293115070000001</v>
      </c>
      <c r="AZ166" s="109">
        <f t="shared" si="170"/>
        <v>0.79653136079999998</v>
      </c>
      <c r="BA166" s="109">
        <f t="shared" si="171"/>
        <v>10.640280000000001</v>
      </c>
      <c r="BB166" s="109">
        <f t="shared" si="172"/>
        <v>0.1596042</v>
      </c>
      <c r="BC166" s="109">
        <f t="shared" si="173"/>
        <v>10.640280000000001</v>
      </c>
      <c r="BD166" s="109">
        <f t="shared" si="174"/>
        <v>0</v>
      </c>
      <c r="BE166" s="109">
        <f t="shared" si="175"/>
        <v>52775.788800000002</v>
      </c>
      <c r="BF166" s="109">
        <f t="shared" si="176"/>
        <v>79163.683199999999</v>
      </c>
      <c r="BG166" s="109">
        <f t="shared" si="177"/>
        <v>0.11491502399999999</v>
      </c>
      <c r="BH166" s="109">
        <f t="shared" si="178"/>
        <v>0.12768336</v>
      </c>
      <c r="BI166" s="109">
        <f t="shared" si="179"/>
        <v>0</v>
      </c>
      <c r="BJ166" s="109">
        <f t="shared" si="180"/>
        <v>1.5844706955000001</v>
      </c>
      <c r="BK166" s="109">
        <f t="shared" si="181"/>
        <v>10.719301739854838</v>
      </c>
      <c r="BL166" s="148">
        <v>0.875</v>
      </c>
      <c r="BM166" s="112">
        <f>ROUND((AW166/BL166)+((AW166*BL166)*'CALCULO GERAL'!$E$11)/BL166,2)</f>
        <v>2.12</v>
      </c>
      <c r="BN166" s="186">
        <f t="shared" si="189"/>
        <v>2.12</v>
      </c>
      <c r="BO166" s="186">
        <f t="shared" si="190"/>
        <v>2.484</v>
      </c>
      <c r="BP166" s="109">
        <f>BM166*'CALCULO GERAL'!$C$11</f>
        <v>10.640280000000001</v>
      </c>
      <c r="BQ166" s="109">
        <f>BO166*'CALCULO GERAL'!$C$11</f>
        <v>12.467196</v>
      </c>
      <c r="BR166" s="186">
        <f>BN166*'CALCULO GERAL'!$C$11</f>
        <v>10.640280000000001</v>
      </c>
      <c r="BS166" s="109">
        <f t="shared" si="183"/>
        <v>659697.36</v>
      </c>
      <c r="BT166" s="109">
        <f t="shared" si="187"/>
        <v>93337.835250000004</v>
      </c>
      <c r="BU166" s="109">
        <f t="shared" si="184"/>
        <v>659697.36</v>
      </c>
      <c r="BV166" s="109">
        <f t="shared" si="194"/>
        <v>664596.70787099993</v>
      </c>
      <c r="BW166" s="109">
        <f t="shared" si="191"/>
        <v>-4899.3478709999472</v>
      </c>
      <c r="BX166" s="114">
        <f t="shared" si="185"/>
        <v>-7.4266598110987545E-3</v>
      </c>
      <c r="BY166" s="152">
        <f t="shared" si="195"/>
        <v>0.88</v>
      </c>
      <c r="CA166" s="55"/>
      <c r="CB166" s="113"/>
      <c r="CC166" s="113"/>
      <c r="CE166" s="152">
        <f t="shared" si="196"/>
        <v>0</v>
      </c>
      <c r="CF166" s="152">
        <f t="shared" si="192"/>
        <v>1</v>
      </c>
      <c r="CG166" s="152">
        <f t="shared" si="193"/>
        <v>1</v>
      </c>
      <c r="CH166" s="34"/>
      <c r="CJ166" s="11"/>
      <c r="CK166" s="11"/>
    </row>
    <row r="167" spans="1:89" s="152" customFormat="1" x14ac:dyDescent="0.2">
      <c r="A167" s="125" t="s">
        <v>299</v>
      </c>
      <c r="B167" s="187" t="s">
        <v>297</v>
      </c>
      <c r="C167" s="8">
        <v>0.26</v>
      </c>
      <c r="D167" s="8">
        <v>0</v>
      </c>
      <c r="E167" s="7">
        <v>2.1000000000000001E-2</v>
      </c>
      <c r="F167" s="7">
        <v>0.1065</v>
      </c>
      <c r="G167" s="1">
        <v>1.6500000000000001E-2</v>
      </c>
      <c r="H167" s="1">
        <v>7.5999999999999998E-2</v>
      </c>
      <c r="I167" s="1">
        <v>0.18</v>
      </c>
      <c r="J167" s="1">
        <v>0.04</v>
      </c>
      <c r="K167" s="1">
        <v>0.14000000000000001</v>
      </c>
      <c r="L167" s="1">
        <v>1.4999999999999999E-2</v>
      </c>
      <c r="M167" s="2" t="s">
        <v>175</v>
      </c>
      <c r="N167" s="105">
        <v>62000</v>
      </c>
      <c r="O167" s="119"/>
      <c r="P167" s="119"/>
      <c r="Q167" s="119"/>
      <c r="R167" s="119"/>
      <c r="S167" s="119"/>
      <c r="T167" s="119"/>
      <c r="U167" s="119"/>
      <c r="V167" s="119"/>
      <c r="W167" s="119"/>
      <c r="X167" s="119">
        <f t="shared" si="160"/>
        <v>0</v>
      </c>
      <c r="Y167" s="118" t="e">
        <f t="shared" si="161"/>
        <v>#DIV/0!</v>
      </c>
      <c r="Z167" s="109" t="e">
        <f t="shared" si="162"/>
        <v>#DIV/0!</v>
      </c>
      <c r="AA167" s="109">
        <f>'CALCULO GERAL'!$G$10</f>
        <v>6300</v>
      </c>
      <c r="AB167" s="109" t="e">
        <f t="shared" si="163"/>
        <v>#DIV/0!</v>
      </c>
      <c r="AC167" s="109" t="e">
        <f>AB167*'CALCULO GERAL'!$C$11</f>
        <v>#DIV/0!</v>
      </c>
      <c r="AD167" s="109" t="e">
        <f t="shared" si="164"/>
        <v>#DIV/0!</v>
      </c>
      <c r="AE167" s="109" t="e">
        <f t="shared" si="165"/>
        <v>#DIV/0!</v>
      </c>
      <c r="AF167" s="109" t="e">
        <f t="shared" si="166"/>
        <v>#DIV/0!</v>
      </c>
      <c r="AG167" s="109" t="e">
        <f t="shared" si="167"/>
        <v>#DIV/0!</v>
      </c>
      <c r="AH167" s="109">
        <v>154.22999999999999</v>
      </c>
      <c r="AI167" s="109">
        <f>((AA167*'CALCULO GERAL'!$C$11))*0.08+20</f>
        <v>2549.576</v>
      </c>
      <c r="AJ167" s="109">
        <v>1010</v>
      </c>
      <c r="AK167" s="109">
        <v>2500</v>
      </c>
      <c r="AL167" s="109">
        <f>(AA167*('CALCULO GERAL'!$C$11*1.02))-(AA167*'CALCULO GERAL'!$C$11)</f>
        <v>632.39400000000387</v>
      </c>
      <c r="AM167" s="109">
        <v>1800</v>
      </c>
      <c r="AN167" s="109">
        <v>2600</v>
      </c>
      <c r="AO167" s="109">
        <v>9400</v>
      </c>
      <c r="AP167" s="109">
        <v>1000</v>
      </c>
      <c r="AQ167" s="109">
        <v>0</v>
      </c>
      <c r="AR167" s="109">
        <v>0</v>
      </c>
      <c r="AS167" s="109"/>
      <c r="AT167" s="109" t="e">
        <f t="shared" si="188"/>
        <v>#DIV/0!</v>
      </c>
      <c r="AU167" s="111">
        <f t="shared" si="168"/>
        <v>0</v>
      </c>
      <c r="AV167" s="109">
        <f>IFERROR((BS167*'CALCULO GERAL'!$E$11)/N167,0)</f>
        <v>0</v>
      </c>
      <c r="AW167" s="109">
        <f>AU167/'CALCULO GERAL'!$C$11</f>
        <v>0</v>
      </c>
      <c r="AX167" s="109" t="e">
        <f>BP167-BB167-BD167*'CALCULO GERAL'!$C$11</f>
        <v>#DIV/0!</v>
      </c>
      <c r="AY167" s="109" t="e">
        <f t="shared" si="169"/>
        <v>#DIV/0!</v>
      </c>
      <c r="AZ167" s="109" t="e">
        <f t="shared" si="170"/>
        <v>#DIV/0!</v>
      </c>
      <c r="BA167" s="109" t="e">
        <f t="shared" si="171"/>
        <v>#DIV/0!</v>
      </c>
      <c r="BB167" s="109" t="e">
        <f t="shared" si="172"/>
        <v>#DIV/0!</v>
      </c>
      <c r="BC167" s="109" t="e">
        <f t="shared" si="173"/>
        <v>#DIV/0!</v>
      </c>
      <c r="BD167" s="109" t="e">
        <f t="shared" si="174"/>
        <v>#DIV/0!</v>
      </c>
      <c r="BE167" s="109" t="e">
        <f t="shared" si="175"/>
        <v>#DIV/0!</v>
      </c>
      <c r="BF167" s="109" t="e">
        <f t="shared" si="176"/>
        <v>#DIV/0!</v>
      </c>
      <c r="BG167" s="109" t="e">
        <f t="shared" si="177"/>
        <v>#DIV/0!</v>
      </c>
      <c r="BH167" s="109" t="e">
        <f t="shared" si="178"/>
        <v>#DIV/0!</v>
      </c>
      <c r="BI167" s="109" t="e">
        <f t="shared" si="179"/>
        <v>#DIV/0!</v>
      </c>
      <c r="BJ167" s="109" t="e">
        <f t="shared" si="180"/>
        <v>#DIV/0!</v>
      </c>
      <c r="BK167" s="109" t="e">
        <f t="shared" si="181"/>
        <v>#DIV/0!</v>
      </c>
      <c r="BL167" s="148" t="e">
        <v>#DIV/0!</v>
      </c>
      <c r="BM167" s="112" t="e">
        <f>ROUND((AW167/BL167)+((AW167*BL167)*'CALCULO GERAL'!$E$11)/BL167,2)</f>
        <v>#DIV/0!</v>
      </c>
      <c r="BN167" s="186" t="e">
        <f t="shared" si="189"/>
        <v>#DIV/0!</v>
      </c>
      <c r="BO167" s="186" t="e">
        <f t="shared" si="190"/>
        <v>#DIV/0!</v>
      </c>
      <c r="BP167" s="109" t="e">
        <f>BM167*'CALCULO GERAL'!$C$11</f>
        <v>#DIV/0!</v>
      </c>
      <c r="BQ167" s="109" t="e">
        <f>BO167*'CALCULO GERAL'!$C$11</f>
        <v>#DIV/0!</v>
      </c>
      <c r="BR167" s="186" t="e">
        <f>BN167*'CALCULO GERAL'!$C$11</f>
        <v>#DIV/0!</v>
      </c>
      <c r="BS167" s="109" t="e">
        <f t="shared" si="183"/>
        <v>#DIV/0!</v>
      </c>
      <c r="BT167" s="109" t="e">
        <f t="shared" si="187"/>
        <v>#DIV/0!</v>
      </c>
      <c r="BU167" s="109" t="e">
        <f t="shared" si="184"/>
        <v>#DIV/0!</v>
      </c>
      <c r="BV167" s="109" t="e">
        <f t="shared" si="194"/>
        <v>#DIV/0!</v>
      </c>
      <c r="BW167" s="109" t="e">
        <f t="shared" si="191"/>
        <v>#DIV/0!</v>
      </c>
      <c r="BX167" s="114" t="e">
        <f t="shared" si="185"/>
        <v>#DIV/0!</v>
      </c>
      <c r="BY167" s="152" t="e">
        <f t="shared" si="195"/>
        <v>#DIV/0!</v>
      </c>
      <c r="CA167" s="55"/>
      <c r="CB167" s="113"/>
      <c r="CC167" s="113"/>
      <c r="CE167" s="152" t="e">
        <f t="shared" si="196"/>
        <v>#DIV/0!</v>
      </c>
      <c r="CF167" s="152" t="e">
        <f t="shared" si="192"/>
        <v>#DIV/0!</v>
      </c>
      <c r="CG167" s="152" t="e">
        <f t="shared" si="193"/>
        <v>#DIV/0!</v>
      </c>
      <c r="CH167" s="34"/>
      <c r="CJ167" s="11"/>
      <c r="CK167" s="11"/>
    </row>
    <row r="168" spans="1:89" s="152" customFormat="1" x14ac:dyDescent="0.2">
      <c r="A168" s="125" t="s">
        <v>300</v>
      </c>
      <c r="B168" s="187" t="s">
        <v>297</v>
      </c>
      <c r="C168" s="8">
        <v>0.26</v>
      </c>
      <c r="D168" s="8">
        <v>0</v>
      </c>
      <c r="E168" s="7">
        <v>2.1000000000000001E-2</v>
      </c>
      <c r="F168" s="7">
        <v>0.1065</v>
      </c>
      <c r="G168" s="1">
        <v>1.6500000000000001E-2</v>
      </c>
      <c r="H168" s="1">
        <v>7.5999999999999998E-2</v>
      </c>
      <c r="I168" s="1">
        <v>0.18</v>
      </c>
      <c r="J168" s="1">
        <v>0.04</v>
      </c>
      <c r="K168" s="1">
        <v>0.14000000000000001</v>
      </c>
      <c r="L168" s="1">
        <v>1.4999999999999999E-2</v>
      </c>
      <c r="M168" s="2" t="s">
        <v>175</v>
      </c>
      <c r="N168" s="105">
        <v>62000</v>
      </c>
      <c r="O168" s="119"/>
      <c r="P168" s="119"/>
      <c r="Q168" s="119"/>
      <c r="R168" s="119"/>
      <c r="S168" s="119"/>
      <c r="T168" s="119"/>
      <c r="U168" s="119"/>
      <c r="V168" s="119"/>
      <c r="W168" s="119"/>
      <c r="X168" s="119">
        <f t="shared" si="160"/>
        <v>0</v>
      </c>
      <c r="Y168" s="118" t="e">
        <f t="shared" si="161"/>
        <v>#DIV/0!</v>
      </c>
      <c r="Z168" s="109" t="e">
        <f t="shared" si="162"/>
        <v>#DIV/0!</v>
      </c>
      <c r="AA168" s="109">
        <f>'CALCULO GERAL'!$G$10</f>
        <v>6300</v>
      </c>
      <c r="AB168" s="109" t="e">
        <f t="shared" si="163"/>
        <v>#DIV/0!</v>
      </c>
      <c r="AC168" s="109" t="e">
        <f>AB168*'CALCULO GERAL'!$C$11</f>
        <v>#DIV/0!</v>
      </c>
      <c r="AD168" s="109" t="e">
        <f t="shared" si="164"/>
        <v>#DIV/0!</v>
      </c>
      <c r="AE168" s="109" t="e">
        <f t="shared" si="165"/>
        <v>#DIV/0!</v>
      </c>
      <c r="AF168" s="109" t="e">
        <f t="shared" si="166"/>
        <v>#DIV/0!</v>
      </c>
      <c r="AG168" s="109" t="e">
        <f t="shared" si="167"/>
        <v>#DIV/0!</v>
      </c>
      <c r="AH168" s="109">
        <v>154.22999999999999</v>
      </c>
      <c r="AI168" s="109">
        <f>((AA168*'CALCULO GERAL'!$C$11))*0.08+20</f>
        <v>2549.576</v>
      </c>
      <c r="AJ168" s="109">
        <v>1010</v>
      </c>
      <c r="AK168" s="109">
        <v>2500</v>
      </c>
      <c r="AL168" s="109">
        <f>(AA168*('CALCULO GERAL'!$C$11*1.02))-(AA168*'CALCULO GERAL'!$C$11)</f>
        <v>632.39400000000387</v>
      </c>
      <c r="AM168" s="109">
        <v>1800</v>
      </c>
      <c r="AN168" s="109">
        <v>2600</v>
      </c>
      <c r="AO168" s="109">
        <v>9400</v>
      </c>
      <c r="AP168" s="109">
        <v>1000</v>
      </c>
      <c r="AQ168" s="109">
        <v>0</v>
      </c>
      <c r="AR168" s="109">
        <v>0</v>
      </c>
      <c r="AS168" s="109"/>
      <c r="AT168" s="109" t="e">
        <f t="shared" si="188"/>
        <v>#DIV/0!</v>
      </c>
      <c r="AU168" s="111">
        <f t="shared" si="168"/>
        <v>0</v>
      </c>
      <c r="AV168" s="109">
        <f>IFERROR((BS168*'CALCULO GERAL'!$E$11)/N168,0)</f>
        <v>0</v>
      </c>
      <c r="AW168" s="109">
        <f>AU168/'CALCULO GERAL'!$C$11</f>
        <v>0</v>
      </c>
      <c r="AX168" s="109" t="e">
        <f>BP168-BB168-BD168*'CALCULO GERAL'!$C$11</f>
        <v>#DIV/0!</v>
      </c>
      <c r="AY168" s="109" t="e">
        <f t="shared" si="169"/>
        <v>#DIV/0!</v>
      </c>
      <c r="AZ168" s="109" t="e">
        <f t="shared" si="170"/>
        <v>#DIV/0!</v>
      </c>
      <c r="BA168" s="109" t="e">
        <f t="shared" si="171"/>
        <v>#DIV/0!</v>
      </c>
      <c r="BB168" s="109" t="e">
        <f t="shared" si="172"/>
        <v>#DIV/0!</v>
      </c>
      <c r="BC168" s="109" t="e">
        <f t="shared" si="173"/>
        <v>#DIV/0!</v>
      </c>
      <c r="BD168" s="109" t="e">
        <f t="shared" si="174"/>
        <v>#DIV/0!</v>
      </c>
      <c r="BE168" s="109" t="e">
        <f t="shared" si="175"/>
        <v>#DIV/0!</v>
      </c>
      <c r="BF168" s="109" t="e">
        <f t="shared" si="176"/>
        <v>#DIV/0!</v>
      </c>
      <c r="BG168" s="109" t="e">
        <f t="shared" si="177"/>
        <v>#DIV/0!</v>
      </c>
      <c r="BH168" s="109" t="e">
        <f t="shared" si="178"/>
        <v>#DIV/0!</v>
      </c>
      <c r="BI168" s="109" t="e">
        <f t="shared" si="179"/>
        <v>#DIV/0!</v>
      </c>
      <c r="BJ168" s="109" t="e">
        <f t="shared" si="180"/>
        <v>#DIV/0!</v>
      </c>
      <c r="BK168" s="109" t="e">
        <f t="shared" si="181"/>
        <v>#DIV/0!</v>
      </c>
      <c r="BL168" s="148" t="e">
        <v>#DIV/0!</v>
      </c>
      <c r="BM168" s="112" t="e">
        <f>ROUND((AW168/BL168)+((AW168*BL168)*'CALCULO GERAL'!$E$11)/BL168,2)</f>
        <v>#DIV/0!</v>
      </c>
      <c r="BN168" s="186" t="e">
        <f t="shared" si="189"/>
        <v>#DIV/0!</v>
      </c>
      <c r="BO168" s="186" t="e">
        <f t="shared" si="190"/>
        <v>#DIV/0!</v>
      </c>
      <c r="BP168" s="109" t="e">
        <f>BM168*'CALCULO GERAL'!$C$11</f>
        <v>#DIV/0!</v>
      </c>
      <c r="BQ168" s="109" t="e">
        <f>BO168*'CALCULO GERAL'!$C$11</f>
        <v>#DIV/0!</v>
      </c>
      <c r="BR168" s="186" t="e">
        <f>BN168*'CALCULO GERAL'!$C$11</f>
        <v>#DIV/0!</v>
      </c>
      <c r="BS168" s="109" t="e">
        <f t="shared" si="183"/>
        <v>#DIV/0!</v>
      </c>
      <c r="BT168" s="109" t="e">
        <f t="shared" si="187"/>
        <v>#DIV/0!</v>
      </c>
      <c r="BU168" s="109" t="e">
        <f t="shared" si="184"/>
        <v>#DIV/0!</v>
      </c>
      <c r="BV168" s="109" t="e">
        <f t="shared" si="194"/>
        <v>#DIV/0!</v>
      </c>
      <c r="BW168" s="109" t="e">
        <f t="shared" si="191"/>
        <v>#DIV/0!</v>
      </c>
      <c r="BX168" s="114" t="e">
        <f t="shared" si="185"/>
        <v>#DIV/0!</v>
      </c>
      <c r="BY168" s="152" t="e">
        <f t="shared" si="195"/>
        <v>#DIV/0!</v>
      </c>
      <c r="CA168" s="55"/>
      <c r="CB168" s="113"/>
      <c r="CC168" s="113"/>
      <c r="CE168" s="152" t="e">
        <f t="shared" si="196"/>
        <v>#DIV/0!</v>
      </c>
      <c r="CF168" s="152" t="e">
        <f t="shared" si="192"/>
        <v>#DIV/0!</v>
      </c>
      <c r="CG168" s="152" t="e">
        <f t="shared" si="193"/>
        <v>#DIV/0!</v>
      </c>
      <c r="CH168" s="34"/>
      <c r="CJ168" s="11"/>
      <c r="CK168" s="11"/>
    </row>
    <row r="169" spans="1:89" s="152" customFormat="1" x14ac:dyDescent="0.2">
      <c r="A169" s="125" t="s">
        <v>301</v>
      </c>
      <c r="B169" s="187" t="s">
        <v>302</v>
      </c>
      <c r="C169" s="8">
        <v>0.26</v>
      </c>
      <c r="D169" s="8">
        <v>0</v>
      </c>
      <c r="E169" s="7">
        <v>2.1000000000000001E-2</v>
      </c>
      <c r="F169" s="7">
        <v>0.1065</v>
      </c>
      <c r="G169" s="1">
        <v>1.6500000000000001E-2</v>
      </c>
      <c r="H169" s="1">
        <v>7.5999999999999998E-2</v>
      </c>
      <c r="I169" s="1">
        <v>0.18</v>
      </c>
      <c r="J169" s="1">
        <v>0.04</v>
      </c>
      <c r="K169" s="1">
        <v>0.14000000000000001</v>
      </c>
      <c r="L169" s="1">
        <v>1.4999999999999999E-2</v>
      </c>
      <c r="M169" s="2" t="s">
        <v>175</v>
      </c>
      <c r="N169" s="105">
        <v>17500</v>
      </c>
      <c r="O169" s="119"/>
      <c r="P169" s="119"/>
      <c r="Q169" s="119"/>
      <c r="R169" s="119"/>
      <c r="S169" s="119"/>
      <c r="T169" s="119"/>
      <c r="U169" s="119"/>
      <c r="V169" s="119">
        <v>2.35</v>
      </c>
      <c r="W169" s="119">
        <v>2.25</v>
      </c>
      <c r="X169" s="119">
        <f t="shared" si="160"/>
        <v>2.25</v>
      </c>
      <c r="Y169" s="118">
        <f t="shared" si="161"/>
        <v>2.2999999999999998</v>
      </c>
      <c r="Z169" s="109">
        <f t="shared" si="162"/>
        <v>40250</v>
      </c>
      <c r="AA169" s="109">
        <f>'CALCULO GERAL'!$G$10</f>
        <v>6300</v>
      </c>
      <c r="AB169" s="109">
        <f t="shared" si="163"/>
        <v>46550</v>
      </c>
      <c r="AC169" s="109">
        <f>AB169*'CALCULO GERAL'!$C$11</f>
        <v>233634.45</v>
      </c>
      <c r="AD169" s="109">
        <f t="shared" si="164"/>
        <v>60744.957000000002</v>
      </c>
      <c r="AE169" s="109">
        <f t="shared" si="165"/>
        <v>0</v>
      </c>
      <c r="AF169" s="109">
        <f t="shared" si="166"/>
        <v>4906.3234500000008</v>
      </c>
      <c r="AG169" s="109">
        <f t="shared" si="167"/>
        <v>24882.068925</v>
      </c>
      <c r="AH169" s="109">
        <v>154.22999999999999</v>
      </c>
      <c r="AI169" s="109">
        <f>((AA169*'CALCULO GERAL'!$C$11))*0.08+20</f>
        <v>2549.576</v>
      </c>
      <c r="AJ169" s="109">
        <v>1010</v>
      </c>
      <c r="AK169" s="109">
        <v>2500</v>
      </c>
      <c r="AL169" s="109">
        <f>(AA169*('CALCULO GERAL'!$C$11*1.02))-(AA169*'CALCULO GERAL'!$C$11)</f>
        <v>632.39400000000387</v>
      </c>
      <c r="AM169" s="109">
        <v>1800</v>
      </c>
      <c r="AN169" s="109">
        <v>2600</v>
      </c>
      <c r="AO169" s="109">
        <v>9400</v>
      </c>
      <c r="AP169" s="109">
        <v>1000</v>
      </c>
      <c r="AQ169" s="109">
        <v>0</v>
      </c>
      <c r="AR169" s="109">
        <v>0</v>
      </c>
      <c r="AS169" s="109"/>
      <c r="AT169" s="109">
        <f t="shared" si="188"/>
        <v>345813.99937500007</v>
      </c>
      <c r="AU169" s="111">
        <f t="shared" si="168"/>
        <v>19.76079996428572</v>
      </c>
      <c r="AV169" s="109">
        <f>IFERROR((BS169*'CALCULO GERAL'!$E$11)/N169,0)</f>
        <v>0.47881259999999998</v>
      </c>
      <c r="AW169" s="109">
        <f>AU169/'CALCULO GERAL'!$C$11</f>
        <v>3.93719863803262</v>
      </c>
      <c r="AX169" s="109">
        <f>BP169-BB169-BD169*'CALCULO GERAL'!$C$11</f>
        <v>23.58152055</v>
      </c>
      <c r="AY169" s="109">
        <f t="shared" si="169"/>
        <v>0.38909508907500001</v>
      </c>
      <c r="AZ169" s="109">
        <f t="shared" si="170"/>
        <v>1.7921955618000001</v>
      </c>
      <c r="BA169" s="109">
        <f t="shared" si="171"/>
        <v>23.940629999999999</v>
      </c>
      <c r="BB169" s="109">
        <f t="shared" si="172"/>
        <v>0.35910944999999994</v>
      </c>
      <c r="BC169" s="109">
        <f t="shared" si="173"/>
        <v>23.940629999999999</v>
      </c>
      <c r="BD169" s="109">
        <f t="shared" si="174"/>
        <v>0</v>
      </c>
      <c r="BE169" s="109">
        <f t="shared" si="175"/>
        <v>33516.881999999998</v>
      </c>
      <c r="BF169" s="109">
        <f t="shared" si="176"/>
        <v>50275.322999999997</v>
      </c>
      <c r="BG169" s="109">
        <f t="shared" si="177"/>
        <v>0.25855880399999998</v>
      </c>
      <c r="BH169" s="109">
        <f t="shared" si="178"/>
        <v>0.28728756</v>
      </c>
      <c r="BI169" s="109">
        <f t="shared" si="179"/>
        <v>0</v>
      </c>
      <c r="BJ169" s="109">
        <f t="shared" si="180"/>
        <v>3.5650590648750002</v>
      </c>
      <c r="BK169" s="109">
        <f t="shared" si="181"/>
        <v>23.325859029160721</v>
      </c>
      <c r="BL169" s="148">
        <v>0.84</v>
      </c>
      <c r="BM169" s="112">
        <f>ROUND((AW169/BL169)+((AW169*BL169)*'CALCULO GERAL'!$E$11)/BL169,2)</f>
        <v>4.7699999999999996</v>
      </c>
      <c r="BN169" s="186">
        <f t="shared" si="189"/>
        <v>4.7699999999999996</v>
      </c>
      <c r="BO169" s="186">
        <f t="shared" si="190"/>
        <v>5.5890000000000004</v>
      </c>
      <c r="BP169" s="109">
        <f>BM169*'CALCULO GERAL'!$C$11</f>
        <v>23.940629999999999</v>
      </c>
      <c r="BQ169" s="109">
        <f>BO169*'CALCULO GERAL'!$C$11</f>
        <v>28.051191000000003</v>
      </c>
      <c r="BR169" s="186">
        <f>BN169*'CALCULO GERAL'!$C$11</f>
        <v>23.940629999999999</v>
      </c>
      <c r="BS169" s="109">
        <f t="shared" si="183"/>
        <v>418961.02499999997</v>
      </c>
      <c r="BT169" s="109">
        <f t="shared" si="187"/>
        <v>73147.025624999893</v>
      </c>
      <c r="BU169" s="109">
        <f t="shared" si="184"/>
        <v>418961.02499999997</v>
      </c>
      <c r="BV169" s="109">
        <f t="shared" si="194"/>
        <v>408202.53301031265</v>
      </c>
      <c r="BW169" s="109">
        <f t="shared" si="191"/>
        <v>10758.491989687318</v>
      </c>
      <c r="BX169" s="114">
        <f t="shared" si="185"/>
        <v>2.5678980496305875E-2</v>
      </c>
      <c r="BY169" s="152">
        <f t="shared" si="195"/>
        <v>0.84</v>
      </c>
      <c r="CA169" s="55"/>
      <c r="CB169" s="113"/>
      <c r="CC169" s="113"/>
      <c r="CE169" s="152">
        <f t="shared" si="196"/>
        <v>0</v>
      </c>
      <c r="CF169" s="152">
        <f t="shared" si="192"/>
        <v>1</v>
      </c>
      <c r="CG169" s="152">
        <f t="shared" si="193"/>
        <v>1</v>
      </c>
      <c r="CH169" s="34"/>
      <c r="CJ169" s="11"/>
      <c r="CK169" s="11"/>
    </row>
    <row r="170" spans="1:89" s="152" customFormat="1" x14ac:dyDescent="0.2">
      <c r="A170" s="125" t="s">
        <v>303</v>
      </c>
      <c r="B170" s="187" t="s">
        <v>304</v>
      </c>
      <c r="C170" s="8">
        <v>0.26</v>
      </c>
      <c r="D170" s="8">
        <v>0</v>
      </c>
      <c r="E170" s="7">
        <v>2.1000000000000001E-2</v>
      </c>
      <c r="F170" s="7">
        <v>0.1065</v>
      </c>
      <c r="G170" s="1">
        <v>1.6500000000000001E-2</v>
      </c>
      <c r="H170" s="1">
        <v>7.5999999999999998E-2</v>
      </c>
      <c r="I170" s="1">
        <v>0.18</v>
      </c>
      <c r="J170" s="1">
        <v>0.04</v>
      </c>
      <c r="K170" s="1">
        <v>0.14000000000000001</v>
      </c>
      <c r="L170" s="1">
        <v>1.4999999999999999E-2</v>
      </c>
      <c r="M170" s="2" t="s">
        <v>175</v>
      </c>
      <c r="N170" s="105">
        <v>17500</v>
      </c>
      <c r="O170" s="119"/>
      <c r="P170" s="119"/>
      <c r="Q170" s="119"/>
      <c r="R170" s="119"/>
      <c r="S170" s="119"/>
      <c r="T170" s="119"/>
      <c r="U170" s="119"/>
      <c r="V170" s="119">
        <v>1.65</v>
      </c>
      <c r="W170" s="119">
        <v>1.55</v>
      </c>
      <c r="X170" s="119">
        <f t="shared" si="160"/>
        <v>1.55</v>
      </c>
      <c r="Y170" s="118">
        <f t="shared" si="161"/>
        <v>1.6</v>
      </c>
      <c r="Z170" s="109">
        <f t="shared" si="162"/>
        <v>28000</v>
      </c>
      <c r="AA170" s="109">
        <f>'CALCULO GERAL'!$G$10</f>
        <v>6300</v>
      </c>
      <c r="AB170" s="109">
        <f t="shared" si="163"/>
        <v>34300</v>
      </c>
      <c r="AC170" s="109">
        <f>AB170*'CALCULO GERAL'!$C$11</f>
        <v>172151.7</v>
      </c>
      <c r="AD170" s="109">
        <f t="shared" si="164"/>
        <v>44759.442000000003</v>
      </c>
      <c r="AE170" s="109">
        <f t="shared" si="165"/>
        <v>0</v>
      </c>
      <c r="AF170" s="109">
        <f t="shared" si="166"/>
        <v>3615.1857000000005</v>
      </c>
      <c r="AG170" s="109">
        <f t="shared" si="167"/>
        <v>18334.156050000001</v>
      </c>
      <c r="AH170" s="109">
        <v>154.22999999999999</v>
      </c>
      <c r="AI170" s="109">
        <f>((AA170*'CALCULO GERAL'!$C$11))*0.08+20</f>
        <v>2549.576</v>
      </c>
      <c r="AJ170" s="109">
        <v>1010</v>
      </c>
      <c r="AK170" s="109">
        <v>2500</v>
      </c>
      <c r="AL170" s="109">
        <f>(AA170*('CALCULO GERAL'!$C$11*1.02))-(AA170*'CALCULO GERAL'!$C$11)</f>
        <v>632.39400000000387</v>
      </c>
      <c r="AM170" s="109">
        <v>1800</v>
      </c>
      <c r="AN170" s="109">
        <v>2600</v>
      </c>
      <c r="AO170" s="109">
        <v>9400</v>
      </c>
      <c r="AP170" s="109">
        <v>1000</v>
      </c>
      <c r="AQ170" s="109">
        <v>0</v>
      </c>
      <c r="AR170" s="109">
        <v>0</v>
      </c>
      <c r="AS170" s="109"/>
      <c r="AT170" s="109">
        <f t="shared" si="188"/>
        <v>260506.68375000003</v>
      </c>
      <c r="AU170" s="111">
        <f t="shared" si="168"/>
        <v>14.886096214285716</v>
      </c>
      <c r="AV170" s="109">
        <f>IFERROR((BS170*'CALCULO GERAL'!$E$11)/N170,0)</f>
        <v>0.36939840000000002</v>
      </c>
      <c r="AW170" s="109">
        <f>AU170/'CALCULO GERAL'!$C$11</f>
        <v>2.9659486380326192</v>
      </c>
      <c r="AX170" s="109">
        <f>BP170-BB170-BD170*'CALCULO GERAL'!$C$11</f>
        <v>18.192871200000003</v>
      </c>
      <c r="AY170" s="109">
        <f t="shared" si="169"/>
        <v>0.30018237480000004</v>
      </c>
      <c r="AZ170" s="109">
        <f t="shared" si="170"/>
        <v>1.3826582112000001</v>
      </c>
      <c r="BA170" s="109">
        <f t="shared" si="171"/>
        <v>18.469920000000002</v>
      </c>
      <c r="BB170" s="109">
        <f t="shared" si="172"/>
        <v>0.27704880000000004</v>
      </c>
      <c r="BC170" s="109">
        <f t="shared" si="173"/>
        <v>18.469920000000002</v>
      </c>
      <c r="BD170" s="109">
        <f t="shared" si="174"/>
        <v>0</v>
      </c>
      <c r="BE170" s="109">
        <f t="shared" si="175"/>
        <v>25857.888000000003</v>
      </c>
      <c r="BF170" s="109">
        <f t="shared" si="176"/>
        <v>38786.832000000002</v>
      </c>
      <c r="BG170" s="109">
        <f t="shared" si="177"/>
        <v>0.199475136</v>
      </c>
      <c r="BH170" s="109">
        <f t="shared" si="178"/>
        <v>0.22163904000000001</v>
      </c>
      <c r="BI170" s="109">
        <f t="shared" si="179"/>
        <v>0</v>
      </c>
      <c r="BJ170" s="109">
        <f t="shared" si="180"/>
        <v>2.7504019620000002</v>
      </c>
      <c r="BK170" s="109">
        <f t="shared" si="181"/>
        <v>17.636498176285716</v>
      </c>
      <c r="BL170" s="148">
        <v>0.82</v>
      </c>
      <c r="BM170" s="112">
        <f>ROUND((AW170/BL170)+((AW170*BL170)*'CALCULO GERAL'!$E$11)/BL170,2)</f>
        <v>3.68</v>
      </c>
      <c r="BN170" s="186">
        <f t="shared" si="189"/>
        <v>3.68</v>
      </c>
      <c r="BO170" s="186">
        <f t="shared" si="190"/>
        <v>4.3120000000000003</v>
      </c>
      <c r="BP170" s="109">
        <f>BM170*'CALCULO GERAL'!$C$11</f>
        <v>18.469920000000002</v>
      </c>
      <c r="BQ170" s="109">
        <f>BO170*'CALCULO GERAL'!$C$11</f>
        <v>21.641928000000004</v>
      </c>
      <c r="BR170" s="186">
        <f>BN170*'CALCULO GERAL'!$C$11</f>
        <v>18.469920000000002</v>
      </c>
      <c r="BS170" s="109">
        <f t="shared" si="183"/>
        <v>323223.60000000003</v>
      </c>
      <c r="BT170" s="109">
        <f t="shared" si="187"/>
        <v>62716.916250000009</v>
      </c>
      <c r="BU170" s="109">
        <f t="shared" si="184"/>
        <v>323223.60000000003</v>
      </c>
      <c r="BV170" s="109">
        <f t="shared" si="194"/>
        <v>308638.71808500006</v>
      </c>
      <c r="BW170" s="109">
        <f t="shared" si="191"/>
        <v>14584.881914999976</v>
      </c>
      <c r="BX170" s="114">
        <f t="shared" si="185"/>
        <v>4.5123196186788263E-2</v>
      </c>
      <c r="BY170" s="152">
        <f t="shared" si="195"/>
        <v>0.82</v>
      </c>
      <c r="CA170" s="55"/>
      <c r="CB170" s="113"/>
      <c r="CC170" s="113"/>
      <c r="CE170" s="152">
        <f t="shared" si="196"/>
        <v>0</v>
      </c>
      <c r="CF170" s="152">
        <f t="shared" si="192"/>
        <v>1</v>
      </c>
      <c r="CG170" s="152">
        <f t="shared" si="193"/>
        <v>1</v>
      </c>
      <c r="CH170" s="34"/>
      <c r="CJ170" s="11"/>
      <c r="CK170" s="11"/>
    </row>
    <row r="171" spans="1:89" s="152" customFormat="1" x14ac:dyDescent="0.2">
      <c r="A171" s="125" t="s">
        <v>305</v>
      </c>
      <c r="B171" s="187" t="s">
        <v>302</v>
      </c>
      <c r="C171" s="8">
        <v>0.26</v>
      </c>
      <c r="D171" s="8">
        <v>0</v>
      </c>
      <c r="E171" s="7">
        <v>2.1000000000000001E-2</v>
      </c>
      <c r="F171" s="7">
        <v>0.1065</v>
      </c>
      <c r="G171" s="1">
        <v>1.6500000000000001E-2</v>
      </c>
      <c r="H171" s="1">
        <v>7.5999999999999998E-2</v>
      </c>
      <c r="I171" s="1">
        <v>0.18</v>
      </c>
      <c r="J171" s="1">
        <v>0.04</v>
      </c>
      <c r="K171" s="1">
        <v>0.14000000000000001</v>
      </c>
      <c r="L171" s="1">
        <v>1.4999999999999999E-2</v>
      </c>
      <c r="M171" s="2" t="s">
        <v>175</v>
      </c>
      <c r="N171" s="105">
        <v>17500</v>
      </c>
      <c r="O171" s="119"/>
      <c r="P171" s="119"/>
      <c r="Q171" s="119"/>
      <c r="R171" s="119"/>
      <c r="S171" s="119"/>
      <c r="T171" s="119"/>
      <c r="U171" s="119"/>
      <c r="V171" s="119">
        <v>2.2999999999999998</v>
      </c>
      <c r="W171" s="119">
        <v>2.2200000000000002</v>
      </c>
      <c r="X171" s="119">
        <f t="shared" si="160"/>
        <v>2.2200000000000002</v>
      </c>
      <c r="Y171" s="118">
        <f t="shared" si="161"/>
        <v>2.2599999999999998</v>
      </c>
      <c r="Z171" s="109">
        <f t="shared" si="162"/>
        <v>39549.999999999993</v>
      </c>
      <c r="AA171" s="109">
        <f>'CALCULO GERAL'!$G$10</f>
        <v>6300</v>
      </c>
      <c r="AB171" s="109">
        <f t="shared" si="163"/>
        <v>45849.999999999993</v>
      </c>
      <c r="AC171" s="109">
        <f>AB171*'CALCULO GERAL'!$C$11</f>
        <v>230121.14999999997</v>
      </c>
      <c r="AD171" s="109">
        <f t="shared" si="164"/>
        <v>59831.498999999996</v>
      </c>
      <c r="AE171" s="109">
        <f t="shared" si="165"/>
        <v>0</v>
      </c>
      <c r="AF171" s="109">
        <f t="shared" si="166"/>
        <v>4832.5441499999997</v>
      </c>
      <c r="AG171" s="109">
        <f t="shared" si="167"/>
        <v>24507.902474999995</v>
      </c>
      <c r="AH171" s="109">
        <v>154.22999999999999</v>
      </c>
      <c r="AI171" s="109">
        <f>((AA171*'CALCULO GERAL'!$C$11))*0.08+20</f>
        <v>2549.576</v>
      </c>
      <c r="AJ171" s="109">
        <v>1010</v>
      </c>
      <c r="AK171" s="109">
        <v>2500</v>
      </c>
      <c r="AL171" s="109">
        <f>(AA171*('CALCULO GERAL'!$C$11*1.02))-(AA171*'CALCULO GERAL'!$C$11)</f>
        <v>632.39400000000387</v>
      </c>
      <c r="AM171" s="109">
        <v>1800</v>
      </c>
      <c r="AN171" s="109">
        <v>2600</v>
      </c>
      <c r="AO171" s="109">
        <v>9400</v>
      </c>
      <c r="AP171" s="109">
        <v>1000</v>
      </c>
      <c r="AQ171" s="109">
        <v>0</v>
      </c>
      <c r="AR171" s="109">
        <v>0</v>
      </c>
      <c r="AS171" s="109"/>
      <c r="AT171" s="109">
        <f t="shared" si="188"/>
        <v>340939.29562499997</v>
      </c>
      <c r="AU171" s="111">
        <f t="shared" si="168"/>
        <v>19.482245464285711</v>
      </c>
      <c r="AV171" s="109">
        <f>IFERROR((BS171*'CALCULO GERAL'!$E$11)/N171,0)</f>
        <v>0.47178600000000004</v>
      </c>
      <c r="AW171" s="109">
        <f>AU171/'CALCULO GERAL'!$C$11</f>
        <v>3.8816986380326179</v>
      </c>
      <c r="AX171" s="109">
        <f>BP171-BB171-BD171*'CALCULO GERAL'!$C$11</f>
        <v>23.235460500000002</v>
      </c>
      <c r="AY171" s="109">
        <f t="shared" si="169"/>
        <v>0.38338509825000006</v>
      </c>
      <c r="AZ171" s="109">
        <f t="shared" si="170"/>
        <v>1.765894998</v>
      </c>
      <c r="BA171" s="109">
        <f t="shared" si="171"/>
        <v>23.589300000000001</v>
      </c>
      <c r="BB171" s="109">
        <f t="shared" si="172"/>
        <v>0.35383950000000003</v>
      </c>
      <c r="BC171" s="109">
        <f t="shared" si="173"/>
        <v>23.589300000000001</v>
      </c>
      <c r="BD171" s="109">
        <f t="shared" si="174"/>
        <v>0</v>
      </c>
      <c r="BE171" s="109">
        <f t="shared" si="175"/>
        <v>33025.020000000004</v>
      </c>
      <c r="BF171" s="109">
        <f t="shared" si="176"/>
        <v>49537.53</v>
      </c>
      <c r="BG171" s="109">
        <f t="shared" si="177"/>
        <v>0.25476443999999998</v>
      </c>
      <c r="BH171" s="109">
        <f t="shared" si="178"/>
        <v>0.28307160000000003</v>
      </c>
      <c r="BI171" s="109">
        <f t="shared" si="179"/>
        <v>0</v>
      </c>
      <c r="BJ171" s="109">
        <f t="shared" si="180"/>
        <v>3.5127416362499999</v>
      </c>
      <c r="BK171" s="109">
        <f t="shared" si="181"/>
        <v>22.99498710053571</v>
      </c>
      <c r="BL171" s="148">
        <v>0.84</v>
      </c>
      <c r="BM171" s="112">
        <f>ROUND((AW171/BL171)+((AW171*BL171)*'CALCULO GERAL'!$E$11)/BL171,2)</f>
        <v>4.7</v>
      </c>
      <c r="BN171" s="186">
        <f t="shared" si="189"/>
        <v>4.7</v>
      </c>
      <c r="BO171" s="186">
        <f t="shared" si="190"/>
        <v>5.5069999999999997</v>
      </c>
      <c r="BP171" s="109">
        <f>BM171*'CALCULO GERAL'!$C$11</f>
        <v>23.589300000000001</v>
      </c>
      <c r="BQ171" s="109">
        <f>BO171*'CALCULO GERAL'!$C$11</f>
        <v>27.639633</v>
      </c>
      <c r="BR171" s="186">
        <f>BN171*'CALCULO GERAL'!$C$11</f>
        <v>23.589300000000001</v>
      </c>
      <c r="BS171" s="109">
        <f t="shared" si="183"/>
        <v>412812.75</v>
      </c>
      <c r="BT171" s="109">
        <f t="shared" si="187"/>
        <v>71873.45437500003</v>
      </c>
      <c r="BU171" s="109">
        <f t="shared" si="184"/>
        <v>412812.75</v>
      </c>
      <c r="BV171" s="109">
        <f t="shared" si="194"/>
        <v>402412.27425937494</v>
      </c>
      <c r="BW171" s="109">
        <f t="shared" si="191"/>
        <v>10400.475740625057</v>
      </c>
      <c r="BX171" s="114">
        <f t="shared" si="185"/>
        <v>2.5194172759017395E-2</v>
      </c>
      <c r="BY171" s="152">
        <f t="shared" si="195"/>
        <v>0.84</v>
      </c>
      <c r="CA171" s="55"/>
      <c r="CB171" s="113"/>
      <c r="CC171" s="113"/>
      <c r="CE171" s="152">
        <f t="shared" si="196"/>
        <v>0</v>
      </c>
      <c r="CF171" s="152">
        <f t="shared" si="192"/>
        <v>1</v>
      </c>
      <c r="CG171" s="152">
        <f t="shared" si="193"/>
        <v>1</v>
      </c>
      <c r="CH171" s="34"/>
      <c r="CJ171" s="11"/>
      <c r="CK171" s="11"/>
    </row>
    <row r="172" spans="1:89" s="152" customFormat="1" x14ac:dyDescent="0.2">
      <c r="A172" s="125" t="s">
        <v>306</v>
      </c>
      <c r="B172" s="187" t="s">
        <v>304</v>
      </c>
      <c r="C172" s="8">
        <v>0.26</v>
      </c>
      <c r="D172" s="8">
        <v>0</v>
      </c>
      <c r="E172" s="7">
        <v>2.1000000000000001E-2</v>
      </c>
      <c r="F172" s="7">
        <v>0.1065</v>
      </c>
      <c r="G172" s="1">
        <v>1.6500000000000001E-2</v>
      </c>
      <c r="H172" s="1">
        <v>7.5999999999999998E-2</v>
      </c>
      <c r="I172" s="1">
        <v>0.18</v>
      </c>
      <c r="J172" s="1">
        <v>0.04</v>
      </c>
      <c r="K172" s="1">
        <v>0.14000000000000001</v>
      </c>
      <c r="L172" s="1">
        <v>1.4999999999999999E-2</v>
      </c>
      <c r="M172" s="2" t="s">
        <v>175</v>
      </c>
      <c r="N172" s="105">
        <v>17500</v>
      </c>
      <c r="O172" s="119"/>
      <c r="P172" s="119"/>
      <c r="Q172" s="119"/>
      <c r="R172" s="119"/>
      <c r="S172" s="119"/>
      <c r="T172" s="119"/>
      <c r="U172" s="119"/>
      <c r="V172" s="119">
        <v>1.82</v>
      </c>
      <c r="W172" s="119">
        <v>1.75</v>
      </c>
      <c r="X172" s="119">
        <f t="shared" si="160"/>
        <v>1.75</v>
      </c>
      <c r="Y172" s="118">
        <f t="shared" si="161"/>
        <v>1.7850000000000001</v>
      </c>
      <c r="Z172" s="109">
        <f t="shared" si="162"/>
        <v>31237.500000000004</v>
      </c>
      <c r="AA172" s="109">
        <f>'CALCULO GERAL'!$G$10</f>
        <v>6300</v>
      </c>
      <c r="AB172" s="109">
        <f t="shared" si="163"/>
        <v>37537.5</v>
      </c>
      <c r="AC172" s="109">
        <f>AB172*'CALCULO GERAL'!$C$11</f>
        <v>188400.71249999999</v>
      </c>
      <c r="AD172" s="109">
        <f t="shared" si="164"/>
        <v>48984.185250000002</v>
      </c>
      <c r="AE172" s="109">
        <f t="shared" si="165"/>
        <v>0</v>
      </c>
      <c r="AF172" s="109">
        <f t="shared" si="166"/>
        <v>3956.4149625</v>
      </c>
      <c r="AG172" s="109">
        <f t="shared" si="167"/>
        <v>20064.675881249997</v>
      </c>
      <c r="AH172" s="109">
        <v>154.22999999999999</v>
      </c>
      <c r="AI172" s="109">
        <f>((AA172*'CALCULO GERAL'!$C$11))*0.08+20</f>
        <v>2549.576</v>
      </c>
      <c r="AJ172" s="109">
        <v>1010</v>
      </c>
      <c r="AK172" s="109">
        <v>2500</v>
      </c>
      <c r="AL172" s="109">
        <f>(AA172*('CALCULO GERAL'!$C$11*1.02))-(AA172*'CALCULO GERAL'!$C$11)</f>
        <v>632.39400000000387</v>
      </c>
      <c r="AM172" s="109">
        <v>1800</v>
      </c>
      <c r="AN172" s="109">
        <v>2600</v>
      </c>
      <c r="AO172" s="109">
        <v>9400</v>
      </c>
      <c r="AP172" s="109">
        <v>1000</v>
      </c>
      <c r="AQ172" s="109">
        <v>0</v>
      </c>
      <c r="AR172" s="109">
        <v>0</v>
      </c>
      <c r="AS172" s="109"/>
      <c r="AT172" s="109">
        <f t="shared" si="188"/>
        <v>283052.18859375006</v>
      </c>
      <c r="AU172" s="111">
        <f t="shared" si="168"/>
        <v>16.174410776785717</v>
      </c>
      <c r="AV172" s="109">
        <f>IFERROR((BS172*'CALCULO GERAL'!$E$11)/N172,0)</f>
        <v>0.39850860000000005</v>
      </c>
      <c r="AW172" s="109">
        <f>AU172/'CALCULO GERAL'!$C$11</f>
        <v>3.2226361380326192</v>
      </c>
      <c r="AX172" s="109">
        <f>BP172-BB172-BD172*'CALCULO GERAL'!$C$11</f>
        <v>19.626548550000003</v>
      </c>
      <c r="AY172" s="109">
        <f t="shared" si="169"/>
        <v>0.32383805107500008</v>
      </c>
      <c r="AZ172" s="109">
        <f t="shared" si="170"/>
        <v>1.4916176898000002</v>
      </c>
      <c r="BA172" s="109">
        <f t="shared" si="171"/>
        <v>19.925430000000002</v>
      </c>
      <c r="BB172" s="109">
        <f t="shared" si="172"/>
        <v>0.29888145000000005</v>
      </c>
      <c r="BC172" s="109">
        <f t="shared" si="173"/>
        <v>19.925430000000002</v>
      </c>
      <c r="BD172" s="109">
        <f t="shared" si="174"/>
        <v>0</v>
      </c>
      <c r="BE172" s="109">
        <f t="shared" si="175"/>
        <v>27895.602000000003</v>
      </c>
      <c r="BF172" s="109">
        <f t="shared" si="176"/>
        <v>41843.402999999998</v>
      </c>
      <c r="BG172" s="109">
        <f t="shared" si="177"/>
        <v>0.21519464399999996</v>
      </c>
      <c r="BH172" s="109">
        <f t="shared" si="178"/>
        <v>0.23910515999999998</v>
      </c>
      <c r="BI172" s="109">
        <f t="shared" si="179"/>
        <v>0</v>
      </c>
      <c r="BJ172" s="109">
        <f t="shared" si="180"/>
        <v>2.9671455948749998</v>
      </c>
      <c r="BK172" s="109">
        <f t="shared" si="181"/>
        <v>19.141556371660716</v>
      </c>
      <c r="BL172" s="148">
        <v>0.82499999999999996</v>
      </c>
      <c r="BM172" s="112">
        <f>ROUND((AW172/BL172)+((AW172*BL172)*'CALCULO GERAL'!$E$11)/BL172,2)</f>
        <v>3.97</v>
      </c>
      <c r="BN172" s="186">
        <f t="shared" si="189"/>
        <v>3.97</v>
      </c>
      <c r="BO172" s="186">
        <f t="shared" si="190"/>
        <v>4.6509999999999998</v>
      </c>
      <c r="BP172" s="109">
        <f>BM172*'CALCULO GERAL'!$C$11</f>
        <v>19.925430000000002</v>
      </c>
      <c r="BQ172" s="109">
        <f>BO172*'CALCULO GERAL'!$C$11</f>
        <v>23.343368999999999</v>
      </c>
      <c r="BR172" s="186">
        <f>BN172*'CALCULO GERAL'!$C$11</f>
        <v>19.925430000000002</v>
      </c>
      <c r="BS172" s="109">
        <f t="shared" si="183"/>
        <v>348695.02500000002</v>
      </c>
      <c r="BT172" s="109">
        <f t="shared" si="187"/>
        <v>65642.83640624996</v>
      </c>
      <c r="BU172" s="109">
        <f t="shared" si="184"/>
        <v>348695.02500000002</v>
      </c>
      <c r="BV172" s="109">
        <f t="shared" si="194"/>
        <v>334977.23650406254</v>
      </c>
      <c r="BW172" s="109">
        <f t="shared" si="191"/>
        <v>13717.788495937479</v>
      </c>
      <c r="BX172" s="114">
        <f t="shared" si="185"/>
        <v>3.9340361956519104E-2</v>
      </c>
      <c r="BY172" s="152">
        <f t="shared" si="195"/>
        <v>0.83</v>
      </c>
      <c r="CA172" s="55"/>
      <c r="CB172" s="113"/>
      <c r="CC172" s="113"/>
      <c r="CE172" s="152">
        <f t="shared" si="196"/>
        <v>0</v>
      </c>
      <c r="CF172" s="152">
        <f t="shared" si="192"/>
        <v>1</v>
      </c>
      <c r="CG172" s="152">
        <f t="shared" si="193"/>
        <v>1</v>
      </c>
      <c r="CH172" s="34"/>
      <c r="CJ172" s="11"/>
      <c r="CK172" s="11"/>
    </row>
    <row r="173" spans="1:89" s="152" customFormat="1" x14ac:dyDescent="0.2">
      <c r="A173" s="125" t="s">
        <v>307</v>
      </c>
      <c r="B173" s="187" t="s">
        <v>304</v>
      </c>
      <c r="C173" s="8">
        <v>0.26</v>
      </c>
      <c r="D173" s="8">
        <v>0</v>
      </c>
      <c r="E173" s="7">
        <v>2.1000000000000001E-2</v>
      </c>
      <c r="F173" s="7">
        <v>0.1065</v>
      </c>
      <c r="G173" s="1">
        <v>1.6500000000000001E-2</v>
      </c>
      <c r="H173" s="1">
        <v>7.5999999999999998E-2</v>
      </c>
      <c r="I173" s="1">
        <v>0.18</v>
      </c>
      <c r="J173" s="1">
        <v>0.04</v>
      </c>
      <c r="K173" s="1">
        <v>0.14000000000000001</v>
      </c>
      <c r="L173" s="1">
        <v>1.4999999999999999E-2</v>
      </c>
      <c r="M173" s="2" t="s">
        <v>175</v>
      </c>
      <c r="N173" s="105">
        <v>17000</v>
      </c>
      <c r="O173" s="119"/>
      <c r="P173" s="119"/>
      <c r="Q173" s="119"/>
      <c r="R173" s="119"/>
      <c r="S173" s="119"/>
      <c r="T173" s="119"/>
      <c r="U173" s="119"/>
      <c r="V173" s="119">
        <v>1.82</v>
      </c>
      <c r="W173" s="119">
        <v>1.76</v>
      </c>
      <c r="X173" s="119">
        <f t="shared" si="160"/>
        <v>1.76</v>
      </c>
      <c r="Y173" s="118">
        <f t="shared" si="161"/>
        <v>1.79</v>
      </c>
      <c r="Z173" s="109">
        <f t="shared" si="162"/>
        <v>30430</v>
      </c>
      <c r="AA173" s="109">
        <f>'CALCULO GERAL'!$G$10</f>
        <v>6300</v>
      </c>
      <c r="AB173" s="109">
        <f t="shared" si="163"/>
        <v>36730</v>
      </c>
      <c r="AC173" s="109">
        <f>AB173*'CALCULO GERAL'!$C$11</f>
        <v>184347.87</v>
      </c>
      <c r="AD173" s="109">
        <f t="shared" si="164"/>
        <v>47930.446199999998</v>
      </c>
      <c r="AE173" s="109">
        <f t="shared" si="165"/>
        <v>0</v>
      </c>
      <c r="AF173" s="109">
        <f t="shared" si="166"/>
        <v>3871.3052700000003</v>
      </c>
      <c r="AG173" s="109">
        <f t="shared" si="167"/>
        <v>19633.048155</v>
      </c>
      <c r="AH173" s="109">
        <v>154.22999999999999</v>
      </c>
      <c r="AI173" s="109">
        <f>((AA173*'CALCULO GERAL'!$C$11))*0.08+20</f>
        <v>2549.576</v>
      </c>
      <c r="AJ173" s="109">
        <v>1010</v>
      </c>
      <c r="AK173" s="109">
        <v>2500</v>
      </c>
      <c r="AL173" s="109">
        <f>(AA173*('CALCULO GERAL'!$C$11*1.02))-(AA173*'CALCULO GERAL'!$C$11)</f>
        <v>632.39400000000387</v>
      </c>
      <c r="AM173" s="109">
        <v>1800</v>
      </c>
      <c r="AN173" s="109">
        <v>2600</v>
      </c>
      <c r="AO173" s="109">
        <v>9400</v>
      </c>
      <c r="AP173" s="109">
        <v>1000</v>
      </c>
      <c r="AQ173" s="109">
        <v>0</v>
      </c>
      <c r="AR173" s="109">
        <v>0</v>
      </c>
      <c r="AS173" s="109"/>
      <c r="AT173" s="109">
        <f t="shared" si="188"/>
        <v>277428.86962500005</v>
      </c>
      <c r="AU173" s="111">
        <f t="shared" si="168"/>
        <v>16.319345272058825</v>
      </c>
      <c r="AV173" s="109">
        <f>IFERROR((BS173*'CALCULO GERAL'!$E$11)/N173,0)</f>
        <v>0.40453140000000004</v>
      </c>
      <c r="AW173" s="109">
        <f>AU173/'CALCULO GERAL'!$C$11</f>
        <v>3.251513303857108</v>
      </c>
      <c r="AX173" s="109">
        <f>BP173-BB173-BD173*'CALCULO GERAL'!$C$11</f>
        <v>19.923171450000002</v>
      </c>
      <c r="AY173" s="109">
        <f t="shared" si="169"/>
        <v>0.32873232892500004</v>
      </c>
      <c r="AZ173" s="109">
        <f t="shared" si="170"/>
        <v>1.5141610302000001</v>
      </c>
      <c r="BA173" s="109">
        <f t="shared" si="171"/>
        <v>20.226570000000002</v>
      </c>
      <c r="BB173" s="109">
        <f t="shared" si="172"/>
        <v>0.30339855000000004</v>
      </c>
      <c r="BC173" s="109">
        <f t="shared" si="173"/>
        <v>20.226570000000002</v>
      </c>
      <c r="BD173" s="109">
        <f t="shared" si="174"/>
        <v>0</v>
      </c>
      <c r="BE173" s="109">
        <f t="shared" si="175"/>
        <v>27508.135200000004</v>
      </c>
      <c r="BF173" s="109">
        <f t="shared" si="176"/>
        <v>41262.202800000006</v>
      </c>
      <c r="BG173" s="109">
        <f t="shared" si="177"/>
        <v>0.21844695600000003</v>
      </c>
      <c r="BH173" s="109">
        <f t="shared" si="178"/>
        <v>0.24271884000000002</v>
      </c>
      <c r="BI173" s="109">
        <f t="shared" si="179"/>
        <v>0</v>
      </c>
      <c r="BJ173" s="109">
        <f t="shared" si="180"/>
        <v>3.0119891051250005</v>
      </c>
      <c r="BK173" s="109">
        <f t="shared" si="181"/>
        <v>19.331334377183826</v>
      </c>
      <c r="BL173" s="148">
        <v>0.82</v>
      </c>
      <c r="BM173" s="112">
        <f>ROUND((AW173/BL173)+((AW173*BL173)*'CALCULO GERAL'!$E$11)/BL173,2)</f>
        <v>4.03</v>
      </c>
      <c r="BN173" s="186">
        <f t="shared" si="189"/>
        <v>4.03</v>
      </c>
      <c r="BO173" s="186">
        <f t="shared" si="190"/>
        <v>4.7220000000000004</v>
      </c>
      <c r="BP173" s="109">
        <f>BM173*'CALCULO GERAL'!$C$11</f>
        <v>20.226570000000002</v>
      </c>
      <c r="BQ173" s="109">
        <f>BO173*'CALCULO GERAL'!$C$11</f>
        <v>23.699718000000004</v>
      </c>
      <c r="BR173" s="186">
        <f>BN173*'CALCULO GERAL'!$C$11</f>
        <v>20.226570000000002</v>
      </c>
      <c r="BS173" s="109">
        <f t="shared" si="183"/>
        <v>343851.69000000006</v>
      </c>
      <c r="BT173" s="109">
        <f t="shared" si="187"/>
        <v>66422.82037500001</v>
      </c>
      <c r="BU173" s="109">
        <f t="shared" si="184"/>
        <v>343851.69000000006</v>
      </c>
      <c r="BV173" s="109">
        <f t="shared" si="194"/>
        <v>328632.68441212503</v>
      </c>
      <c r="BW173" s="109">
        <f t="shared" si="191"/>
        <v>15219.005587875028</v>
      </c>
      <c r="BX173" s="114">
        <f t="shared" si="185"/>
        <v>4.426037745481206E-2</v>
      </c>
      <c r="BY173" s="152">
        <f t="shared" si="195"/>
        <v>0.82</v>
      </c>
      <c r="CA173" s="55"/>
      <c r="CB173" s="113"/>
      <c r="CC173" s="113"/>
      <c r="CE173" s="152">
        <f t="shared" si="196"/>
        <v>0</v>
      </c>
      <c r="CF173" s="152">
        <f t="shared" si="192"/>
        <v>1</v>
      </c>
      <c r="CG173" s="152">
        <f t="shared" si="193"/>
        <v>1</v>
      </c>
      <c r="CH173" s="34"/>
      <c r="CJ173" s="11"/>
      <c r="CK173" s="11"/>
    </row>
    <row r="174" spans="1:89" s="152" customFormat="1" x14ac:dyDescent="0.2">
      <c r="A174" s="125" t="s">
        <v>308</v>
      </c>
      <c r="B174" s="366" t="s">
        <v>573</v>
      </c>
      <c r="C174" s="367">
        <v>0.26</v>
      </c>
      <c r="D174" s="367">
        <v>4.0899999999999999E-2</v>
      </c>
      <c r="E174" s="368">
        <v>2.1000000000000001E-2</v>
      </c>
      <c r="F174" s="368">
        <v>0.1045</v>
      </c>
      <c r="G174" s="1">
        <v>1.6500000000000001E-2</v>
      </c>
      <c r="H174" s="1">
        <v>7.5999999999999998E-2</v>
      </c>
      <c r="I174" s="1">
        <v>0.18</v>
      </c>
      <c r="J174" s="1">
        <v>0.04</v>
      </c>
      <c r="K174" s="1">
        <v>0.14000000000000001</v>
      </c>
      <c r="L174" s="1">
        <v>1.4999999999999999E-2</v>
      </c>
      <c r="M174" s="2" t="s">
        <v>175</v>
      </c>
      <c r="N174" s="105">
        <v>29000</v>
      </c>
      <c r="O174" s="119"/>
      <c r="P174" s="119"/>
      <c r="Q174" s="119"/>
      <c r="R174" s="119"/>
      <c r="S174" s="119"/>
      <c r="T174" s="119"/>
      <c r="U174" s="119"/>
      <c r="V174" s="119">
        <v>1.72</v>
      </c>
      <c r="W174" s="119">
        <v>1.55</v>
      </c>
      <c r="X174" s="119">
        <f t="shared" si="160"/>
        <v>1.55</v>
      </c>
      <c r="Y174" s="118">
        <f t="shared" si="161"/>
        <v>1.635</v>
      </c>
      <c r="Z174" s="109">
        <f>Y174*N174</f>
        <v>47415</v>
      </c>
      <c r="AA174" s="109">
        <f>'CALCULO GERAL'!$G$10</f>
        <v>6300</v>
      </c>
      <c r="AB174" s="109">
        <f t="shared" si="163"/>
        <v>53715</v>
      </c>
      <c r="AC174" s="109">
        <f>AB174*'CALCULO GERAL'!$C$11</f>
        <v>269595.58500000002</v>
      </c>
      <c r="AD174" s="109">
        <f t="shared" si="164"/>
        <v>70094.852100000004</v>
      </c>
      <c r="AE174" s="109">
        <f t="shared" si="165"/>
        <v>13893.338877390001</v>
      </c>
      <c r="AF174" s="109">
        <f t="shared" si="166"/>
        <v>5661.5072850000006</v>
      </c>
      <c r="AG174" s="109">
        <f t="shared" si="167"/>
        <v>28172.738632500001</v>
      </c>
      <c r="AH174" s="109">
        <v>154.22999999999999</v>
      </c>
      <c r="AI174" s="109">
        <f>((AA174*'CALCULO GERAL'!$C$11))*0.08+20</f>
        <v>2549.576</v>
      </c>
      <c r="AJ174" s="109">
        <v>1010</v>
      </c>
      <c r="AK174" s="109">
        <v>2500</v>
      </c>
      <c r="AL174" s="109">
        <f>(AA174*('CALCULO GERAL'!$C$11*1.02))-(AA174*'CALCULO GERAL'!$C$11)</f>
        <v>632.39400000000387</v>
      </c>
      <c r="AM174" s="109">
        <v>1800</v>
      </c>
      <c r="AN174" s="109">
        <v>2600</v>
      </c>
      <c r="AO174" s="109">
        <v>9400</v>
      </c>
      <c r="AP174" s="109">
        <v>1000</v>
      </c>
      <c r="AQ174" s="109">
        <v>0</v>
      </c>
      <c r="AR174" s="109">
        <v>0</v>
      </c>
      <c r="AS174" s="109"/>
      <c r="AT174" s="109">
        <f t="shared" si="188"/>
        <v>409064.22189489007</v>
      </c>
      <c r="AU174" s="111">
        <f t="shared" si="168"/>
        <v>14.105662823961726</v>
      </c>
      <c r="AV174" s="109">
        <f>IFERROR((BS174*'CALCULO GERAL'!$E$11)/N174,0)</f>
        <v>0.33727679999999999</v>
      </c>
      <c r="AW174" s="109">
        <f>AU174/'CALCULO GERAL'!$C$11</f>
        <v>2.8104528439852015</v>
      </c>
      <c r="AX174" s="109">
        <f>BP174-BB174-BD174*'CALCULO GERAL'!$C$11</f>
        <v>13.295084336570275</v>
      </c>
      <c r="AY174" s="109">
        <f t="shared" si="169"/>
        <v>0.21936889155340955</v>
      </c>
      <c r="AZ174" s="109">
        <f t="shared" si="170"/>
        <v>1.0104264095793409</v>
      </c>
      <c r="BA174" s="109">
        <f t="shared" si="171"/>
        <v>16.201210490921319</v>
      </c>
      <c r="BB174" s="109">
        <f t="shared" si="172"/>
        <v>0.24301815736381979</v>
      </c>
      <c r="BC174" s="109">
        <f t="shared" si="173"/>
        <v>16.201210490921319</v>
      </c>
      <c r="BD174" s="109">
        <f t="shared" si="174"/>
        <v>0.6626295090786819</v>
      </c>
      <c r="BE174" s="109">
        <f t="shared" si="175"/>
        <v>39124.108800000002</v>
      </c>
      <c r="BF174" s="109">
        <f t="shared" si="176"/>
        <v>58686.163199999995</v>
      </c>
      <c r="BG174" s="109">
        <f t="shared" si="177"/>
        <v>0.18212947199999996</v>
      </c>
      <c r="BH174" s="109">
        <f t="shared" si="178"/>
        <v>0.20236608</v>
      </c>
      <c r="BI174" s="109">
        <f t="shared" si="179"/>
        <v>0</v>
      </c>
      <c r="BJ174" s="109">
        <f t="shared" si="180"/>
        <v>2.8572153195752517</v>
      </c>
      <c r="BK174" s="109">
        <f t="shared" si="181"/>
        <v>16.962878143536976</v>
      </c>
      <c r="BL174" s="148">
        <v>0.85</v>
      </c>
      <c r="BM174" s="112">
        <f>ROUND((AW174/BL174)+((AW174*BL174)*'CALCULO GERAL'!$E$11)/BL174,2)</f>
        <v>3.36</v>
      </c>
      <c r="BN174" s="186">
        <f t="shared" si="189"/>
        <v>3.36</v>
      </c>
      <c r="BO174" s="186">
        <f t="shared" si="190"/>
        <v>3.9369999999999998</v>
      </c>
      <c r="BP174" s="109">
        <f>BM174*'CALCULO GERAL'!$C$11</f>
        <v>16.86384</v>
      </c>
      <c r="BQ174" s="109">
        <f>BO174*'CALCULO GERAL'!$C$11</f>
        <v>19.759802999999998</v>
      </c>
      <c r="BR174" s="186">
        <f>BN174*'CALCULO GERAL'!$C$11</f>
        <v>16.86384</v>
      </c>
      <c r="BS174" s="109">
        <f t="shared" si="183"/>
        <v>489051.36</v>
      </c>
      <c r="BT174" s="109">
        <f t="shared" si="187"/>
        <v>79987.138105109916</v>
      </c>
      <c r="BU174" s="109">
        <f t="shared" si="184"/>
        <v>489051.36</v>
      </c>
      <c r="BV174" s="109">
        <f t="shared" si="194"/>
        <v>491923.46616257232</v>
      </c>
      <c r="BW174" s="109">
        <f t="shared" si="191"/>
        <v>-2872.1061625723378</v>
      </c>
      <c r="BX174" s="114">
        <f t="shared" si="185"/>
        <v>-5.8728109100286271E-3</v>
      </c>
      <c r="BY174" s="152">
        <f t="shared" si="195"/>
        <v>0.85</v>
      </c>
      <c r="CA174" s="55"/>
      <c r="CB174" s="113"/>
      <c r="CC174" s="113"/>
      <c r="CE174" s="152">
        <f t="shared" si="196"/>
        <v>0</v>
      </c>
      <c r="CF174" s="152">
        <f t="shared" si="192"/>
        <v>1</v>
      </c>
      <c r="CG174" s="152">
        <f t="shared" si="193"/>
        <v>1</v>
      </c>
      <c r="CH174" s="34"/>
      <c r="CJ174" s="11"/>
      <c r="CK174" s="11"/>
    </row>
    <row r="175" spans="1:89" s="152" customFormat="1" x14ac:dyDescent="0.2">
      <c r="A175" s="357" t="s">
        <v>572</v>
      </c>
      <c r="B175" s="352" t="s">
        <v>573</v>
      </c>
      <c r="C175" s="356">
        <v>0.26</v>
      </c>
      <c r="D175" s="356">
        <v>4.0899999999999999E-2</v>
      </c>
      <c r="E175" s="353">
        <v>2.1000000000000001E-2</v>
      </c>
      <c r="F175" s="353">
        <v>0.1045</v>
      </c>
      <c r="G175" s="1">
        <v>1.6500000000000001E-2</v>
      </c>
      <c r="H175" s="1">
        <v>7.5999999999999998E-2</v>
      </c>
      <c r="I175" s="1">
        <v>0.18</v>
      </c>
      <c r="J175" s="1">
        <v>0.04</v>
      </c>
      <c r="K175" s="1">
        <v>0.14000000000000001</v>
      </c>
      <c r="L175" s="1">
        <v>1.4999999999999999E-2</v>
      </c>
      <c r="M175" s="2" t="s">
        <v>175</v>
      </c>
      <c r="N175" s="105">
        <v>85000</v>
      </c>
      <c r="O175" s="119"/>
      <c r="P175" s="119"/>
      <c r="Q175" s="119"/>
      <c r="R175" s="119"/>
      <c r="S175" s="119"/>
      <c r="T175" s="119"/>
      <c r="U175" s="119"/>
      <c r="V175" s="119"/>
      <c r="W175" s="119">
        <v>0.94</v>
      </c>
      <c r="X175" s="119">
        <f>MIN(O175:W175)</f>
        <v>0.94</v>
      </c>
      <c r="Y175" s="118">
        <f>AVERAGE(O175:W175)</f>
        <v>0.94</v>
      </c>
      <c r="Z175" s="109">
        <f>Y175*N175</f>
        <v>79900</v>
      </c>
      <c r="AA175" s="109">
        <f>'CALCULO GERAL'!$G$10</f>
        <v>6300</v>
      </c>
      <c r="AB175" s="109">
        <f>Z175+AA175</f>
        <v>86200</v>
      </c>
      <c r="AC175" s="109">
        <f>AB175*'CALCULO GERAL'!$C$11</f>
        <v>432637.8</v>
      </c>
      <c r="AD175" s="109">
        <f>AC175*C175</f>
        <v>112485.82799999999</v>
      </c>
      <c r="AE175" s="109">
        <f>(AC175+AD175)*D175</f>
        <v>22295.556385200001</v>
      </c>
      <c r="AF175" s="109">
        <f>AC175*E175</f>
        <v>9085.3937999999998</v>
      </c>
      <c r="AG175" s="109">
        <f>AC175*F175</f>
        <v>45210.650099999999</v>
      </c>
      <c r="AH175" s="109">
        <v>154.22999999999999</v>
      </c>
      <c r="AI175" s="109">
        <f>((AA175*'CALCULO GERAL'!$C$11))*0.08+20</f>
        <v>2549.576</v>
      </c>
      <c r="AJ175" s="109">
        <v>1010</v>
      </c>
      <c r="AK175" s="109">
        <v>2500</v>
      </c>
      <c r="AL175" s="109">
        <f>(AA175*('CALCULO GERAL'!$C$11*1.02))-(AA175*'CALCULO GERAL'!$C$11)</f>
        <v>632.39400000000387</v>
      </c>
      <c r="AM175" s="109">
        <v>1800</v>
      </c>
      <c r="AN175" s="109">
        <v>2600</v>
      </c>
      <c r="AO175" s="109">
        <v>9400</v>
      </c>
      <c r="AP175" s="109">
        <v>1000</v>
      </c>
      <c r="AQ175" s="109">
        <v>0</v>
      </c>
      <c r="AR175" s="109">
        <v>0</v>
      </c>
      <c r="AS175" s="109"/>
      <c r="AT175" s="109">
        <f>SUM(AC175:AS175)</f>
        <v>643361.42828519992</v>
      </c>
      <c r="AU175" s="111">
        <f>IFERROR((AT175/N175),0)</f>
        <v>7.568957979825881</v>
      </c>
      <c r="AV175" s="109">
        <f>IFERROR((BS175*'CALCULO GERAL'!$E$11)/N175,0)</f>
        <v>0.18068399999999998</v>
      </c>
      <c r="AW175" s="109">
        <f>AU175/'CALCULO GERAL'!$C$11</f>
        <v>1.5080609643008329</v>
      </c>
      <c r="AX175" s="109">
        <f>BP175-BB175-BD175*'CALCULO GERAL'!$C$11</f>
        <v>7.1223666088769333</v>
      </c>
      <c r="AY175" s="109">
        <f>AX175*G175</f>
        <v>0.1175190490464694</v>
      </c>
      <c r="AZ175" s="109">
        <f>AX175*H175</f>
        <v>0.54129986227464688</v>
      </c>
      <c r="BA175" s="109">
        <f>BP175-BD175</f>
        <v>8.6792199058507062</v>
      </c>
      <c r="BB175" s="109">
        <f>BA175*L175</f>
        <v>0.1301882985877606</v>
      </c>
      <c r="BC175" s="109">
        <f>BP175/(1+D175)</f>
        <v>8.6792199058507062</v>
      </c>
      <c r="BD175" s="109">
        <f>BC175*D175</f>
        <v>0.35498009414929388</v>
      </c>
      <c r="BE175" s="109">
        <f>BU175*0.08</f>
        <v>61432.56</v>
      </c>
      <c r="BF175" s="109">
        <f>BU175*0.12</f>
        <v>92148.84</v>
      </c>
      <c r="BG175" s="109">
        <f>(BF175*0.09)/N175</f>
        <v>9.7569359999999994E-2</v>
      </c>
      <c r="BH175" s="109">
        <f>(BE175*0.15)/N175</f>
        <v>0.1084104</v>
      </c>
      <c r="BI175" s="109">
        <f>IF(BE175&gt;=$BY$1,($BY$1-BE175)*0.1,IF(BE175&lt;=$BY$1,($BY$1*0)))/N175</f>
        <v>-1.685376470588235E-3</v>
      </c>
      <c r="BJ175" s="109">
        <f>(AY175+AZ175+BB175+AV175+BD175+BG175+BH175+BI175)</f>
        <v>1.5289656875875823</v>
      </c>
      <c r="BK175" s="109">
        <f>BJ175+AU175</f>
        <v>9.0979236674134629</v>
      </c>
      <c r="BL175" s="148">
        <v>0.85</v>
      </c>
      <c r="BM175" s="112">
        <f>ROUND((AW175/BL175)+((AW175*BL175)*'CALCULO GERAL'!$E$11)/BL175,2)</f>
        <v>1.8</v>
      </c>
      <c r="BN175" s="186">
        <f>BM175</f>
        <v>1.8</v>
      </c>
      <c r="BO175" s="186">
        <f>ROUND(FV(0.02,8,,BN175)*-1,3)</f>
        <v>2.109</v>
      </c>
      <c r="BP175" s="109">
        <f>BM175*'CALCULO GERAL'!$C$11</f>
        <v>9.0342000000000002</v>
      </c>
      <c r="BQ175" s="109">
        <f>BO175*'CALCULO GERAL'!$C$11</f>
        <v>10.585071000000001</v>
      </c>
      <c r="BR175" s="186">
        <f>BN175*'CALCULO GERAL'!$C$11</f>
        <v>9.0342000000000002</v>
      </c>
      <c r="BS175" s="109">
        <f>BP175*N175</f>
        <v>767907</v>
      </c>
      <c r="BT175" s="109">
        <f t="shared" si="187"/>
        <v>124545.57171480008</v>
      </c>
      <c r="BU175" s="109">
        <f>BR175*N175</f>
        <v>767907</v>
      </c>
      <c r="BV175" s="109">
        <f>BK175*N175</f>
        <v>773323.51173014438</v>
      </c>
      <c r="BW175" s="109">
        <f>BS175-BV175</f>
        <v>-5416.5117301443825</v>
      </c>
      <c r="BX175" s="114">
        <f>(((BK175*N175)-BS175)/BS175*-1)</f>
        <v>-7.0536037959601653E-3</v>
      </c>
      <c r="BY175" s="152">
        <f>ROUND(BL175,2)</f>
        <v>0.85</v>
      </c>
      <c r="CA175" s="55"/>
      <c r="CB175" s="113"/>
      <c r="CC175" s="113"/>
      <c r="CE175" s="152">
        <f>CC175/BY175</f>
        <v>0</v>
      </c>
      <c r="CF175" s="152">
        <f>100%-CE175</f>
        <v>1</v>
      </c>
      <c r="CG175" s="152">
        <f>AVERAGE(CF175,CD175)</f>
        <v>1</v>
      </c>
      <c r="CH175" s="34"/>
      <c r="CJ175" s="11"/>
      <c r="CK175" s="11"/>
    </row>
    <row r="176" spans="1:89" s="152" customFormat="1" x14ac:dyDescent="0.2">
      <c r="A176" s="125" t="s">
        <v>309</v>
      </c>
      <c r="B176" s="187" t="s">
        <v>302</v>
      </c>
      <c r="C176" s="8">
        <v>0.26</v>
      </c>
      <c r="D176" s="8">
        <v>0</v>
      </c>
      <c r="E176" s="7">
        <v>2.1000000000000001E-2</v>
      </c>
      <c r="F176" s="7">
        <v>0.1065</v>
      </c>
      <c r="G176" s="1">
        <v>1.6500000000000001E-2</v>
      </c>
      <c r="H176" s="1">
        <v>7.5999999999999998E-2</v>
      </c>
      <c r="I176" s="1">
        <v>0.18</v>
      </c>
      <c r="J176" s="1">
        <v>0.04</v>
      </c>
      <c r="K176" s="1">
        <v>0.14000000000000001</v>
      </c>
      <c r="L176" s="1">
        <v>1.4999999999999999E-2</v>
      </c>
      <c r="M176" s="2" t="s">
        <v>175</v>
      </c>
      <c r="N176" s="105">
        <v>25000</v>
      </c>
      <c r="O176" s="119"/>
      <c r="P176" s="119"/>
      <c r="Q176" s="119"/>
      <c r="R176" s="119"/>
      <c r="S176" s="119"/>
      <c r="T176" s="119"/>
      <c r="U176" s="119">
        <v>2.2000000000000002</v>
      </c>
      <c r="V176" s="119">
        <v>1.88</v>
      </c>
      <c r="W176" s="119">
        <v>2.12</v>
      </c>
      <c r="X176" s="119">
        <f t="shared" si="160"/>
        <v>1.88</v>
      </c>
      <c r="Y176" s="118">
        <f t="shared" si="161"/>
        <v>2.0666666666666669</v>
      </c>
      <c r="Z176" s="109">
        <f>Y176*N176</f>
        <v>51666.666666666672</v>
      </c>
      <c r="AA176" s="109">
        <f>'CALCULO GERAL'!$G$10</f>
        <v>6300</v>
      </c>
      <c r="AB176" s="109">
        <f t="shared" si="163"/>
        <v>57966.666666666672</v>
      </c>
      <c r="AC176" s="109">
        <f>AB176*'CALCULO GERAL'!$C$11</f>
        <v>290934.7</v>
      </c>
      <c r="AD176" s="109">
        <f t="shared" si="164"/>
        <v>75643.022000000012</v>
      </c>
      <c r="AE176" s="109">
        <f t="shared" si="165"/>
        <v>0</v>
      </c>
      <c r="AF176" s="109">
        <f t="shared" si="166"/>
        <v>6109.6287000000002</v>
      </c>
      <c r="AG176" s="109">
        <f t="shared" si="167"/>
        <v>30984.545549999999</v>
      </c>
      <c r="AH176" s="109">
        <v>154.22999999999999</v>
      </c>
      <c r="AI176" s="109">
        <f>((AA176*'CALCULO GERAL'!$C$11))*0.08+20</f>
        <v>2549.576</v>
      </c>
      <c r="AJ176" s="109">
        <v>1010</v>
      </c>
      <c r="AK176" s="109">
        <v>2500</v>
      </c>
      <c r="AL176" s="109">
        <f>(AA176*('CALCULO GERAL'!$C$11*1.02))-(AA176*'CALCULO GERAL'!$C$11)</f>
        <v>632.39400000000387</v>
      </c>
      <c r="AM176" s="109">
        <v>1800</v>
      </c>
      <c r="AN176" s="109">
        <v>2600</v>
      </c>
      <c r="AO176" s="109">
        <v>9400</v>
      </c>
      <c r="AP176" s="109">
        <v>1000</v>
      </c>
      <c r="AQ176" s="109">
        <v>0</v>
      </c>
      <c r="AR176" s="109">
        <v>0</v>
      </c>
      <c r="AS176" s="109"/>
      <c r="AT176" s="109">
        <f t="shared" si="188"/>
        <v>425318.09625</v>
      </c>
      <c r="AU176" s="111">
        <f t="shared" si="168"/>
        <v>17.01272385</v>
      </c>
      <c r="AV176" s="109">
        <f>IFERROR((BS176*'CALCULO GERAL'!$E$11)/N176,0)</f>
        <v>0.40453140000000004</v>
      </c>
      <c r="AW176" s="109">
        <f>AU176/'CALCULO GERAL'!$C$11</f>
        <v>3.3896640466228334</v>
      </c>
      <c r="AX176" s="109">
        <f>BP176-BB176-BD176*'CALCULO GERAL'!$C$11</f>
        <v>19.923171450000002</v>
      </c>
      <c r="AY176" s="109">
        <f t="shared" si="169"/>
        <v>0.32873232892500004</v>
      </c>
      <c r="AZ176" s="109">
        <f t="shared" si="170"/>
        <v>1.5141610302000001</v>
      </c>
      <c r="BA176" s="109">
        <f t="shared" si="171"/>
        <v>20.226570000000002</v>
      </c>
      <c r="BB176" s="109">
        <f t="shared" si="172"/>
        <v>0.30339855000000004</v>
      </c>
      <c r="BC176" s="109">
        <f t="shared" si="173"/>
        <v>20.226570000000002</v>
      </c>
      <c r="BD176" s="109">
        <f t="shared" si="174"/>
        <v>0</v>
      </c>
      <c r="BE176" s="109">
        <f t="shared" si="175"/>
        <v>40453.140000000007</v>
      </c>
      <c r="BF176" s="109">
        <f t="shared" si="176"/>
        <v>60679.710000000006</v>
      </c>
      <c r="BG176" s="109">
        <f t="shared" si="177"/>
        <v>0.21844695600000003</v>
      </c>
      <c r="BH176" s="109">
        <f t="shared" si="178"/>
        <v>0.24271884000000002</v>
      </c>
      <c r="BI176" s="109">
        <f t="shared" si="179"/>
        <v>0</v>
      </c>
      <c r="BJ176" s="109">
        <f t="shared" si="180"/>
        <v>3.0119891051250005</v>
      </c>
      <c r="BK176" s="109">
        <f t="shared" si="181"/>
        <v>20.024712955125</v>
      </c>
      <c r="BL176" s="148">
        <v>0.85499999999999998</v>
      </c>
      <c r="BM176" s="112">
        <f>ROUND((AW176/BL176)+((AW176*BL176)*'CALCULO GERAL'!$E$11)/BL176,2)</f>
        <v>4.03</v>
      </c>
      <c r="BN176" s="186">
        <f t="shared" si="189"/>
        <v>4.03</v>
      </c>
      <c r="BO176" s="186">
        <f t="shared" si="190"/>
        <v>4.7220000000000004</v>
      </c>
      <c r="BP176" s="109">
        <f>BM176*'CALCULO GERAL'!$C$11</f>
        <v>20.226570000000002</v>
      </c>
      <c r="BQ176" s="109">
        <f>BO176*'CALCULO GERAL'!$C$11</f>
        <v>23.699718000000004</v>
      </c>
      <c r="BR176" s="186">
        <f>BN176*'CALCULO GERAL'!$C$11</f>
        <v>20.226570000000002</v>
      </c>
      <c r="BS176" s="109">
        <f t="shared" si="183"/>
        <v>505664.25000000006</v>
      </c>
      <c r="BT176" s="109">
        <f t="shared" si="187"/>
        <v>80346.153750000056</v>
      </c>
      <c r="BU176" s="109">
        <f t="shared" si="184"/>
        <v>505664.25000000006</v>
      </c>
      <c r="BV176" s="109">
        <f t="shared" si="194"/>
        <v>500617.823878125</v>
      </c>
      <c r="BW176" s="109">
        <f t="shared" si="191"/>
        <v>5046.4261218750617</v>
      </c>
      <c r="BX176" s="114">
        <f t="shared" si="185"/>
        <v>9.9797961233665643E-3</v>
      </c>
      <c r="BY176" s="152">
        <f t="shared" si="195"/>
        <v>0.86</v>
      </c>
      <c r="CA176" s="55"/>
      <c r="CB176" s="113"/>
      <c r="CC176" s="113"/>
      <c r="CE176" s="152">
        <f t="shared" si="196"/>
        <v>0</v>
      </c>
      <c r="CF176" s="152">
        <f t="shared" si="192"/>
        <v>1</v>
      </c>
      <c r="CG176" s="152">
        <f t="shared" si="193"/>
        <v>1</v>
      </c>
      <c r="CH176" s="34"/>
      <c r="CJ176" s="11"/>
      <c r="CK176" s="11"/>
    </row>
    <row r="177" spans="1:89" s="152" customFormat="1" x14ac:dyDescent="0.2">
      <c r="A177" s="125" t="s">
        <v>310</v>
      </c>
      <c r="B177" s="187" t="s">
        <v>304</v>
      </c>
      <c r="C177" s="8">
        <v>0.26</v>
      </c>
      <c r="D177" s="8">
        <v>0</v>
      </c>
      <c r="E177" s="7">
        <v>2.1000000000000001E-2</v>
      </c>
      <c r="F177" s="7">
        <v>0.1065</v>
      </c>
      <c r="G177" s="1">
        <v>1.6500000000000001E-2</v>
      </c>
      <c r="H177" s="1">
        <v>7.5999999999999998E-2</v>
      </c>
      <c r="I177" s="1">
        <v>0.18</v>
      </c>
      <c r="J177" s="1">
        <v>0.04</v>
      </c>
      <c r="K177" s="1">
        <v>0.14000000000000001</v>
      </c>
      <c r="L177" s="1">
        <v>1.4999999999999999E-2</v>
      </c>
      <c r="M177" s="2" t="s">
        <v>175</v>
      </c>
      <c r="N177" s="105">
        <v>25000</v>
      </c>
      <c r="O177" s="119"/>
      <c r="P177" s="119"/>
      <c r="Q177" s="119"/>
      <c r="R177" s="119"/>
      <c r="S177" s="119"/>
      <c r="T177" s="119"/>
      <c r="U177" s="119">
        <v>2.5</v>
      </c>
      <c r="V177" s="119">
        <v>2.42</v>
      </c>
      <c r="W177" s="119">
        <v>2.2200000000000002</v>
      </c>
      <c r="X177" s="119">
        <f t="shared" si="160"/>
        <v>2.2200000000000002</v>
      </c>
      <c r="Y177" s="118">
        <f t="shared" si="161"/>
        <v>2.3800000000000003</v>
      </c>
      <c r="Z177" s="109">
        <f t="shared" si="162"/>
        <v>59500.000000000007</v>
      </c>
      <c r="AA177" s="109">
        <f>'CALCULO GERAL'!$G$10</f>
        <v>6300</v>
      </c>
      <c r="AB177" s="109">
        <f t="shared" si="163"/>
        <v>65800</v>
      </c>
      <c r="AC177" s="109">
        <f>AB177*'CALCULO GERAL'!$C$11</f>
        <v>330250.2</v>
      </c>
      <c r="AD177" s="109">
        <f t="shared" si="164"/>
        <v>85865.052000000011</v>
      </c>
      <c r="AE177" s="109">
        <f t="shared" si="165"/>
        <v>0</v>
      </c>
      <c r="AF177" s="109">
        <f t="shared" si="166"/>
        <v>6935.2542000000003</v>
      </c>
      <c r="AG177" s="109">
        <f t="shared" si="167"/>
        <v>35171.6463</v>
      </c>
      <c r="AH177" s="109">
        <v>154.22999999999999</v>
      </c>
      <c r="AI177" s="109">
        <f>((AA177*'CALCULO GERAL'!$C$11))*0.08+20</f>
        <v>2549.576</v>
      </c>
      <c r="AJ177" s="109">
        <v>1010</v>
      </c>
      <c r="AK177" s="109">
        <v>2500</v>
      </c>
      <c r="AL177" s="109">
        <f>(AA177*('CALCULO GERAL'!$C$11*1.02))-(AA177*'CALCULO GERAL'!$C$11)</f>
        <v>632.39400000000387</v>
      </c>
      <c r="AM177" s="109">
        <v>1800</v>
      </c>
      <c r="AN177" s="109">
        <v>2600</v>
      </c>
      <c r="AO177" s="109">
        <v>9400</v>
      </c>
      <c r="AP177" s="109">
        <v>1000</v>
      </c>
      <c r="AQ177" s="109">
        <v>0</v>
      </c>
      <c r="AR177" s="109">
        <v>0</v>
      </c>
      <c r="AS177" s="109"/>
      <c r="AT177" s="109">
        <f t="shared" si="188"/>
        <v>479868.3525000001</v>
      </c>
      <c r="AU177" s="111">
        <f t="shared" si="168"/>
        <v>19.194734100000005</v>
      </c>
      <c r="AV177" s="109">
        <f>IFERROR((BS177*'CALCULO GERAL'!$E$11)/N177,0)</f>
        <v>0.4486986</v>
      </c>
      <c r="AW177" s="109">
        <f>AU177/'CALCULO GERAL'!$C$11</f>
        <v>3.824414046622834</v>
      </c>
      <c r="AX177" s="109">
        <f>BP177-BB177-BD177*'CALCULO GERAL'!$C$11</f>
        <v>22.098406049999998</v>
      </c>
      <c r="AY177" s="109">
        <f t="shared" si="169"/>
        <v>0.36462369982499998</v>
      </c>
      <c r="AZ177" s="109">
        <f t="shared" si="170"/>
        <v>1.6794788597999999</v>
      </c>
      <c r="BA177" s="109">
        <f t="shared" si="171"/>
        <v>22.434929999999998</v>
      </c>
      <c r="BB177" s="109">
        <f t="shared" si="172"/>
        <v>0.33652394999999996</v>
      </c>
      <c r="BC177" s="109">
        <f t="shared" si="173"/>
        <v>22.434929999999998</v>
      </c>
      <c r="BD177" s="109">
        <f t="shared" si="174"/>
        <v>0</v>
      </c>
      <c r="BE177" s="109">
        <f t="shared" si="175"/>
        <v>44869.86</v>
      </c>
      <c r="BF177" s="109">
        <f t="shared" si="176"/>
        <v>67304.789999999994</v>
      </c>
      <c r="BG177" s="109">
        <f t="shared" si="177"/>
        <v>0.24229724399999997</v>
      </c>
      <c r="BH177" s="109">
        <f t="shared" si="178"/>
        <v>0.26921916000000001</v>
      </c>
      <c r="BI177" s="109">
        <f t="shared" si="179"/>
        <v>0</v>
      </c>
      <c r="BJ177" s="109">
        <f t="shared" si="180"/>
        <v>3.340841513625</v>
      </c>
      <c r="BK177" s="109">
        <f t="shared" si="181"/>
        <v>22.535575613625006</v>
      </c>
      <c r="BL177" s="148">
        <v>0.87</v>
      </c>
      <c r="BM177" s="112">
        <f>ROUND((AW177/BL177)+((AW177*BL177)*'CALCULO GERAL'!$E$11)/BL177,2)</f>
        <v>4.47</v>
      </c>
      <c r="BN177" s="186">
        <f t="shared" si="189"/>
        <v>4.47</v>
      </c>
      <c r="BO177" s="186">
        <f t="shared" si="190"/>
        <v>5.2370000000000001</v>
      </c>
      <c r="BP177" s="109">
        <f>BM177*'CALCULO GERAL'!$C$11</f>
        <v>22.434929999999998</v>
      </c>
      <c r="BQ177" s="109">
        <f>BO177*'CALCULO GERAL'!$C$11</f>
        <v>26.284503000000001</v>
      </c>
      <c r="BR177" s="186">
        <f>BN177*'CALCULO GERAL'!$C$11</f>
        <v>22.434929999999998</v>
      </c>
      <c r="BS177" s="109">
        <f t="shared" si="183"/>
        <v>560873.25</v>
      </c>
      <c r="BT177" s="109">
        <f t="shared" si="187"/>
        <v>81004.897499999905</v>
      </c>
      <c r="BU177" s="109">
        <f t="shared" si="184"/>
        <v>560873.25</v>
      </c>
      <c r="BV177" s="109">
        <f t="shared" si="194"/>
        <v>563389.39034062519</v>
      </c>
      <c r="BW177" s="109">
        <f t="shared" si="191"/>
        <v>-2516.140340625192</v>
      </c>
      <c r="BX177" s="114">
        <f t="shared" si="185"/>
        <v>-4.4861122198735486E-3</v>
      </c>
      <c r="BY177" s="152">
        <f t="shared" si="195"/>
        <v>0.87</v>
      </c>
      <c r="CA177" s="55"/>
      <c r="CB177" s="113"/>
      <c r="CC177" s="113"/>
      <c r="CE177" s="152">
        <f t="shared" si="196"/>
        <v>0</v>
      </c>
      <c r="CF177" s="152">
        <f t="shared" si="192"/>
        <v>1</v>
      </c>
      <c r="CG177" s="152">
        <f t="shared" si="193"/>
        <v>1</v>
      </c>
      <c r="CH177" s="34"/>
      <c r="CJ177" s="11"/>
      <c r="CK177" s="11"/>
    </row>
    <row r="178" spans="1:89" s="152" customFormat="1" x14ac:dyDescent="0.2">
      <c r="A178" s="125" t="s">
        <v>311</v>
      </c>
      <c r="B178" s="187" t="s">
        <v>297</v>
      </c>
      <c r="C178" s="8">
        <v>0.26</v>
      </c>
      <c r="D178" s="8">
        <v>0</v>
      </c>
      <c r="E178" s="7">
        <v>2.1000000000000001E-2</v>
      </c>
      <c r="F178" s="7">
        <v>0.1065</v>
      </c>
      <c r="G178" s="1">
        <v>1.6500000000000001E-2</v>
      </c>
      <c r="H178" s="1">
        <v>7.5999999999999998E-2</v>
      </c>
      <c r="I178" s="1">
        <v>0.18</v>
      </c>
      <c r="J178" s="1">
        <v>0.04</v>
      </c>
      <c r="K178" s="1">
        <v>0.14000000000000001</v>
      </c>
      <c r="L178" s="1">
        <v>1.4999999999999999E-2</v>
      </c>
      <c r="M178" s="2" t="s">
        <v>175</v>
      </c>
      <c r="N178" s="105">
        <v>15000</v>
      </c>
      <c r="O178" s="119"/>
      <c r="P178" s="119"/>
      <c r="Q178" s="119"/>
      <c r="R178" s="119"/>
      <c r="S178" s="119"/>
      <c r="T178" s="119"/>
      <c r="U178" s="119">
        <v>2.7</v>
      </c>
      <c r="V178" s="119"/>
      <c r="W178" s="119"/>
      <c r="X178" s="119">
        <f t="shared" si="160"/>
        <v>2.7</v>
      </c>
      <c r="Y178" s="118">
        <f t="shared" si="161"/>
        <v>2.7</v>
      </c>
      <c r="Z178" s="109">
        <f t="shared" si="162"/>
        <v>40500</v>
      </c>
      <c r="AA178" s="109">
        <f>'CALCULO GERAL'!$G$10</f>
        <v>6300</v>
      </c>
      <c r="AB178" s="109">
        <f t="shared" si="163"/>
        <v>46800</v>
      </c>
      <c r="AC178" s="109">
        <f>AB178*'CALCULO GERAL'!$C$11</f>
        <v>234889.2</v>
      </c>
      <c r="AD178" s="109">
        <f t="shared" si="164"/>
        <v>61071.192000000003</v>
      </c>
      <c r="AE178" s="109">
        <f t="shared" si="165"/>
        <v>0</v>
      </c>
      <c r="AF178" s="109">
        <f t="shared" si="166"/>
        <v>4932.6732000000002</v>
      </c>
      <c r="AG178" s="109">
        <f t="shared" si="167"/>
        <v>25015.699800000002</v>
      </c>
      <c r="AH178" s="109">
        <v>154.22999999999999</v>
      </c>
      <c r="AI178" s="109">
        <f>((AA178*'CALCULO GERAL'!$C$11))*0.08+20</f>
        <v>2549.576</v>
      </c>
      <c r="AJ178" s="109">
        <v>1010</v>
      </c>
      <c r="AK178" s="109">
        <v>2500</v>
      </c>
      <c r="AL178" s="109">
        <f>(AA178*('CALCULO GERAL'!$C$11*1.02))-(AA178*'CALCULO GERAL'!$C$11)</f>
        <v>632.39400000000387</v>
      </c>
      <c r="AM178" s="109">
        <v>1800</v>
      </c>
      <c r="AN178" s="109">
        <v>2600</v>
      </c>
      <c r="AO178" s="109">
        <v>9400</v>
      </c>
      <c r="AP178" s="109">
        <v>1000</v>
      </c>
      <c r="AQ178" s="109">
        <v>0</v>
      </c>
      <c r="AR178" s="109">
        <v>0</v>
      </c>
      <c r="AS178" s="109"/>
      <c r="AT178" s="109">
        <f t="shared" si="188"/>
        <v>347554.96500000003</v>
      </c>
      <c r="AU178" s="111">
        <f t="shared" si="168"/>
        <v>23.170331000000001</v>
      </c>
      <c r="AV178" s="109">
        <f>IFERROR((BS178*'CALCULO GERAL'!$E$11)/N178,0)</f>
        <v>0.54205200000000009</v>
      </c>
      <c r="AW178" s="109">
        <f>AU178/'CALCULO GERAL'!$C$11</f>
        <v>4.6165234110380551</v>
      </c>
      <c r="AX178" s="109">
        <f>BP178-BB178-BD178*'CALCULO GERAL'!$C$11</f>
        <v>26.696061000000004</v>
      </c>
      <c r="AY178" s="109">
        <f t="shared" si="169"/>
        <v>0.44048500650000011</v>
      </c>
      <c r="AZ178" s="109">
        <f t="shared" si="170"/>
        <v>2.0289006360000004</v>
      </c>
      <c r="BA178" s="109">
        <f t="shared" si="171"/>
        <v>27.102600000000002</v>
      </c>
      <c r="BB178" s="109">
        <f t="shared" si="172"/>
        <v>0.40653900000000004</v>
      </c>
      <c r="BC178" s="109">
        <f t="shared" si="173"/>
        <v>27.102600000000002</v>
      </c>
      <c r="BD178" s="109">
        <f t="shared" si="174"/>
        <v>0</v>
      </c>
      <c r="BE178" s="109">
        <f t="shared" si="175"/>
        <v>32523.120000000006</v>
      </c>
      <c r="BF178" s="109">
        <f t="shared" si="176"/>
        <v>48784.680000000008</v>
      </c>
      <c r="BG178" s="109">
        <f t="shared" si="177"/>
        <v>0.29270808000000004</v>
      </c>
      <c r="BH178" s="109">
        <f t="shared" si="178"/>
        <v>0.32523120000000005</v>
      </c>
      <c r="BI178" s="109">
        <f t="shared" si="179"/>
        <v>0</v>
      </c>
      <c r="BJ178" s="109">
        <f t="shared" si="180"/>
        <v>4.035915922500001</v>
      </c>
      <c r="BK178" s="109">
        <f t="shared" si="181"/>
        <v>27.2062469225</v>
      </c>
      <c r="BL178" s="148">
        <v>0.87</v>
      </c>
      <c r="BM178" s="112">
        <f>ROUND((AW178/BL178)+((AW178*BL178)*'CALCULO GERAL'!$E$11)/BL178,2)</f>
        <v>5.4</v>
      </c>
      <c r="BN178" s="186">
        <f t="shared" si="189"/>
        <v>5.4</v>
      </c>
      <c r="BO178" s="186">
        <f t="shared" si="190"/>
        <v>6.327</v>
      </c>
      <c r="BP178" s="109">
        <f>BM178*'CALCULO GERAL'!$C$11</f>
        <v>27.102600000000002</v>
      </c>
      <c r="BQ178" s="109">
        <f>BO178*'CALCULO GERAL'!$C$11</f>
        <v>31.755213000000001</v>
      </c>
      <c r="BR178" s="186">
        <f>BN178*'CALCULO GERAL'!$C$11</f>
        <v>27.102600000000002</v>
      </c>
      <c r="BS178" s="109">
        <f t="shared" si="183"/>
        <v>406539.00000000006</v>
      </c>
      <c r="BT178" s="109">
        <f t="shared" si="187"/>
        <v>58984.035000000033</v>
      </c>
      <c r="BU178" s="109">
        <f t="shared" si="184"/>
        <v>406539.00000000006</v>
      </c>
      <c r="BV178" s="109">
        <f t="shared" si="194"/>
        <v>408093.70383750001</v>
      </c>
      <c r="BW178" s="109">
        <f t="shared" si="191"/>
        <v>-1554.7038374999538</v>
      </c>
      <c r="BX178" s="114">
        <f t="shared" si="185"/>
        <v>-3.8242427848249579E-3</v>
      </c>
      <c r="BY178" s="152">
        <f t="shared" si="195"/>
        <v>0.87</v>
      </c>
      <c r="CA178" s="55"/>
      <c r="CB178" s="113"/>
      <c r="CC178" s="113"/>
      <c r="CE178" s="152">
        <f t="shared" si="196"/>
        <v>0</v>
      </c>
      <c r="CF178" s="152">
        <f t="shared" si="192"/>
        <v>1</v>
      </c>
      <c r="CG178" s="152">
        <f t="shared" si="193"/>
        <v>1</v>
      </c>
      <c r="CH178" s="34"/>
      <c r="CJ178" s="11"/>
      <c r="CK178" s="11"/>
    </row>
    <row r="179" spans="1:89" s="152" customFormat="1" x14ac:dyDescent="0.2">
      <c r="A179" s="269" t="s">
        <v>312</v>
      </c>
      <c r="B179" s="187" t="s">
        <v>297</v>
      </c>
      <c r="C179" s="8">
        <v>0.26</v>
      </c>
      <c r="D179" s="8">
        <v>0</v>
      </c>
      <c r="E179" s="7">
        <v>2.1000000000000001E-2</v>
      </c>
      <c r="F179" s="7">
        <v>0.1065</v>
      </c>
      <c r="G179" s="1">
        <v>1.6500000000000001E-2</v>
      </c>
      <c r="H179" s="1">
        <v>7.5999999999999998E-2</v>
      </c>
      <c r="I179" s="1">
        <v>0.18</v>
      </c>
      <c r="J179" s="1">
        <v>0.04</v>
      </c>
      <c r="K179" s="1">
        <v>0.14000000000000001</v>
      </c>
      <c r="L179" s="1">
        <v>1.4999999999999999E-2</v>
      </c>
      <c r="M179" s="2" t="s">
        <v>175</v>
      </c>
      <c r="N179" s="105">
        <v>80000</v>
      </c>
      <c r="O179" s="119"/>
      <c r="P179" s="119"/>
      <c r="Q179" s="119"/>
      <c r="R179" s="119"/>
      <c r="S179" s="119"/>
      <c r="T179" s="119">
        <v>2.0699999999999998</v>
      </c>
      <c r="U179" s="119"/>
      <c r="V179" s="119"/>
      <c r="W179" s="119"/>
      <c r="X179" s="119">
        <f t="shared" si="160"/>
        <v>2.0699999999999998</v>
      </c>
      <c r="Y179" s="118">
        <f t="shared" si="161"/>
        <v>2.0699999999999998</v>
      </c>
      <c r="Z179" s="109">
        <f t="shared" si="162"/>
        <v>165600</v>
      </c>
      <c r="AA179" s="109">
        <f>'CALCULO GERAL'!$G$10</f>
        <v>6300</v>
      </c>
      <c r="AB179" s="109">
        <f t="shared" si="163"/>
        <v>171900</v>
      </c>
      <c r="AC179" s="109">
        <f>AB179*'CALCULO GERAL'!$C$11</f>
        <v>862766.1</v>
      </c>
      <c r="AD179" s="109">
        <f t="shared" si="164"/>
        <v>224319.18600000002</v>
      </c>
      <c r="AE179" s="109">
        <f t="shared" si="165"/>
        <v>0</v>
      </c>
      <c r="AF179" s="109">
        <f t="shared" si="166"/>
        <v>18118.088100000001</v>
      </c>
      <c r="AG179" s="109">
        <f t="shared" si="167"/>
        <v>91884.589649999994</v>
      </c>
      <c r="AH179" s="109">
        <v>154.22999999999999</v>
      </c>
      <c r="AI179" s="109">
        <f>((AA179*'CALCULO GERAL'!$C$11))*0.08+20</f>
        <v>2549.576</v>
      </c>
      <c r="AJ179" s="109">
        <v>1010</v>
      </c>
      <c r="AK179" s="109">
        <v>2500</v>
      </c>
      <c r="AL179" s="109">
        <f>(AA179*('CALCULO GERAL'!$C$11*1.02))-(AA179*'CALCULO GERAL'!$C$11)</f>
        <v>632.39400000000387</v>
      </c>
      <c r="AM179" s="109">
        <v>1800</v>
      </c>
      <c r="AN179" s="109">
        <v>2600</v>
      </c>
      <c r="AO179" s="109">
        <v>9400</v>
      </c>
      <c r="AP179" s="109">
        <v>1000</v>
      </c>
      <c r="AQ179" s="109">
        <v>0</v>
      </c>
      <c r="AR179" s="109">
        <v>0</v>
      </c>
      <c r="AS179" s="109"/>
      <c r="AT179" s="109">
        <f t="shared" si="188"/>
        <v>1218734.1637500001</v>
      </c>
      <c r="AU179" s="111">
        <f t="shared" si="168"/>
        <v>15.234177046875001</v>
      </c>
      <c r="AV179" s="109">
        <f>IFERROR((BS179*'CALCULO GERAL'!$E$11)/N179,0)</f>
        <v>0.36437939999999996</v>
      </c>
      <c r="AW179" s="109">
        <f>AU179/'CALCULO GERAL'!$C$11</f>
        <v>3.0353012645696356</v>
      </c>
      <c r="AX179" s="109">
        <f>BP179-BB179-BD179*'CALCULO GERAL'!$C$11</f>
        <v>17.945685449999999</v>
      </c>
      <c r="AY179" s="109">
        <f t="shared" si="169"/>
        <v>0.29610380992500002</v>
      </c>
      <c r="AZ179" s="109">
        <f t="shared" si="170"/>
        <v>1.3638720942</v>
      </c>
      <c r="BA179" s="109">
        <f t="shared" si="171"/>
        <v>18.218969999999999</v>
      </c>
      <c r="BB179" s="109">
        <f t="shared" si="172"/>
        <v>0.27328454999999996</v>
      </c>
      <c r="BC179" s="109">
        <f t="shared" si="173"/>
        <v>18.218969999999999</v>
      </c>
      <c r="BD179" s="109">
        <f t="shared" si="174"/>
        <v>0</v>
      </c>
      <c r="BE179" s="109">
        <f t="shared" si="175"/>
        <v>116601.408</v>
      </c>
      <c r="BF179" s="109">
        <f t="shared" si="176"/>
        <v>174902.11199999996</v>
      </c>
      <c r="BG179" s="109">
        <f t="shared" si="177"/>
        <v>0.19676487599999995</v>
      </c>
      <c r="BH179" s="109">
        <f t="shared" si="178"/>
        <v>0.21862763999999998</v>
      </c>
      <c r="BI179" s="109">
        <f t="shared" si="179"/>
        <v>-7.0751772500000004E-2</v>
      </c>
      <c r="BJ179" s="109">
        <f t="shared" si="180"/>
        <v>2.6422805976249997</v>
      </c>
      <c r="BK179" s="109">
        <f t="shared" si="181"/>
        <v>17.8764576445</v>
      </c>
      <c r="BL179" s="148">
        <v>0.85</v>
      </c>
      <c r="BM179" s="112">
        <f>ROUND((AW179/BL179)+((AW179*BL179)*'CALCULO GERAL'!$E$11)/BL179,2)</f>
        <v>3.63</v>
      </c>
      <c r="BN179" s="186">
        <f t="shared" si="189"/>
        <v>3.63</v>
      </c>
      <c r="BO179" s="186">
        <f t="shared" si="190"/>
        <v>4.2530000000000001</v>
      </c>
      <c r="BP179" s="109">
        <f>BM179*'CALCULO GERAL'!$C$11</f>
        <v>18.218969999999999</v>
      </c>
      <c r="BQ179" s="109">
        <f>BO179*'CALCULO GERAL'!$C$11</f>
        <v>21.345807000000001</v>
      </c>
      <c r="BR179" s="186">
        <f>BN179*'CALCULO GERAL'!$C$11</f>
        <v>18.218969999999999</v>
      </c>
      <c r="BS179" s="109">
        <f t="shared" si="183"/>
        <v>1457517.5999999999</v>
      </c>
      <c r="BT179" s="109">
        <f t="shared" si="187"/>
        <v>238783.4362499998</v>
      </c>
      <c r="BU179" s="109">
        <f t="shared" si="184"/>
        <v>1457517.5999999999</v>
      </c>
      <c r="BV179" s="109">
        <f t="shared" si="194"/>
        <v>1430116.6115600001</v>
      </c>
      <c r="BW179" s="109">
        <f t="shared" si="191"/>
        <v>27400.988439999754</v>
      </c>
      <c r="BX179" s="114">
        <f t="shared" si="185"/>
        <v>1.8799765052579645E-2</v>
      </c>
      <c r="BY179" s="152">
        <f t="shared" si="195"/>
        <v>0.85</v>
      </c>
      <c r="CA179" s="55"/>
      <c r="CB179" s="113"/>
      <c r="CC179" s="113"/>
      <c r="CE179" s="152">
        <f t="shared" si="196"/>
        <v>0</v>
      </c>
      <c r="CF179" s="152">
        <f t="shared" si="192"/>
        <v>1</v>
      </c>
      <c r="CG179" s="152">
        <f t="shared" si="193"/>
        <v>1</v>
      </c>
      <c r="CH179" s="34"/>
      <c r="CJ179" s="11"/>
      <c r="CK179" s="11"/>
    </row>
    <row r="180" spans="1:89" s="152" customFormat="1" x14ac:dyDescent="0.2">
      <c r="A180" s="269" t="s">
        <v>313</v>
      </c>
      <c r="B180" s="187" t="s">
        <v>297</v>
      </c>
      <c r="C180" s="8">
        <v>0.26</v>
      </c>
      <c r="D180" s="8">
        <v>0</v>
      </c>
      <c r="E180" s="7">
        <v>2.1000000000000001E-2</v>
      </c>
      <c r="F180" s="7">
        <v>0.1065</v>
      </c>
      <c r="G180" s="1">
        <v>1.6500000000000001E-2</v>
      </c>
      <c r="H180" s="1">
        <v>7.5999999999999998E-2</v>
      </c>
      <c r="I180" s="1">
        <v>0.18</v>
      </c>
      <c r="J180" s="1">
        <v>0.04</v>
      </c>
      <c r="K180" s="1">
        <v>0.14000000000000001</v>
      </c>
      <c r="L180" s="1">
        <v>1.4999999999999999E-2</v>
      </c>
      <c r="M180" s="2" t="s">
        <v>175</v>
      </c>
      <c r="N180" s="105">
        <v>60000</v>
      </c>
      <c r="O180" s="119"/>
      <c r="P180" s="119"/>
      <c r="Q180" s="119"/>
      <c r="R180" s="119"/>
      <c r="S180" s="119"/>
      <c r="T180" s="119">
        <v>2.2000000000000002</v>
      </c>
      <c r="U180" s="119"/>
      <c r="V180" s="119"/>
      <c r="W180" s="119"/>
      <c r="X180" s="119">
        <f t="shared" si="160"/>
        <v>2.2000000000000002</v>
      </c>
      <c r="Y180" s="118">
        <f t="shared" si="161"/>
        <v>2.2000000000000002</v>
      </c>
      <c r="Z180" s="109">
        <f t="shared" si="162"/>
        <v>132000</v>
      </c>
      <c r="AA180" s="109">
        <f>'CALCULO GERAL'!$G$10</f>
        <v>6300</v>
      </c>
      <c r="AB180" s="109">
        <f t="shared" si="163"/>
        <v>138300</v>
      </c>
      <c r="AC180" s="109">
        <f>AB180*'CALCULO GERAL'!$C$11</f>
        <v>694127.70000000007</v>
      </c>
      <c r="AD180" s="109">
        <f t="shared" si="164"/>
        <v>180473.20200000002</v>
      </c>
      <c r="AE180" s="109">
        <f t="shared" si="165"/>
        <v>0</v>
      </c>
      <c r="AF180" s="109">
        <f t="shared" si="166"/>
        <v>14576.681700000003</v>
      </c>
      <c r="AG180" s="109">
        <f t="shared" si="167"/>
        <v>73924.600050000008</v>
      </c>
      <c r="AH180" s="109">
        <v>154.22999999999999</v>
      </c>
      <c r="AI180" s="109">
        <f>((AA180*'CALCULO GERAL'!$C$11))*0.08+20</f>
        <v>2549.576</v>
      </c>
      <c r="AJ180" s="109">
        <v>1010</v>
      </c>
      <c r="AK180" s="109">
        <v>2500</v>
      </c>
      <c r="AL180" s="109">
        <f>(AA180*('CALCULO GERAL'!$C$11*1.02))-(AA180*'CALCULO GERAL'!$C$11)</f>
        <v>632.39400000000387</v>
      </c>
      <c r="AM180" s="109">
        <v>1800</v>
      </c>
      <c r="AN180" s="109">
        <v>2600</v>
      </c>
      <c r="AO180" s="109">
        <v>9400</v>
      </c>
      <c r="AP180" s="109">
        <v>1000</v>
      </c>
      <c r="AQ180" s="109">
        <v>0</v>
      </c>
      <c r="AR180" s="109">
        <v>0</v>
      </c>
      <c r="AS180" s="109"/>
      <c r="AT180" s="109">
        <f t="shared" si="188"/>
        <v>984748.38375000004</v>
      </c>
      <c r="AU180" s="111">
        <f t="shared" si="168"/>
        <v>16.412473062500002</v>
      </c>
      <c r="AV180" s="109">
        <f>IFERROR((BS180*'CALCULO GERAL'!$E$11)/N180,0)</f>
        <v>0.40252380000000004</v>
      </c>
      <c r="AW180" s="109">
        <f>AU180/'CALCULO GERAL'!$C$11</f>
        <v>3.2700683527595142</v>
      </c>
      <c r="AX180" s="109">
        <f>BP180-BB180-BD180*'CALCULO GERAL'!$C$11</f>
        <v>19.82429715</v>
      </c>
      <c r="AY180" s="109">
        <f t="shared" si="169"/>
        <v>0.327100902975</v>
      </c>
      <c r="AZ180" s="109">
        <f t="shared" si="170"/>
        <v>1.5066465834</v>
      </c>
      <c r="BA180" s="109">
        <f t="shared" si="171"/>
        <v>20.126190000000001</v>
      </c>
      <c r="BB180" s="109">
        <f t="shared" si="172"/>
        <v>0.30189284999999999</v>
      </c>
      <c r="BC180" s="109">
        <f t="shared" si="173"/>
        <v>20.126190000000001</v>
      </c>
      <c r="BD180" s="109">
        <f t="shared" si="174"/>
        <v>0</v>
      </c>
      <c r="BE180" s="109">
        <f t="shared" si="175"/>
        <v>96605.712000000014</v>
      </c>
      <c r="BF180" s="109">
        <f t="shared" si="176"/>
        <v>144908.568</v>
      </c>
      <c r="BG180" s="109">
        <f t="shared" si="177"/>
        <v>0.217362852</v>
      </c>
      <c r="BH180" s="109">
        <f t="shared" si="178"/>
        <v>0.24151428000000003</v>
      </c>
      <c r="BI180" s="109">
        <f t="shared" si="179"/>
        <v>-6.1009536666666697E-2</v>
      </c>
      <c r="BJ180" s="109">
        <f t="shared" si="180"/>
        <v>2.9360317317083338</v>
      </c>
      <c r="BK180" s="109">
        <f t="shared" si="181"/>
        <v>19.348504794208335</v>
      </c>
      <c r="BL180" s="148">
        <v>0.83</v>
      </c>
      <c r="BM180" s="112">
        <f>ROUND((AW180/BL180)+((AW180*BL180)*'CALCULO GERAL'!$E$11)/BL180,2)</f>
        <v>4.01</v>
      </c>
      <c r="BN180" s="186">
        <f t="shared" si="189"/>
        <v>4.01</v>
      </c>
      <c r="BO180" s="186">
        <f t="shared" si="190"/>
        <v>4.6980000000000004</v>
      </c>
      <c r="BP180" s="109">
        <f>BM180*'CALCULO GERAL'!$C$11</f>
        <v>20.126190000000001</v>
      </c>
      <c r="BQ180" s="109">
        <f>BO180*'CALCULO GERAL'!$C$11</f>
        <v>23.579262000000003</v>
      </c>
      <c r="BR180" s="186">
        <f>BN180*'CALCULO GERAL'!$C$11</f>
        <v>20.126190000000001</v>
      </c>
      <c r="BS180" s="109">
        <f t="shared" si="183"/>
        <v>1207571.4000000001</v>
      </c>
      <c r="BT180" s="109">
        <f t="shared" si="187"/>
        <v>222823.0162500001</v>
      </c>
      <c r="BU180" s="109">
        <f t="shared" si="184"/>
        <v>1207571.4000000001</v>
      </c>
      <c r="BV180" s="109">
        <f t="shared" si="194"/>
        <v>1160910.2876525</v>
      </c>
      <c r="BW180" s="109">
        <f t="shared" si="191"/>
        <v>46661.112347500166</v>
      </c>
      <c r="BX180" s="114">
        <f t="shared" si="185"/>
        <v>3.8640458317827135E-2</v>
      </c>
      <c r="BY180" s="152">
        <f t="shared" si="195"/>
        <v>0.83</v>
      </c>
      <c r="CA180" s="55"/>
      <c r="CB180" s="113"/>
      <c r="CC180" s="113"/>
      <c r="CE180" s="152">
        <f t="shared" si="196"/>
        <v>0</v>
      </c>
      <c r="CF180" s="152">
        <f t="shared" si="192"/>
        <v>1</v>
      </c>
      <c r="CG180" s="152">
        <f t="shared" si="193"/>
        <v>1</v>
      </c>
      <c r="CH180" s="34"/>
      <c r="CJ180" s="11"/>
      <c r="CK180" s="11"/>
    </row>
    <row r="181" spans="1:89" s="152" customFormat="1" x14ac:dyDescent="0.2">
      <c r="A181" s="269" t="s">
        <v>314</v>
      </c>
      <c r="B181" s="187" t="s">
        <v>297</v>
      </c>
      <c r="C181" s="8">
        <v>0.26</v>
      </c>
      <c r="D181" s="8">
        <v>0</v>
      </c>
      <c r="E181" s="7">
        <v>2.1000000000000001E-2</v>
      </c>
      <c r="F181" s="7">
        <v>0.1065</v>
      </c>
      <c r="G181" s="1">
        <v>1.6500000000000001E-2</v>
      </c>
      <c r="H181" s="1">
        <v>7.5999999999999998E-2</v>
      </c>
      <c r="I181" s="1">
        <v>0.18</v>
      </c>
      <c r="J181" s="1">
        <v>0.04</v>
      </c>
      <c r="K181" s="1">
        <v>0.14000000000000001</v>
      </c>
      <c r="L181" s="1">
        <v>1.4999999999999999E-2</v>
      </c>
      <c r="M181" s="2" t="s">
        <v>175</v>
      </c>
      <c r="N181" s="105">
        <v>75000</v>
      </c>
      <c r="O181" s="119"/>
      <c r="P181" s="119"/>
      <c r="Q181" s="119"/>
      <c r="R181" s="119"/>
      <c r="S181" s="119"/>
      <c r="T181" s="119">
        <v>2.4500000000000002</v>
      </c>
      <c r="U181" s="119"/>
      <c r="V181" s="119"/>
      <c r="W181" s="119"/>
      <c r="X181" s="119">
        <f t="shared" si="160"/>
        <v>2.4500000000000002</v>
      </c>
      <c r="Y181" s="118">
        <f t="shared" si="161"/>
        <v>2.4500000000000002</v>
      </c>
      <c r="Z181" s="109">
        <f t="shared" si="162"/>
        <v>183750</v>
      </c>
      <c r="AA181" s="109">
        <f>'CALCULO GERAL'!$G$10</f>
        <v>6300</v>
      </c>
      <c r="AB181" s="109">
        <f t="shared" si="163"/>
        <v>190050</v>
      </c>
      <c r="AC181" s="109">
        <f>AB181*'CALCULO GERAL'!$C$11</f>
        <v>953860.95000000007</v>
      </c>
      <c r="AD181" s="109">
        <f t="shared" si="164"/>
        <v>248003.84700000004</v>
      </c>
      <c r="AE181" s="109">
        <f t="shared" si="165"/>
        <v>0</v>
      </c>
      <c r="AF181" s="109">
        <f t="shared" si="166"/>
        <v>20031.079950000003</v>
      </c>
      <c r="AG181" s="109">
        <f t="shared" si="167"/>
        <v>101586.191175</v>
      </c>
      <c r="AH181" s="109">
        <v>154.22999999999999</v>
      </c>
      <c r="AI181" s="109">
        <f>((AA181*'CALCULO GERAL'!$C$11))*0.08+20</f>
        <v>2549.576</v>
      </c>
      <c r="AJ181" s="109">
        <v>1010</v>
      </c>
      <c r="AK181" s="109">
        <v>2500</v>
      </c>
      <c r="AL181" s="109">
        <f>(AA181*('CALCULO GERAL'!$C$11*1.02))-(AA181*'CALCULO GERAL'!$C$11)</f>
        <v>632.39400000000387</v>
      </c>
      <c r="AM181" s="109">
        <v>1800</v>
      </c>
      <c r="AN181" s="109">
        <v>2600</v>
      </c>
      <c r="AO181" s="109">
        <v>9400</v>
      </c>
      <c r="AP181" s="109">
        <v>1000</v>
      </c>
      <c r="AQ181" s="109">
        <v>0</v>
      </c>
      <c r="AR181" s="109">
        <v>0</v>
      </c>
      <c r="AS181" s="109"/>
      <c r="AT181" s="109">
        <f t="shared" si="188"/>
        <v>1345128.2681249999</v>
      </c>
      <c r="AU181" s="111">
        <f t="shared" si="168"/>
        <v>17.935043574999998</v>
      </c>
      <c r="AV181" s="109">
        <f>IFERROR((BS181*'CALCULO GERAL'!$E$11)/N181,0)</f>
        <v>0.42460740000000008</v>
      </c>
      <c r="AW181" s="109">
        <f>AU181/'CALCULO GERAL'!$C$11</f>
        <v>3.5734296822076108</v>
      </c>
      <c r="AX181" s="109">
        <f>BP181-BB181-BD181*'CALCULO GERAL'!$C$11</f>
        <v>20.911914450000005</v>
      </c>
      <c r="AY181" s="109">
        <f t="shared" si="169"/>
        <v>0.34504658842500008</v>
      </c>
      <c r="AZ181" s="109">
        <f t="shared" si="170"/>
        <v>1.5893054982000003</v>
      </c>
      <c r="BA181" s="109">
        <f t="shared" si="171"/>
        <v>21.230370000000004</v>
      </c>
      <c r="BB181" s="109">
        <f t="shared" si="172"/>
        <v>0.31845555000000003</v>
      </c>
      <c r="BC181" s="109">
        <f t="shared" si="173"/>
        <v>21.230370000000004</v>
      </c>
      <c r="BD181" s="109">
        <f t="shared" si="174"/>
        <v>0</v>
      </c>
      <c r="BE181" s="109">
        <f t="shared" si="175"/>
        <v>127382.22000000002</v>
      </c>
      <c r="BF181" s="109">
        <f t="shared" si="176"/>
        <v>191073.33000000002</v>
      </c>
      <c r="BG181" s="109">
        <f t="shared" si="177"/>
        <v>0.22928799600000002</v>
      </c>
      <c r="BH181" s="109">
        <f t="shared" si="178"/>
        <v>0.25476444000000004</v>
      </c>
      <c r="BI181" s="109">
        <f t="shared" si="179"/>
        <v>-8.9842973333333354E-2</v>
      </c>
      <c r="BJ181" s="109">
        <f t="shared" si="180"/>
        <v>3.0716244992916675</v>
      </c>
      <c r="BK181" s="109">
        <f t="shared" si="181"/>
        <v>21.006668074291667</v>
      </c>
      <c r="BL181" s="148">
        <v>0.86</v>
      </c>
      <c r="BM181" s="112">
        <f>ROUND((AW181/BL181)+((AW181*BL181)*'CALCULO GERAL'!$E$11)/BL181,2)</f>
        <v>4.2300000000000004</v>
      </c>
      <c r="BN181" s="186">
        <f t="shared" si="189"/>
        <v>4.2300000000000004</v>
      </c>
      <c r="BO181" s="186">
        <f t="shared" si="190"/>
        <v>4.9560000000000004</v>
      </c>
      <c r="BP181" s="109">
        <f>BM181*'CALCULO GERAL'!$C$11</f>
        <v>21.230370000000004</v>
      </c>
      <c r="BQ181" s="109">
        <f>BO181*'CALCULO GERAL'!$C$11</f>
        <v>24.874164000000004</v>
      </c>
      <c r="BR181" s="186">
        <f>BN181*'CALCULO GERAL'!$C$11</f>
        <v>21.230370000000004</v>
      </c>
      <c r="BS181" s="109">
        <f t="shared" si="183"/>
        <v>1592277.7500000002</v>
      </c>
      <c r="BT181" s="109">
        <f t="shared" si="187"/>
        <v>247149.48187500029</v>
      </c>
      <c r="BU181" s="109">
        <f t="shared" si="184"/>
        <v>1592277.7500000002</v>
      </c>
      <c r="BV181" s="109">
        <f t="shared" si="194"/>
        <v>1575500.1055718751</v>
      </c>
      <c r="BW181" s="109">
        <f t="shared" si="191"/>
        <v>16777.644428125117</v>
      </c>
      <c r="BX181" s="114">
        <f t="shared" si="185"/>
        <v>1.0536883045765799E-2</v>
      </c>
      <c r="BY181" s="152">
        <f t="shared" si="195"/>
        <v>0.86</v>
      </c>
      <c r="CA181" s="55"/>
      <c r="CB181" s="113"/>
      <c r="CC181" s="113"/>
      <c r="CE181" s="152">
        <f t="shared" si="196"/>
        <v>0</v>
      </c>
      <c r="CF181" s="152">
        <f t="shared" si="192"/>
        <v>1</v>
      </c>
      <c r="CG181" s="152">
        <f t="shared" si="193"/>
        <v>1</v>
      </c>
      <c r="CH181" s="34"/>
      <c r="CJ181" s="11"/>
      <c r="CK181" s="11"/>
    </row>
    <row r="182" spans="1:89" s="152" customFormat="1" x14ac:dyDescent="0.2">
      <c r="A182" s="269" t="s">
        <v>315</v>
      </c>
      <c r="B182" s="187" t="s">
        <v>297</v>
      </c>
      <c r="C182" s="8">
        <v>0.26</v>
      </c>
      <c r="D182" s="8">
        <v>0</v>
      </c>
      <c r="E182" s="7">
        <v>2.1000000000000001E-2</v>
      </c>
      <c r="F182" s="7">
        <v>0.1065</v>
      </c>
      <c r="G182" s="1">
        <v>1.6500000000000001E-2</v>
      </c>
      <c r="H182" s="1">
        <v>7.5999999999999998E-2</v>
      </c>
      <c r="I182" s="1">
        <v>0.18</v>
      </c>
      <c r="J182" s="1">
        <v>0.04</v>
      </c>
      <c r="K182" s="1">
        <v>0.14000000000000001</v>
      </c>
      <c r="L182" s="1">
        <v>1.4999999999999999E-2</v>
      </c>
      <c r="M182" s="2" t="s">
        <v>175</v>
      </c>
      <c r="N182" s="105">
        <v>60000</v>
      </c>
      <c r="O182" s="119"/>
      <c r="P182" s="119"/>
      <c r="Q182" s="119"/>
      <c r="R182" s="119"/>
      <c r="S182" s="119"/>
      <c r="T182" s="119">
        <v>3.6</v>
      </c>
      <c r="U182" s="119"/>
      <c r="V182" s="119"/>
      <c r="W182" s="119"/>
      <c r="X182" s="119">
        <f t="shared" si="160"/>
        <v>3.6</v>
      </c>
      <c r="Y182" s="118">
        <f t="shared" si="161"/>
        <v>3.6</v>
      </c>
      <c r="Z182" s="109">
        <f t="shared" si="162"/>
        <v>216000</v>
      </c>
      <c r="AA182" s="109">
        <f>'CALCULO GERAL'!$G$10</f>
        <v>6300</v>
      </c>
      <c r="AB182" s="109">
        <f t="shared" si="163"/>
        <v>222300</v>
      </c>
      <c r="AC182" s="109">
        <f>AB182*'CALCULO GERAL'!$C$11</f>
        <v>1115723.7</v>
      </c>
      <c r="AD182" s="109">
        <f t="shared" si="164"/>
        <v>290088.16200000001</v>
      </c>
      <c r="AE182" s="109">
        <f t="shared" si="165"/>
        <v>0</v>
      </c>
      <c r="AF182" s="109">
        <f t="shared" si="166"/>
        <v>23430.197700000001</v>
      </c>
      <c r="AG182" s="109">
        <f t="shared" si="167"/>
        <v>118824.57405</v>
      </c>
      <c r="AH182" s="109">
        <v>154.22999999999999</v>
      </c>
      <c r="AI182" s="109">
        <f>((AA182*'CALCULO GERAL'!$C$11))*0.08+20</f>
        <v>2549.576</v>
      </c>
      <c r="AJ182" s="109">
        <v>1010</v>
      </c>
      <c r="AK182" s="109">
        <v>2500</v>
      </c>
      <c r="AL182" s="109">
        <f>(AA182*('CALCULO GERAL'!$C$11*1.02))-(AA182*'CALCULO GERAL'!$C$11)</f>
        <v>632.39400000000387</v>
      </c>
      <c r="AM182" s="109">
        <v>1800</v>
      </c>
      <c r="AN182" s="109">
        <v>2600</v>
      </c>
      <c r="AO182" s="109">
        <v>9400</v>
      </c>
      <c r="AP182" s="109">
        <v>1000</v>
      </c>
      <c r="AQ182" s="109">
        <v>0</v>
      </c>
      <c r="AR182" s="109">
        <v>0</v>
      </c>
      <c r="AS182" s="109"/>
      <c r="AT182" s="109">
        <f t="shared" si="188"/>
        <v>1569712.8337499998</v>
      </c>
      <c r="AU182" s="111">
        <f t="shared" si="168"/>
        <v>26.161880562499995</v>
      </c>
      <c r="AV182" s="109">
        <f>IFERROR((BS182*'CALCULO GERAL'!$E$11)/N182,0)</f>
        <v>0.61231800000000003</v>
      </c>
      <c r="AW182" s="109">
        <f>AU182/'CALCULO GERAL'!$C$11</f>
        <v>5.2125683527595124</v>
      </c>
      <c r="AX182" s="109">
        <f>BP182-BB182-BD182*'CALCULO GERAL'!$C$11</f>
        <v>30.156661499999998</v>
      </c>
      <c r="AY182" s="109">
        <f t="shared" si="169"/>
        <v>0.49758491475</v>
      </c>
      <c r="AZ182" s="109">
        <f t="shared" si="170"/>
        <v>2.291906274</v>
      </c>
      <c r="BA182" s="109">
        <f t="shared" si="171"/>
        <v>30.6159</v>
      </c>
      <c r="BB182" s="109">
        <f t="shared" si="172"/>
        <v>0.45923849999999999</v>
      </c>
      <c r="BC182" s="109">
        <f t="shared" si="173"/>
        <v>30.6159</v>
      </c>
      <c r="BD182" s="109">
        <f t="shared" si="174"/>
        <v>0</v>
      </c>
      <c r="BE182" s="109">
        <f t="shared" si="175"/>
        <v>146956.32</v>
      </c>
      <c r="BF182" s="109">
        <f t="shared" si="176"/>
        <v>220434.47999999998</v>
      </c>
      <c r="BG182" s="109">
        <f t="shared" si="177"/>
        <v>0.33065171999999998</v>
      </c>
      <c r="BH182" s="109">
        <f t="shared" si="178"/>
        <v>0.36739080000000002</v>
      </c>
      <c r="BI182" s="109">
        <f t="shared" si="179"/>
        <v>-0.14492721666666669</v>
      </c>
      <c r="BJ182" s="109">
        <f t="shared" si="180"/>
        <v>4.414162992083333</v>
      </c>
      <c r="BK182" s="109">
        <f t="shared" si="181"/>
        <v>30.576043554583329</v>
      </c>
      <c r="BL182" s="148">
        <v>0.87</v>
      </c>
      <c r="BM182" s="112">
        <f>ROUND((AW182/BL182)+((AW182*BL182)*'CALCULO GERAL'!$E$11)/BL182,2)</f>
        <v>6.1</v>
      </c>
      <c r="BN182" s="186">
        <f t="shared" si="189"/>
        <v>6.1</v>
      </c>
      <c r="BO182" s="186">
        <f t="shared" si="190"/>
        <v>7.1470000000000002</v>
      </c>
      <c r="BP182" s="109">
        <f>BM182*'CALCULO GERAL'!$C$11</f>
        <v>30.6159</v>
      </c>
      <c r="BQ182" s="109">
        <f>BO182*'CALCULO GERAL'!$C$11</f>
        <v>35.870792999999999</v>
      </c>
      <c r="BR182" s="186">
        <f>BN182*'CALCULO GERAL'!$C$11</f>
        <v>30.6159</v>
      </c>
      <c r="BS182" s="109">
        <f t="shared" si="183"/>
        <v>1836954</v>
      </c>
      <c r="BT182" s="109">
        <f t="shared" si="187"/>
        <v>267241.16625000024</v>
      </c>
      <c r="BU182" s="109">
        <f t="shared" si="184"/>
        <v>1836954</v>
      </c>
      <c r="BV182" s="109">
        <f t="shared" si="194"/>
        <v>1834562.6132749997</v>
      </c>
      <c r="BW182" s="109">
        <f t="shared" si="191"/>
        <v>2391.3867250003386</v>
      </c>
      <c r="BX182" s="114">
        <f t="shared" si="185"/>
        <v>1.3018217794241655E-3</v>
      </c>
      <c r="BY182" s="152">
        <f t="shared" si="195"/>
        <v>0.87</v>
      </c>
      <c r="CA182" s="55"/>
      <c r="CB182" s="113"/>
      <c r="CC182" s="113"/>
      <c r="CE182" s="152">
        <f t="shared" si="196"/>
        <v>0</v>
      </c>
      <c r="CF182" s="152">
        <f t="shared" si="192"/>
        <v>1</v>
      </c>
      <c r="CG182" s="152">
        <f t="shared" si="193"/>
        <v>1</v>
      </c>
      <c r="CH182" s="34"/>
      <c r="CJ182" s="11"/>
      <c r="CK182" s="11"/>
    </row>
    <row r="183" spans="1:89" s="152" customFormat="1" x14ac:dyDescent="0.2">
      <c r="A183" s="269" t="s">
        <v>316</v>
      </c>
      <c r="B183" s="187" t="s">
        <v>297</v>
      </c>
      <c r="C183" s="8">
        <v>0.26</v>
      </c>
      <c r="D183" s="8">
        <v>0</v>
      </c>
      <c r="E183" s="7">
        <v>2.1000000000000001E-2</v>
      </c>
      <c r="F183" s="7">
        <v>0.1065</v>
      </c>
      <c r="G183" s="1">
        <v>1.6500000000000001E-2</v>
      </c>
      <c r="H183" s="1">
        <v>7.5999999999999998E-2</v>
      </c>
      <c r="I183" s="1">
        <v>0.18</v>
      </c>
      <c r="J183" s="1">
        <v>0.04</v>
      </c>
      <c r="K183" s="1">
        <v>0.14000000000000001</v>
      </c>
      <c r="L183" s="1">
        <v>1.4999999999999999E-2</v>
      </c>
      <c r="M183" s="2" t="s">
        <v>175</v>
      </c>
      <c r="N183" s="105">
        <v>60000</v>
      </c>
      <c r="O183" s="119"/>
      <c r="P183" s="119"/>
      <c r="Q183" s="119"/>
      <c r="R183" s="119"/>
      <c r="S183" s="119"/>
      <c r="T183" s="119">
        <v>3.85</v>
      </c>
      <c r="U183" s="119"/>
      <c r="V183" s="119"/>
      <c r="W183" s="119"/>
      <c r="X183" s="119">
        <f t="shared" si="160"/>
        <v>3.85</v>
      </c>
      <c r="Y183" s="118">
        <f t="shared" si="161"/>
        <v>3.85</v>
      </c>
      <c r="Z183" s="109">
        <f t="shared" si="162"/>
        <v>231000</v>
      </c>
      <c r="AA183" s="109">
        <f>'CALCULO GERAL'!$G$10</f>
        <v>6300</v>
      </c>
      <c r="AB183" s="109">
        <f t="shared" si="163"/>
        <v>237300</v>
      </c>
      <c r="AC183" s="109">
        <f>AB183*'CALCULO GERAL'!$C$11</f>
        <v>1191008.7</v>
      </c>
      <c r="AD183" s="109">
        <f t="shared" si="164"/>
        <v>309662.26199999999</v>
      </c>
      <c r="AE183" s="109">
        <f t="shared" si="165"/>
        <v>0</v>
      </c>
      <c r="AF183" s="109">
        <f t="shared" si="166"/>
        <v>25011.182700000001</v>
      </c>
      <c r="AG183" s="109">
        <f t="shared" si="167"/>
        <v>126842.42654999999</v>
      </c>
      <c r="AH183" s="109">
        <v>154.22999999999999</v>
      </c>
      <c r="AI183" s="109">
        <f>((AA183*'CALCULO GERAL'!$C$11))*0.08+20</f>
        <v>2549.576</v>
      </c>
      <c r="AJ183" s="109">
        <v>1010</v>
      </c>
      <c r="AK183" s="109">
        <v>2500</v>
      </c>
      <c r="AL183" s="109">
        <f>(AA183*('CALCULO GERAL'!$C$11*1.02))-(AA183*'CALCULO GERAL'!$C$11)</f>
        <v>632.39400000000387</v>
      </c>
      <c r="AM183" s="109">
        <v>1800</v>
      </c>
      <c r="AN183" s="109">
        <v>2600</v>
      </c>
      <c r="AO183" s="109">
        <v>9400</v>
      </c>
      <c r="AP183" s="109">
        <v>1000</v>
      </c>
      <c r="AQ183" s="109">
        <v>0</v>
      </c>
      <c r="AR183" s="109">
        <v>0</v>
      </c>
      <c r="AS183" s="109"/>
      <c r="AT183" s="109">
        <f t="shared" si="188"/>
        <v>1674170.7712499998</v>
      </c>
      <c r="AU183" s="111">
        <f t="shared" si="168"/>
        <v>27.902846187499996</v>
      </c>
      <c r="AV183" s="109">
        <f>IFERROR((BS183*'CALCULO GERAL'!$E$11)/N183,0)</f>
        <v>0.65247000000000011</v>
      </c>
      <c r="AW183" s="109">
        <f>AU183/'CALCULO GERAL'!$C$11</f>
        <v>5.5594433527595131</v>
      </c>
      <c r="AX183" s="109">
        <f>BP183-BB183-BD183*'CALCULO GERAL'!$C$11</f>
        <v>32.134147499999997</v>
      </c>
      <c r="AY183" s="109">
        <f t="shared" si="169"/>
        <v>0.53021343374999996</v>
      </c>
      <c r="AZ183" s="109">
        <f t="shared" si="170"/>
        <v>2.4421952099999999</v>
      </c>
      <c r="BA183" s="109">
        <f t="shared" si="171"/>
        <v>32.6235</v>
      </c>
      <c r="BB183" s="109">
        <f t="shared" si="172"/>
        <v>0.48935249999999997</v>
      </c>
      <c r="BC183" s="109">
        <f t="shared" si="173"/>
        <v>32.6235</v>
      </c>
      <c r="BD183" s="109">
        <f t="shared" si="174"/>
        <v>0</v>
      </c>
      <c r="BE183" s="109">
        <f t="shared" si="175"/>
        <v>156592.80000000002</v>
      </c>
      <c r="BF183" s="109">
        <f t="shared" si="176"/>
        <v>234889.19999999998</v>
      </c>
      <c r="BG183" s="109">
        <f t="shared" si="177"/>
        <v>0.35233379999999997</v>
      </c>
      <c r="BH183" s="109">
        <f t="shared" si="178"/>
        <v>0.39148200000000005</v>
      </c>
      <c r="BI183" s="109">
        <f t="shared" si="179"/>
        <v>-0.16098801666666671</v>
      </c>
      <c r="BJ183" s="109">
        <f t="shared" si="180"/>
        <v>4.6970589270833329</v>
      </c>
      <c r="BK183" s="109">
        <f t="shared" si="181"/>
        <v>32.599905114583329</v>
      </c>
      <c r="BL183" s="148">
        <v>0.87</v>
      </c>
      <c r="BM183" s="112">
        <f>ROUND((AW183/BL183)+((AW183*BL183)*'CALCULO GERAL'!$E$11)/BL183,2)</f>
        <v>6.5</v>
      </c>
      <c r="BN183" s="186">
        <f t="shared" si="189"/>
        <v>6.5</v>
      </c>
      <c r="BO183" s="186">
        <f t="shared" si="190"/>
        <v>7.6159999999999997</v>
      </c>
      <c r="BP183" s="109">
        <f>BM183*'CALCULO GERAL'!$C$11</f>
        <v>32.6235</v>
      </c>
      <c r="BQ183" s="109">
        <f>BO183*'CALCULO GERAL'!$C$11</f>
        <v>38.224704000000003</v>
      </c>
      <c r="BR183" s="186">
        <f>BN183*'CALCULO GERAL'!$C$11</f>
        <v>32.6235</v>
      </c>
      <c r="BS183" s="109">
        <f t="shared" si="183"/>
        <v>1957410</v>
      </c>
      <c r="BT183" s="109">
        <f t="shared" si="187"/>
        <v>283239.22875000024</v>
      </c>
      <c r="BU183" s="109">
        <f t="shared" si="184"/>
        <v>1957410</v>
      </c>
      <c r="BV183" s="109">
        <f t="shared" si="194"/>
        <v>1955994.3068749998</v>
      </c>
      <c r="BW183" s="109">
        <f t="shared" si="191"/>
        <v>1415.6931250002235</v>
      </c>
      <c r="BX183" s="114">
        <f t="shared" si="185"/>
        <v>7.232481314595427E-4</v>
      </c>
      <c r="BY183" s="152">
        <f t="shared" si="195"/>
        <v>0.87</v>
      </c>
      <c r="CA183" s="55"/>
      <c r="CB183" s="113"/>
      <c r="CC183" s="113"/>
      <c r="CE183" s="152">
        <f t="shared" si="196"/>
        <v>0</v>
      </c>
      <c r="CF183" s="152">
        <f t="shared" si="192"/>
        <v>1</v>
      </c>
      <c r="CG183" s="152">
        <f t="shared" si="193"/>
        <v>1</v>
      </c>
      <c r="CH183" s="34"/>
      <c r="CJ183" s="11"/>
      <c r="CK183" s="11"/>
    </row>
    <row r="184" spans="1:89" s="152" customFormat="1" x14ac:dyDescent="0.2">
      <c r="A184" s="269" t="s">
        <v>317</v>
      </c>
      <c r="B184" s="187" t="s">
        <v>297</v>
      </c>
      <c r="C184" s="8">
        <v>0.26</v>
      </c>
      <c r="D184" s="8">
        <v>0</v>
      </c>
      <c r="E184" s="7">
        <v>2.1000000000000001E-2</v>
      </c>
      <c r="F184" s="7">
        <v>0.1065</v>
      </c>
      <c r="G184" s="1">
        <v>1.6500000000000001E-2</v>
      </c>
      <c r="H184" s="1">
        <v>7.5999999999999998E-2</v>
      </c>
      <c r="I184" s="1">
        <v>0.18</v>
      </c>
      <c r="J184" s="1">
        <v>0.04</v>
      </c>
      <c r="K184" s="1">
        <v>0.14000000000000001</v>
      </c>
      <c r="L184" s="1">
        <v>1.4999999999999999E-2</v>
      </c>
      <c r="M184" s="2" t="s">
        <v>175</v>
      </c>
      <c r="N184" s="105">
        <v>80000</v>
      </c>
      <c r="O184" s="119"/>
      <c r="P184" s="119"/>
      <c r="Q184" s="119"/>
      <c r="R184" s="119"/>
      <c r="S184" s="119"/>
      <c r="T184" s="119">
        <f>T179+0.1</f>
        <v>2.17</v>
      </c>
      <c r="U184" s="119"/>
      <c r="V184" s="119"/>
      <c r="W184" s="119"/>
      <c r="X184" s="119">
        <f t="shared" si="160"/>
        <v>2.17</v>
      </c>
      <c r="Y184" s="118">
        <f t="shared" si="161"/>
        <v>2.17</v>
      </c>
      <c r="Z184" s="109">
        <f t="shared" si="162"/>
        <v>173600</v>
      </c>
      <c r="AA184" s="109">
        <f>'CALCULO GERAL'!$G$10</f>
        <v>6300</v>
      </c>
      <c r="AB184" s="109">
        <f t="shared" si="163"/>
        <v>179900</v>
      </c>
      <c r="AC184" s="109">
        <f>AB184*'CALCULO GERAL'!$C$11</f>
        <v>902918.1</v>
      </c>
      <c r="AD184" s="109">
        <f t="shared" si="164"/>
        <v>234758.70600000001</v>
      </c>
      <c r="AE184" s="109">
        <f t="shared" si="165"/>
        <v>0</v>
      </c>
      <c r="AF184" s="109">
        <f t="shared" si="166"/>
        <v>18961.2801</v>
      </c>
      <c r="AG184" s="109">
        <f t="shared" si="167"/>
        <v>96160.777649999989</v>
      </c>
      <c r="AH184" s="109">
        <v>154.22999999999999</v>
      </c>
      <c r="AI184" s="109">
        <f>((AA184*'CALCULO GERAL'!$C$11))*0.08+20</f>
        <v>2549.576</v>
      </c>
      <c r="AJ184" s="109">
        <v>1010</v>
      </c>
      <c r="AK184" s="109">
        <v>2500</v>
      </c>
      <c r="AL184" s="109">
        <f>(AA184*('CALCULO GERAL'!$C$11*1.02))-(AA184*'CALCULO GERAL'!$C$11)</f>
        <v>632.39400000000387</v>
      </c>
      <c r="AM184" s="109">
        <v>1800</v>
      </c>
      <c r="AN184" s="109">
        <v>2600</v>
      </c>
      <c r="AO184" s="109">
        <v>9400</v>
      </c>
      <c r="AP184" s="109">
        <v>1000</v>
      </c>
      <c r="AQ184" s="109">
        <v>0</v>
      </c>
      <c r="AR184" s="109">
        <v>0</v>
      </c>
      <c r="AS184" s="109"/>
      <c r="AT184" s="109">
        <f t="shared" si="188"/>
        <v>1274445.06375</v>
      </c>
      <c r="AU184" s="111">
        <f t="shared" si="168"/>
        <v>15.930563296875</v>
      </c>
      <c r="AV184" s="109">
        <f>IFERROR((BS184*'CALCULO GERAL'!$E$11)/N184,0)</f>
        <v>0.38144400000000001</v>
      </c>
      <c r="AW184" s="109">
        <f>AU184/'CALCULO GERAL'!$C$11</f>
        <v>3.1740512645696355</v>
      </c>
      <c r="AX184" s="109">
        <f>BP184-BB184-BD184*'CALCULO GERAL'!$C$11</f>
        <v>18.786116999999997</v>
      </c>
      <c r="AY184" s="109">
        <f t="shared" si="169"/>
        <v>0.30997093049999996</v>
      </c>
      <c r="AZ184" s="109">
        <f t="shared" si="170"/>
        <v>1.4277448919999998</v>
      </c>
      <c r="BA184" s="109">
        <f t="shared" si="171"/>
        <v>19.072199999999999</v>
      </c>
      <c r="BB184" s="109">
        <f t="shared" si="172"/>
        <v>0.28608299999999998</v>
      </c>
      <c r="BC184" s="109">
        <f t="shared" si="173"/>
        <v>19.072199999999999</v>
      </c>
      <c r="BD184" s="109">
        <f t="shared" si="174"/>
        <v>0</v>
      </c>
      <c r="BE184" s="109">
        <f t="shared" si="175"/>
        <v>122062.08</v>
      </c>
      <c r="BF184" s="109">
        <f t="shared" si="176"/>
        <v>183093.12</v>
      </c>
      <c r="BG184" s="109">
        <f t="shared" si="177"/>
        <v>0.20597975999999998</v>
      </c>
      <c r="BH184" s="109">
        <f t="shared" si="178"/>
        <v>0.22886639999999997</v>
      </c>
      <c r="BI184" s="109">
        <f t="shared" si="179"/>
        <v>-7.7577612500000004E-2</v>
      </c>
      <c r="BJ184" s="109">
        <f t="shared" si="180"/>
        <v>2.7625113699999999</v>
      </c>
      <c r="BK184" s="109">
        <f t="shared" si="181"/>
        <v>18.693074666874999</v>
      </c>
      <c r="BL184" s="148">
        <v>0.85</v>
      </c>
      <c r="BM184" s="112">
        <f>ROUND((AW184/BL184)+((AW184*BL184)*'CALCULO GERAL'!$E$11)/BL184,2)</f>
        <v>3.8</v>
      </c>
      <c r="BN184" s="186">
        <f t="shared" si="189"/>
        <v>3.8</v>
      </c>
      <c r="BO184" s="186">
        <f t="shared" si="190"/>
        <v>4.452</v>
      </c>
      <c r="BP184" s="109">
        <f>BM184*'CALCULO GERAL'!$C$11</f>
        <v>19.072199999999999</v>
      </c>
      <c r="BQ184" s="109">
        <f>BO184*'CALCULO GERAL'!$C$11</f>
        <v>22.344588000000002</v>
      </c>
      <c r="BR184" s="186">
        <f>BN184*'CALCULO GERAL'!$C$11</f>
        <v>19.072199999999999</v>
      </c>
      <c r="BS184" s="109">
        <f t="shared" si="183"/>
        <v>1525776</v>
      </c>
      <c r="BT184" s="109">
        <f t="shared" si="187"/>
        <v>251330.93625000003</v>
      </c>
      <c r="BU184" s="109">
        <f t="shared" si="184"/>
        <v>1525776</v>
      </c>
      <c r="BV184" s="109">
        <f t="shared" si="194"/>
        <v>1495445.9733499999</v>
      </c>
      <c r="BW184" s="109">
        <f t="shared" si="191"/>
        <v>30330.026650000131</v>
      </c>
      <c r="BX184" s="114">
        <f t="shared" si="185"/>
        <v>1.9878426879175012E-2</v>
      </c>
      <c r="BY184" s="152">
        <f t="shared" si="195"/>
        <v>0.85</v>
      </c>
      <c r="CA184" s="55"/>
      <c r="CB184" s="113"/>
      <c r="CC184" s="113"/>
      <c r="CE184" s="152">
        <f t="shared" si="196"/>
        <v>0</v>
      </c>
      <c r="CF184" s="152">
        <f t="shared" si="192"/>
        <v>1</v>
      </c>
      <c r="CG184" s="152">
        <f t="shared" si="193"/>
        <v>1</v>
      </c>
      <c r="CH184" s="34"/>
      <c r="CJ184" s="11"/>
      <c r="CK184" s="11"/>
    </row>
    <row r="185" spans="1:89" s="152" customFormat="1" x14ac:dyDescent="0.2">
      <c r="A185" s="269" t="s">
        <v>318</v>
      </c>
      <c r="B185" s="187" t="s">
        <v>297</v>
      </c>
      <c r="C185" s="8">
        <v>0.26</v>
      </c>
      <c r="D185" s="8">
        <v>0</v>
      </c>
      <c r="E185" s="7">
        <v>2.1000000000000001E-2</v>
      </c>
      <c r="F185" s="7">
        <v>0.1065</v>
      </c>
      <c r="G185" s="1">
        <v>1.6500000000000001E-2</v>
      </c>
      <c r="H185" s="1">
        <v>7.5999999999999998E-2</v>
      </c>
      <c r="I185" s="1">
        <v>0.18</v>
      </c>
      <c r="J185" s="1">
        <v>0.04</v>
      </c>
      <c r="K185" s="1">
        <v>0.14000000000000001</v>
      </c>
      <c r="L185" s="1">
        <v>1.4999999999999999E-2</v>
      </c>
      <c r="M185" s="2" t="s">
        <v>175</v>
      </c>
      <c r="N185" s="105">
        <v>60000</v>
      </c>
      <c r="O185" s="119"/>
      <c r="P185" s="119"/>
      <c r="Q185" s="119"/>
      <c r="R185" s="119"/>
      <c r="S185" s="119"/>
      <c r="T185" s="119">
        <f>T180+0.1</f>
        <v>2.3000000000000003</v>
      </c>
      <c r="U185" s="119"/>
      <c r="V185" s="119"/>
      <c r="W185" s="119"/>
      <c r="X185" s="119">
        <f t="shared" si="160"/>
        <v>2.3000000000000003</v>
      </c>
      <c r="Y185" s="118">
        <f t="shared" si="161"/>
        <v>2.3000000000000003</v>
      </c>
      <c r="Z185" s="109">
        <f t="shared" si="162"/>
        <v>138000.00000000003</v>
      </c>
      <c r="AA185" s="109">
        <f>'CALCULO GERAL'!$G$10</f>
        <v>6300</v>
      </c>
      <c r="AB185" s="109">
        <f t="shared" si="163"/>
        <v>144300.00000000003</v>
      </c>
      <c r="AC185" s="109">
        <f>AB185*'CALCULO GERAL'!$C$11</f>
        <v>724241.70000000019</v>
      </c>
      <c r="AD185" s="109">
        <f t="shared" si="164"/>
        <v>188302.84200000006</v>
      </c>
      <c r="AE185" s="109">
        <f t="shared" si="165"/>
        <v>0</v>
      </c>
      <c r="AF185" s="109">
        <f t="shared" si="166"/>
        <v>15209.075700000005</v>
      </c>
      <c r="AG185" s="109">
        <f t="shared" si="167"/>
        <v>77131.741050000011</v>
      </c>
      <c r="AH185" s="109">
        <v>154.22999999999999</v>
      </c>
      <c r="AI185" s="109">
        <f>((AA185*'CALCULO GERAL'!$C$11))*0.08+20</f>
        <v>2549.576</v>
      </c>
      <c r="AJ185" s="109">
        <v>1010</v>
      </c>
      <c r="AK185" s="109">
        <v>2500</v>
      </c>
      <c r="AL185" s="109">
        <f>(AA185*('CALCULO GERAL'!$C$11*1.02))-(AA185*'CALCULO GERAL'!$C$11)</f>
        <v>632.39400000000387</v>
      </c>
      <c r="AM185" s="109">
        <v>1800</v>
      </c>
      <c r="AN185" s="109">
        <v>2600</v>
      </c>
      <c r="AO185" s="109">
        <v>9400</v>
      </c>
      <c r="AP185" s="109">
        <v>1000</v>
      </c>
      <c r="AQ185" s="109">
        <v>0</v>
      </c>
      <c r="AR185" s="109">
        <v>0</v>
      </c>
      <c r="AS185" s="109"/>
      <c r="AT185" s="109">
        <f t="shared" si="188"/>
        <v>1026531.5587500003</v>
      </c>
      <c r="AU185" s="111">
        <f t="shared" si="168"/>
        <v>17.108859312500005</v>
      </c>
      <c r="AV185" s="109">
        <f>IFERROR((BS185*'CALCULO GERAL'!$E$11)/N185,0)</f>
        <v>0.41958840000000003</v>
      </c>
      <c r="AW185" s="109">
        <f>AU185/'CALCULO GERAL'!$C$11</f>
        <v>3.4088183527595146</v>
      </c>
      <c r="AX185" s="109">
        <f>BP185-BB185-BD185*'CALCULO GERAL'!$C$11</f>
        <v>20.664728699999998</v>
      </c>
      <c r="AY185" s="109">
        <f t="shared" si="169"/>
        <v>0.34096802355</v>
      </c>
      <c r="AZ185" s="109">
        <f t="shared" si="170"/>
        <v>1.5705193811999998</v>
      </c>
      <c r="BA185" s="109">
        <f t="shared" si="171"/>
        <v>20.979419999999998</v>
      </c>
      <c r="BB185" s="109">
        <f t="shared" si="172"/>
        <v>0.31469129999999995</v>
      </c>
      <c r="BC185" s="109">
        <f t="shared" si="173"/>
        <v>20.979419999999998</v>
      </c>
      <c r="BD185" s="109">
        <f t="shared" si="174"/>
        <v>0</v>
      </c>
      <c r="BE185" s="109">
        <f t="shared" si="175"/>
        <v>100701.216</v>
      </c>
      <c r="BF185" s="109">
        <f t="shared" si="176"/>
        <v>151051.82399999999</v>
      </c>
      <c r="BG185" s="109">
        <f t="shared" si="177"/>
        <v>0.22657773599999997</v>
      </c>
      <c r="BH185" s="109">
        <f t="shared" si="178"/>
        <v>0.25175303999999998</v>
      </c>
      <c r="BI185" s="109">
        <f t="shared" si="179"/>
        <v>-6.7835376666666683E-2</v>
      </c>
      <c r="BJ185" s="109">
        <f t="shared" si="180"/>
        <v>3.0562625040833327</v>
      </c>
      <c r="BK185" s="109">
        <f t="shared" si="181"/>
        <v>20.165121816583337</v>
      </c>
      <c r="BL185" s="148">
        <v>0.83</v>
      </c>
      <c r="BM185" s="112">
        <f>ROUND((AW185/BL185)+((AW185*BL185)*'CALCULO GERAL'!$E$11)/BL185,2)</f>
        <v>4.18</v>
      </c>
      <c r="BN185" s="186">
        <f t="shared" si="189"/>
        <v>4.18</v>
      </c>
      <c r="BO185" s="186">
        <f t="shared" si="190"/>
        <v>4.8979999999999997</v>
      </c>
      <c r="BP185" s="109">
        <f>BM185*'CALCULO GERAL'!$C$11</f>
        <v>20.979419999999998</v>
      </c>
      <c r="BQ185" s="109">
        <f>BO185*'CALCULO GERAL'!$C$11</f>
        <v>24.583061999999998</v>
      </c>
      <c r="BR185" s="186">
        <f>BN185*'CALCULO GERAL'!$C$11</f>
        <v>20.979419999999998</v>
      </c>
      <c r="BS185" s="109">
        <f t="shared" si="183"/>
        <v>1258765.2</v>
      </c>
      <c r="BT185" s="109">
        <f t="shared" si="187"/>
        <v>232233.64124999964</v>
      </c>
      <c r="BU185" s="109">
        <f t="shared" si="184"/>
        <v>1258765.2</v>
      </c>
      <c r="BV185" s="109">
        <f t="shared" si="194"/>
        <v>1209907.3089950003</v>
      </c>
      <c r="BW185" s="109">
        <f t="shared" si="191"/>
        <v>48857.891004999634</v>
      </c>
      <c r="BX185" s="114">
        <f t="shared" si="185"/>
        <v>3.8814141831216523E-2</v>
      </c>
      <c r="BY185" s="152">
        <f t="shared" si="195"/>
        <v>0.83</v>
      </c>
      <c r="CA185" s="55"/>
      <c r="CB185" s="113"/>
      <c r="CC185" s="113"/>
      <c r="CE185" s="152">
        <f t="shared" si="196"/>
        <v>0</v>
      </c>
      <c r="CF185" s="152">
        <f t="shared" si="192"/>
        <v>1</v>
      </c>
      <c r="CG185" s="152">
        <f t="shared" si="193"/>
        <v>1</v>
      </c>
      <c r="CH185" s="34"/>
      <c r="CJ185" s="11"/>
      <c r="CK185" s="11"/>
    </row>
    <row r="186" spans="1:89" s="152" customFormat="1" x14ac:dyDescent="0.2">
      <c r="A186" s="269" t="s">
        <v>319</v>
      </c>
      <c r="B186" s="187" t="s">
        <v>297</v>
      </c>
      <c r="C186" s="8">
        <v>0.26</v>
      </c>
      <c r="D186" s="8">
        <v>0</v>
      </c>
      <c r="E186" s="7">
        <v>2.1000000000000001E-2</v>
      </c>
      <c r="F186" s="7">
        <v>0.1065</v>
      </c>
      <c r="G186" s="1">
        <v>1.6500000000000001E-2</v>
      </c>
      <c r="H186" s="1">
        <v>7.5999999999999998E-2</v>
      </c>
      <c r="I186" s="1">
        <v>0.18</v>
      </c>
      <c r="J186" s="1">
        <v>0.04</v>
      </c>
      <c r="K186" s="1">
        <v>0.14000000000000001</v>
      </c>
      <c r="L186" s="1">
        <v>1.4999999999999999E-2</v>
      </c>
      <c r="M186" s="2" t="s">
        <v>175</v>
      </c>
      <c r="N186" s="105">
        <v>75000</v>
      </c>
      <c r="O186" s="119"/>
      <c r="P186" s="119"/>
      <c r="Q186" s="119"/>
      <c r="R186" s="119"/>
      <c r="S186" s="119"/>
      <c r="T186" s="119">
        <f>T182+0.1</f>
        <v>3.7</v>
      </c>
      <c r="U186" s="119"/>
      <c r="V186" s="119"/>
      <c r="W186" s="119"/>
      <c r="X186" s="119">
        <f t="shared" si="160"/>
        <v>3.7</v>
      </c>
      <c r="Y186" s="118">
        <f t="shared" si="161"/>
        <v>3.7</v>
      </c>
      <c r="Z186" s="109">
        <f t="shared" si="162"/>
        <v>277500</v>
      </c>
      <c r="AA186" s="109">
        <f>'CALCULO GERAL'!$G$10</f>
        <v>6300</v>
      </c>
      <c r="AB186" s="109">
        <f t="shared" si="163"/>
        <v>283800</v>
      </c>
      <c r="AC186" s="109">
        <f>AB186*'CALCULO GERAL'!$C$11</f>
        <v>1424392.2</v>
      </c>
      <c r="AD186" s="109">
        <f t="shared" si="164"/>
        <v>370341.97200000001</v>
      </c>
      <c r="AE186" s="109">
        <f t="shared" si="165"/>
        <v>0</v>
      </c>
      <c r="AF186" s="109">
        <f t="shared" si="166"/>
        <v>29912.236199999999</v>
      </c>
      <c r="AG186" s="109">
        <f t="shared" si="167"/>
        <v>151697.76929999999</v>
      </c>
      <c r="AH186" s="109">
        <v>154.22999999999999</v>
      </c>
      <c r="AI186" s="109">
        <f>((AA186*'CALCULO GERAL'!$C$11))*0.08+20</f>
        <v>2549.576</v>
      </c>
      <c r="AJ186" s="109">
        <v>1010</v>
      </c>
      <c r="AK186" s="109">
        <v>2500</v>
      </c>
      <c r="AL186" s="109">
        <f>(AA186*('CALCULO GERAL'!$C$11*1.02))-(AA186*'CALCULO GERAL'!$C$11)</f>
        <v>632.39400000000387</v>
      </c>
      <c r="AM186" s="109">
        <v>1800</v>
      </c>
      <c r="AN186" s="109">
        <v>2600</v>
      </c>
      <c r="AO186" s="109">
        <v>9400</v>
      </c>
      <c r="AP186" s="109">
        <v>1000</v>
      </c>
      <c r="AQ186" s="109">
        <v>0</v>
      </c>
      <c r="AR186" s="109">
        <v>0</v>
      </c>
      <c r="AS186" s="109"/>
      <c r="AT186" s="109">
        <f t="shared" si="188"/>
        <v>1997990.3774999999</v>
      </c>
      <c r="AU186" s="111">
        <f t="shared" si="168"/>
        <v>26.6398717</v>
      </c>
      <c r="AV186" s="109">
        <f>IFERROR((BS186*'CALCULO GERAL'!$E$11)/N186,0)</f>
        <v>0.61633320000000003</v>
      </c>
      <c r="AW186" s="109">
        <f>AU186/'CALCULO GERAL'!$C$11</f>
        <v>5.3078046822076113</v>
      </c>
      <c r="AX186" s="109">
        <f>BP186-BB186-BD186*'CALCULO GERAL'!$C$11</f>
        <v>30.354410099999999</v>
      </c>
      <c r="AY186" s="109">
        <f t="shared" si="169"/>
        <v>0.50084776664999997</v>
      </c>
      <c r="AZ186" s="109">
        <f t="shared" si="170"/>
        <v>2.3069351675999998</v>
      </c>
      <c r="BA186" s="109">
        <f t="shared" si="171"/>
        <v>30.816659999999999</v>
      </c>
      <c r="BB186" s="109">
        <f t="shared" si="172"/>
        <v>0.46224989999999999</v>
      </c>
      <c r="BC186" s="109">
        <f t="shared" si="173"/>
        <v>30.816659999999999</v>
      </c>
      <c r="BD186" s="109">
        <f t="shared" si="174"/>
        <v>0</v>
      </c>
      <c r="BE186" s="109">
        <f t="shared" si="175"/>
        <v>184899.96</v>
      </c>
      <c r="BF186" s="109">
        <f t="shared" si="176"/>
        <v>277349.94</v>
      </c>
      <c r="BG186" s="109">
        <f t="shared" si="177"/>
        <v>0.33281992799999999</v>
      </c>
      <c r="BH186" s="109">
        <f t="shared" si="178"/>
        <v>0.36979992</v>
      </c>
      <c r="BI186" s="109">
        <f t="shared" si="179"/>
        <v>-0.16653329333333336</v>
      </c>
      <c r="BJ186" s="109">
        <f t="shared" si="180"/>
        <v>4.4224525889166664</v>
      </c>
      <c r="BK186" s="109">
        <f t="shared" si="181"/>
        <v>31.062324288916667</v>
      </c>
      <c r="BL186" s="148">
        <v>0.88</v>
      </c>
      <c r="BM186" s="112">
        <f>ROUND((AW186/BL186)+((AW186*BL186)*'CALCULO GERAL'!$E$11)/BL186,2)</f>
        <v>6.14</v>
      </c>
      <c r="BN186" s="186">
        <f t="shared" si="189"/>
        <v>6.14</v>
      </c>
      <c r="BO186" s="186">
        <f t="shared" si="190"/>
        <v>7.194</v>
      </c>
      <c r="BP186" s="109">
        <f>BM186*'CALCULO GERAL'!$C$11</f>
        <v>30.816659999999999</v>
      </c>
      <c r="BQ186" s="109">
        <f>BO186*'CALCULO GERAL'!$C$11</f>
        <v>36.106686000000003</v>
      </c>
      <c r="BR186" s="186">
        <f>BN186*'CALCULO GERAL'!$C$11</f>
        <v>30.816659999999999</v>
      </c>
      <c r="BS186" s="109">
        <f t="shared" si="183"/>
        <v>2311249.5</v>
      </c>
      <c r="BT186" s="109">
        <f t="shared" si="187"/>
        <v>313259.12250000006</v>
      </c>
      <c r="BU186" s="109">
        <f t="shared" si="184"/>
        <v>2311249.5</v>
      </c>
      <c r="BV186" s="109">
        <f t="shared" si="194"/>
        <v>2329674.3216687501</v>
      </c>
      <c r="BW186" s="109">
        <f t="shared" si="191"/>
        <v>-18424.821668750141</v>
      </c>
      <c r="BX186" s="114">
        <f t="shared" si="185"/>
        <v>-7.9718012567445186E-3</v>
      </c>
      <c r="BY186" s="152">
        <f t="shared" si="195"/>
        <v>0.88</v>
      </c>
      <c r="CA186" s="55"/>
      <c r="CB186" s="113"/>
      <c r="CC186" s="113"/>
      <c r="CE186" s="152">
        <f t="shared" si="196"/>
        <v>0</v>
      </c>
      <c r="CF186" s="152">
        <f t="shared" si="192"/>
        <v>1</v>
      </c>
      <c r="CG186" s="152">
        <f t="shared" si="193"/>
        <v>1</v>
      </c>
      <c r="CH186" s="34"/>
      <c r="CJ186" s="11"/>
      <c r="CK186" s="11"/>
    </row>
    <row r="187" spans="1:89" s="152" customFormat="1" x14ac:dyDescent="0.2">
      <c r="A187" s="269" t="s">
        <v>320</v>
      </c>
      <c r="B187" s="187" t="s">
        <v>297</v>
      </c>
      <c r="C187" s="8">
        <v>0.26</v>
      </c>
      <c r="D187" s="8">
        <v>0</v>
      </c>
      <c r="E187" s="7">
        <v>2.1000000000000001E-2</v>
      </c>
      <c r="F187" s="7">
        <v>0.1065</v>
      </c>
      <c r="G187" s="1">
        <v>1.6500000000000001E-2</v>
      </c>
      <c r="H187" s="1">
        <v>7.5999999999999998E-2</v>
      </c>
      <c r="I187" s="1">
        <v>0.18</v>
      </c>
      <c r="J187" s="1">
        <v>0.04</v>
      </c>
      <c r="K187" s="1">
        <v>0.14000000000000001</v>
      </c>
      <c r="L187" s="1">
        <v>1.4999999999999999E-2</v>
      </c>
      <c r="M187" s="2" t="s">
        <v>175</v>
      </c>
      <c r="N187" s="105">
        <v>60000</v>
      </c>
      <c r="O187" s="119"/>
      <c r="P187" s="119"/>
      <c r="Q187" s="119"/>
      <c r="R187" s="119"/>
      <c r="S187" s="119"/>
      <c r="T187" s="119">
        <f>T182+0.1</f>
        <v>3.7</v>
      </c>
      <c r="U187" s="119"/>
      <c r="V187" s="119"/>
      <c r="W187" s="119"/>
      <c r="X187" s="119">
        <f t="shared" si="160"/>
        <v>3.7</v>
      </c>
      <c r="Y187" s="118">
        <f t="shared" si="161"/>
        <v>3.7</v>
      </c>
      <c r="Z187" s="109">
        <f t="shared" si="162"/>
        <v>222000</v>
      </c>
      <c r="AA187" s="109">
        <f>'CALCULO GERAL'!$G$10</f>
        <v>6300</v>
      </c>
      <c r="AB187" s="109">
        <f t="shared" si="163"/>
        <v>228300</v>
      </c>
      <c r="AC187" s="109">
        <f>AB187*'CALCULO GERAL'!$C$11</f>
        <v>1145837.7</v>
      </c>
      <c r="AD187" s="109">
        <f t="shared" si="164"/>
        <v>297917.80200000003</v>
      </c>
      <c r="AE187" s="109">
        <f t="shared" si="165"/>
        <v>0</v>
      </c>
      <c r="AF187" s="109">
        <f t="shared" si="166"/>
        <v>24062.591700000001</v>
      </c>
      <c r="AG187" s="109">
        <f t="shared" si="167"/>
        <v>122031.71505</v>
      </c>
      <c r="AH187" s="109">
        <v>154.22999999999999</v>
      </c>
      <c r="AI187" s="109">
        <f>((AA187*'CALCULO GERAL'!$C$11))*0.08+20</f>
        <v>2549.576</v>
      </c>
      <c r="AJ187" s="109">
        <v>1010</v>
      </c>
      <c r="AK187" s="109">
        <v>2500</v>
      </c>
      <c r="AL187" s="109">
        <f>(AA187*('CALCULO GERAL'!$C$11*1.02))-(AA187*'CALCULO GERAL'!$C$11)</f>
        <v>632.39400000000387</v>
      </c>
      <c r="AM187" s="109">
        <v>1800</v>
      </c>
      <c r="AN187" s="109">
        <v>2600</v>
      </c>
      <c r="AO187" s="109">
        <v>9400</v>
      </c>
      <c r="AP187" s="109">
        <v>1000</v>
      </c>
      <c r="AQ187" s="109">
        <v>0</v>
      </c>
      <c r="AR187" s="109">
        <v>0</v>
      </c>
      <c r="AS187" s="109"/>
      <c r="AT187" s="109">
        <f t="shared" si="188"/>
        <v>1611496.0087499998</v>
      </c>
      <c r="AU187" s="111">
        <f t="shared" si="168"/>
        <v>26.858266812499998</v>
      </c>
      <c r="AV187" s="109">
        <f>IFERROR((BS187*'CALCULO GERAL'!$E$11)/N187,0)</f>
        <v>0.63139020000000001</v>
      </c>
      <c r="AW187" s="109">
        <f>AU187/'CALCULO GERAL'!$C$11</f>
        <v>5.3513183527595132</v>
      </c>
      <c r="AX187" s="109">
        <f>BP187-BB187-BD187*'CALCULO GERAL'!$C$11</f>
        <v>31.095967350000002</v>
      </c>
      <c r="AY187" s="109">
        <f t="shared" si="169"/>
        <v>0.51308346127500004</v>
      </c>
      <c r="AZ187" s="109">
        <f t="shared" si="170"/>
        <v>2.3632935185999999</v>
      </c>
      <c r="BA187" s="109">
        <f t="shared" si="171"/>
        <v>31.569510000000001</v>
      </c>
      <c r="BB187" s="109">
        <f t="shared" si="172"/>
        <v>0.47354265000000001</v>
      </c>
      <c r="BC187" s="109">
        <f t="shared" si="173"/>
        <v>31.569510000000001</v>
      </c>
      <c r="BD187" s="109">
        <f t="shared" si="174"/>
        <v>0</v>
      </c>
      <c r="BE187" s="109">
        <f t="shared" si="175"/>
        <v>151533.64800000002</v>
      </c>
      <c r="BF187" s="109">
        <f t="shared" si="176"/>
        <v>227300.47200000001</v>
      </c>
      <c r="BG187" s="109">
        <f t="shared" si="177"/>
        <v>0.34095070799999999</v>
      </c>
      <c r="BH187" s="109">
        <f t="shared" si="178"/>
        <v>0.37883412</v>
      </c>
      <c r="BI187" s="109">
        <f t="shared" si="179"/>
        <v>-0.15255609666666672</v>
      </c>
      <c r="BJ187" s="109">
        <f t="shared" si="180"/>
        <v>4.5485385612083338</v>
      </c>
      <c r="BK187" s="109">
        <f t="shared" si="181"/>
        <v>31.40680537370833</v>
      </c>
      <c r="BL187" s="148">
        <v>0.86499999999999999</v>
      </c>
      <c r="BM187" s="112">
        <f>ROUND((AW187/BL187)+((AW187*BL187)*'CALCULO GERAL'!$E$11)/BL187,2)</f>
        <v>6.29</v>
      </c>
      <c r="BN187" s="186">
        <f t="shared" si="189"/>
        <v>6.29</v>
      </c>
      <c r="BO187" s="186">
        <f t="shared" si="190"/>
        <v>7.37</v>
      </c>
      <c r="BP187" s="109">
        <f>BM187*'CALCULO GERAL'!$C$11</f>
        <v>31.569510000000001</v>
      </c>
      <c r="BQ187" s="109">
        <f>BO187*'CALCULO GERAL'!$C$11</f>
        <v>36.990030000000004</v>
      </c>
      <c r="BR187" s="186">
        <f>BN187*'CALCULO GERAL'!$C$11</f>
        <v>31.569510000000001</v>
      </c>
      <c r="BS187" s="109">
        <f t="shared" si="183"/>
        <v>1894170.6</v>
      </c>
      <c r="BT187" s="109">
        <f t="shared" si="187"/>
        <v>282674.59125000029</v>
      </c>
      <c r="BU187" s="109">
        <f t="shared" si="184"/>
        <v>1894170.6</v>
      </c>
      <c r="BV187" s="109">
        <f t="shared" si="194"/>
        <v>1884408.3224224998</v>
      </c>
      <c r="BW187" s="109">
        <f t="shared" si="191"/>
        <v>9762.2775775003247</v>
      </c>
      <c r="BX187" s="114">
        <f t="shared" si="185"/>
        <v>5.1538533949900414E-3</v>
      </c>
      <c r="BY187" s="152">
        <f t="shared" si="195"/>
        <v>0.87</v>
      </c>
      <c r="CA187" s="55"/>
      <c r="CB187" s="113"/>
      <c r="CC187" s="113"/>
      <c r="CE187" s="152">
        <f t="shared" si="196"/>
        <v>0</v>
      </c>
      <c r="CF187" s="152">
        <f t="shared" si="192"/>
        <v>1</v>
      </c>
      <c r="CG187" s="152">
        <f t="shared" si="193"/>
        <v>1</v>
      </c>
      <c r="CH187" s="34"/>
      <c r="CJ187" s="11"/>
      <c r="CK187" s="11"/>
    </row>
    <row r="188" spans="1:89" s="152" customFormat="1" x14ac:dyDescent="0.2">
      <c r="A188" s="269" t="s">
        <v>321</v>
      </c>
      <c r="B188" s="187" t="s">
        <v>297</v>
      </c>
      <c r="C188" s="8">
        <v>0.26</v>
      </c>
      <c r="D188" s="8">
        <v>0</v>
      </c>
      <c r="E188" s="7">
        <v>2.1000000000000001E-2</v>
      </c>
      <c r="F188" s="7">
        <v>0.1065</v>
      </c>
      <c r="G188" s="1">
        <v>1.6500000000000001E-2</v>
      </c>
      <c r="H188" s="1">
        <v>7.5999999999999998E-2</v>
      </c>
      <c r="I188" s="1">
        <v>0.18</v>
      </c>
      <c r="J188" s="1">
        <v>0.04</v>
      </c>
      <c r="K188" s="1">
        <v>0.14000000000000001</v>
      </c>
      <c r="L188" s="1">
        <v>1.4999999999999999E-2</v>
      </c>
      <c r="M188" s="2" t="s">
        <v>175</v>
      </c>
      <c r="N188" s="105">
        <v>60000</v>
      </c>
      <c r="O188" s="119"/>
      <c r="P188" s="119"/>
      <c r="Q188" s="119"/>
      <c r="R188" s="119"/>
      <c r="S188" s="119"/>
      <c r="T188" s="119">
        <f>T183+0.1</f>
        <v>3.95</v>
      </c>
      <c r="U188" s="119"/>
      <c r="V188" s="119"/>
      <c r="W188" s="119"/>
      <c r="X188" s="119">
        <f t="shared" si="160"/>
        <v>3.95</v>
      </c>
      <c r="Y188" s="118">
        <f t="shared" si="161"/>
        <v>3.95</v>
      </c>
      <c r="Z188" s="109">
        <f t="shared" si="162"/>
        <v>237000</v>
      </c>
      <c r="AA188" s="109">
        <f>'CALCULO GERAL'!$G$10</f>
        <v>6300</v>
      </c>
      <c r="AB188" s="109">
        <f t="shared" si="163"/>
        <v>243300</v>
      </c>
      <c r="AC188" s="109">
        <f>AB188*'CALCULO GERAL'!$C$11</f>
        <v>1221122.7</v>
      </c>
      <c r="AD188" s="109">
        <f t="shared" si="164"/>
        <v>317491.902</v>
      </c>
      <c r="AE188" s="109">
        <f t="shared" si="165"/>
        <v>0</v>
      </c>
      <c r="AF188" s="109">
        <f t="shared" si="166"/>
        <v>25643.576700000001</v>
      </c>
      <c r="AG188" s="109">
        <f t="shared" si="167"/>
        <v>130049.56754999999</v>
      </c>
      <c r="AH188" s="109">
        <v>154.22999999999999</v>
      </c>
      <c r="AI188" s="109">
        <f>((AA188*'CALCULO GERAL'!$C$11))*0.08+20</f>
        <v>2549.576</v>
      </c>
      <c r="AJ188" s="109">
        <v>1010</v>
      </c>
      <c r="AK188" s="109">
        <v>2500</v>
      </c>
      <c r="AL188" s="109">
        <f>(AA188*('CALCULO GERAL'!$C$11*1.02))-(AA188*'CALCULO GERAL'!$C$11)</f>
        <v>632.39400000000387</v>
      </c>
      <c r="AM188" s="109">
        <v>1800</v>
      </c>
      <c r="AN188" s="109">
        <v>2600</v>
      </c>
      <c r="AO188" s="109">
        <v>9400</v>
      </c>
      <c r="AP188" s="109">
        <v>1000</v>
      </c>
      <c r="AQ188" s="109">
        <v>0</v>
      </c>
      <c r="AR188" s="109">
        <v>0</v>
      </c>
      <c r="AS188" s="109"/>
      <c r="AT188" s="109">
        <f t="shared" si="188"/>
        <v>1715953.94625</v>
      </c>
      <c r="AU188" s="111">
        <f t="shared" si="168"/>
        <v>28.5992324375</v>
      </c>
      <c r="AV188" s="109">
        <f>IFERROR((BS188*'CALCULO GERAL'!$E$11)/N188,0)</f>
        <v>0.66853080000000009</v>
      </c>
      <c r="AW188" s="109">
        <f>AU188/'CALCULO GERAL'!$C$11</f>
        <v>5.6981933527595139</v>
      </c>
      <c r="AX188" s="109">
        <f>BP188-BB188-BD188*'CALCULO GERAL'!$C$11</f>
        <v>32.9251419</v>
      </c>
      <c r="AY188" s="109">
        <f t="shared" si="169"/>
        <v>0.54326484134999997</v>
      </c>
      <c r="AZ188" s="109">
        <f t="shared" si="170"/>
        <v>2.5023107844000001</v>
      </c>
      <c r="BA188" s="109">
        <f t="shared" si="171"/>
        <v>33.426540000000003</v>
      </c>
      <c r="BB188" s="109">
        <f t="shared" si="172"/>
        <v>0.50139810000000007</v>
      </c>
      <c r="BC188" s="109">
        <f t="shared" si="173"/>
        <v>33.426540000000003</v>
      </c>
      <c r="BD188" s="109">
        <f t="shared" si="174"/>
        <v>0</v>
      </c>
      <c r="BE188" s="109">
        <f t="shared" si="175"/>
        <v>160447.39200000002</v>
      </c>
      <c r="BF188" s="109">
        <f t="shared" si="176"/>
        <v>240671.08800000002</v>
      </c>
      <c r="BG188" s="109">
        <f t="shared" si="177"/>
        <v>0.36100663199999999</v>
      </c>
      <c r="BH188" s="109">
        <f t="shared" si="178"/>
        <v>0.40111848000000005</v>
      </c>
      <c r="BI188" s="109">
        <f t="shared" si="179"/>
        <v>-0.16741233666666672</v>
      </c>
      <c r="BJ188" s="109">
        <f t="shared" si="180"/>
        <v>4.8102173010833331</v>
      </c>
      <c r="BK188" s="109">
        <f t="shared" si="181"/>
        <v>33.409449738583334</v>
      </c>
      <c r="BL188" s="148">
        <v>0.87</v>
      </c>
      <c r="BM188" s="112">
        <f>ROUND((AW188/BL188)+((AW188*BL188)*'CALCULO GERAL'!$E$11)/BL188,2)</f>
        <v>6.66</v>
      </c>
      <c r="BN188" s="186">
        <f t="shared" si="189"/>
        <v>6.66</v>
      </c>
      <c r="BO188" s="186">
        <f t="shared" si="190"/>
        <v>7.8029999999999999</v>
      </c>
      <c r="BP188" s="109">
        <f>BM188*'CALCULO GERAL'!$C$11</f>
        <v>33.426540000000003</v>
      </c>
      <c r="BQ188" s="109">
        <f>BO188*'CALCULO GERAL'!$C$11</f>
        <v>39.163257000000002</v>
      </c>
      <c r="BR188" s="186">
        <f>BN188*'CALCULO GERAL'!$C$11</f>
        <v>33.426540000000003</v>
      </c>
      <c r="BS188" s="109">
        <f t="shared" si="183"/>
        <v>2005592.4000000001</v>
      </c>
      <c r="BT188" s="109">
        <f t="shared" si="187"/>
        <v>289638.4537500001</v>
      </c>
      <c r="BU188" s="109">
        <f t="shared" si="184"/>
        <v>2005592.4000000001</v>
      </c>
      <c r="BV188" s="109">
        <f t="shared" si="194"/>
        <v>2004566.984315</v>
      </c>
      <c r="BW188" s="109">
        <f t="shared" si="191"/>
        <v>1025.4156850001309</v>
      </c>
      <c r="BX188" s="114">
        <f t="shared" si="185"/>
        <v>5.1127820637938742E-4</v>
      </c>
      <c r="BY188" s="152">
        <f t="shared" si="195"/>
        <v>0.87</v>
      </c>
      <c r="CA188" s="55"/>
      <c r="CB188" s="113"/>
      <c r="CC188" s="113"/>
      <c r="CE188" s="152">
        <f t="shared" si="196"/>
        <v>0</v>
      </c>
      <c r="CF188" s="152">
        <f t="shared" si="192"/>
        <v>1</v>
      </c>
      <c r="CG188" s="152">
        <f t="shared" si="193"/>
        <v>1</v>
      </c>
      <c r="CH188" s="34"/>
      <c r="CJ188" s="11"/>
      <c r="CK188" s="11"/>
    </row>
    <row r="189" spans="1:89" s="152" customFormat="1" x14ac:dyDescent="0.2">
      <c r="A189" s="269" t="s">
        <v>322</v>
      </c>
      <c r="B189" s="187" t="s">
        <v>297</v>
      </c>
      <c r="C189" s="8">
        <v>0.26</v>
      </c>
      <c r="D189" s="8">
        <v>0</v>
      </c>
      <c r="E189" s="7">
        <v>2.1000000000000001E-2</v>
      </c>
      <c r="F189" s="7">
        <v>0.1065</v>
      </c>
      <c r="G189" s="1">
        <v>1.6500000000000001E-2</v>
      </c>
      <c r="H189" s="1">
        <v>7.5999999999999998E-2</v>
      </c>
      <c r="I189" s="1">
        <v>0.18</v>
      </c>
      <c r="J189" s="1">
        <v>0.04</v>
      </c>
      <c r="K189" s="1">
        <v>0.14000000000000001</v>
      </c>
      <c r="L189" s="1">
        <v>1.4999999999999999E-2</v>
      </c>
      <c r="M189" s="2" t="s">
        <v>175</v>
      </c>
      <c r="N189" s="105">
        <v>60000</v>
      </c>
      <c r="O189" s="119"/>
      <c r="P189" s="119"/>
      <c r="Q189" s="119"/>
      <c r="R189" s="119"/>
      <c r="S189" s="119"/>
      <c r="T189" s="119"/>
      <c r="U189" s="119"/>
      <c r="V189" s="119">
        <v>3.05</v>
      </c>
      <c r="W189" s="119"/>
      <c r="X189" s="119">
        <f t="shared" si="160"/>
        <v>3.05</v>
      </c>
      <c r="Y189" s="118">
        <f t="shared" si="161"/>
        <v>3.05</v>
      </c>
      <c r="Z189" s="109">
        <f t="shared" si="162"/>
        <v>183000</v>
      </c>
      <c r="AA189" s="109">
        <f>'CALCULO GERAL'!$G$10</f>
        <v>6300</v>
      </c>
      <c r="AB189" s="109">
        <f t="shared" si="163"/>
        <v>189300</v>
      </c>
      <c r="AC189" s="109">
        <f>AB189*'CALCULO GERAL'!$C$11</f>
        <v>950096.70000000007</v>
      </c>
      <c r="AD189" s="109">
        <f t="shared" si="164"/>
        <v>247025.14200000002</v>
      </c>
      <c r="AE189" s="109">
        <f t="shared" si="165"/>
        <v>0</v>
      </c>
      <c r="AF189" s="109">
        <f t="shared" si="166"/>
        <v>19952.030700000003</v>
      </c>
      <c r="AG189" s="109">
        <f t="shared" si="167"/>
        <v>101185.29855000001</v>
      </c>
      <c r="AH189" s="109">
        <v>154.22999999999999</v>
      </c>
      <c r="AI189" s="109">
        <f>((AA189*'CALCULO GERAL'!$C$11))*0.08+20</f>
        <v>2549.576</v>
      </c>
      <c r="AJ189" s="109">
        <v>1010</v>
      </c>
      <c r="AK189" s="109">
        <v>2500</v>
      </c>
      <c r="AL189" s="109">
        <f>(AA189*('CALCULO GERAL'!$C$11*1.02))-(AA189*'CALCULO GERAL'!$C$11)</f>
        <v>632.39400000000387</v>
      </c>
      <c r="AM189" s="109">
        <v>1800</v>
      </c>
      <c r="AN189" s="109">
        <v>2600</v>
      </c>
      <c r="AO189" s="109">
        <v>9400</v>
      </c>
      <c r="AP189" s="109">
        <v>1000</v>
      </c>
      <c r="AQ189" s="109">
        <v>0</v>
      </c>
      <c r="AR189" s="109">
        <v>0</v>
      </c>
      <c r="AS189" s="109"/>
      <c r="AT189" s="109">
        <f t="shared" si="188"/>
        <v>1339905.3712500001</v>
      </c>
      <c r="AU189" s="111">
        <f t="shared" si="168"/>
        <v>22.331756187500002</v>
      </c>
      <c r="AV189" s="109">
        <f>IFERROR((BS189*'CALCULO GERAL'!$E$11)/N189,0)</f>
        <v>0.521976</v>
      </c>
      <c r="AW189" s="109">
        <f>AU189/'CALCULO GERAL'!$C$11</f>
        <v>4.4494433527595136</v>
      </c>
      <c r="AX189" s="109">
        <f>BP189-BB189-BD189*'CALCULO GERAL'!$C$11</f>
        <v>25.707318000000001</v>
      </c>
      <c r="AY189" s="109">
        <f t="shared" si="169"/>
        <v>0.42417074700000001</v>
      </c>
      <c r="AZ189" s="109">
        <f t="shared" si="170"/>
        <v>1.953756168</v>
      </c>
      <c r="BA189" s="109">
        <f t="shared" si="171"/>
        <v>26.098800000000001</v>
      </c>
      <c r="BB189" s="109">
        <f t="shared" si="172"/>
        <v>0.391482</v>
      </c>
      <c r="BC189" s="109">
        <f t="shared" si="173"/>
        <v>26.098800000000001</v>
      </c>
      <c r="BD189" s="109">
        <f t="shared" si="174"/>
        <v>0</v>
      </c>
      <c r="BE189" s="109">
        <f t="shared" si="175"/>
        <v>125274.24000000001</v>
      </c>
      <c r="BF189" s="109">
        <f t="shared" si="176"/>
        <v>187911.36</v>
      </c>
      <c r="BG189" s="109">
        <f t="shared" si="177"/>
        <v>0.28186703999999996</v>
      </c>
      <c r="BH189" s="109">
        <f t="shared" si="178"/>
        <v>0.31318559999999995</v>
      </c>
      <c r="BI189" s="109">
        <f t="shared" si="179"/>
        <v>-0.10879041666666668</v>
      </c>
      <c r="BJ189" s="109">
        <f t="shared" si="180"/>
        <v>3.7776471383333328</v>
      </c>
      <c r="BK189" s="109">
        <f t="shared" si="181"/>
        <v>26.109403325833334</v>
      </c>
      <c r="BL189" s="148">
        <v>0.87</v>
      </c>
      <c r="BM189" s="112">
        <f>ROUND((AW189/BL189)+((AW189*BL189)*'CALCULO GERAL'!$E$11)/BL189,2)</f>
        <v>5.2</v>
      </c>
      <c r="BN189" s="186">
        <f t="shared" si="189"/>
        <v>5.2</v>
      </c>
      <c r="BO189" s="186">
        <f t="shared" si="190"/>
        <v>6.093</v>
      </c>
      <c r="BP189" s="109">
        <f>BM189*'CALCULO GERAL'!$C$11</f>
        <v>26.098800000000001</v>
      </c>
      <c r="BQ189" s="109">
        <f>BO189*'CALCULO GERAL'!$C$11</f>
        <v>30.580767000000002</v>
      </c>
      <c r="BR189" s="186">
        <f>BN189*'CALCULO GERAL'!$C$11</f>
        <v>26.098800000000001</v>
      </c>
      <c r="BS189" s="109">
        <f t="shared" si="183"/>
        <v>1565928</v>
      </c>
      <c r="BT189" s="109">
        <f t="shared" si="187"/>
        <v>226022.62874999992</v>
      </c>
      <c r="BU189" s="109">
        <f t="shared" si="184"/>
        <v>1565928</v>
      </c>
      <c r="BV189" s="109">
        <f t="shared" si="194"/>
        <v>1566564.19955</v>
      </c>
      <c r="BW189" s="109">
        <f t="shared" si="191"/>
        <v>-636.19955000001937</v>
      </c>
      <c r="BX189" s="114">
        <f t="shared" si="185"/>
        <v>-4.0627637413726518E-4</v>
      </c>
      <c r="BY189" s="152">
        <f t="shared" si="195"/>
        <v>0.87</v>
      </c>
      <c r="CA189" s="55"/>
      <c r="CB189" s="113"/>
      <c r="CC189" s="113"/>
      <c r="CE189" s="152">
        <f t="shared" si="196"/>
        <v>0</v>
      </c>
      <c r="CF189" s="152">
        <f t="shared" si="192"/>
        <v>1</v>
      </c>
      <c r="CG189" s="152">
        <f t="shared" si="193"/>
        <v>1</v>
      </c>
      <c r="CH189" s="34"/>
      <c r="CJ189" s="11"/>
      <c r="CK189" s="11"/>
    </row>
    <row r="190" spans="1:89" s="152" customFormat="1" x14ac:dyDescent="0.2">
      <c r="A190" s="125" t="s">
        <v>323</v>
      </c>
      <c r="B190" s="187" t="s">
        <v>297</v>
      </c>
      <c r="C190" s="8">
        <v>0.26</v>
      </c>
      <c r="D190" s="8">
        <v>0</v>
      </c>
      <c r="E190" s="7">
        <v>2.1000000000000001E-2</v>
      </c>
      <c r="F190" s="7">
        <v>0.1045</v>
      </c>
      <c r="G190" s="1">
        <v>1.6500000000000001E-2</v>
      </c>
      <c r="H190" s="1">
        <v>7.5999999999999998E-2</v>
      </c>
      <c r="I190" s="1">
        <v>0.18</v>
      </c>
      <c r="J190" s="1">
        <v>0.04</v>
      </c>
      <c r="K190" s="1">
        <v>0.14000000000000001</v>
      </c>
      <c r="L190" s="1">
        <v>1.4999999999999999E-2</v>
      </c>
      <c r="M190" s="2" t="s">
        <v>175</v>
      </c>
      <c r="N190" s="105">
        <v>54000</v>
      </c>
      <c r="O190" s="119">
        <v>2.85</v>
      </c>
      <c r="P190" s="119"/>
      <c r="Q190" s="119"/>
      <c r="R190" s="119"/>
      <c r="S190" s="119"/>
      <c r="T190" s="119"/>
      <c r="U190" s="119"/>
      <c r="V190" s="119"/>
      <c r="W190" s="119"/>
      <c r="X190" s="119">
        <f t="shared" si="160"/>
        <v>2.85</v>
      </c>
      <c r="Y190" s="118">
        <f t="shared" si="161"/>
        <v>2.85</v>
      </c>
      <c r="Z190" s="109">
        <f t="shared" si="162"/>
        <v>153900</v>
      </c>
      <c r="AA190" s="109">
        <f>'CALCULO GERAL'!$G$10</f>
        <v>6300</v>
      </c>
      <c r="AB190" s="109">
        <f t="shared" si="163"/>
        <v>160200</v>
      </c>
      <c r="AC190" s="109">
        <f>AB190*'CALCULO GERAL'!$C$11</f>
        <v>804043.8</v>
      </c>
      <c r="AD190" s="109">
        <f t="shared" si="164"/>
        <v>209051.38800000001</v>
      </c>
      <c r="AE190" s="109">
        <f t="shared" si="165"/>
        <v>0</v>
      </c>
      <c r="AF190" s="109">
        <f t="shared" si="166"/>
        <v>16884.919800000003</v>
      </c>
      <c r="AG190" s="109">
        <f t="shared" si="167"/>
        <v>84022.577099999995</v>
      </c>
      <c r="AH190" s="109">
        <v>154.22999999999999</v>
      </c>
      <c r="AI190" s="109">
        <f>((AA190*'CALCULO GERAL'!$C$11))*0.08+20</f>
        <v>2549.576</v>
      </c>
      <c r="AJ190" s="109">
        <v>1010</v>
      </c>
      <c r="AK190" s="109">
        <v>2500</v>
      </c>
      <c r="AL190" s="109">
        <f>(AA190*('CALCULO GERAL'!$C$11*1.02))-(AA190*'CALCULO GERAL'!$C$11)</f>
        <v>632.39400000000387</v>
      </c>
      <c r="AM190" s="109">
        <v>1800</v>
      </c>
      <c r="AN190" s="109">
        <v>2600</v>
      </c>
      <c r="AO190" s="109">
        <v>9400</v>
      </c>
      <c r="AP190" s="109">
        <v>1000</v>
      </c>
      <c r="AQ190" s="109">
        <v>0</v>
      </c>
      <c r="AR190" s="109">
        <v>0</v>
      </c>
      <c r="AS190" s="109"/>
      <c r="AT190" s="109">
        <f t="shared" si="188"/>
        <v>1135648.8849000002</v>
      </c>
      <c r="AU190" s="111">
        <f t="shared" si="168"/>
        <v>21.030534905555559</v>
      </c>
      <c r="AV190" s="109">
        <f>IFERROR((BS190*'CALCULO GERAL'!$E$11)/N190,0)</f>
        <v>0.49085819999999997</v>
      </c>
      <c r="AW190" s="109">
        <f>AU190/'CALCULO GERAL'!$C$11</f>
        <v>4.1901842808439049</v>
      </c>
      <c r="AX190" s="109">
        <f>BP190-BB190-BD190*'CALCULO GERAL'!$C$11</f>
        <v>24.174766349999999</v>
      </c>
      <c r="AY190" s="109">
        <f t="shared" si="169"/>
        <v>0.39888364477499999</v>
      </c>
      <c r="AZ190" s="109">
        <f t="shared" si="170"/>
        <v>1.8372822425999999</v>
      </c>
      <c r="BA190" s="109">
        <f t="shared" si="171"/>
        <v>24.542909999999999</v>
      </c>
      <c r="BB190" s="109">
        <f t="shared" si="172"/>
        <v>0.36814364999999999</v>
      </c>
      <c r="BC190" s="109">
        <f t="shared" si="173"/>
        <v>24.542909999999999</v>
      </c>
      <c r="BD190" s="109">
        <f t="shared" si="174"/>
        <v>0</v>
      </c>
      <c r="BE190" s="109">
        <f t="shared" si="175"/>
        <v>106025.37119999999</v>
      </c>
      <c r="BF190" s="109">
        <f t="shared" si="176"/>
        <v>159038.05679999999</v>
      </c>
      <c r="BG190" s="109">
        <f t="shared" si="177"/>
        <v>0.26506342799999999</v>
      </c>
      <c r="BH190" s="109">
        <f t="shared" si="178"/>
        <v>0.29451491999999996</v>
      </c>
      <c r="BI190" s="109">
        <f t="shared" si="179"/>
        <v>-8.5232187407407414E-2</v>
      </c>
      <c r="BJ190" s="109">
        <f t="shared" si="180"/>
        <v>3.5695138979675924</v>
      </c>
      <c r="BK190" s="109">
        <f t="shared" si="181"/>
        <v>24.600048803523151</v>
      </c>
      <c r="BL190" s="148">
        <v>0.872</v>
      </c>
      <c r="BM190" s="112">
        <f>ROUND((AW190/BL190)+((AW190*BL190)*'CALCULO GERAL'!$E$11)/BL190,2)</f>
        <v>4.8899999999999997</v>
      </c>
      <c r="BN190" s="186">
        <f t="shared" si="189"/>
        <v>4.8899999999999997</v>
      </c>
      <c r="BO190" s="186">
        <f t="shared" si="190"/>
        <v>5.7290000000000001</v>
      </c>
      <c r="BP190" s="109">
        <f>BM190*'CALCULO GERAL'!$C$11</f>
        <v>24.542909999999999</v>
      </c>
      <c r="BQ190" s="109">
        <f>BO190*'CALCULO GERAL'!$C$11</f>
        <v>28.753851000000001</v>
      </c>
      <c r="BR190" s="186">
        <f>BN190*'CALCULO GERAL'!$C$11</f>
        <v>24.542909999999999</v>
      </c>
      <c r="BS190" s="109">
        <f t="shared" si="183"/>
        <v>1325317.1399999999</v>
      </c>
      <c r="BT190" s="109">
        <f t="shared" si="187"/>
        <v>189668.25509999972</v>
      </c>
      <c r="BU190" s="109">
        <f t="shared" si="184"/>
        <v>1325317.1399999999</v>
      </c>
      <c r="BV190" s="109">
        <f t="shared" si="194"/>
        <v>1328402.6353902502</v>
      </c>
      <c r="BW190" s="109">
        <f t="shared" si="191"/>
        <v>-3085.4953902503476</v>
      </c>
      <c r="BX190" s="114">
        <f t="shared" si="185"/>
        <v>-2.3281185288604564E-3</v>
      </c>
      <c r="BY190" s="152">
        <f t="shared" si="195"/>
        <v>0.87</v>
      </c>
      <c r="CA190" s="55"/>
      <c r="CB190" s="113"/>
      <c r="CC190" s="113"/>
      <c r="CE190" s="152">
        <f t="shared" si="196"/>
        <v>0</v>
      </c>
      <c r="CF190" s="152">
        <f t="shared" si="192"/>
        <v>1</v>
      </c>
      <c r="CG190" s="152">
        <f t="shared" si="193"/>
        <v>1</v>
      </c>
      <c r="CH190" s="34"/>
      <c r="CJ190" s="11"/>
      <c r="CK190" s="11"/>
    </row>
    <row r="191" spans="1:89" s="152" customFormat="1" x14ac:dyDescent="0.2">
      <c r="A191" s="125" t="s">
        <v>324</v>
      </c>
      <c r="B191" s="187" t="s">
        <v>325</v>
      </c>
      <c r="C191" s="8">
        <v>0.26</v>
      </c>
      <c r="D191" s="8">
        <v>0</v>
      </c>
      <c r="E191" s="7">
        <v>2.1000000000000001E-2</v>
      </c>
      <c r="F191" s="7">
        <v>0.1045</v>
      </c>
      <c r="G191" s="1">
        <v>1.6500000000000001E-2</v>
      </c>
      <c r="H191" s="1">
        <v>7.5999999999999998E-2</v>
      </c>
      <c r="I191" s="1">
        <v>0.18</v>
      </c>
      <c r="J191" s="1">
        <v>0.04</v>
      </c>
      <c r="K191" s="1">
        <v>0.14000000000000001</v>
      </c>
      <c r="L191" s="1">
        <v>1.4999999999999999E-2</v>
      </c>
      <c r="M191" s="2" t="s">
        <v>175</v>
      </c>
      <c r="N191" s="105">
        <v>180000</v>
      </c>
      <c r="O191" s="119">
        <v>0.3</v>
      </c>
      <c r="P191" s="119">
        <v>0.28000000000000003</v>
      </c>
      <c r="Q191" s="119">
        <v>0.31</v>
      </c>
      <c r="R191" s="119"/>
      <c r="S191" s="119"/>
      <c r="T191" s="119"/>
      <c r="U191" s="119"/>
      <c r="V191" s="119"/>
      <c r="W191" s="119"/>
      <c r="X191" s="119">
        <f t="shared" si="160"/>
        <v>0.28000000000000003</v>
      </c>
      <c r="Y191" s="118">
        <f t="shared" si="161"/>
        <v>0.29666666666666669</v>
      </c>
      <c r="Z191" s="109">
        <f>X191*N191</f>
        <v>50400.000000000007</v>
      </c>
      <c r="AA191" s="109">
        <f>'CALCULO GERAL'!$G$10</f>
        <v>6300</v>
      </c>
      <c r="AB191" s="109">
        <f t="shared" si="163"/>
        <v>56700.000000000007</v>
      </c>
      <c r="AC191" s="109">
        <f>AB191*'CALCULO GERAL'!$C$11</f>
        <v>284577.30000000005</v>
      </c>
      <c r="AD191" s="109">
        <f t="shared" si="164"/>
        <v>73990.098000000013</v>
      </c>
      <c r="AE191" s="109">
        <f t="shared" si="165"/>
        <v>0</v>
      </c>
      <c r="AF191" s="109">
        <f t="shared" si="166"/>
        <v>5976.1233000000011</v>
      </c>
      <c r="AG191" s="109">
        <f t="shared" si="167"/>
        <v>29738.327850000005</v>
      </c>
      <c r="AH191" s="109">
        <v>154.22999999999999</v>
      </c>
      <c r="AI191" s="109">
        <f>((AA191*'CALCULO GERAL'!$C$11))*0.08+20</f>
        <v>2549.576</v>
      </c>
      <c r="AJ191" s="109">
        <v>1010</v>
      </c>
      <c r="AK191" s="109">
        <v>2500</v>
      </c>
      <c r="AL191" s="109">
        <f>(AA191*('CALCULO GERAL'!$C$11*1.02))-(AA191*'CALCULO GERAL'!$C$11)</f>
        <v>632.39400000000387</v>
      </c>
      <c r="AM191" s="109">
        <v>1800</v>
      </c>
      <c r="AN191" s="109">
        <v>2600</v>
      </c>
      <c r="AO191" s="109">
        <v>9400</v>
      </c>
      <c r="AP191" s="109">
        <v>1000</v>
      </c>
      <c r="AQ191" s="109">
        <v>0</v>
      </c>
      <c r="AR191" s="109">
        <v>0</v>
      </c>
      <c r="AS191" s="109"/>
      <c r="AT191" s="109">
        <f t="shared" si="188"/>
        <v>415928.04915000004</v>
      </c>
      <c r="AU191" s="111">
        <f t="shared" si="168"/>
        <v>2.3107113841666669</v>
      </c>
      <c r="AV191" s="109">
        <f>IFERROR((BS191*'CALCULO GERAL'!$E$11)/N191,0)</f>
        <v>5.4205200000000009E-2</v>
      </c>
      <c r="AW191" s="109">
        <f>AU191/'CALCULO GERAL'!$C$11</f>
        <v>0.46039278425317132</v>
      </c>
      <c r="AX191" s="109">
        <f>BP191-BB191-BD191*'CALCULO GERAL'!$C$11</f>
        <v>2.6696061000000002</v>
      </c>
      <c r="AY191" s="109">
        <f t="shared" si="169"/>
        <v>4.4048500650000003E-2</v>
      </c>
      <c r="AZ191" s="109">
        <f t="shared" si="170"/>
        <v>0.2028900636</v>
      </c>
      <c r="BA191" s="109">
        <f t="shared" si="171"/>
        <v>2.7102600000000003</v>
      </c>
      <c r="BB191" s="109">
        <f t="shared" si="172"/>
        <v>4.0653900000000007E-2</v>
      </c>
      <c r="BC191" s="109">
        <f t="shared" si="173"/>
        <v>2.7102600000000003</v>
      </c>
      <c r="BD191" s="109">
        <f t="shared" si="174"/>
        <v>0</v>
      </c>
      <c r="BE191" s="109">
        <f t="shared" si="175"/>
        <v>39027.744000000006</v>
      </c>
      <c r="BF191" s="109">
        <f t="shared" si="176"/>
        <v>58541.616000000002</v>
      </c>
      <c r="BG191" s="109">
        <f t="shared" si="177"/>
        <v>2.9270807999999999E-2</v>
      </c>
      <c r="BH191" s="109">
        <f t="shared" si="178"/>
        <v>3.2523120000000003E-2</v>
      </c>
      <c r="BI191" s="109">
        <f t="shared" si="179"/>
        <v>0</v>
      </c>
      <c r="BJ191" s="109">
        <f t="shared" si="180"/>
        <v>0.40359159225000002</v>
      </c>
      <c r="BK191" s="109">
        <f t="shared" si="181"/>
        <v>2.7143029764166671</v>
      </c>
      <c r="BL191" s="148">
        <v>0.86499999999999999</v>
      </c>
      <c r="BM191" s="112">
        <f>ROUND((AW191/BL191)+((AW191*BL191)*'CALCULO GERAL'!$E$11)/BL191,2)</f>
        <v>0.54</v>
      </c>
      <c r="BN191" s="186">
        <f t="shared" si="189"/>
        <v>0.54</v>
      </c>
      <c r="BO191" s="186">
        <f t="shared" si="190"/>
        <v>0.63300000000000001</v>
      </c>
      <c r="BP191" s="109">
        <f>BM191*'CALCULO GERAL'!$C$11</f>
        <v>2.7102600000000003</v>
      </c>
      <c r="BQ191" s="109">
        <f>BO191*'CALCULO GERAL'!$C$11</f>
        <v>3.1770270000000003</v>
      </c>
      <c r="BR191" s="186">
        <f>BN191*'CALCULO GERAL'!$C$11</f>
        <v>2.7102600000000003</v>
      </c>
      <c r="BS191" s="109">
        <f t="shared" si="183"/>
        <v>487846.80000000005</v>
      </c>
      <c r="BT191" s="109">
        <f t="shared" si="187"/>
        <v>71918.750850000011</v>
      </c>
      <c r="BU191" s="109">
        <f t="shared" si="184"/>
        <v>487846.80000000005</v>
      </c>
      <c r="BV191" s="109">
        <f t="shared" si="194"/>
        <v>488574.53575500008</v>
      </c>
      <c r="BW191" s="109">
        <f t="shared" si="191"/>
        <v>-727.73575500003062</v>
      </c>
      <c r="BX191" s="114">
        <f t="shared" si="185"/>
        <v>-1.4917300984654005E-3</v>
      </c>
      <c r="BY191" s="152">
        <f t="shared" si="195"/>
        <v>0.87</v>
      </c>
      <c r="CA191" s="55"/>
      <c r="CB191" s="113"/>
      <c r="CC191" s="113"/>
      <c r="CE191" s="152">
        <f t="shared" si="196"/>
        <v>0</v>
      </c>
      <c r="CF191" s="152">
        <f t="shared" si="192"/>
        <v>1</v>
      </c>
      <c r="CG191" s="152">
        <f t="shared" si="193"/>
        <v>1</v>
      </c>
      <c r="CH191" s="34"/>
      <c r="CJ191" s="11"/>
      <c r="CK191" s="11"/>
    </row>
    <row r="192" spans="1:89" s="152" customFormat="1" x14ac:dyDescent="0.2">
      <c r="A192" s="125" t="s">
        <v>326</v>
      </c>
      <c r="B192" s="187" t="s">
        <v>325</v>
      </c>
      <c r="C192" s="8">
        <v>0.26</v>
      </c>
      <c r="D192" s="8">
        <v>0</v>
      </c>
      <c r="E192" s="7">
        <v>2.1000000000000001E-2</v>
      </c>
      <c r="F192" s="7">
        <v>0.1045</v>
      </c>
      <c r="G192" s="1">
        <v>1.6500000000000001E-2</v>
      </c>
      <c r="H192" s="1">
        <v>7.5999999999999998E-2</v>
      </c>
      <c r="I192" s="1">
        <v>0.18</v>
      </c>
      <c r="J192" s="1">
        <v>0.04</v>
      </c>
      <c r="K192" s="1">
        <v>0.14000000000000001</v>
      </c>
      <c r="L192" s="1">
        <v>1.4999999999999999E-2</v>
      </c>
      <c r="M192" s="2" t="s">
        <v>175</v>
      </c>
      <c r="N192" s="105">
        <v>180000</v>
      </c>
      <c r="O192" s="119">
        <v>0.31</v>
      </c>
      <c r="P192" s="119">
        <v>0.43</v>
      </c>
      <c r="Q192" s="119">
        <v>0.315</v>
      </c>
      <c r="R192" s="119">
        <v>0.4</v>
      </c>
      <c r="S192" s="119"/>
      <c r="T192" s="119"/>
      <c r="U192" s="119"/>
      <c r="V192" s="119">
        <v>0.33500000000000002</v>
      </c>
      <c r="W192" s="119">
        <v>0.32500000000000001</v>
      </c>
      <c r="X192" s="119">
        <f t="shared" si="160"/>
        <v>0.31</v>
      </c>
      <c r="Y192" s="118">
        <f t="shared" si="161"/>
        <v>0.35250000000000004</v>
      </c>
      <c r="Z192" s="109">
        <f t="shared" ref="Z192:Z308" si="197">X192*N192</f>
        <v>55800</v>
      </c>
      <c r="AA192" s="109">
        <f>'CALCULO GERAL'!$G$10</f>
        <v>6300</v>
      </c>
      <c r="AB192" s="109">
        <f t="shared" si="163"/>
        <v>62100</v>
      </c>
      <c r="AC192" s="109">
        <f>AB192*'CALCULO GERAL'!$C$11</f>
        <v>311679.90000000002</v>
      </c>
      <c r="AD192" s="109">
        <f t="shared" si="164"/>
        <v>81036.774000000005</v>
      </c>
      <c r="AE192" s="109">
        <f t="shared" si="165"/>
        <v>0</v>
      </c>
      <c r="AF192" s="109">
        <f t="shared" si="166"/>
        <v>6545.277900000001</v>
      </c>
      <c r="AG192" s="109">
        <f t="shared" si="167"/>
        <v>32570.54955</v>
      </c>
      <c r="AH192" s="109">
        <v>154.22999999999999</v>
      </c>
      <c r="AI192" s="109">
        <f>((AA192*'CALCULO GERAL'!$C$11))*0.08+20</f>
        <v>2549.576</v>
      </c>
      <c r="AJ192" s="109">
        <v>1010</v>
      </c>
      <c r="AK192" s="109">
        <v>2500</v>
      </c>
      <c r="AL192" s="109">
        <f>(AA192*('CALCULO GERAL'!$C$11*1.02))-(AA192*'CALCULO GERAL'!$C$11)</f>
        <v>632.39400000000387</v>
      </c>
      <c r="AM192" s="109">
        <v>1800</v>
      </c>
      <c r="AN192" s="109">
        <v>2600</v>
      </c>
      <c r="AO192" s="109">
        <v>9400</v>
      </c>
      <c r="AP192" s="109">
        <v>1000</v>
      </c>
      <c r="AQ192" s="109">
        <v>0</v>
      </c>
      <c r="AR192" s="109">
        <v>0</v>
      </c>
      <c r="AS192" s="109"/>
      <c r="AT192" s="109">
        <f t="shared" si="188"/>
        <v>453478.70144999999</v>
      </c>
      <c r="AU192" s="111">
        <f t="shared" si="168"/>
        <v>2.5193261191666667</v>
      </c>
      <c r="AV192" s="109">
        <f>IFERROR((BS192*'CALCULO GERAL'!$E$11)/N192,0)</f>
        <v>5.9224199999999991E-2</v>
      </c>
      <c r="AW192" s="109">
        <f>AU192/'CALCULO GERAL'!$C$11</f>
        <v>0.50195778425317128</v>
      </c>
      <c r="AX192" s="109">
        <f>BP192-BB192-BD192*'CALCULO GERAL'!$C$11</f>
        <v>2.9167918500000001</v>
      </c>
      <c r="AY192" s="109">
        <f t="shared" si="169"/>
        <v>4.8127065525000005E-2</v>
      </c>
      <c r="AZ192" s="109">
        <f t="shared" si="170"/>
        <v>0.22167618059999999</v>
      </c>
      <c r="BA192" s="109">
        <f t="shared" si="171"/>
        <v>2.9612099999999999</v>
      </c>
      <c r="BB192" s="109">
        <f t="shared" si="172"/>
        <v>4.4418149999999997E-2</v>
      </c>
      <c r="BC192" s="109">
        <f t="shared" si="173"/>
        <v>2.9612099999999999</v>
      </c>
      <c r="BD192" s="109">
        <f t="shared" si="174"/>
        <v>0</v>
      </c>
      <c r="BE192" s="109">
        <f t="shared" si="175"/>
        <v>42641.423999999992</v>
      </c>
      <c r="BF192" s="109">
        <f t="shared" si="176"/>
        <v>63962.135999999991</v>
      </c>
      <c r="BG192" s="109">
        <f t="shared" si="177"/>
        <v>3.1981067999999994E-2</v>
      </c>
      <c r="BH192" s="109">
        <f t="shared" si="178"/>
        <v>3.5534519999999993E-2</v>
      </c>
      <c r="BI192" s="109">
        <f t="shared" si="179"/>
        <v>0</v>
      </c>
      <c r="BJ192" s="109">
        <f t="shared" si="180"/>
        <v>0.44096118412500002</v>
      </c>
      <c r="BK192" s="109">
        <f t="shared" si="181"/>
        <v>2.9602873032916666</v>
      </c>
      <c r="BL192" s="148">
        <v>0.86299999999999999</v>
      </c>
      <c r="BM192" s="112">
        <f>ROUND((AW192/BL192)+((AW192*BL192)*'CALCULO GERAL'!$E$11)/BL192,2)</f>
        <v>0.59</v>
      </c>
      <c r="BN192" s="186">
        <f t="shared" si="189"/>
        <v>0.59</v>
      </c>
      <c r="BO192" s="186">
        <f t="shared" si="190"/>
        <v>0.69099999999999995</v>
      </c>
      <c r="BP192" s="109">
        <f>BM192*'CALCULO GERAL'!$C$11</f>
        <v>2.9612099999999999</v>
      </c>
      <c r="BQ192" s="109">
        <f>BO192*'CALCULO GERAL'!$C$11</f>
        <v>3.4681289999999998</v>
      </c>
      <c r="BR192" s="186">
        <f>BN192*'CALCULO GERAL'!$C$11</f>
        <v>2.9612099999999999</v>
      </c>
      <c r="BS192" s="109">
        <f t="shared" si="183"/>
        <v>533017.79999999993</v>
      </c>
      <c r="BT192" s="109">
        <f t="shared" si="187"/>
        <v>79539.098549999937</v>
      </c>
      <c r="BU192" s="109">
        <f t="shared" si="184"/>
        <v>533017.79999999993</v>
      </c>
      <c r="BV192" s="109">
        <f t="shared" si="194"/>
        <v>532851.71459250001</v>
      </c>
      <c r="BW192" s="109">
        <f t="shared" si="191"/>
        <v>166.08540749992244</v>
      </c>
      <c r="BX192" s="114">
        <f t="shared" si="185"/>
        <v>3.1159448615022327E-4</v>
      </c>
      <c r="BY192" s="152">
        <f t="shared" si="195"/>
        <v>0.86</v>
      </c>
      <c r="CA192" s="55"/>
      <c r="CB192" s="113"/>
      <c r="CC192" s="113"/>
      <c r="CE192" s="152">
        <f t="shared" si="196"/>
        <v>0</v>
      </c>
      <c r="CF192" s="152">
        <f t="shared" si="192"/>
        <v>1</v>
      </c>
      <c r="CG192" s="152">
        <f t="shared" si="193"/>
        <v>1</v>
      </c>
      <c r="CH192" s="34"/>
      <c r="CJ192" s="11"/>
      <c r="CK192" s="11"/>
    </row>
    <row r="193" spans="1:89" s="152" customFormat="1" x14ac:dyDescent="0.2">
      <c r="A193" s="125" t="s">
        <v>327</v>
      </c>
      <c r="B193" s="187" t="s">
        <v>325</v>
      </c>
      <c r="C193" s="8">
        <v>0.26</v>
      </c>
      <c r="D193" s="8">
        <v>0</v>
      </c>
      <c r="E193" s="7">
        <v>2.1000000000000001E-2</v>
      </c>
      <c r="F193" s="7">
        <v>0.1045</v>
      </c>
      <c r="G193" s="1">
        <v>1.6500000000000001E-2</v>
      </c>
      <c r="H193" s="1">
        <v>7.5999999999999998E-2</v>
      </c>
      <c r="I193" s="1">
        <v>0.18</v>
      </c>
      <c r="J193" s="1">
        <v>0.04</v>
      </c>
      <c r="K193" s="1">
        <v>0.14000000000000001</v>
      </c>
      <c r="L193" s="1">
        <v>1.4999999999999999E-2</v>
      </c>
      <c r="M193" s="2" t="s">
        <v>175</v>
      </c>
      <c r="N193" s="105">
        <v>175000</v>
      </c>
      <c r="O193" s="119">
        <v>0.31</v>
      </c>
      <c r="P193" s="119">
        <v>0.44</v>
      </c>
      <c r="Q193" s="119">
        <v>0.315</v>
      </c>
      <c r="R193" s="119">
        <v>0.41</v>
      </c>
      <c r="S193" s="119"/>
      <c r="T193" s="119"/>
      <c r="U193" s="119"/>
      <c r="V193" s="119">
        <v>0.33500000000000002</v>
      </c>
      <c r="W193" s="119">
        <v>0.33</v>
      </c>
      <c r="X193" s="119">
        <f t="shared" si="160"/>
        <v>0.31</v>
      </c>
      <c r="Y193" s="118">
        <f t="shared" si="161"/>
        <v>0.35666666666666663</v>
      </c>
      <c r="Z193" s="109">
        <f t="shared" si="197"/>
        <v>54250</v>
      </c>
      <c r="AA193" s="109">
        <f>'CALCULO GERAL'!$G$10</f>
        <v>6300</v>
      </c>
      <c r="AB193" s="109">
        <f t="shared" si="163"/>
        <v>60550</v>
      </c>
      <c r="AC193" s="109">
        <f>AB193*'CALCULO GERAL'!$C$11</f>
        <v>303900.45</v>
      </c>
      <c r="AD193" s="109">
        <f t="shared" si="164"/>
        <v>79014.117000000013</v>
      </c>
      <c r="AE193" s="109">
        <f t="shared" si="165"/>
        <v>0</v>
      </c>
      <c r="AF193" s="109">
        <f t="shared" si="166"/>
        <v>6381.909450000001</v>
      </c>
      <c r="AG193" s="109">
        <f t="shared" si="167"/>
        <v>31757.597024999999</v>
      </c>
      <c r="AH193" s="109">
        <v>154.22999999999999</v>
      </c>
      <c r="AI193" s="109">
        <f>((AA193*'CALCULO GERAL'!$C$11))*0.08+20</f>
        <v>2549.576</v>
      </c>
      <c r="AJ193" s="109">
        <v>1010</v>
      </c>
      <c r="AK193" s="109">
        <v>2500</v>
      </c>
      <c r="AL193" s="109">
        <f>(AA193*('CALCULO GERAL'!$C$11*1.02))-(AA193*'CALCULO GERAL'!$C$11)</f>
        <v>632.39400000000387</v>
      </c>
      <c r="AM193" s="109">
        <v>1800</v>
      </c>
      <c r="AN193" s="109">
        <v>2600</v>
      </c>
      <c r="AO193" s="109">
        <v>9400</v>
      </c>
      <c r="AP193" s="109">
        <v>1000</v>
      </c>
      <c r="AQ193" s="109">
        <v>0</v>
      </c>
      <c r="AR193" s="109">
        <v>0</v>
      </c>
      <c r="AS193" s="109"/>
      <c r="AT193" s="109">
        <f t="shared" si="188"/>
        <v>442700.27347500005</v>
      </c>
      <c r="AU193" s="111">
        <f t="shared" si="168"/>
        <v>2.5297158484285718</v>
      </c>
      <c r="AV193" s="109">
        <f>IFERROR((BS193*'CALCULO GERAL'!$E$11)/N193,0)</f>
        <v>6.0227999999999997E-2</v>
      </c>
      <c r="AW193" s="109">
        <f>AU193/'CALCULO GERAL'!$C$11</f>
        <v>0.50402786380326192</v>
      </c>
      <c r="AX193" s="109">
        <f>BP193-BB193-BD193*'CALCULO GERAL'!$C$11</f>
        <v>2.9662290000000002</v>
      </c>
      <c r="AY193" s="109">
        <f t="shared" si="169"/>
        <v>4.8942778500000006E-2</v>
      </c>
      <c r="AZ193" s="109">
        <f t="shared" si="170"/>
        <v>0.225433404</v>
      </c>
      <c r="BA193" s="109">
        <f t="shared" si="171"/>
        <v>3.0114000000000001</v>
      </c>
      <c r="BB193" s="109">
        <f t="shared" si="172"/>
        <v>4.5171000000000003E-2</v>
      </c>
      <c r="BC193" s="109">
        <f t="shared" si="173"/>
        <v>3.0114000000000001</v>
      </c>
      <c r="BD193" s="109">
        <f t="shared" si="174"/>
        <v>0</v>
      </c>
      <c r="BE193" s="109">
        <f t="shared" si="175"/>
        <v>42159.6</v>
      </c>
      <c r="BF193" s="109">
        <f t="shared" si="176"/>
        <v>63239.399999999994</v>
      </c>
      <c r="BG193" s="109">
        <f t="shared" si="177"/>
        <v>3.2523119999999996E-2</v>
      </c>
      <c r="BH193" s="109">
        <f t="shared" si="178"/>
        <v>3.6136799999999997E-2</v>
      </c>
      <c r="BI193" s="109">
        <f t="shared" si="179"/>
        <v>0</v>
      </c>
      <c r="BJ193" s="109">
        <f t="shared" si="180"/>
        <v>0.44843510250000007</v>
      </c>
      <c r="BK193" s="109">
        <f t="shared" si="181"/>
        <v>2.9781509509285717</v>
      </c>
      <c r="BL193" s="148">
        <v>0.86</v>
      </c>
      <c r="BM193" s="112">
        <f>ROUND((AW193/BL193)+((AW193*BL193)*'CALCULO GERAL'!$E$11)/BL193,2)</f>
        <v>0.6</v>
      </c>
      <c r="BN193" s="186">
        <f t="shared" si="189"/>
        <v>0.6</v>
      </c>
      <c r="BO193" s="186">
        <f t="shared" si="190"/>
        <v>0.70299999999999996</v>
      </c>
      <c r="BP193" s="109">
        <f>BM193*'CALCULO GERAL'!$C$11</f>
        <v>3.0114000000000001</v>
      </c>
      <c r="BQ193" s="109">
        <f>BO193*'CALCULO GERAL'!$C$11</f>
        <v>3.5283569999999997</v>
      </c>
      <c r="BR193" s="186">
        <f>BN193*'CALCULO GERAL'!$C$11</f>
        <v>3.0114000000000001</v>
      </c>
      <c r="BS193" s="109">
        <f t="shared" si="183"/>
        <v>526995</v>
      </c>
      <c r="BT193" s="109">
        <f t="shared" si="187"/>
        <v>84294.726524999947</v>
      </c>
      <c r="BU193" s="109">
        <f t="shared" si="184"/>
        <v>526995</v>
      </c>
      <c r="BV193" s="109">
        <f t="shared" si="194"/>
        <v>521176.41641250008</v>
      </c>
      <c r="BW193" s="109">
        <f t="shared" si="191"/>
        <v>5818.5835874999175</v>
      </c>
      <c r="BX193" s="114">
        <f t="shared" si="185"/>
        <v>1.1041060327896693E-2</v>
      </c>
      <c r="BY193" s="152">
        <f t="shared" si="195"/>
        <v>0.86</v>
      </c>
      <c r="CA193" s="55"/>
      <c r="CB193" s="113"/>
      <c r="CC193" s="113"/>
      <c r="CE193" s="152">
        <f t="shared" si="196"/>
        <v>0</v>
      </c>
      <c r="CF193" s="152">
        <f t="shared" si="192"/>
        <v>1</v>
      </c>
      <c r="CG193" s="152">
        <f t="shared" si="193"/>
        <v>1</v>
      </c>
      <c r="CH193" s="34"/>
      <c r="CJ193" s="11"/>
      <c r="CK193" s="11"/>
    </row>
    <row r="194" spans="1:89" s="152" customFormat="1" x14ac:dyDescent="0.2">
      <c r="A194" s="125" t="s">
        <v>328</v>
      </c>
      <c r="B194" s="187" t="s">
        <v>325</v>
      </c>
      <c r="C194" s="8">
        <v>0.26</v>
      </c>
      <c r="D194" s="8">
        <v>0</v>
      </c>
      <c r="E194" s="7">
        <v>2.1000000000000001E-2</v>
      </c>
      <c r="F194" s="7">
        <v>0.1045</v>
      </c>
      <c r="G194" s="1">
        <v>1.6500000000000001E-2</v>
      </c>
      <c r="H194" s="1">
        <v>7.5999999999999998E-2</v>
      </c>
      <c r="I194" s="1">
        <v>0.18</v>
      </c>
      <c r="J194" s="1">
        <v>0.04</v>
      </c>
      <c r="K194" s="1">
        <v>0.14000000000000001</v>
      </c>
      <c r="L194" s="1">
        <v>1.4999999999999999E-2</v>
      </c>
      <c r="M194" s="2" t="s">
        <v>175</v>
      </c>
      <c r="N194" s="105">
        <v>165000</v>
      </c>
      <c r="O194" s="119">
        <v>0.32</v>
      </c>
      <c r="P194" s="119">
        <v>0.45</v>
      </c>
      <c r="Q194" s="119">
        <v>0.34499999999999997</v>
      </c>
      <c r="R194" s="119">
        <v>0.42</v>
      </c>
      <c r="S194" s="119"/>
      <c r="T194" s="119"/>
      <c r="U194" s="119"/>
      <c r="V194" s="119">
        <v>0.35</v>
      </c>
      <c r="W194" s="119">
        <v>0.34</v>
      </c>
      <c r="X194" s="119">
        <f t="shared" ref="X194:X318" si="198">MIN(O194:W194)</f>
        <v>0.32</v>
      </c>
      <c r="Y194" s="118">
        <f t="shared" ref="Y194:Y318" si="199">AVERAGE(O194:W194)</f>
        <v>0.37083333333333329</v>
      </c>
      <c r="Z194" s="109">
        <f t="shared" si="197"/>
        <v>52800</v>
      </c>
      <c r="AA194" s="109">
        <f>'CALCULO GERAL'!$G$10</f>
        <v>6300</v>
      </c>
      <c r="AB194" s="109">
        <f t="shared" ref="AB194:AB318" si="200">Z194+AA194</f>
        <v>59100</v>
      </c>
      <c r="AC194" s="109">
        <f>AB194*'CALCULO GERAL'!$C$11</f>
        <v>296622.90000000002</v>
      </c>
      <c r="AD194" s="109">
        <f t="shared" ref="AD194:AD318" si="201">AC194*C194</f>
        <v>77121.954000000012</v>
      </c>
      <c r="AE194" s="109">
        <f t="shared" ref="AE194:AE318" si="202">(AC194+AD194)*D194</f>
        <v>0</v>
      </c>
      <c r="AF194" s="109">
        <f t="shared" ref="AF194:AF318" si="203">AC194*E194</f>
        <v>6229.0809000000008</v>
      </c>
      <c r="AG194" s="109">
        <f t="shared" ref="AG194:AG318" si="204">AC194*F194</f>
        <v>30997.093049999999</v>
      </c>
      <c r="AH194" s="109">
        <v>154.22999999999999</v>
      </c>
      <c r="AI194" s="109">
        <f>((AA194*'CALCULO GERAL'!$C$11))*0.08+20</f>
        <v>2549.576</v>
      </c>
      <c r="AJ194" s="109">
        <v>1010</v>
      </c>
      <c r="AK194" s="109">
        <v>2500</v>
      </c>
      <c r="AL194" s="109">
        <f>(AA194*('CALCULO GERAL'!$C$11*1.02))-(AA194*'CALCULO GERAL'!$C$11)</f>
        <v>632.39400000000387</v>
      </c>
      <c r="AM194" s="109">
        <v>1800</v>
      </c>
      <c r="AN194" s="109">
        <v>2600</v>
      </c>
      <c r="AO194" s="109">
        <v>9400</v>
      </c>
      <c r="AP194" s="109">
        <v>1000</v>
      </c>
      <c r="AQ194" s="109">
        <v>0</v>
      </c>
      <c r="AR194" s="109">
        <v>0</v>
      </c>
      <c r="AS194" s="109"/>
      <c r="AT194" s="109">
        <f t="shared" si="188"/>
        <v>432617.22795000009</v>
      </c>
      <c r="AU194" s="111">
        <f t="shared" ref="AU194:AU318" si="205">IFERROR((AT194/N194),0)</f>
        <v>2.6219225936363642</v>
      </c>
      <c r="AV194" s="109">
        <f>IFERROR((BS194*'CALCULO GERAL'!$E$11)/N194,0)</f>
        <v>6.2235600000000002E-2</v>
      </c>
      <c r="AW194" s="109">
        <f>AU194/'CALCULO GERAL'!$C$11</f>
        <v>0.52239940100345972</v>
      </c>
      <c r="AX194" s="109">
        <f>BP194-BB194-BD194*'CALCULO GERAL'!$C$11</f>
        <v>3.0651033000000001</v>
      </c>
      <c r="AY194" s="109">
        <f t="shared" ref="AY194:AY318" si="206">AX194*G194</f>
        <v>5.0574204450000007E-2</v>
      </c>
      <c r="AZ194" s="109">
        <f t="shared" ref="AZ194:AZ318" si="207">AX194*H194</f>
        <v>0.23294785079999999</v>
      </c>
      <c r="BA194" s="109">
        <f t="shared" ref="BA194:BA318" si="208">BP194-BD194</f>
        <v>3.11178</v>
      </c>
      <c r="BB194" s="109">
        <f t="shared" ref="BB194:BB318" si="209">BA194*L194</f>
        <v>4.6676700000000002E-2</v>
      </c>
      <c r="BC194" s="109">
        <f t="shared" ref="BC194:BC318" si="210">BP194/(1+D194)</f>
        <v>3.11178</v>
      </c>
      <c r="BD194" s="109">
        <f t="shared" ref="BD194:BD318" si="211">BC194*D194</f>
        <v>0</v>
      </c>
      <c r="BE194" s="109">
        <f t="shared" ref="BE194:BE318" si="212">BU194*0.08</f>
        <v>41075.495999999999</v>
      </c>
      <c r="BF194" s="109">
        <f t="shared" ref="BF194:BF318" si="213">BU194*0.12</f>
        <v>61613.243999999999</v>
      </c>
      <c r="BG194" s="109">
        <f t="shared" ref="BG194:BG318" si="214">(BF194*0.09)/N194</f>
        <v>3.3607223999999998E-2</v>
      </c>
      <c r="BH194" s="109">
        <f t="shared" ref="BH194:BH318" si="215">(BE194*0.15)/N194</f>
        <v>3.7341359999999997E-2</v>
      </c>
      <c r="BI194" s="109">
        <f t="shared" ref="BI194:BI318" si="216">IF(BE194&gt;=$BY$1,($BY$1-BE194)*0.1,IF(BE194&lt;=$BY$1,($BY$1*0)))/N194</f>
        <v>0</v>
      </c>
      <c r="BJ194" s="109">
        <f t="shared" ref="BJ194:BJ318" si="217">(AY194+AZ194+BB194+AV194+BD194+BG194+BH194+BI194)</f>
        <v>0.46338293925000001</v>
      </c>
      <c r="BK194" s="109">
        <f t="shared" ref="BK194:BK318" si="218">BJ194+AU194</f>
        <v>3.0853055328863643</v>
      </c>
      <c r="BL194" s="148">
        <v>0.86</v>
      </c>
      <c r="BM194" s="112">
        <f>ROUND((AW194/BL194)+((AW194*BL194)*'CALCULO GERAL'!$E$11)/BL194,2)</f>
        <v>0.62</v>
      </c>
      <c r="BN194" s="186">
        <f t="shared" si="189"/>
        <v>0.62</v>
      </c>
      <c r="BO194" s="186">
        <f t="shared" si="190"/>
        <v>0.72599999999999998</v>
      </c>
      <c r="BP194" s="109">
        <f>BM194*'CALCULO GERAL'!$C$11</f>
        <v>3.11178</v>
      </c>
      <c r="BQ194" s="109">
        <f>BO194*'CALCULO GERAL'!$C$11</f>
        <v>3.6437940000000002</v>
      </c>
      <c r="BR194" s="186">
        <f>BN194*'CALCULO GERAL'!$C$11</f>
        <v>3.11178</v>
      </c>
      <c r="BS194" s="109">
        <f t="shared" ref="BS194:BS318" si="219">BP194*N194</f>
        <v>513443.7</v>
      </c>
      <c r="BT194" s="109">
        <f t="shared" si="187"/>
        <v>80826.472049999924</v>
      </c>
      <c r="BU194" s="109">
        <f t="shared" ref="BU194:BU318" si="220">BR194*N194</f>
        <v>513443.7</v>
      </c>
      <c r="BV194" s="109">
        <f t="shared" si="194"/>
        <v>509075.41292625014</v>
      </c>
      <c r="BW194" s="109">
        <f t="shared" si="191"/>
        <v>4368.2870737498743</v>
      </c>
      <c r="BX194" s="114">
        <f t="shared" ref="BX194:BX318" si="221">(((BK194*N194)-BS194)/BS194*-1)</f>
        <v>8.5078209621617211E-3</v>
      </c>
      <c r="BY194" s="152">
        <f t="shared" si="195"/>
        <v>0.86</v>
      </c>
      <c r="CA194" s="55"/>
      <c r="CB194" s="113"/>
      <c r="CC194" s="113"/>
      <c r="CE194" s="152">
        <f t="shared" si="196"/>
        <v>0</v>
      </c>
      <c r="CF194" s="152">
        <f t="shared" si="192"/>
        <v>1</v>
      </c>
      <c r="CG194" s="152">
        <f t="shared" si="193"/>
        <v>1</v>
      </c>
      <c r="CH194" s="34"/>
      <c r="CJ194" s="11"/>
      <c r="CK194" s="11"/>
    </row>
    <row r="195" spans="1:89" s="152" customFormat="1" x14ac:dyDescent="0.2">
      <c r="A195" s="125" t="s">
        <v>329</v>
      </c>
      <c r="B195" s="187" t="s">
        <v>325</v>
      </c>
      <c r="C195" s="8">
        <v>0.26</v>
      </c>
      <c r="D195" s="8">
        <v>0</v>
      </c>
      <c r="E195" s="7">
        <v>2.1000000000000001E-2</v>
      </c>
      <c r="F195" s="7">
        <v>0.1045</v>
      </c>
      <c r="G195" s="1">
        <v>1.6500000000000001E-2</v>
      </c>
      <c r="H195" s="1">
        <v>7.5999999999999998E-2</v>
      </c>
      <c r="I195" s="1">
        <v>0.18</v>
      </c>
      <c r="J195" s="1">
        <v>0.04</v>
      </c>
      <c r="K195" s="1">
        <v>0.14000000000000001</v>
      </c>
      <c r="L195" s="1">
        <v>1.4999999999999999E-2</v>
      </c>
      <c r="M195" s="2" t="s">
        <v>175</v>
      </c>
      <c r="N195" s="105">
        <v>160000</v>
      </c>
      <c r="O195" s="119">
        <v>0.34</v>
      </c>
      <c r="P195" s="119">
        <v>0.47</v>
      </c>
      <c r="Q195" s="119">
        <v>0.34499999999999997</v>
      </c>
      <c r="R195" s="119">
        <v>0.43</v>
      </c>
      <c r="S195" s="119"/>
      <c r="T195" s="119"/>
      <c r="U195" s="119"/>
      <c r="V195" s="119">
        <v>0.35</v>
      </c>
      <c r="W195" s="119">
        <v>0.35</v>
      </c>
      <c r="X195" s="119">
        <f t="shared" si="198"/>
        <v>0.34</v>
      </c>
      <c r="Y195" s="118">
        <f t="shared" si="199"/>
        <v>0.38083333333333336</v>
      </c>
      <c r="Z195" s="109">
        <f t="shared" si="197"/>
        <v>54400.000000000007</v>
      </c>
      <c r="AA195" s="109">
        <f>'CALCULO GERAL'!$G$10</f>
        <v>6300</v>
      </c>
      <c r="AB195" s="109">
        <f t="shared" si="200"/>
        <v>60700.000000000007</v>
      </c>
      <c r="AC195" s="109">
        <f>AB195*'CALCULO GERAL'!$C$11</f>
        <v>304653.30000000005</v>
      </c>
      <c r="AD195" s="109">
        <f t="shared" si="201"/>
        <v>79209.858000000022</v>
      </c>
      <c r="AE195" s="109">
        <f t="shared" si="202"/>
        <v>0</v>
      </c>
      <c r="AF195" s="109">
        <f t="shared" si="203"/>
        <v>6397.7193000000016</v>
      </c>
      <c r="AG195" s="109">
        <f t="shared" si="204"/>
        <v>31836.269850000004</v>
      </c>
      <c r="AH195" s="109">
        <v>154.22999999999999</v>
      </c>
      <c r="AI195" s="109">
        <f>((AA195*'CALCULO GERAL'!$C$11))*0.08+20</f>
        <v>2549.576</v>
      </c>
      <c r="AJ195" s="109">
        <v>1010</v>
      </c>
      <c r="AK195" s="109">
        <v>2500</v>
      </c>
      <c r="AL195" s="109">
        <f>(AA195*('CALCULO GERAL'!$C$11*1.02))-(AA195*'CALCULO GERAL'!$C$11)</f>
        <v>632.39400000000387</v>
      </c>
      <c r="AM195" s="109">
        <v>1800</v>
      </c>
      <c r="AN195" s="109">
        <v>2600</v>
      </c>
      <c r="AO195" s="109">
        <v>9400</v>
      </c>
      <c r="AP195" s="109">
        <v>1000</v>
      </c>
      <c r="AQ195" s="109">
        <v>0</v>
      </c>
      <c r="AR195" s="109">
        <v>0</v>
      </c>
      <c r="AS195" s="109"/>
      <c r="AT195" s="109">
        <f t="shared" si="188"/>
        <v>443743.34715000005</v>
      </c>
      <c r="AU195" s="111">
        <f t="shared" si="205"/>
        <v>2.7733959196875002</v>
      </c>
      <c r="AV195" s="109">
        <f>IFERROR((BS195*'CALCULO GERAL'!$E$11)/N195,0)</f>
        <v>6.5246999999999999E-2</v>
      </c>
      <c r="AW195" s="109">
        <f>AU195/'CALCULO GERAL'!$C$11</f>
        <v>0.55257938228481773</v>
      </c>
      <c r="AX195" s="109">
        <f>BP195-BB195-BD195*'CALCULO GERAL'!$C$11</f>
        <v>3.2134147500000001</v>
      </c>
      <c r="AY195" s="109">
        <f t="shared" si="206"/>
        <v>5.3021343375000002E-2</v>
      </c>
      <c r="AZ195" s="109">
        <f t="shared" si="207"/>
        <v>0.24421952099999999</v>
      </c>
      <c r="BA195" s="109">
        <f t="shared" si="208"/>
        <v>3.2623500000000001</v>
      </c>
      <c r="BB195" s="109">
        <f t="shared" si="209"/>
        <v>4.893525E-2</v>
      </c>
      <c r="BC195" s="109">
        <f t="shared" si="210"/>
        <v>3.2623500000000001</v>
      </c>
      <c r="BD195" s="109">
        <f t="shared" si="211"/>
        <v>0</v>
      </c>
      <c r="BE195" s="109">
        <f t="shared" si="212"/>
        <v>41758.080000000002</v>
      </c>
      <c r="BF195" s="109">
        <f t="shared" si="213"/>
        <v>62637.119999999995</v>
      </c>
      <c r="BG195" s="109">
        <f t="shared" si="214"/>
        <v>3.5233379999999995E-2</v>
      </c>
      <c r="BH195" s="109">
        <f t="shared" si="215"/>
        <v>3.9148200000000001E-2</v>
      </c>
      <c r="BI195" s="109">
        <f t="shared" si="216"/>
        <v>0</v>
      </c>
      <c r="BJ195" s="109">
        <f t="shared" si="217"/>
        <v>0.48580469437499996</v>
      </c>
      <c r="BK195" s="109">
        <f t="shared" si="218"/>
        <v>3.2592006140625003</v>
      </c>
      <c r="BL195" s="148">
        <v>0.86</v>
      </c>
      <c r="BM195" s="112">
        <f>ROUND((AW195/BL195)+((AW195*BL195)*'CALCULO GERAL'!$E$11)/BL195,2)</f>
        <v>0.65</v>
      </c>
      <c r="BN195" s="186">
        <f t="shared" si="189"/>
        <v>0.65</v>
      </c>
      <c r="BO195" s="186">
        <f t="shared" si="190"/>
        <v>0.76200000000000001</v>
      </c>
      <c r="BP195" s="109">
        <f>BM195*'CALCULO GERAL'!$C$11</f>
        <v>3.2623500000000001</v>
      </c>
      <c r="BQ195" s="109">
        <f>BO195*'CALCULO GERAL'!$C$11</f>
        <v>3.824478</v>
      </c>
      <c r="BR195" s="186">
        <f>BN195*'CALCULO GERAL'!$C$11</f>
        <v>3.2623500000000001</v>
      </c>
      <c r="BS195" s="109">
        <f t="shared" si="219"/>
        <v>521976</v>
      </c>
      <c r="BT195" s="109">
        <f t="shared" si="187"/>
        <v>78232.652849999955</v>
      </c>
      <c r="BU195" s="109">
        <f t="shared" si="220"/>
        <v>521976</v>
      </c>
      <c r="BV195" s="109">
        <f t="shared" si="194"/>
        <v>521472.09825000004</v>
      </c>
      <c r="BW195" s="109">
        <f t="shared" si="191"/>
        <v>503.90174999996088</v>
      </c>
      <c r="BX195" s="114">
        <f t="shared" si="221"/>
        <v>9.6537340797270537E-4</v>
      </c>
      <c r="BY195" s="152">
        <f t="shared" si="195"/>
        <v>0.86</v>
      </c>
      <c r="CA195" s="55"/>
      <c r="CB195" s="113"/>
      <c r="CC195" s="113"/>
      <c r="CE195" s="152">
        <f t="shared" si="196"/>
        <v>0</v>
      </c>
      <c r="CF195" s="152">
        <f t="shared" si="192"/>
        <v>1</v>
      </c>
      <c r="CG195" s="152">
        <f t="shared" si="193"/>
        <v>1</v>
      </c>
      <c r="CH195" s="34"/>
      <c r="CJ195" s="11"/>
      <c r="CK195" s="11"/>
    </row>
    <row r="196" spans="1:89" s="152" customFormat="1" x14ac:dyDescent="0.2">
      <c r="A196" s="125" t="s">
        <v>330</v>
      </c>
      <c r="B196" s="187" t="s">
        <v>297</v>
      </c>
      <c r="C196" s="8">
        <v>0.26</v>
      </c>
      <c r="D196" s="8">
        <v>0</v>
      </c>
      <c r="E196" s="7">
        <v>2.1000000000000001E-2</v>
      </c>
      <c r="F196" s="7">
        <v>0.1045</v>
      </c>
      <c r="G196" s="1">
        <v>1.6500000000000001E-2</v>
      </c>
      <c r="H196" s="1">
        <v>7.5999999999999998E-2</v>
      </c>
      <c r="I196" s="1">
        <v>0.18</v>
      </c>
      <c r="J196" s="1">
        <v>0.04</v>
      </c>
      <c r="K196" s="1">
        <v>0.14000000000000001</v>
      </c>
      <c r="L196" s="1">
        <v>1.4999999999999999E-2</v>
      </c>
      <c r="M196" s="2" t="s">
        <v>175</v>
      </c>
      <c r="N196" s="105">
        <v>140000</v>
      </c>
      <c r="O196" s="119">
        <v>0.42499999999999999</v>
      </c>
      <c r="P196" s="119"/>
      <c r="Q196" s="119">
        <v>0.44</v>
      </c>
      <c r="R196" s="119">
        <v>0.5</v>
      </c>
      <c r="S196" s="119"/>
      <c r="T196" s="119"/>
      <c r="U196" s="119"/>
      <c r="V196" s="119" t="s">
        <v>331</v>
      </c>
      <c r="W196" s="119">
        <v>0.46500000000000002</v>
      </c>
      <c r="X196" s="119">
        <f t="shared" si="198"/>
        <v>0.42499999999999999</v>
      </c>
      <c r="Y196" s="118">
        <f t="shared" si="199"/>
        <v>0.45750000000000002</v>
      </c>
      <c r="Z196" s="109">
        <f t="shared" si="197"/>
        <v>59500</v>
      </c>
      <c r="AA196" s="109">
        <f>'CALCULO GERAL'!$G$10</f>
        <v>6300</v>
      </c>
      <c r="AB196" s="109">
        <f t="shared" si="200"/>
        <v>65800</v>
      </c>
      <c r="AC196" s="109">
        <f>AB196*'CALCULO GERAL'!$C$11</f>
        <v>330250.2</v>
      </c>
      <c r="AD196" s="109">
        <f t="shared" si="201"/>
        <v>85865.052000000011</v>
      </c>
      <c r="AE196" s="109">
        <f t="shared" si="202"/>
        <v>0</v>
      </c>
      <c r="AF196" s="109">
        <f t="shared" si="203"/>
        <v>6935.2542000000003</v>
      </c>
      <c r="AG196" s="109">
        <f t="shared" si="204"/>
        <v>34511.145900000003</v>
      </c>
      <c r="AH196" s="109">
        <v>154.22999999999999</v>
      </c>
      <c r="AI196" s="109">
        <f>((AA196*'CALCULO GERAL'!$C$11))*0.08+20</f>
        <v>2549.576</v>
      </c>
      <c r="AJ196" s="109">
        <v>1010</v>
      </c>
      <c r="AK196" s="109">
        <v>2500</v>
      </c>
      <c r="AL196" s="109">
        <f>(AA196*('CALCULO GERAL'!$C$11*1.02))-(AA196*'CALCULO GERAL'!$C$11)</f>
        <v>632.39400000000387</v>
      </c>
      <c r="AM196" s="109">
        <v>1800</v>
      </c>
      <c r="AN196" s="109">
        <v>2600</v>
      </c>
      <c r="AO196" s="109">
        <v>9400</v>
      </c>
      <c r="AP196" s="109">
        <v>1000</v>
      </c>
      <c r="AQ196" s="109">
        <v>0</v>
      </c>
      <c r="AR196" s="109">
        <v>0</v>
      </c>
      <c r="AS196" s="109"/>
      <c r="AT196" s="109">
        <f t="shared" si="188"/>
        <v>479207.85210000008</v>
      </c>
      <c r="AU196" s="111">
        <f t="shared" si="205"/>
        <v>3.4229132292857147</v>
      </c>
      <c r="AV196" s="109">
        <f>IFERROR((BS196*'CALCULO GERAL'!$E$11)/N196,0)</f>
        <v>8.0304E-2</v>
      </c>
      <c r="AW196" s="109">
        <f>AU196/'CALCULO GERAL'!$C$11</f>
        <v>0.68199107975407747</v>
      </c>
      <c r="AX196" s="109">
        <f>BP196-BB196-BD196*'CALCULO GERAL'!$C$11</f>
        <v>3.9549720000000002</v>
      </c>
      <c r="AY196" s="109">
        <f t="shared" si="206"/>
        <v>6.5257038000000003E-2</v>
      </c>
      <c r="AZ196" s="109">
        <f t="shared" si="207"/>
        <v>0.30057787200000002</v>
      </c>
      <c r="BA196" s="109">
        <f t="shared" si="208"/>
        <v>4.0152000000000001</v>
      </c>
      <c r="BB196" s="109">
        <f t="shared" si="209"/>
        <v>6.0227999999999997E-2</v>
      </c>
      <c r="BC196" s="109">
        <f t="shared" si="210"/>
        <v>4.0152000000000001</v>
      </c>
      <c r="BD196" s="109">
        <f t="shared" si="211"/>
        <v>0</v>
      </c>
      <c r="BE196" s="109">
        <f t="shared" si="212"/>
        <v>44970.239999999998</v>
      </c>
      <c r="BF196" s="109">
        <f t="shared" si="213"/>
        <v>67455.360000000001</v>
      </c>
      <c r="BG196" s="109">
        <f t="shared" si="214"/>
        <v>4.3364159999999999E-2</v>
      </c>
      <c r="BH196" s="109">
        <f t="shared" si="215"/>
        <v>4.8182399999999993E-2</v>
      </c>
      <c r="BI196" s="109">
        <f t="shared" si="216"/>
        <v>0</v>
      </c>
      <c r="BJ196" s="109">
        <f t="shared" si="217"/>
        <v>0.59791346999999995</v>
      </c>
      <c r="BK196" s="109">
        <f t="shared" si="218"/>
        <v>4.0208266992857151</v>
      </c>
      <c r="BL196" s="148">
        <v>0.87</v>
      </c>
      <c r="BM196" s="112">
        <f>ROUND((AW196/BL196)+((AW196*BL196)*'CALCULO GERAL'!$E$11)/BL196,2)</f>
        <v>0.8</v>
      </c>
      <c r="BN196" s="186">
        <f t="shared" si="189"/>
        <v>0.8</v>
      </c>
      <c r="BO196" s="186">
        <f t="shared" si="190"/>
        <v>0.93700000000000006</v>
      </c>
      <c r="BP196" s="109">
        <f>BM196*'CALCULO GERAL'!$C$11</f>
        <v>4.0152000000000001</v>
      </c>
      <c r="BQ196" s="109">
        <f>BO196*'CALCULO GERAL'!$C$11</f>
        <v>4.7028030000000003</v>
      </c>
      <c r="BR196" s="186">
        <f>BN196*'CALCULO GERAL'!$C$11</f>
        <v>4.0152000000000001</v>
      </c>
      <c r="BS196" s="109">
        <f t="shared" si="219"/>
        <v>562128</v>
      </c>
      <c r="BT196" s="109">
        <f t="shared" ref="BT196:BT259" si="222">BS196-AT196</f>
        <v>82920.147899999924</v>
      </c>
      <c r="BU196" s="109">
        <f t="shared" si="220"/>
        <v>562128</v>
      </c>
      <c r="BV196" s="109">
        <f t="shared" si="194"/>
        <v>562915.73790000007</v>
      </c>
      <c r="BW196" s="109">
        <f t="shared" si="191"/>
        <v>-787.73790000006557</v>
      </c>
      <c r="BX196" s="114">
        <f t="shared" si="221"/>
        <v>-1.4013496925968207E-3</v>
      </c>
      <c r="BY196" s="152">
        <f t="shared" si="195"/>
        <v>0.87</v>
      </c>
      <c r="CA196" s="55"/>
      <c r="CB196" s="113"/>
      <c r="CC196" s="113"/>
      <c r="CE196" s="152">
        <f t="shared" si="196"/>
        <v>0</v>
      </c>
      <c r="CF196" s="152">
        <f t="shared" si="192"/>
        <v>1</v>
      </c>
      <c r="CG196" s="152">
        <f t="shared" si="193"/>
        <v>1</v>
      </c>
      <c r="CH196" s="34"/>
      <c r="CJ196" s="11"/>
      <c r="CK196" s="11"/>
    </row>
    <row r="197" spans="1:89" s="152" customFormat="1" x14ac:dyDescent="0.2">
      <c r="A197" s="125" t="s">
        <v>332</v>
      </c>
      <c r="B197" s="187" t="s">
        <v>297</v>
      </c>
      <c r="C197" s="8">
        <v>0.26</v>
      </c>
      <c r="D197" s="8">
        <v>0</v>
      </c>
      <c r="E197" s="7">
        <v>2.1000000000000001E-2</v>
      </c>
      <c r="F197" s="7">
        <v>0.1045</v>
      </c>
      <c r="G197" s="1">
        <v>1.6500000000000001E-2</v>
      </c>
      <c r="H197" s="1">
        <v>7.5999999999999998E-2</v>
      </c>
      <c r="I197" s="1">
        <v>0.18</v>
      </c>
      <c r="J197" s="1">
        <v>0.04</v>
      </c>
      <c r="K197" s="1">
        <v>0.14000000000000001</v>
      </c>
      <c r="L197" s="1">
        <v>1.4999999999999999E-2</v>
      </c>
      <c r="M197" s="2" t="s">
        <v>175</v>
      </c>
      <c r="N197" s="105">
        <v>175000</v>
      </c>
      <c r="O197" s="119">
        <v>0.315</v>
      </c>
      <c r="P197" s="227">
        <v>0.36</v>
      </c>
      <c r="Q197" s="119">
        <v>0.34</v>
      </c>
      <c r="R197" s="227">
        <v>0.38</v>
      </c>
      <c r="S197" s="227"/>
      <c r="T197" s="227"/>
      <c r="U197" s="227"/>
      <c r="V197" s="227">
        <v>0.34</v>
      </c>
      <c r="W197" s="227"/>
      <c r="X197" s="119">
        <f t="shared" si="198"/>
        <v>0.315</v>
      </c>
      <c r="Y197" s="118">
        <f t="shared" si="199"/>
        <v>0.34700000000000003</v>
      </c>
      <c r="Z197" s="109">
        <f>Y197*N197</f>
        <v>60725.000000000007</v>
      </c>
      <c r="AA197" s="109">
        <f>'CALCULO GERAL'!$G$10</f>
        <v>6300</v>
      </c>
      <c r="AB197" s="109">
        <f t="shared" si="200"/>
        <v>67025</v>
      </c>
      <c r="AC197" s="109">
        <f>AB197*'CALCULO GERAL'!$C$11</f>
        <v>336398.47500000003</v>
      </c>
      <c r="AD197" s="109">
        <f t="shared" si="201"/>
        <v>87463.603500000012</v>
      </c>
      <c r="AE197" s="109">
        <f t="shared" si="202"/>
        <v>0</v>
      </c>
      <c r="AF197" s="109">
        <f t="shared" si="203"/>
        <v>7064.367975000001</v>
      </c>
      <c r="AG197" s="109">
        <f t="shared" si="204"/>
        <v>35153.640637500001</v>
      </c>
      <c r="AH197" s="109">
        <v>154.22999999999999</v>
      </c>
      <c r="AI197" s="109">
        <f>((AA197*'CALCULO GERAL'!$C$11))*0.08+20</f>
        <v>2549.576</v>
      </c>
      <c r="AJ197" s="109">
        <v>1010</v>
      </c>
      <c r="AK197" s="109">
        <v>2500</v>
      </c>
      <c r="AL197" s="109">
        <f>(AA197*('CALCULO GERAL'!$C$11*1.02))-(AA197*'CALCULO GERAL'!$C$11)</f>
        <v>632.39400000000387</v>
      </c>
      <c r="AM197" s="109">
        <v>1800</v>
      </c>
      <c r="AN197" s="109">
        <v>2600</v>
      </c>
      <c r="AO197" s="109">
        <v>9400</v>
      </c>
      <c r="AP197" s="109">
        <v>1000</v>
      </c>
      <c r="AQ197" s="109">
        <v>0</v>
      </c>
      <c r="AR197" s="109">
        <v>0</v>
      </c>
      <c r="AS197" s="109"/>
      <c r="AT197" s="109">
        <f t="shared" si="188"/>
        <v>487726.28711250005</v>
      </c>
      <c r="AU197" s="111">
        <f t="shared" si="205"/>
        <v>2.7870073549285719</v>
      </c>
      <c r="AV197" s="109">
        <f>IFERROR((BS197*'CALCULO GERAL'!$E$11)/N197,0)</f>
        <v>6.6250799999999999E-2</v>
      </c>
      <c r="AW197" s="109">
        <f>AU197/'CALCULO GERAL'!$C$11</f>
        <v>0.55529136380326194</v>
      </c>
      <c r="AX197" s="109">
        <f>BP197-BB197-BD197*'CALCULO GERAL'!$C$11</f>
        <v>3.2628519000000002</v>
      </c>
      <c r="AY197" s="109">
        <f t="shared" si="206"/>
        <v>5.3837056350000009E-2</v>
      </c>
      <c r="AZ197" s="109">
        <f t="shared" si="207"/>
        <v>0.2479767444</v>
      </c>
      <c r="BA197" s="109">
        <f t="shared" si="208"/>
        <v>3.3125400000000003</v>
      </c>
      <c r="BB197" s="109">
        <f t="shared" si="209"/>
        <v>4.9688099999999999E-2</v>
      </c>
      <c r="BC197" s="109">
        <f t="shared" si="210"/>
        <v>3.3125400000000003</v>
      </c>
      <c r="BD197" s="109">
        <f t="shared" si="211"/>
        <v>0</v>
      </c>
      <c r="BE197" s="109">
        <f t="shared" si="212"/>
        <v>46375.56</v>
      </c>
      <c r="BF197" s="109">
        <f t="shared" si="213"/>
        <v>69563.34</v>
      </c>
      <c r="BG197" s="109">
        <f t="shared" si="214"/>
        <v>3.5775431999999996E-2</v>
      </c>
      <c r="BH197" s="109">
        <f t="shared" si="215"/>
        <v>3.9750479999999998E-2</v>
      </c>
      <c r="BI197" s="109">
        <f t="shared" si="216"/>
        <v>0</v>
      </c>
      <c r="BJ197" s="109">
        <f t="shared" si="217"/>
        <v>0.49327861275000001</v>
      </c>
      <c r="BK197" s="109">
        <f t="shared" si="218"/>
        <v>3.2802859676785721</v>
      </c>
      <c r="BL197" s="148">
        <v>0.86</v>
      </c>
      <c r="BM197" s="112">
        <f>ROUND((AW197/BL197)+((AW197*BL197)*'CALCULO GERAL'!$E$11)/BL197,2)</f>
        <v>0.66</v>
      </c>
      <c r="BN197" s="186">
        <f t="shared" si="189"/>
        <v>0.66</v>
      </c>
      <c r="BO197" s="186">
        <f t="shared" si="190"/>
        <v>0.77300000000000002</v>
      </c>
      <c r="BP197" s="109">
        <f>BM197*'CALCULO GERAL'!$C$11</f>
        <v>3.3125400000000003</v>
      </c>
      <c r="BQ197" s="109">
        <f>BO197*'CALCULO GERAL'!$C$11</f>
        <v>3.8796870000000001</v>
      </c>
      <c r="BR197" s="186">
        <f>BN197*'CALCULO GERAL'!$C$11</f>
        <v>3.3125400000000003</v>
      </c>
      <c r="BS197" s="109">
        <f t="shared" si="219"/>
        <v>579694.5</v>
      </c>
      <c r="BT197" s="109">
        <f t="shared" si="222"/>
        <v>91968.212887499947</v>
      </c>
      <c r="BU197" s="109">
        <f t="shared" si="220"/>
        <v>579694.5</v>
      </c>
      <c r="BV197" s="109">
        <f t="shared" si="194"/>
        <v>574050.04434375011</v>
      </c>
      <c r="BW197" s="109">
        <f t="shared" si="191"/>
        <v>5644.455656249891</v>
      </c>
      <c r="BX197" s="114">
        <f t="shared" si="221"/>
        <v>9.7369487829363412E-3</v>
      </c>
      <c r="BY197" s="152">
        <f t="shared" si="195"/>
        <v>0.86</v>
      </c>
      <c r="CA197" s="55"/>
      <c r="CB197" s="113"/>
      <c r="CC197" s="113"/>
      <c r="CE197" s="152">
        <f t="shared" si="196"/>
        <v>0</v>
      </c>
      <c r="CF197" s="152">
        <f t="shared" si="192"/>
        <v>1</v>
      </c>
      <c r="CG197" s="152">
        <f t="shared" si="193"/>
        <v>1</v>
      </c>
      <c r="CH197" s="34"/>
      <c r="CJ197" s="11"/>
      <c r="CK197" s="11"/>
    </row>
    <row r="198" spans="1:89" s="152" customFormat="1" x14ac:dyDescent="0.2">
      <c r="A198" s="125" t="s">
        <v>333</v>
      </c>
      <c r="B198" s="187" t="s">
        <v>297</v>
      </c>
      <c r="C198" s="8">
        <v>0.26</v>
      </c>
      <c r="D198" s="8">
        <v>0</v>
      </c>
      <c r="E198" s="7">
        <v>2.1000000000000001E-2</v>
      </c>
      <c r="F198" s="7">
        <v>0.1045</v>
      </c>
      <c r="G198" s="1">
        <v>1.6500000000000001E-2</v>
      </c>
      <c r="H198" s="1">
        <v>7.5999999999999998E-2</v>
      </c>
      <c r="I198" s="1">
        <v>0.18</v>
      </c>
      <c r="J198" s="1">
        <v>0.04</v>
      </c>
      <c r="K198" s="1">
        <v>0.14000000000000001</v>
      </c>
      <c r="L198" s="1">
        <v>1.4999999999999999E-2</v>
      </c>
      <c r="M198" s="2" t="s">
        <v>175</v>
      </c>
      <c r="N198" s="105">
        <v>165000</v>
      </c>
      <c r="O198" s="119">
        <v>0.37</v>
      </c>
      <c r="P198" s="119">
        <v>0.38</v>
      </c>
      <c r="Q198" s="119">
        <v>0.34</v>
      </c>
      <c r="R198" s="119">
        <v>0.41</v>
      </c>
      <c r="S198" s="119"/>
      <c r="T198" s="119"/>
      <c r="U198" s="119"/>
      <c r="V198" s="119">
        <v>0.36</v>
      </c>
      <c r="W198" s="119">
        <v>0.34499999999999997</v>
      </c>
      <c r="X198" s="119">
        <f t="shared" si="198"/>
        <v>0.34</v>
      </c>
      <c r="Y198" s="118">
        <f t="shared" si="199"/>
        <v>0.36749999999999999</v>
      </c>
      <c r="Z198" s="109">
        <f t="shared" si="197"/>
        <v>56100.000000000007</v>
      </c>
      <c r="AA198" s="109">
        <f>'CALCULO GERAL'!$G$10</f>
        <v>6300</v>
      </c>
      <c r="AB198" s="109">
        <f t="shared" si="200"/>
        <v>62400.000000000007</v>
      </c>
      <c r="AC198" s="109">
        <f>AB198*'CALCULO GERAL'!$C$11</f>
        <v>313185.60000000003</v>
      </c>
      <c r="AD198" s="109">
        <f t="shared" si="201"/>
        <v>81428.256000000008</v>
      </c>
      <c r="AE198" s="109">
        <f t="shared" si="202"/>
        <v>0</v>
      </c>
      <c r="AF198" s="109">
        <f t="shared" si="203"/>
        <v>6576.8976000000011</v>
      </c>
      <c r="AG198" s="109">
        <f t="shared" si="204"/>
        <v>32727.895200000003</v>
      </c>
      <c r="AH198" s="109">
        <v>154.22999999999999</v>
      </c>
      <c r="AI198" s="109">
        <f>((AA198*'CALCULO GERAL'!$C$11))*0.08+20</f>
        <v>2549.576</v>
      </c>
      <c r="AJ198" s="109">
        <v>1010</v>
      </c>
      <c r="AK198" s="109">
        <v>2500</v>
      </c>
      <c r="AL198" s="109">
        <f>(AA198*('CALCULO GERAL'!$C$11*1.02))-(AA198*'CALCULO GERAL'!$C$11)</f>
        <v>632.39400000000387</v>
      </c>
      <c r="AM198" s="109">
        <v>1800</v>
      </c>
      <c r="AN198" s="109">
        <v>2600</v>
      </c>
      <c r="AO198" s="109">
        <v>9400</v>
      </c>
      <c r="AP198" s="109">
        <v>1000</v>
      </c>
      <c r="AQ198" s="109">
        <v>0</v>
      </c>
      <c r="AR198" s="109">
        <v>0</v>
      </c>
      <c r="AS198" s="109"/>
      <c r="AT198" s="109">
        <f t="shared" si="188"/>
        <v>455564.84880000009</v>
      </c>
      <c r="AU198" s="111">
        <f t="shared" si="205"/>
        <v>2.760999083636364</v>
      </c>
      <c r="AV198" s="109">
        <f>IFERROR((BS198*'CALCULO GERAL'!$E$11)/N198,0)</f>
        <v>6.42432E-2</v>
      </c>
      <c r="AW198" s="109">
        <f>AU198/'CALCULO GERAL'!$C$11</f>
        <v>0.55010940100345962</v>
      </c>
      <c r="AX198" s="109">
        <f>BP198-BB198-BD198*'CALCULO GERAL'!$C$11</f>
        <v>3.1639776000000004</v>
      </c>
      <c r="AY198" s="109">
        <f t="shared" si="206"/>
        <v>5.2205630400000008E-2</v>
      </c>
      <c r="AZ198" s="109">
        <f t="shared" si="207"/>
        <v>0.24046229760000001</v>
      </c>
      <c r="BA198" s="109">
        <f t="shared" si="208"/>
        <v>3.2121600000000003</v>
      </c>
      <c r="BB198" s="109">
        <f t="shared" si="209"/>
        <v>4.81824E-2</v>
      </c>
      <c r="BC198" s="109">
        <f t="shared" si="210"/>
        <v>3.2121600000000003</v>
      </c>
      <c r="BD198" s="109">
        <f t="shared" si="211"/>
        <v>0</v>
      </c>
      <c r="BE198" s="109">
        <f t="shared" si="212"/>
        <v>42400.512000000002</v>
      </c>
      <c r="BF198" s="109">
        <f t="shared" si="213"/>
        <v>63600.768000000004</v>
      </c>
      <c r="BG198" s="109">
        <f t="shared" si="214"/>
        <v>3.4691328E-2</v>
      </c>
      <c r="BH198" s="109">
        <f t="shared" si="215"/>
        <v>3.8545919999999997E-2</v>
      </c>
      <c r="BI198" s="109">
        <f t="shared" si="216"/>
        <v>0</v>
      </c>
      <c r="BJ198" s="109">
        <f t="shared" si="217"/>
        <v>0.47833077600000007</v>
      </c>
      <c r="BK198" s="109">
        <f t="shared" si="218"/>
        <v>3.239329859636364</v>
      </c>
      <c r="BL198" s="148">
        <v>0.87</v>
      </c>
      <c r="BM198" s="112">
        <f>ROUND((AW198/BL198)+((AW198*BL198)*'CALCULO GERAL'!$E$11)/BL198,2)</f>
        <v>0.64</v>
      </c>
      <c r="BN198" s="186">
        <f t="shared" si="189"/>
        <v>0.64</v>
      </c>
      <c r="BO198" s="186">
        <f t="shared" si="190"/>
        <v>0.75</v>
      </c>
      <c r="BP198" s="109">
        <f>BM198*'CALCULO GERAL'!$C$11</f>
        <v>3.2121600000000003</v>
      </c>
      <c r="BQ198" s="109">
        <f>BO198*'CALCULO GERAL'!$C$11</f>
        <v>3.7642500000000001</v>
      </c>
      <c r="BR198" s="186">
        <f>BN198*'CALCULO GERAL'!$C$11</f>
        <v>3.2121600000000003</v>
      </c>
      <c r="BS198" s="109">
        <f t="shared" si="219"/>
        <v>530006.4</v>
      </c>
      <c r="BT198" s="109">
        <f t="shared" si="222"/>
        <v>74441.551199999929</v>
      </c>
      <c r="BU198" s="109">
        <f t="shared" si="220"/>
        <v>530006.4</v>
      </c>
      <c r="BV198" s="109">
        <f t="shared" si="194"/>
        <v>534489.42684000009</v>
      </c>
      <c r="BW198" s="109">
        <f t="shared" si="191"/>
        <v>-4483.0268400000641</v>
      </c>
      <c r="BX198" s="114">
        <f t="shared" si="221"/>
        <v>-8.4584390679057157E-3</v>
      </c>
      <c r="BY198" s="152">
        <f t="shared" si="195"/>
        <v>0.87</v>
      </c>
      <c r="CA198" s="55"/>
      <c r="CB198" s="113"/>
      <c r="CC198" s="113"/>
      <c r="CE198" s="152">
        <f t="shared" si="196"/>
        <v>0</v>
      </c>
      <c r="CF198" s="152">
        <f t="shared" si="192"/>
        <v>1</v>
      </c>
      <c r="CG198" s="152">
        <f t="shared" si="193"/>
        <v>1</v>
      </c>
      <c r="CH198" s="34"/>
      <c r="CJ198" s="11"/>
      <c r="CK198" s="11"/>
    </row>
    <row r="199" spans="1:89" s="152" customFormat="1" x14ac:dyDescent="0.2">
      <c r="A199" s="125" t="s">
        <v>334</v>
      </c>
      <c r="B199" s="187" t="s">
        <v>297</v>
      </c>
      <c r="C199" s="8">
        <v>0.26</v>
      </c>
      <c r="D199" s="8">
        <v>0</v>
      </c>
      <c r="E199" s="7">
        <v>2.1000000000000001E-2</v>
      </c>
      <c r="F199" s="7">
        <v>0.1045</v>
      </c>
      <c r="G199" s="1">
        <v>1.6500000000000001E-2</v>
      </c>
      <c r="H199" s="1">
        <v>7.5999999999999998E-2</v>
      </c>
      <c r="I199" s="1">
        <v>0.18</v>
      </c>
      <c r="J199" s="1">
        <v>0.04</v>
      </c>
      <c r="K199" s="1">
        <v>0.14000000000000001</v>
      </c>
      <c r="L199" s="1">
        <v>1.4999999999999999E-2</v>
      </c>
      <c r="M199" s="2" t="s">
        <v>175</v>
      </c>
      <c r="N199" s="105">
        <v>160000</v>
      </c>
      <c r="O199" s="119">
        <v>0.33500000000000002</v>
      </c>
      <c r="P199" s="119">
        <v>0.39</v>
      </c>
      <c r="Q199" s="119">
        <v>0.34</v>
      </c>
      <c r="R199" s="119">
        <v>0.43</v>
      </c>
      <c r="S199" s="119"/>
      <c r="T199" s="119"/>
      <c r="U199" s="119"/>
      <c r="V199" s="119">
        <v>0.36</v>
      </c>
      <c r="W199" s="119"/>
      <c r="X199" s="119">
        <f t="shared" si="198"/>
        <v>0.33500000000000002</v>
      </c>
      <c r="Y199" s="118">
        <f t="shared" si="199"/>
        <v>0.371</v>
      </c>
      <c r="Z199" s="109">
        <f>Y199*N199</f>
        <v>59360</v>
      </c>
      <c r="AA199" s="109">
        <f>'CALCULO GERAL'!$G$10</f>
        <v>6300</v>
      </c>
      <c r="AB199" s="109">
        <f t="shared" si="200"/>
        <v>65660</v>
      </c>
      <c r="AC199" s="109">
        <f>AB199*'CALCULO GERAL'!$C$11</f>
        <v>329547.54000000004</v>
      </c>
      <c r="AD199" s="109">
        <f t="shared" si="201"/>
        <v>85682.36040000002</v>
      </c>
      <c r="AE199" s="109">
        <f t="shared" si="202"/>
        <v>0</v>
      </c>
      <c r="AF199" s="109">
        <f t="shared" si="203"/>
        <v>6920.498340000001</v>
      </c>
      <c r="AG199" s="109">
        <f t="shared" si="204"/>
        <v>34437.717929999999</v>
      </c>
      <c r="AH199" s="109">
        <v>154.22999999999999</v>
      </c>
      <c r="AI199" s="109">
        <f>((AA199*'CALCULO GERAL'!$C$11))*0.08+20</f>
        <v>2549.576</v>
      </c>
      <c r="AJ199" s="109">
        <v>1010</v>
      </c>
      <c r="AK199" s="109">
        <v>2500</v>
      </c>
      <c r="AL199" s="109">
        <f>(AA199*('CALCULO GERAL'!$C$11*1.02))-(AA199*'CALCULO GERAL'!$C$11)</f>
        <v>632.39400000000387</v>
      </c>
      <c r="AM199" s="109">
        <v>1800</v>
      </c>
      <c r="AN199" s="109">
        <v>2600</v>
      </c>
      <c r="AO199" s="109">
        <v>9400</v>
      </c>
      <c r="AP199" s="109">
        <v>1000</v>
      </c>
      <c r="AQ199" s="109">
        <v>0</v>
      </c>
      <c r="AR199" s="109">
        <v>0</v>
      </c>
      <c r="AS199" s="109"/>
      <c r="AT199" s="109">
        <f t="shared" si="188"/>
        <v>478234.31667000003</v>
      </c>
      <c r="AU199" s="111">
        <f t="shared" si="205"/>
        <v>2.9889644791875001</v>
      </c>
      <c r="AV199" s="109">
        <f>IFERROR((BS199*'CALCULO GERAL'!$E$11)/N199,0)</f>
        <v>7.0265999999999995E-2</v>
      </c>
      <c r="AW199" s="109">
        <f>AU199/'CALCULO GERAL'!$C$11</f>
        <v>0.59552988228481774</v>
      </c>
      <c r="AX199" s="109">
        <f>BP199-BB199-BD199*'CALCULO GERAL'!$C$11</f>
        <v>3.4606004999999995</v>
      </c>
      <c r="AY199" s="109">
        <f t="shared" si="206"/>
        <v>5.7099908249999998E-2</v>
      </c>
      <c r="AZ199" s="109">
        <f t="shared" si="207"/>
        <v>0.26300563799999993</v>
      </c>
      <c r="BA199" s="109">
        <f t="shared" si="208"/>
        <v>3.5132999999999996</v>
      </c>
      <c r="BB199" s="109">
        <f t="shared" si="209"/>
        <v>5.2699499999999989E-2</v>
      </c>
      <c r="BC199" s="109">
        <f t="shared" si="210"/>
        <v>3.5132999999999996</v>
      </c>
      <c r="BD199" s="109">
        <f t="shared" si="211"/>
        <v>0</v>
      </c>
      <c r="BE199" s="109">
        <f t="shared" si="212"/>
        <v>44970.239999999998</v>
      </c>
      <c r="BF199" s="109">
        <f t="shared" si="213"/>
        <v>67455.360000000001</v>
      </c>
      <c r="BG199" s="109">
        <f t="shared" si="214"/>
        <v>3.7943640000000001E-2</v>
      </c>
      <c r="BH199" s="109">
        <f t="shared" si="215"/>
        <v>4.2159599999999992E-2</v>
      </c>
      <c r="BI199" s="109">
        <f t="shared" si="216"/>
        <v>0</v>
      </c>
      <c r="BJ199" s="109">
        <f t="shared" si="217"/>
        <v>0.52317428624999995</v>
      </c>
      <c r="BK199" s="109">
        <f t="shared" si="218"/>
        <v>3.5121387654375003</v>
      </c>
      <c r="BL199" s="148">
        <v>0.86</v>
      </c>
      <c r="BM199" s="112">
        <f>ROUND((AW199/BL199)+((AW199*BL199)*'CALCULO GERAL'!$E$11)/BL199,2)</f>
        <v>0.7</v>
      </c>
      <c r="BN199" s="186">
        <f t="shared" si="189"/>
        <v>0.7</v>
      </c>
      <c r="BO199" s="186">
        <f t="shared" si="190"/>
        <v>0.82</v>
      </c>
      <c r="BP199" s="109">
        <f>BM199*'CALCULO GERAL'!$C$11</f>
        <v>3.5132999999999996</v>
      </c>
      <c r="BQ199" s="109">
        <f>BO199*'CALCULO GERAL'!$C$11</f>
        <v>4.1155799999999996</v>
      </c>
      <c r="BR199" s="186">
        <f>BN199*'CALCULO GERAL'!$C$11</f>
        <v>3.5132999999999996</v>
      </c>
      <c r="BS199" s="109">
        <f t="shared" si="219"/>
        <v>562128</v>
      </c>
      <c r="BT199" s="109">
        <f t="shared" si="222"/>
        <v>83893.683329999971</v>
      </c>
      <c r="BU199" s="109">
        <f t="shared" si="220"/>
        <v>562128</v>
      </c>
      <c r="BV199" s="109">
        <f t="shared" si="194"/>
        <v>561942.20247000002</v>
      </c>
      <c r="BW199" s="109">
        <f t="shared" si="191"/>
        <v>185.79752999998163</v>
      </c>
      <c r="BX199" s="114">
        <f t="shared" si="221"/>
        <v>3.3052530740326335E-4</v>
      </c>
      <c r="BY199" s="152">
        <f t="shared" si="195"/>
        <v>0.86</v>
      </c>
      <c r="CA199" s="55"/>
      <c r="CB199" s="113"/>
      <c r="CC199" s="113"/>
      <c r="CE199" s="152">
        <f t="shared" si="196"/>
        <v>0</v>
      </c>
      <c r="CF199" s="152">
        <f t="shared" si="192"/>
        <v>1</v>
      </c>
      <c r="CG199" s="152">
        <f t="shared" si="193"/>
        <v>1</v>
      </c>
      <c r="CH199" s="34"/>
      <c r="CJ199" s="11"/>
      <c r="CK199" s="11"/>
    </row>
    <row r="200" spans="1:89" s="152" customFormat="1" x14ac:dyDescent="0.2">
      <c r="A200" s="125" t="s">
        <v>335</v>
      </c>
      <c r="B200" s="187" t="s">
        <v>297</v>
      </c>
      <c r="C200" s="8">
        <v>0.26</v>
      </c>
      <c r="D200" s="8">
        <v>0</v>
      </c>
      <c r="E200" s="7">
        <v>2.1000000000000001E-2</v>
      </c>
      <c r="F200" s="7">
        <v>0.1045</v>
      </c>
      <c r="G200" s="1">
        <v>1.6500000000000001E-2</v>
      </c>
      <c r="H200" s="1">
        <v>7.5999999999999998E-2</v>
      </c>
      <c r="I200" s="1">
        <v>0.18</v>
      </c>
      <c r="J200" s="1">
        <v>0.04</v>
      </c>
      <c r="K200" s="1">
        <v>0.14000000000000001</v>
      </c>
      <c r="L200" s="1">
        <v>1.4999999999999999E-2</v>
      </c>
      <c r="M200" s="2" t="s">
        <v>175</v>
      </c>
      <c r="N200" s="105">
        <v>140000</v>
      </c>
      <c r="O200" s="119">
        <v>0.39500000000000002</v>
      </c>
      <c r="P200" s="119"/>
      <c r="Q200" s="119"/>
      <c r="R200" s="119"/>
      <c r="S200" s="119"/>
      <c r="T200" s="119"/>
      <c r="U200" s="119"/>
      <c r="V200" s="119"/>
      <c r="W200" s="119"/>
      <c r="X200" s="119">
        <f t="shared" si="198"/>
        <v>0.39500000000000002</v>
      </c>
      <c r="Y200" s="118">
        <f t="shared" si="199"/>
        <v>0.39500000000000002</v>
      </c>
      <c r="Z200" s="109">
        <f t="shared" si="197"/>
        <v>55300</v>
      </c>
      <c r="AA200" s="109">
        <f>'CALCULO GERAL'!$G$10</f>
        <v>6300</v>
      </c>
      <c r="AB200" s="109">
        <f t="shared" si="200"/>
        <v>61600</v>
      </c>
      <c r="AC200" s="109">
        <f>AB200*'CALCULO GERAL'!$C$11</f>
        <v>309170.40000000002</v>
      </c>
      <c r="AD200" s="109">
        <f t="shared" si="201"/>
        <v>80384.304000000004</v>
      </c>
      <c r="AE200" s="109">
        <f t="shared" si="202"/>
        <v>0</v>
      </c>
      <c r="AF200" s="109">
        <f t="shared" si="203"/>
        <v>6492.5784000000012</v>
      </c>
      <c r="AG200" s="109">
        <f t="shared" si="204"/>
        <v>32308.306800000002</v>
      </c>
      <c r="AH200" s="109">
        <v>154.22999999999999</v>
      </c>
      <c r="AI200" s="109">
        <f>((AA200*'CALCULO GERAL'!$C$11))*0.08+20</f>
        <v>2549.576</v>
      </c>
      <c r="AJ200" s="109">
        <v>1010</v>
      </c>
      <c r="AK200" s="109">
        <v>2500</v>
      </c>
      <c r="AL200" s="109">
        <f>(AA200*('CALCULO GERAL'!$C$11*1.02))-(AA200*'CALCULO GERAL'!$C$11)</f>
        <v>632.39400000000387</v>
      </c>
      <c r="AM200" s="109">
        <v>1800</v>
      </c>
      <c r="AN200" s="109">
        <v>2600</v>
      </c>
      <c r="AO200" s="109">
        <v>9400</v>
      </c>
      <c r="AP200" s="109">
        <v>1000</v>
      </c>
      <c r="AQ200" s="109">
        <v>0</v>
      </c>
      <c r="AR200" s="109">
        <v>0</v>
      </c>
      <c r="AS200" s="109"/>
      <c r="AT200" s="109">
        <f t="shared" si="188"/>
        <v>450001.78920000006</v>
      </c>
      <c r="AU200" s="111">
        <f t="shared" si="205"/>
        <v>3.2142984942857149</v>
      </c>
      <c r="AV200" s="109">
        <f>IFERROR((BS200*'CALCULO GERAL'!$E$11)/N200,0)</f>
        <v>7.6288800000000018E-2</v>
      </c>
      <c r="AW200" s="109">
        <f>AU200/'CALCULO GERAL'!$C$11</f>
        <v>0.6404260797540775</v>
      </c>
      <c r="AX200" s="109">
        <f>BP200-BB200-BD200*'CALCULO GERAL'!$C$11</f>
        <v>3.7572234000000004</v>
      </c>
      <c r="AY200" s="109">
        <f t="shared" si="206"/>
        <v>6.1994186100000008E-2</v>
      </c>
      <c r="AZ200" s="109">
        <f t="shared" si="207"/>
        <v>0.28554897840000004</v>
      </c>
      <c r="BA200" s="109">
        <f t="shared" si="208"/>
        <v>3.8144400000000003</v>
      </c>
      <c r="BB200" s="109">
        <f t="shared" si="209"/>
        <v>5.7216599999999999E-2</v>
      </c>
      <c r="BC200" s="109">
        <f t="shared" si="210"/>
        <v>3.8144400000000003</v>
      </c>
      <c r="BD200" s="109">
        <f t="shared" si="211"/>
        <v>0</v>
      </c>
      <c r="BE200" s="109">
        <f t="shared" si="212"/>
        <v>42721.72800000001</v>
      </c>
      <c r="BF200" s="109">
        <f t="shared" si="213"/>
        <v>64082.592000000011</v>
      </c>
      <c r="BG200" s="109">
        <f t="shared" si="214"/>
        <v>4.1195952000000008E-2</v>
      </c>
      <c r="BH200" s="109">
        <f t="shared" si="215"/>
        <v>4.5773280000000006E-2</v>
      </c>
      <c r="BI200" s="109">
        <f t="shared" si="216"/>
        <v>0</v>
      </c>
      <c r="BJ200" s="109">
        <f t="shared" si="217"/>
        <v>0.56801779650000017</v>
      </c>
      <c r="BK200" s="109">
        <f t="shared" si="218"/>
        <v>3.7823162907857153</v>
      </c>
      <c r="BL200" s="148">
        <v>0.86</v>
      </c>
      <c r="BM200" s="112">
        <f>ROUND((AW200/BL200)+((AW200*BL200)*'CALCULO GERAL'!$E$11)/BL200,2)</f>
        <v>0.76</v>
      </c>
      <c r="BN200" s="186">
        <f t="shared" si="189"/>
        <v>0.76</v>
      </c>
      <c r="BO200" s="186">
        <f t="shared" si="190"/>
        <v>0.89</v>
      </c>
      <c r="BP200" s="109">
        <f>BM200*'CALCULO GERAL'!$C$11</f>
        <v>3.8144400000000003</v>
      </c>
      <c r="BQ200" s="109">
        <f>BO200*'CALCULO GERAL'!$C$11</f>
        <v>4.4669100000000004</v>
      </c>
      <c r="BR200" s="186">
        <f>BN200*'CALCULO GERAL'!$C$11</f>
        <v>3.8144400000000003</v>
      </c>
      <c r="BS200" s="109">
        <f t="shared" si="219"/>
        <v>534021.60000000009</v>
      </c>
      <c r="BT200" s="109">
        <f t="shared" si="222"/>
        <v>84019.810800000036</v>
      </c>
      <c r="BU200" s="109">
        <f t="shared" si="220"/>
        <v>534021.60000000009</v>
      </c>
      <c r="BV200" s="109">
        <f t="shared" si="194"/>
        <v>529524.2807100002</v>
      </c>
      <c r="BW200" s="109">
        <f t="shared" si="191"/>
        <v>4497.3192899998976</v>
      </c>
      <c r="BX200" s="114">
        <f t="shared" si="221"/>
        <v>8.4216055867401187E-3</v>
      </c>
      <c r="BY200" s="152">
        <f t="shared" si="195"/>
        <v>0.86</v>
      </c>
      <c r="CA200" s="55"/>
      <c r="CB200" s="113"/>
      <c r="CC200" s="113"/>
      <c r="CE200" s="152">
        <f t="shared" si="196"/>
        <v>0</v>
      </c>
      <c r="CF200" s="152">
        <f t="shared" si="192"/>
        <v>1</v>
      </c>
      <c r="CG200" s="152">
        <f t="shared" si="193"/>
        <v>1</v>
      </c>
      <c r="CH200" s="34"/>
      <c r="CJ200" s="11"/>
      <c r="CK200" s="11"/>
    </row>
    <row r="201" spans="1:89" s="152" customFormat="1" x14ac:dyDescent="0.2">
      <c r="A201" s="125" t="s">
        <v>336</v>
      </c>
      <c r="B201" s="187" t="s">
        <v>297</v>
      </c>
      <c r="C201" s="8">
        <v>0.26</v>
      </c>
      <c r="D201" s="8">
        <v>0</v>
      </c>
      <c r="E201" s="7">
        <v>2.1000000000000001E-2</v>
      </c>
      <c r="F201" s="7">
        <v>0.1045</v>
      </c>
      <c r="G201" s="1">
        <v>1.6500000000000001E-2</v>
      </c>
      <c r="H201" s="1">
        <v>7.5999999999999998E-2</v>
      </c>
      <c r="I201" s="1">
        <v>0.18</v>
      </c>
      <c r="J201" s="1">
        <v>0.04</v>
      </c>
      <c r="K201" s="1">
        <v>0.14000000000000001</v>
      </c>
      <c r="L201" s="1">
        <v>1.4999999999999999E-2</v>
      </c>
      <c r="M201" s="2" t="s">
        <v>175</v>
      </c>
      <c r="N201" s="105">
        <v>130000</v>
      </c>
      <c r="O201" s="119">
        <v>0.42499999999999999</v>
      </c>
      <c r="P201" s="119"/>
      <c r="Q201" s="119"/>
      <c r="R201" s="119"/>
      <c r="S201" s="119"/>
      <c r="T201" s="119"/>
      <c r="U201" s="119"/>
      <c r="V201" s="119"/>
      <c r="W201" s="119"/>
      <c r="X201" s="119">
        <f t="shared" si="198"/>
        <v>0.42499999999999999</v>
      </c>
      <c r="Y201" s="118">
        <f t="shared" si="199"/>
        <v>0.42499999999999999</v>
      </c>
      <c r="Z201" s="109">
        <f t="shared" si="197"/>
        <v>55250</v>
      </c>
      <c r="AA201" s="109">
        <f>'CALCULO GERAL'!$G$10</f>
        <v>6300</v>
      </c>
      <c r="AB201" s="109">
        <f t="shared" si="200"/>
        <v>61550</v>
      </c>
      <c r="AC201" s="109">
        <f>AB201*'CALCULO GERAL'!$C$11</f>
        <v>308919.45</v>
      </c>
      <c r="AD201" s="109">
        <f t="shared" si="201"/>
        <v>80319.057000000001</v>
      </c>
      <c r="AE201" s="109">
        <f t="shared" si="202"/>
        <v>0</v>
      </c>
      <c r="AF201" s="109">
        <f t="shared" si="203"/>
        <v>6487.3084500000004</v>
      </c>
      <c r="AG201" s="109">
        <f t="shared" si="204"/>
        <v>32282.082525000002</v>
      </c>
      <c r="AH201" s="109">
        <v>154.22999999999999</v>
      </c>
      <c r="AI201" s="109">
        <f>((AA201*'CALCULO GERAL'!$C$11))*0.08+20</f>
        <v>2549.576</v>
      </c>
      <c r="AJ201" s="109">
        <v>1010</v>
      </c>
      <c r="AK201" s="109">
        <v>2500</v>
      </c>
      <c r="AL201" s="109">
        <f>(AA201*('CALCULO GERAL'!$C$11*1.02))-(AA201*'CALCULO GERAL'!$C$11)</f>
        <v>632.39400000000387</v>
      </c>
      <c r="AM201" s="109">
        <v>1800</v>
      </c>
      <c r="AN201" s="109">
        <v>2600</v>
      </c>
      <c r="AO201" s="109">
        <v>9400</v>
      </c>
      <c r="AP201" s="109">
        <v>1000</v>
      </c>
      <c r="AQ201" s="109">
        <v>0</v>
      </c>
      <c r="AR201" s="109">
        <v>0</v>
      </c>
      <c r="AS201" s="109"/>
      <c r="AT201" s="109">
        <f t="shared" si="188"/>
        <v>449654.09797499998</v>
      </c>
      <c r="AU201" s="111">
        <f t="shared" si="205"/>
        <v>3.458877676730769</v>
      </c>
      <c r="AV201" s="109">
        <f>IFERROR((BS201*'CALCULO GERAL'!$E$11)/N201,0)</f>
        <v>8.1307800000000013E-2</v>
      </c>
      <c r="AW201" s="109">
        <f>AU201/'CALCULO GERAL'!$C$11</f>
        <v>0.68915673973516012</v>
      </c>
      <c r="AX201" s="109">
        <f>BP201-BB201-BD201*'CALCULO GERAL'!$C$11</f>
        <v>4.0044091500000007</v>
      </c>
      <c r="AY201" s="109">
        <f t="shared" si="206"/>
        <v>6.6072750975000011E-2</v>
      </c>
      <c r="AZ201" s="109">
        <f t="shared" si="207"/>
        <v>0.30433509540000003</v>
      </c>
      <c r="BA201" s="109">
        <f t="shared" si="208"/>
        <v>4.0653900000000007</v>
      </c>
      <c r="BB201" s="109">
        <f t="shared" si="209"/>
        <v>6.098085000000001E-2</v>
      </c>
      <c r="BC201" s="109">
        <f t="shared" si="210"/>
        <v>4.0653900000000007</v>
      </c>
      <c r="BD201" s="109">
        <f t="shared" si="211"/>
        <v>0</v>
      </c>
      <c r="BE201" s="109">
        <f t="shared" si="212"/>
        <v>42280.056000000004</v>
      </c>
      <c r="BF201" s="109">
        <f t="shared" si="213"/>
        <v>63420.084000000003</v>
      </c>
      <c r="BG201" s="109">
        <f t="shared" si="214"/>
        <v>4.3906212E-2</v>
      </c>
      <c r="BH201" s="109">
        <f t="shared" si="215"/>
        <v>4.8784680000000004E-2</v>
      </c>
      <c r="BI201" s="109">
        <f t="shared" si="216"/>
        <v>0</v>
      </c>
      <c r="BJ201" s="109">
        <f t="shared" si="217"/>
        <v>0.60538738837500006</v>
      </c>
      <c r="BK201" s="109">
        <f t="shared" si="218"/>
        <v>4.0642650651057686</v>
      </c>
      <c r="BL201" s="148">
        <v>0.87</v>
      </c>
      <c r="BM201" s="112">
        <f>ROUND((AW201/BL201)+((AW201*BL201)*'CALCULO GERAL'!$E$11)/BL201,2)</f>
        <v>0.81</v>
      </c>
      <c r="BN201" s="186">
        <f t="shared" si="189"/>
        <v>0.81</v>
      </c>
      <c r="BO201" s="186">
        <f t="shared" si="190"/>
        <v>0.94899999999999995</v>
      </c>
      <c r="BP201" s="109">
        <f>BM201*'CALCULO GERAL'!$C$11</f>
        <v>4.0653900000000007</v>
      </c>
      <c r="BQ201" s="109">
        <f>BO201*'CALCULO GERAL'!$C$11</f>
        <v>4.7630309999999998</v>
      </c>
      <c r="BR201" s="186">
        <f>BN201*'CALCULO GERAL'!$C$11</f>
        <v>4.0653900000000007</v>
      </c>
      <c r="BS201" s="109">
        <f t="shared" si="219"/>
        <v>528500.70000000007</v>
      </c>
      <c r="BT201" s="109">
        <f t="shared" si="222"/>
        <v>78846.602025000087</v>
      </c>
      <c r="BU201" s="109">
        <f t="shared" si="220"/>
        <v>528500.70000000007</v>
      </c>
      <c r="BV201" s="109">
        <f t="shared" si="194"/>
        <v>528354.45846374996</v>
      </c>
      <c r="BW201" s="109">
        <f t="shared" si="191"/>
        <v>146.24153625010513</v>
      </c>
      <c r="BX201" s="114">
        <f t="shared" si="221"/>
        <v>2.7671020350607879E-4</v>
      </c>
      <c r="BY201" s="152">
        <f t="shared" si="195"/>
        <v>0.87</v>
      </c>
      <c r="CA201" s="55"/>
      <c r="CB201" s="113"/>
      <c r="CC201" s="113"/>
      <c r="CE201" s="152">
        <f t="shared" si="196"/>
        <v>0</v>
      </c>
      <c r="CF201" s="152">
        <f t="shared" si="192"/>
        <v>1</v>
      </c>
      <c r="CG201" s="152">
        <f t="shared" si="193"/>
        <v>1</v>
      </c>
      <c r="CH201" s="34"/>
      <c r="CJ201" s="11"/>
      <c r="CK201" s="11"/>
    </row>
    <row r="202" spans="1:89" s="152" customFormat="1" x14ac:dyDescent="0.2">
      <c r="A202" s="125" t="s">
        <v>337</v>
      </c>
      <c r="B202" s="187" t="s">
        <v>325</v>
      </c>
      <c r="C202" s="8">
        <v>0.26</v>
      </c>
      <c r="D202" s="8">
        <v>0</v>
      </c>
      <c r="E202" s="7">
        <v>2.1000000000000001E-2</v>
      </c>
      <c r="F202" s="7">
        <v>0.1045</v>
      </c>
      <c r="G202" s="1">
        <v>1.6500000000000001E-2</v>
      </c>
      <c r="H202" s="1">
        <v>7.5999999999999998E-2</v>
      </c>
      <c r="I202" s="1">
        <v>0.18</v>
      </c>
      <c r="J202" s="1">
        <v>0.04</v>
      </c>
      <c r="K202" s="1">
        <v>0.14000000000000001</v>
      </c>
      <c r="L202" s="1">
        <v>1.4999999999999999E-2</v>
      </c>
      <c r="M202" s="2" t="s">
        <v>175</v>
      </c>
      <c r="N202" s="105">
        <v>165000</v>
      </c>
      <c r="O202" s="119">
        <v>0.5</v>
      </c>
      <c r="P202" s="119">
        <v>0.49</v>
      </c>
      <c r="Q202" s="119"/>
      <c r="R202" s="119"/>
      <c r="S202" s="119"/>
      <c r="T202" s="119"/>
      <c r="U202" s="119"/>
      <c r="V202" s="119"/>
      <c r="W202" s="119"/>
      <c r="X202" s="119">
        <f t="shared" si="198"/>
        <v>0.49</v>
      </c>
      <c r="Y202" s="118">
        <f t="shared" si="199"/>
        <v>0.495</v>
      </c>
      <c r="Z202" s="109">
        <f t="shared" si="197"/>
        <v>80850</v>
      </c>
      <c r="AA202" s="109">
        <f>'CALCULO GERAL'!$G$10</f>
        <v>6300</v>
      </c>
      <c r="AB202" s="109">
        <f t="shared" si="200"/>
        <v>87150</v>
      </c>
      <c r="AC202" s="109">
        <f>AB202*'CALCULO GERAL'!$C$11</f>
        <v>437405.85000000003</v>
      </c>
      <c r="AD202" s="109">
        <f t="shared" si="201"/>
        <v>113725.52100000001</v>
      </c>
      <c r="AE202" s="109">
        <f t="shared" si="202"/>
        <v>0</v>
      </c>
      <c r="AF202" s="109">
        <f t="shared" si="203"/>
        <v>9185.5228500000012</v>
      </c>
      <c r="AG202" s="109">
        <f t="shared" si="204"/>
        <v>45708.911325000001</v>
      </c>
      <c r="AH202" s="109">
        <v>154.22999999999999</v>
      </c>
      <c r="AI202" s="109">
        <f>((AA202*'CALCULO GERAL'!$C$11))*0.08+20</f>
        <v>2549.576</v>
      </c>
      <c r="AJ202" s="109">
        <v>1010</v>
      </c>
      <c r="AK202" s="109">
        <v>2500</v>
      </c>
      <c r="AL202" s="109">
        <f>(AA202*('CALCULO GERAL'!$C$11*1.02))-(AA202*'CALCULO GERAL'!$C$11)</f>
        <v>632.39400000000387</v>
      </c>
      <c r="AM202" s="109">
        <v>1800</v>
      </c>
      <c r="AN202" s="109">
        <v>2600</v>
      </c>
      <c r="AO202" s="109">
        <v>9400</v>
      </c>
      <c r="AP202" s="109">
        <v>1000</v>
      </c>
      <c r="AQ202" s="109">
        <v>0</v>
      </c>
      <c r="AR202" s="109">
        <v>0</v>
      </c>
      <c r="AS202" s="109"/>
      <c r="AT202" s="109">
        <f t="shared" si="188"/>
        <v>627672.00517499994</v>
      </c>
      <c r="AU202" s="111">
        <f t="shared" si="205"/>
        <v>3.8040727586363632</v>
      </c>
      <c r="AV202" s="109">
        <f>IFERROR((BS202*'CALCULO GERAL'!$E$11)/N202,0)</f>
        <v>8.8334399999999993E-2</v>
      </c>
      <c r="AW202" s="109">
        <f>AU202/'CALCULO GERAL'!$C$11</f>
        <v>0.75793440100345943</v>
      </c>
      <c r="AX202" s="109">
        <f>BP202-BB202-BD202*'CALCULO GERAL'!$C$11</f>
        <v>4.3504692</v>
      </c>
      <c r="AY202" s="109">
        <f t="shared" si="206"/>
        <v>7.1782741800000008E-2</v>
      </c>
      <c r="AZ202" s="109">
        <f t="shared" si="207"/>
        <v>0.33063565919999999</v>
      </c>
      <c r="BA202" s="109">
        <f t="shared" si="208"/>
        <v>4.4167199999999998</v>
      </c>
      <c r="BB202" s="109">
        <f t="shared" si="209"/>
        <v>6.6250799999999999E-2</v>
      </c>
      <c r="BC202" s="109">
        <f t="shared" si="210"/>
        <v>4.4167199999999998</v>
      </c>
      <c r="BD202" s="109">
        <f t="shared" si="211"/>
        <v>0</v>
      </c>
      <c r="BE202" s="109">
        <f t="shared" si="212"/>
        <v>58300.703999999998</v>
      </c>
      <c r="BF202" s="109">
        <f t="shared" si="213"/>
        <v>87451.055999999982</v>
      </c>
      <c r="BG202" s="109">
        <f t="shared" si="214"/>
        <v>4.7700575999999988E-2</v>
      </c>
      <c r="BH202" s="109">
        <f t="shared" si="215"/>
        <v>5.3000639999999995E-2</v>
      </c>
      <c r="BI202" s="109">
        <f t="shared" si="216"/>
        <v>0</v>
      </c>
      <c r="BJ202" s="109">
        <f t="shared" si="217"/>
        <v>0.65770481700000005</v>
      </c>
      <c r="BK202" s="109">
        <f t="shared" si="218"/>
        <v>4.4617775756363631</v>
      </c>
      <c r="BL202" s="148">
        <v>0.878</v>
      </c>
      <c r="BM202" s="112">
        <f>ROUND((AW202/BL202)+((AW202*BL202)*'CALCULO GERAL'!$E$11)/BL202,2)</f>
        <v>0.88</v>
      </c>
      <c r="BN202" s="186">
        <f t="shared" si="189"/>
        <v>0.88</v>
      </c>
      <c r="BO202" s="186">
        <f t="shared" si="190"/>
        <v>1.0309999999999999</v>
      </c>
      <c r="BP202" s="109">
        <f>BM202*'CALCULO GERAL'!$C$11</f>
        <v>4.4167199999999998</v>
      </c>
      <c r="BQ202" s="109">
        <f>BO202*'CALCULO GERAL'!$C$11</f>
        <v>5.1745890000000001</v>
      </c>
      <c r="BR202" s="186">
        <f>BN202*'CALCULO GERAL'!$C$11</f>
        <v>4.4167199999999998</v>
      </c>
      <c r="BS202" s="109">
        <f t="shared" si="219"/>
        <v>728758.79999999993</v>
      </c>
      <c r="BT202" s="109">
        <f t="shared" si="222"/>
        <v>101086.79482499999</v>
      </c>
      <c r="BU202" s="109">
        <f t="shared" si="220"/>
        <v>728758.79999999993</v>
      </c>
      <c r="BV202" s="109">
        <f t="shared" si="194"/>
        <v>736193.29997999989</v>
      </c>
      <c r="BW202" s="109">
        <f t="shared" si="191"/>
        <v>-7434.4999799999641</v>
      </c>
      <c r="BX202" s="114">
        <f t="shared" si="221"/>
        <v>-1.020159204938584E-2</v>
      </c>
      <c r="BY202" s="152">
        <f t="shared" si="195"/>
        <v>0.88</v>
      </c>
      <c r="CA202" s="55"/>
      <c r="CB202" s="113"/>
      <c r="CC202" s="113"/>
      <c r="CE202" s="152">
        <f t="shared" si="196"/>
        <v>0</v>
      </c>
      <c r="CF202" s="152">
        <f t="shared" si="192"/>
        <v>1</v>
      </c>
      <c r="CG202" s="152">
        <f t="shared" si="193"/>
        <v>1</v>
      </c>
      <c r="CH202" s="34"/>
      <c r="CJ202" s="11"/>
      <c r="CK202" s="11"/>
    </row>
    <row r="203" spans="1:89" s="152" customFormat="1" x14ac:dyDescent="0.2">
      <c r="A203" s="125" t="s">
        <v>338</v>
      </c>
      <c r="B203" s="187" t="s">
        <v>325</v>
      </c>
      <c r="C203" s="8">
        <v>0.26</v>
      </c>
      <c r="D203" s="8">
        <v>0</v>
      </c>
      <c r="E203" s="7">
        <v>2.1000000000000001E-2</v>
      </c>
      <c r="F203" s="7">
        <v>0.1045</v>
      </c>
      <c r="G203" s="1">
        <v>1.6500000000000001E-2</v>
      </c>
      <c r="H203" s="1">
        <v>7.5999999999999998E-2</v>
      </c>
      <c r="I203" s="1">
        <v>0.18</v>
      </c>
      <c r="J203" s="1">
        <v>0.04</v>
      </c>
      <c r="K203" s="1">
        <v>0.14000000000000001</v>
      </c>
      <c r="L203" s="1">
        <v>1.4999999999999999E-2</v>
      </c>
      <c r="M203" s="2" t="s">
        <v>175</v>
      </c>
      <c r="N203" s="105">
        <v>145000</v>
      </c>
      <c r="O203" s="119">
        <v>0.45</v>
      </c>
      <c r="P203" s="119">
        <v>0.49</v>
      </c>
      <c r="Q203" s="119">
        <v>0.37</v>
      </c>
      <c r="R203" s="119">
        <v>0.47</v>
      </c>
      <c r="S203" s="119"/>
      <c r="T203" s="119"/>
      <c r="U203" s="119"/>
      <c r="V203" s="119">
        <v>0.39</v>
      </c>
      <c r="W203" s="119">
        <v>0.375</v>
      </c>
      <c r="X203" s="119">
        <f t="shared" si="198"/>
        <v>0.37</v>
      </c>
      <c r="Y203" s="118">
        <f t="shared" si="199"/>
        <v>0.42416666666666664</v>
      </c>
      <c r="Z203" s="109">
        <f t="shared" si="197"/>
        <v>53650</v>
      </c>
      <c r="AA203" s="109">
        <f>'CALCULO GERAL'!$G$10</f>
        <v>6300</v>
      </c>
      <c r="AB203" s="109">
        <f t="shared" si="200"/>
        <v>59950</v>
      </c>
      <c r="AC203" s="109">
        <f>AB203*'CALCULO GERAL'!$C$11</f>
        <v>300889.05</v>
      </c>
      <c r="AD203" s="109">
        <f t="shared" si="201"/>
        <v>78231.153000000006</v>
      </c>
      <c r="AE203" s="109">
        <f t="shared" si="202"/>
        <v>0</v>
      </c>
      <c r="AF203" s="109">
        <f t="shared" si="203"/>
        <v>6318.6700499999997</v>
      </c>
      <c r="AG203" s="109">
        <f t="shared" si="204"/>
        <v>31442.905724999997</v>
      </c>
      <c r="AH203" s="109">
        <v>154.22999999999999</v>
      </c>
      <c r="AI203" s="109">
        <f>((AA203*'CALCULO GERAL'!$C$11))*0.08+20</f>
        <v>2549.576</v>
      </c>
      <c r="AJ203" s="109">
        <v>1010</v>
      </c>
      <c r="AK203" s="109">
        <v>2500</v>
      </c>
      <c r="AL203" s="109">
        <f>(AA203*('CALCULO GERAL'!$C$11*1.02))-(AA203*'CALCULO GERAL'!$C$11)</f>
        <v>632.39400000000387</v>
      </c>
      <c r="AM203" s="109">
        <v>1800</v>
      </c>
      <c r="AN203" s="109">
        <v>2600</v>
      </c>
      <c r="AO203" s="109">
        <v>9400</v>
      </c>
      <c r="AP203" s="109">
        <v>1000</v>
      </c>
      <c r="AQ203" s="109">
        <v>0</v>
      </c>
      <c r="AR203" s="109">
        <v>0</v>
      </c>
      <c r="AS203" s="109"/>
      <c r="AT203" s="109">
        <f t="shared" si="188"/>
        <v>438527.97877500003</v>
      </c>
      <c r="AU203" s="111">
        <f t="shared" si="205"/>
        <v>3.0243308881034485</v>
      </c>
      <c r="AV203" s="109">
        <f>IFERROR((BS203*'CALCULO GERAL'!$E$11)/N203,0)</f>
        <v>7.1269799999999994E-2</v>
      </c>
      <c r="AW203" s="109">
        <f>AU203/'CALCULO GERAL'!$C$11</f>
        <v>0.6025763873487644</v>
      </c>
      <c r="AX203" s="109">
        <f>BP203-BB203-BD203*'CALCULO GERAL'!$C$11</f>
        <v>3.5100376499999997</v>
      </c>
      <c r="AY203" s="109">
        <f t="shared" si="206"/>
        <v>5.7915621224999998E-2</v>
      </c>
      <c r="AZ203" s="109">
        <f t="shared" si="207"/>
        <v>0.2667628614</v>
      </c>
      <c r="BA203" s="109">
        <f t="shared" si="208"/>
        <v>3.5634899999999998</v>
      </c>
      <c r="BB203" s="109">
        <f t="shared" si="209"/>
        <v>5.3452349999999996E-2</v>
      </c>
      <c r="BC203" s="109">
        <f t="shared" si="210"/>
        <v>3.5634899999999998</v>
      </c>
      <c r="BD203" s="109">
        <f t="shared" si="211"/>
        <v>0</v>
      </c>
      <c r="BE203" s="109">
        <f t="shared" si="212"/>
        <v>41336.483999999997</v>
      </c>
      <c r="BF203" s="109">
        <f t="shared" si="213"/>
        <v>62004.725999999995</v>
      </c>
      <c r="BG203" s="109">
        <f t="shared" si="214"/>
        <v>3.8485692000000002E-2</v>
      </c>
      <c r="BH203" s="109">
        <f t="shared" si="215"/>
        <v>4.2761879999999995E-2</v>
      </c>
      <c r="BI203" s="109">
        <f t="shared" si="216"/>
        <v>0</v>
      </c>
      <c r="BJ203" s="109">
        <f t="shared" si="217"/>
        <v>0.53064820462499995</v>
      </c>
      <c r="BK203" s="109">
        <f t="shared" si="218"/>
        <v>3.5549790927284484</v>
      </c>
      <c r="BL203" s="148">
        <v>0.86</v>
      </c>
      <c r="BM203" s="112">
        <f>ROUND((AW203/BL203)+((AW203*BL203)*'CALCULO GERAL'!$E$11)/BL203,2)</f>
        <v>0.71</v>
      </c>
      <c r="BN203" s="186">
        <f t="shared" si="189"/>
        <v>0.71</v>
      </c>
      <c r="BO203" s="186">
        <f t="shared" si="190"/>
        <v>0.83199999999999996</v>
      </c>
      <c r="BP203" s="109">
        <f>BM203*'CALCULO GERAL'!$C$11</f>
        <v>3.5634899999999998</v>
      </c>
      <c r="BQ203" s="109">
        <f>BO203*'CALCULO GERAL'!$C$11</f>
        <v>4.175808</v>
      </c>
      <c r="BR203" s="186">
        <f>BN203*'CALCULO GERAL'!$C$11</f>
        <v>3.5634899999999998</v>
      </c>
      <c r="BS203" s="109">
        <f t="shared" si="219"/>
        <v>516706.05</v>
      </c>
      <c r="BT203" s="109">
        <f t="shared" si="222"/>
        <v>78178.071224999963</v>
      </c>
      <c r="BU203" s="109">
        <f t="shared" si="220"/>
        <v>516706.05</v>
      </c>
      <c r="BV203" s="109">
        <f t="shared" si="194"/>
        <v>515471.96844562504</v>
      </c>
      <c r="BW203" s="109">
        <f t="shared" si="191"/>
        <v>1234.0815543749486</v>
      </c>
      <c r="BX203" s="114">
        <f t="shared" si="221"/>
        <v>2.3883628890641953E-3</v>
      </c>
      <c r="BY203" s="152">
        <f t="shared" si="195"/>
        <v>0.86</v>
      </c>
      <c r="CA203" s="55"/>
      <c r="CB203" s="113"/>
      <c r="CC203" s="113"/>
      <c r="CE203" s="152">
        <f t="shared" si="196"/>
        <v>0</v>
      </c>
      <c r="CF203" s="152">
        <f t="shared" si="192"/>
        <v>1</v>
      </c>
      <c r="CG203" s="152">
        <f t="shared" si="193"/>
        <v>1</v>
      </c>
      <c r="CH203" s="34"/>
      <c r="CJ203" s="11"/>
      <c r="CK203" s="11"/>
    </row>
    <row r="204" spans="1:89" s="152" customFormat="1" x14ac:dyDescent="0.2">
      <c r="A204" s="125" t="s">
        <v>339</v>
      </c>
      <c r="B204" s="187" t="s">
        <v>297</v>
      </c>
      <c r="C204" s="8">
        <v>0.26</v>
      </c>
      <c r="D204" s="8">
        <v>0</v>
      </c>
      <c r="E204" s="7">
        <v>2.1000000000000001E-2</v>
      </c>
      <c r="F204" s="7">
        <v>0.1045</v>
      </c>
      <c r="G204" s="1">
        <v>1.6500000000000001E-2</v>
      </c>
      <c r="H204" s="1">
        <v>7.5999999999999998E-2</v>
      </c>
      <c r="I204" s="1">
        <v>0.18</v>
      </c>
      <c r="J204" s="1">
        <v>0.04</v>
      </c>
      <c r="K204" s="1">
        <v>0.14000000000000001</v>
      </c>
      <c r="L204" s="1">
        <v>1.4999999999999999E-2</v>
      </c>
      <c r="M204" s="2" t="s">
        <v>175</v>
      </c>
      <c r="N204" s="105">
        <v>165000</v>
      </c>
      <c r="O204" s="119">
        <v>0.34</v>
      </c>
      <c r="P204" s="119">
        <v>0.42</v>
      </c>
      <c r="Q204" s="119"/>
      <c r="R204" s="119"/>
      <c r="S204" s="119"/>
      <c r="T204" s="119"/>
      <c r="U204" s="119"/>
      <c r="V204" s="119"/>
      <c r="W204" s="119"/>
      <c r="X204" s="119">
        <f t="shared" si="198"/>
        <v>0.34</v>
      </c>
      <c r="Y204" s="118">
        <f t="shared" si="199"/>
        <v>0.38</v>
      </c>
      <c r="Z204" s="109">
        <f t="shared" si="197"/>
        <v>56100.000000000007</v>
      </c>
      <c r="AA204" s="109">
        <f>'CALCULO GERAL'!$G$10</f>
        <v>6300</v>
      </c>
      <c r="AB204" s="109">
        <f t="shared" si="200"/>
        <v>62400.000000000007</v>
      </c>
      <c r="AC204" s="109">
        <f>AB204*'CALCULO GERAL'!$C$11</f>
        <v>313185.60000000003</v>
      </c>
      <c r="AD204" s="109">
        <f t="shared" si="201"/>
        <v>81428.256000000008</v>
      </c>
      <c r="AE204" s="109">
        <f t="shared" si="202"/>
        <v>0</v>
      </c>
      <c r="AF204" s="109">
        <f t="shared" si="203"/>
        <v>6576.8976000000011</v>
      </c>
      <c r="AG204" s="109">
        <f t="shared" si="204"/>
        <v>32727.895200000003</v>
      </c>
      <c r="AH204" s="109">
        <v>154.22999999999999</v>
      </c>
      <c r="AI204" s="109">
        <f>((AA204*'CALCULO GERAL'!$C$11))*0.08+20</f>
        <v>2549.576</v>
      </c>
      <c r="AJ204" s="109">
        <v>1010</v>
      </c>
      <c r="AK204" s="109">
        <v>2500</v>
      </c>
      <c r="AL204" s="109">
        <f>(AA204*('CALCULO GERAL'!$C$11*1.02))-(AA204*'CALCULO GERAL'!$C$11)</f>
        <v>632.39400000000387</v>
      </c>
      <c r="AM204" s="109">
        <v>1800</v>
      </c>
      <c r="AN204" s="109">
        <v>2600</v>
      </c>
      <c r="AO204" s="109">
        <v>9400</v>
      </c>
      <c r="AP204" s="109">
        <v>1000</v>
      </c>
      <c r="AQ204" s="109">
        <v>0</v>
      </c>
      <c r="AR204" s="109">
        <v>0</v>
      </c>
      <c r="AS204" s="109"/>
      <c r="AT204" s="109">
        <f t="shared" si="188"/>
        <v>455564.84880000009</v>
      </c>
      <c r="AU204" s="111">
        <f t="shared" si="205"/>
        <v>2.760999083636364</v>
      </c>
      <c r="AV204" s="109">
        <f>IFERROR((BS204*'CALCULO GERAL'!$E$11)/N204,0)</f>
        <v>6.42432E-2</v>
      </c>
      <c r="AW204" s="109">
        <f>AU204/'CALCULO GERAL'!$C$11</f>
        <v>0.55010940100345962</v>
      </c>
      <c r="AX204" s="109">
        <f>BP204-BB204-BD204*'CALCULO GERAL'!$C$11</f>
        <v>3.1639776000000004</v>
      </c>
      <c r="AY204" s="109">
        <f t="shared" si="206"/>
        <v>5.2205630400000008E-2</v>
      </c>
      <c r="AZ204" s="109">
        <f t="shared" si="207"/>
        <v>0.24046229760000001</v>
      </c>
      <c r="BA204" s="109">
        <f t="shared" si="208"/>
        <v>3.2121600000000003</v>
      </c>
      <c r="BB204" s="109">
        <f t="shared" si="209"/>
        <v>4.81824E-2</v>
      </c>
      <c r="BC204" s="109">
        <f t="shared" si="210"/>
        <v>3.2121600000000003</v>
      </c>
      <c r="BD204" s="109">
        <f t="shared" si="211"/>
        <v>0</v>
      </c>
      <c r="BE204" s="109">
        <f t="shared" si="212"/>
        <v>42400.512000000002</v>
      </c>
      <c r="BF204" s="109">
        <f t="shared" si="213"/>
        <v>63600.768000000004</v>
      </c>
      <c r="BG204" s="109">
        <f t="shared" si="214"/>
        <v>3.4691328E-2</v>
      </c>
      <c r="BH204" s="109">
        <f t="shared" si="215"/>
        <v>3.8545919999999997E-2</v>
      </c>
      <c r="BI204" s="109">
        <f t="shared" si="216"/>
        <v>0</v>
      </c>
      <c r="BJ204" s="109">
        <f t="shared" si="217"/>
        <v>0.47833077600000007</v>
      </c>
      <c r="BK204" s="109">
        <f t="shared" si="218"/>
        <v>3.239329859636364</v>
      </c>
      <c r="BL204" s="148">
        <v>0.87</v>
      </c>
      <c r="BM204" s="112">
        <f>ROUND((AW204/BL204)+((AW204*BL204)*'CALCULO GERAL'!$E$11)/BL204,2)</f>
        <v>0.64</v>
      </c>
      <c r="BN204" s="186">
        <f t="shared" si="189"/>
        <v>0.64</v>
      </c>
      <c r="BO204" s="186">
        <f t="shared" si="190"/>
        <v>0.75</v>
      </c>
      <c r="BP204" s="109">
        <f>BM204*'CALCULO GERAL'!$C$11</f>
        <v>3.2121600000000003</v>
      </c>
      <c r="BQ204" s="109">
        <f>BO204*'CALCULO GERAL'!$C$11</f>
        <v>3.7642500000000001</v>
      </c>
      <c r="BR204" s="186">
        <f>BN204*'CALCULO GERAL'!$C$11</f>
        <v>3.2121600000000003</v>
      </c>
      <c r="BS204" s="109">
        <f t="shared" si="219"/>
        <v>530006.4</v>
      </c>
      <c r="BT204" s="109">
        <f t="shared" si="222"/>
        <v>74441.551199999929</v>
      </c>
      <c r="BU204" s="109">
        <f t="shared" si="220"/>
        <v>530006.4</v>
      </c>
      <c r="BV204" s="109">
        <f t="shared" si="194"/>
        <v>534489.42684000009</v>
      </c>
      <c r="BW204" s="109">
        <f t="shared" si="191"/>
        <v>-4483.0268400000641</v>
      </c>
      <c r="BX204" s="114">
        <f t="shared" si="221"/>
        <v>-8.4584390679057157E-3</v>
      </c>
      <c r="BY204" s="152">
        <f t="shared" si="195"/>
        <v>0.87</v>
      </c>
      <c r="CA204" s="55"/>
      <c r="CB204" s="113"/>
      <c r="CC204" s="113"/>
      <c r="CE204" s="152">
        <f t="shared" si="196"/>
        <v>0</v>
      </c>
      <c r="CF204" s="152">
        <f t="shared" si="192"/>
        <v>1</v>
      </c>
      <c r="CG204" s="152">
        <f t="shared" si="193"/>
        <v>1</v>
      </c>
      <c r="CH204" s="34"/>
      <c r="CJ204" s="11"/>
      <c r="CK204" s="11"/>
    </row>
    <row r="205" spans="1:89" s="152" customFormat="1" x14ac:dyDescent="0.2">
      <c r="A205" s="125" t="s">
        <v>340</v>
      </c>
      <c r="B205" s="187" t="s">
        <v>297</v>
      </c>
      <c r="C205" s="8">
        <v>0.26</v>
      </c>
      <c r="D205" s="8">
        <v>0</v>
      </c>
      <c r="E205" s="7">
        <v>2.1000000000000001E-2</v>
      </c>
      <c r="F205" s="7">
        <v>0.1045</v>
      </c>
      <c r="G205" s="1">
        <v>1.6500000000000001E-2</v>
      </c>
      <c r="H205" s="1">
        <v>7.5999999999999998E-2</v>
      </c>
      <c r="I205" s="1">
        <v>0.18</v>
      </c>
      <c r="J205" s="1">
        <v>0.04</v>
      </c>
      <c r="K205" s="1">
        <v>0.14000000000000001</v>
      </c>
      <c r="L205" s="1">
        <v>1.4999999999999999E-2</v>
      </c>
      <c r="M205" s="2" t="s">
        <v>175</v>
      </c>
      <c r="N205" s="105">
        <v>145000</v>
      </c>
      <c r="O205" s="119">
        <v>0.45</v>
      </c>
      <c r="P205" s="119"/>
      <c r="Q205" s="119"/>
      <c r="R205" s="119"/>
      <c r="S205" s="119"/>
      <c r="T205" s="119"/>
      <c r="U205" s="119"/>
      <c r="V205" s="119"/>
      <c r="W205" s="119"/>
      <c r="X205" s="119">
        <f t="shared" si="198"/>
        <v>0.45</v>
      </c>
      <c r="Y205" s="118">
        <f t="shared" si="199"/>
        <v>0.45</v>
      </c>
      <c r="Z205" s="109">
        <f t="shared" si="197"/>
        <v>65250</v>
      </c>
      <c r="AA205" s="109">
        <f>'CALCULO GERAL'!$G$10</f>
        <v>6300</v>
      </c>
      <c r="AB205" s="109">
        <f t="shared" si="200"/>
        <v>71550</v>
      </c>
      <c r="AC205" s="109">
        <f>AB205*'CALCULO GERAL'!$C$11</f>
        <v>359109.45</v>
      </c>
      <c r="AD205" s="109">
        <f t="shared" si="201"/>
        <v>93368.457000000009</v>
      </c>
      <c r="AE205" s="109">
        <f t="shared" si="202"/>
        <v>0</v>
      </c>
      <c r="AF205" s="109">
        <f t="shared" si="203"/>
        <v>7541.2984500000011</v>
      </c>
      <c r="AG205" s="109">
        <f t="shared" si="204"/>
        <v>37526.937525000001</v>
      </c>
      <c r="AH205" s="109">
        <v>154.22999999999999</v>
      </c>
      <c r="AI205" s="109">
        <f>((AA205*'CALCULO GERAL'!$C$11))*0.08+20</f>
        <v>2549.576</v>
      </c>
      <c r="AJ205" s="109">
        <v>1010</v>
      </c>
      <c r="AK205" s="109">
        <v>2500</v>
      </c>
      <c r="AL205" s="109">
        <f>(AA205*('CALCULO GERAL'!$C$11*1.02))-(AA205*'CALCULO GERAL'!$C$11)</f>
        <v>632.39400000000387</v>
      </c>
      <c r="AM205" s="109">
        <v>1800</v>
      </c>
      <c r="AN205" s="109">
        <v>2600</v>
      </c>
      <c r="AO205" s="109">
        <v>9400</v>
      </c>
      <c r="AP205" s="109">
        <v>1000</v>
      </c>
      <c r="AQ205" s="109">
        <v>0</v>
      </c>
      <c r="AR205" s="109">
        <v>0</v>
      </c>
      <c r="AS205" s="109"/>
      <c r="AT205" s="109">
        <f t="shared" si="188"/>
        <v>519192.34297500004</v>
      </c>
      <c r="AU205" s="111">
        <f t="shared" si="205"/>
        <v>3.5806368481034485</v>
      </c>
      <c r="AV205" s="109">
        <f>IFERROR((BS205*'CALCULO GERAL'!$E$11)/N205,0)</f>
        <v>8.4319199999999997E-2</v>
      </c>
      <c r="AW205" s="109">
        <f>AU205/'CALCULO GERAL'!$C$11</f>
        <v>0.71341638734876434</v>
      </c>
      <c r="AX205" s="109">
        <f>BP205-BB205-BD205*'CALCULO GERAL'!$C$11</f>
        <v>4.1527206000000003</v>
      </c>
      <c r="AY205" s="109">
        <f t="shared" si="206"/>
        <v>6.8519889900000006E-2</v>
      </c>
      <c r="AZ205" s="109">
        <f t="shared" si="207"/>
        <v>0.31560676560000001</v>
      </c>
      <c r="BA205" s="109">
        <f t="shared" si="208"/>
        <v>4.2159599999999999</v>
      </c>
      <c r="BB205" s="109">
        <f t="shared" si="209"/>
        <v>6.3239400000000001E-2</v>
      </c>
      <c r="BC205" s="109">
        <f t="shared" si="210"/>
        <v>4.2159599999999999</v>
      </c>
      <c r="BD205" s="109">
        <f t="shared" si="211"/>
        <v>0</v>
      </c>
      <c r="BE205" s="109">
        <f t="shared" si="212"/>
        <v>48905.135999999999</v>
      </c>
      <c r="BF205" s="109">
        <f t="shared" si="213"/>
        <v>73357.703999999998</v>
      </c>
      <c r="BG205" s="109">
        <f t="shared" si="214"/>
        <v>4.5532367999999997E-2</v>
      </c>
      <c r="BH205" s="109">
        <f t="shared" si="215"/>
        <v>5.0591519999999994E-2</v>
      </c>
      <c r="BI205" s="109">
        <f t="shared" si="216"/>
        <v>0</v>
      </c>
      <c r="BJ205" s="109">
        <f t="shared" si="217"/>
        <v>0.62780914350000006</v>
      </c>
      <c r="BK205" s="109">
        <f t="shared" si="218"/>
        <v>4.2084459916034485</v>
      </c>
      <c r="BL205" s="148">
        <v>0.86</v>
      </c>
      <c r="BM205" s="112">
        <f>ROUND((AW205/BL205)+((AW205*BL205)*'CALCULO GERAL'!$E$11)/BL205,2)</f>
        <v>0.84</v>
      </c>
      <c r="BN205" s="186">
        <f t="shared" si="189"/>
        <v>0.84</v>
      </c>
      <c r="BO205" s="186">
        <f t="shared" si="190"/>
        <v>0.98399999999999999</v>
      </c>
      <c r="BP205" s="109">
        <f>BM205*'CALCULO GERAL'!$C$11</f>
        <v>4.2159599999999999</v>
      </c>
      <c r="BQ205" s="109">
        <f>BO205*'CALCULO GERAL'!$C$11</f>
        <v>4.9386960000000002</v>
      </c>
      <c r="BR205" s="186">
        <f>BN205*'CALCULO GERAL'!$C$11</f>
        <v>4.2159599999999999</v>
      </c>
      <c r="BS205" s="109">
        <f t="shared" si="219"/>
        <v>611314.19999999995</v>
      </c>
      <c r="BT205" s="109">
        <f t="shared" si="222"/>
        <v>92121.857024999917</v>
      </c>
      <c r="BU205" s="109">
        <f t="shared" si="220"/>
        <v>611314.19999999995</v>
      </c>
      <c r="BV205" s="109">
        <f t="shared" si="194"/>
        <v>610224.66878249997</v>
      </c>
      <c r="BW205" s="109">
        <f t="shared" si="191"/>
        <v>1089.5312174999854</v>
      </c>
      <c r="BX205" s="114">
        <f t="shared" si="221"/>
        <v>1.7822769657567016E-3</v>
      </c>
      <c r="BY205" s="152">
        <f t="shared" si="195"/>
        <v>0.86</v>
      </c>
      <c r="CA205" s="55"/>
      <c r="CB205" s="113"/>
      <c r="CC205" s="113"/>
      <c r="CE205" s="152">
        <f t="shared" si="196"/>
        <v>0</v>
      </c>
      <c r="CF205" s="152">
        <f t="shared" si="192"/>
        <v>1</v>
      </c>
      <c r="CG205" s="152">
        <f t="shared" si="193"/>
        <v>1</v>
      </c>
      <c r="CH205" s="34"/>
      <c r="CJ205" s="11"/>
      <c r="CK205" s="11"/>
    </row>
    <row r="206" spans="1:89" s="152" customFormat="1" x14ac:dyDescent="0.2">
      <c r="A206" s="125" t="s">
        <v>341</v>
      </c>
      <c r="B206" s="187" t="s">
        <v>325</v>
      </c>
      <c r="C206" s="8">
        <v>0.26</v>
      </c>
      <c r="D206" s="8">
        <v>0</v>
      </c>
      <c r="E206" s="7">
        <v>2.1000000000000001E-2</v>
      </c>
      <c r="F206" s="7">
        <v>0.1045</v>
      </c>
      <c r="G206" s="1">
        <v>1.6500000000000001E-2</v>
      </c>
      <c r="H206" s="1">
        <v>7.5999999999999998E-2</v>
      </c>
      <c r="I206" s="1">
        <v>0.18</v>
      </c>
      <c r="J206" s="1">
        <v>0.04</v>
      </c>
      <c r="K206" s="1">
        <v>0.14000000000000001</v>
      </c>
      <c r="L206" s="1">
        <v>1.4999999999999999E-2</v>
      </c>
      <c r="M206" s="2" t="s">
        <v>175</v>
      </c>
      <c r="N206" s="105">
        <v>165000</v>
      </c>
      <c r="O206" s="119">
        <v>0.39500000000000002</v>
      </c>
      <c r="P206" s="119"/>
      <c r="Q206" s="119">
        <v>0.36</v>
      </c>
      <c r="R206" s="119">
        <v>0.35</v>
      </c>
      <c r="S206" s="119"/>
      <c r="T206" s="119"/>
      <c r="U206" s="119"/>
      <c r="V206" s="119">
        <v>0.37</v>
      </c>
      <c r="W206" s="119">
        <v>0.36499999999999999</v>
      </c>
      <c r="X206" s="119">
        <f t="shared" si="198"/>
        <v>0.35</v>
      </c>
      <c r="Y206" s="118">
        <f t="shared" si="199"/>
        <v>0.36799999999999999</v>
      </c>
      <c r="Z206" s="109">
        <f t="shared" si="197"/>
        <v>57749.999999999993</v>
      </c>
      <c r="AA206" s="109">
        <f>'CALCULO GERAL'!$G$10</f>
        <v>6300</v>
      </c>
      <c r="AB206" s="109">
        <f t="shared" si="200"/>
        <v>64049.999999999993</v>
      </c>
      <c r="AC206" s="109">
        <f>AB206*'CALCULO GERAL'!$C$11</f>
        <v>321466.94999999995</v>
      </c>
      <c r="AD206" s="109">
        <f t="shared" si="201"/>
        <v>83581.406999999992</v>
      </c>
      <c r="AE206" s="109">
        <f t="shared" si="202"/>
        <v>0</v>
      </c>
      <c r="AF206" s="109">
        <f t="shared" si="203"/>
        <v>6750.805949999999</v>
      </c>
      <c r="AG206" s="109">
        <f t="shared" si="204"/>
        <v>33593.296274999993</v>
      </c>
      <c r="AH206" s="109">
        <v>154.22999999999999</v>
      </c>
      <c r="AI206" s="109">
        <f>((AA206*'CALCULO GERAL'!$C$11))*0.08+20</f>
        <v>2549.576</v>
      </c>
      <c r="AJ206" s="109">
        <v>1010</v>
      </c>
      <c r="AK206" s="109">
        <v>2500</v>
      </c>
      <c r="AL206" s="109">
        <f>(AA206*('CALCULO GERAL'!$C$11*1.02))-(AA206*'CALCULO GERAL'!$C$11)</f>
        <v>632.39400000000387</v>
      </c>
      <c r="AM206" s="109">
        <v>1800</v>
      </c>
      <c r="AN206" s="109">
        <v>2600</v>
      </c>
      <c r="AO206" s="109">
        <v>9400</v>
      </c>
      <c r="AP206" s="109">
        <v>1000</v>
      </c>
      <c r="AQ206" s="109">
        <v>0</v>
      </c>
      <c r="AR206" s="109">
        <v>0</v>
      </c>
      <c r="AS206" s="109"/>
      <c r="AT206" s="109">
        <f t="shared" si="188"/>
        <v>467038.65922499995</v>
      </c>
      <c r="AU206" s="111">
        <f t="shared" si="205"/>
        <v>2.8305373286363635</v>
      </c>
      <c r="AV206" s="109">
        <f>IFERROR((BS206*'CALCULO GERAL'!$E$11)/N206,0)</f>
        <v>6.7254600000000012E-2</v>
      </c>
      <c r="AW206" s="109">
        <f>AU206/'CALCULO GERAL'!$C$11</f>
        <v>0.56396440100345957</v>
      </c>
      <c r="AX206" s="109">
        <f>BP206-BB206-BD206*'CALCULO GERAL'!$C$11</f>
        <v>3.3122890500000004</v>
      </c>
      <c r="AY206" s="109">
        <f t="shared" si="206"/>
        <v>5.465276932500001E-2</v>
      </c>
      <c r="AZ206" s="109">
        <f t="shared" si="207"/>
        <v>0.25173396780000001</v>
      </c>
      <c r="BA206" s="109">
        <f t="shared" si="208"/>
        <v>3.3627300000000004</v>
      </c>
      <c r="BB206" s="109">
        <f t="shared" si="209"/>
        <v>5.0440950000000005E-2</v>
      </c>
      <c r="BC206" s="109">
        <f t="shared" si="210"/>
        <v>3.3627300000000004</v>
      </c>
      <c r="BD206" s="109">
        <f t="shared" si="211"/>
        <v>0</v>
      </c>
      <c r="BE206" s="109">
        <f t="shared" si="212"/>
        <v>44388.036000000007</v>
      </c>
      <c r="BF206" s="109">
        <f t="shared" si="213"/>
        <v>66582.054000000004</v>
      </c>
      <c r="BG206" s="109">
        <f t="shared" si="214"/>
        <v>3.6317484000000004E-2</v>
      </c>
      <c r="BH206" s="109">
        <f t="shared" si="215"/>
        <v>4.0352760000000001E-2</v>
      </c>
      <c r="BI206" s="109">
        <f t="shared" si="216"/>
        <v>0</v>
      </c>
      <c r="BJ206" s="109">
        <f t="shared" si="217"/>
        <v>0.50075253112500007</v>
      </c>
      <c r="BK206" s="109">
        <f t="shared" si="218"/>
        <v>3.3312898597613634</v>
      </c>
      <c r="BL206" s="148">
        <v>0.86</v>
      </c>
      <c r="BM206" s="112">
        <f>ROUND((AW206/BL206)+((AW206*BL206)*'CALCULO GERAL'!$E$11)/BL206,2)</f>
        <v>0.67</v>
      </c>
      <c r="BN206" s="186">
        <f t="shared" si="189"/>
        <v>0.67</v>
      </c>
      <c r="BO206" s="186">
        <f t="shared" si="190"/>
        <v>0.78500000000000003</v>
      </c>
      <c r="BP206" s="109">
        <f>BM206*'CALCULO GERAL'!$C$11</f>
        <v>3.3627300000000004</v>
      </c>
      <c r="BQ206" s="109">
        <f>BO206*'CALCULO GERAL'!$C$11</f>
        <v>3.9399150000000001</v>
      </c>
      <c r="BR206" s="186">
        <f>BN206*'CALCULO GERAL'!$C$11</f>
        <v>3.3627300000000004</v>
      </c>
      <c r="BS206" s="109">
        <f t="shared" si="219"/>
        <v>554850.45000000007</v>
      </c>
      <c r="BT206" s="109">
        <f t="shared" si="222"/>
        <v>87811.790775000118</v>
      </c>
      <c r="BU206" s="109">
        <f t="shared" si="220"/>
        <v>554850.45000000007</v>
      </c>
      <c r="BV206" s="109">
        <f t="shared" si="194"/>
        <v>549662.82686062495</v>
      </c>
      <c r="BW206" s="109">
        <f t="shared" si="191"/>
        <v>5187.6231393751223</v>
      </c>
      <c r="BX206" s="114">
        <f t="shared" si="221"/>
        <v>9.3495880545381577E-3</v>
      </c>
      <c r="BY206" s="152">
        <f t="shared" si="195"/>
        <v>0.86</v>
      </c>
      <c r="CA206" s="55"/>
      <c r="CB206" s="113"/>
      <c r="CC206" s="113"/>
      <c r="CE206" s="152">
        <f t="shared" si="196"/>
        <v>0</v>
      </c>
      <c r="CF206" s="152">
        <f t="shared" si="192"/>
        <v>1</v>
      </c>
      <c r="CG206" s="152">
        <f t="shared" si="193"/>
        <v>1</v>
      </c>
      <c r="CH206" s="34"/>
      <c r="CJ206" s="11"/>
      <c r="CK206" s="11"/>
    </row>
    <row r="207" spans="1:89" s="152" customFormat="1" x14ac:dyDescent="0.2">
      <c r="A207" s="125" t="s">
        <v>342</v>
      </c>
      <c r="B207" s="187" t="s">
        <v>325</v>
      </c>
      <c r="C207" s="8">
        <v>0.26</v>
      </c>
      <c r="D207" s="8">
        <v>0</v>
      </c>
      <c r="E207" s="7">
        <v>2.1000000000000001E-2</v>
      </c>
      <c r="F207" s="7">
        <v>0.1045</v>
      </c>
      <c r="G207" s="1">
        <v>1.6500000000000001E-2</v>
      </c>
      <c r="H207" s="1">
        <v>7.5999999999999998E-2</v>
      </c>
      <c r="I207" s="1">
        <v>0.18</v>
      </c>
      <c r="J207" s="1">
        <v>0.04</v>
      </c>
      <c r="K207" s="1">
        <v>0.14000000000000001</v>
      </c>
      <c r="L207" s="1">
        <v>1.4999999999999999E-2</v>
      </c>
      <c r="M207" s="2" t="s">
        <v>175</v>
      </c>
      <c r="N207" s="105">
        <v>154000</v>
      </c>
      <c r="O207" s="119">
        <v>0.44</v>
      </c>
      <c r="P207" s="119">
        <v>0.48</v>
      </c>
      <c r="Q207" s="119">
        <v>0.46</v>
      </c>
      <c r="R207" s="119">
        <v>0.41</v>
      </c>
      <c r="S207" s="119"/>
      <c r="T207" s="119"/>
      <c r="U207" s="119"/>
      <c r="V207" s="119">
        <v>0.47</v>
      </c>
      <c r="W207" s="119">
        <v>0.46500000000000002</v>
      </c>
      <c r="X207" s="119">
        <f t="shared" si="198"/>
        <v>0.41</v>
      </c>
      <c r="Y207" s="118">
        <f t="shared" si="199"/>
        <v>0.45416666666666661</v>
      </c>
      <c r="Z207" s="109">
        <f t="shared" si="197"/>
        <v>63139.999999999993</v>
      </c>
      <c r="AA207" s="109">
        <f>'CALCULO GERAL'!$G$10</f>
        <v>6300</v>
      </c>
      <c r="AB207" s="109">
        <f t="shared" si="200"/>
        <v>69440</v>
      </c>
      <c r="AC207" s="109">
        <f>AB207*'CALCULO GERAL'!$C$11</f>
        <v>348519.36</v>
      </c>
      <c r="AD207" s="109">
        <f t="shared" si="201"/>
        <v>90615.033599999995</v>
      </c>
      <c r="AE207" s="109">
        <f t="shared" si="202"/>
        <v>0</v>
      </c>
      <c r="AF207" s="109">
        <f t="shared" si="203"/>
        <v>7318.9065600000004</v>
      </c>
      <c r="AG207" s="109">
        <f t="shared" si="204"/>
        <v>36420.273119999998</v>
      </c>
      <c r="AH207" s="109">
        <v>154.22999999999999</v>
      </c>
      <c r="AI207" s="109">
        <f>((AA207*'CALCULO GERAL'!$C$11))*0.08+20</f>
        <v>2549.576</v>
      </c>
      <c r="AJ207" s="109">
        <v>1010</v>
      </c>
      <c r="AK207" s="109">
        <v>2500</v>
      </c>
      <c r="AL207" s="109">
        <f>(AA207*('CALCULO GERAL'!$C$11*1.02))-(AA207*'CALCULO GERAL'!$C$11)</f>
        <v>632.39400000000387</v>
      </c>
      <c r="AM207" s="109">
        <v>1800</v>
      </c>
      <c r="AN207" s="109">
        <v>2600</v>
      </c>
      <c r="AO207" s="109">
        <v>9400</v>
      </c>
      <c r="AP207" s="109">
        <v>1000</v>
      </c>
      <c r="AQ207" s="109">
        <v>0</v>
      </c>
      <c r="AR207" s="109">
        <v>0</v>
      </c>
      <c r="AS207" s="109"/>
      <c r="AT207" s="109">
        <f t="shared" si="188"/>
        <v>504519.77327999991</v>
      </c>
      <c r="AU207" s="111">
        <f t="shared" si="205"/>
        <v>3.2761024238961034</v>
      </c>
      <c r="AV207" s="109">
        <f>IFERROR((BS207*'CALCULO GERAL'!$E$11)/N207,0)</f>
        <v>7.6288800000000004E-2</v>
      </c>
      <c r="AW207" s="109">
        <f>AU207/'CALCULO GERAL'!$C$11</f>
        <v>0.65274007250370658</v>
      </c>
      <c r="AX207" s="109">
        <f>BP207-BB207-BD207*'CALCULO GERAL'!$C$11</f>
        <v>3.7572234000000004</v>
      </c>
      <c r="AY207" s="109">
        <f t="shared" si="206"/>
        <v>6.1994186100000008E-2</v>
      </c>
      <c r="AZ207" s="109">
        <f t="shared" si="207"/>
        <v>0.28554897840000004</v>
      </c>
      <c r="BA207" s="109">
        <f t="shared" si="208"/>
        <v>3.8144400000000003</v>
      </c>
      <c r="BB207" s="109">
        <f t="shared" si="209"/>
        <v>5.7216599999999999E-2</v>
      </c>
      <c r="BC207" s="109">
        <f t="shared" si="210"/>
        <v>3.8144400000000003</v>
      </c>
      <c r="BD207" s="109">
        <f t="shared" si="211"/>
        <v>0</v>
      </c>
      <c r="BE207" s="109">
        <f t="shared" si="212"/>
        <v>46993.900800000003</v>
      </c>
      <c r="BF207" s="109">
        <f t="shared" si="213"/>
        <v>70490.851200000005</v>
      </c>
      <c r="BG207" s="109">
        <f t="shared" si="214"/>
        <v>4.1195952000000001E-2</v>
      </c>
      <c r="BH207" s="109">
        <f t="shared" si="215"/>
        <v>4.5773280000000006E-2</v>
      </c>
      <c r="BI207" s="109">
        <f t="shared" si="216"/>
        <v>0</v>
      </c>
      <c r="BJ207" s="109">
        <f t="shared" si="217"/>
        <v>0.56801779650000006</v>
      </c>
      <c r="BK207" s="109">
        <f t="shared" si="218"/>
        <v>3.8441202203961033</v>
      </c>
      <c r="BL207" s="148">
        <v>0.87</v>
      </c>
      <c r="BM207" s="112">
        <f>ROUND((AW207/BL207)+((AW207*BL207)*'CALCULO GERAL'!$E$11)/BL207,2)</f>
        <v>0.76</v>
      </c>
      <c r="BN207" s="186">
        <f t="shared" si="189"/>
        <v>0.76</v>
      </c>
      <c r="BO207" s="186">
        <f t="shared" si="190"/>
        <v>0.89</v>
      </c>
      <c r="BP207" s="109">
        <f>BM207*'CALCULO GERAL'!$C$11</f>
        <v>3.8144400000000003</v>
      </c>
      <c r="BQ207" s="109">
        <f>BO207*'CALCULO GERAL'!$C$11</f>
        <v>4.4669100000000004</v>
      </c>
      <c r="BR207" s="186">
        <f>BN207*'CALCULO GERAL'!$C$11</f>
        <v>3.8144400000000003</v>
      </c>
      <c r="BS207" s="109">
        <f t="shared" si="219"/>
        <v>587423.76</v>
      </c>
      <c r="BT207" s="109">
        <f t="shared" si="222"/>
        <v>82903.986720000103</v>
      </c>
      <c r="BU207" s="109">
        <f t="shared" si="220"/>
        <v>587423.76</v>
      </c>
      <c r="BV207" s="109">
        <f t="shared" si="194"/>
        <v>591994.51394099987</v>
      </c>
      <c r="BW207" s="109">
        <f t="shared" si="191"/>
        <v>-4570.7539409998572</v>
      </c>
      <c r="BX207" s="114">
        <f t="shared" si="221"/>
        <v>-7.781016452245406E-3</v>
      </c>
      <c r="BY207" s="152">
        <f t="shared" si="195"/>
        <v>0.87</v>
      </c>
      <c r="CA207" s="55"/>
      <c r="CB207" s="113"/>
      <c r="CC207" s="113"/>
      <c r="CE207" s="152">
        <f t="shared" si="196"/>
        <v>0</v>
      </c>
      <c r="CF207" s="152">
        <f t="shared" si="192"/>
        <v>1</v>
      </c>
      <c r="CG207" s="152">
        <f t="shared" si="193"/>
        <v>1</v>
      </c>
      <c r="CH207" s="34"/>
      <c r="CJ207" s="11"/>
      <c r="CK207" s="11"/>
    </row>
    <row r="208" spans="1:89" s="152" customFormat="1" x14ac:dyDescent="0.2">
      <c r="A208" s="125" t="s">
        <v>343</v>
      </c>
      <c r="B208" s="187" t="s">
        <v>325</v>
      </c>
      <c r="C208" s="8">
        <v>0.26</v>
      </c>
      <c r="D208" s="8">
        <v>0</v>
      </c>
      <c r="E208" s="7">
        <v>2.1000000000000001E-2</v>
      </c>
      <c r="F208" s="7">
        <v>0.1045</v>
      </c>
      <c r="G208" s="1">
        <v>1.6500000000000001E-2</v>
      </c>
      <c r="H208" s="1">
        <v>7.5999999999999998E-2</v>
      </c>
      <c r="I208" s="1">
        <v>0.18</v>
      </c>
      <c r="J208" s="1">
        <v>0.04</v>
      </c>
      <c r="K208" s="1">
        <v>0.14000000000000001</v>
      </c>
      <c r="L208" s="1">
        <v>1.4999999999999999E-2</v>
      </c>
      <c r="M208" s="2" t="s">
        <v>175</v>
      </c>
      <c r="N208" s="105">
        <v>138000</v>
      </c>
      <c r="O208" s="119">
        <v>0.48499999999999999</v>
      </c>
      <c r="P208" s="119">
        <v>0.52</v>
      </c>
      <c r="Q208" s="119">
        <v>0.49</v>
      </c>
      <c r="R208" s="119"/>
      <c r="S208" s="119"/>
      <c r="T208" s="119"/>
      <c r="U208" s="119"/>
      <c r="V208" s="119">
        <v>0.51</v>
      </c>
      <c r="W208" s="119">
        <v>0.495</v>
      </c>
      <c r="X208" s="119">
        <f t="shared" si="198"/>
        <v>0.48499999999999999</v>
      </c>
      <c r="Y208" s="118">
        <f t="shared" si="199"/>
        <v>0.5</v>
      </c>
      <c r="Z208" s="109">
        <f t="shared" si="197"/>
        <v>66930</v>
      </c>
      <c r="AA208" s="109">
        <f>'CALCULO GERAL'!$G$10</f>
        <v>6300</v>
      </c>
      <c r="AB208" s="109">
        <f t="shared" si="200"/>
        <v>73230</v>
      </c>
      <c r="AC208" s="109">
        <f>AB208*'CALCULO GERAL'!$C$11</f>
        <v>367541.37</v>
      </c>
      <c r="AD208" s="109">
        <f t="shared" si="201"/>
        <v>95560.756200000003</v>
      </c>
      <c r="AE208" s="109">
        <f t="shared" si="202"/>
        <v>0</v>
      </c>
      <c r="AF208" s="109">
        <f t="shared" si="203"/>
        <v>7718.36877</v>
      </c>
      <c r="AG208" s="109">
        <f t="shared" si="204"/>
        <v>38408.073164999994</v>
      </c>
      <c r="AH208" s="109">
        <v>154.22999999999999</v>
      </c>
      <c r="AI208" s="109">
        <f>((AA208*'CALCULO GERAL'!$C$11))*0.08+20</f>
        <v>2549.576</v>
      </c>
      <c r="AJ208" s="109">
        <v>1010</v>
      </c>
      <c r="AK208" s="109">
        <v>2500</v>
      </c>
      <c r="AL208" s="109">
        <f>(AA208*('CALCULO GERAL'!$C$11*1.02))-(AA208*'CALCULO GERAL'!$C$11)</f>
        <v>632.39400000000387</v>
      </c>
      <c r="AM208" s="109">
        <v>1800</v>
      </c>
      <c r="AN208" s="109">
        <v>2600</v>
      </c>
      <c r="AO208" s="109">
        <v>9400</v>
      </c>
      <c r="AP208" s="109">
        <v>1000</v>
      </c>
      <c r="AQ208" s="109">
        <v>0</v>
      </c>
      <c r="AR208" s="109">
        <v>0</v>
      </c>
      <c r="AS208" s="109"/>
      <c r="AT208" s="109">
        <f t="shared" si="188"/>
        <v>530874.76813500002</v>
      </c>
      <c r="AU208" s="111">
        <f t="shared" si="205"/>
        <v>3.8469186096739132</v>
      </c>
      <c r="AV208" s="109">
        <f>IFERROR((BS208*'CALCULO GERAL'!$E$11)/N208,0)</f>
        <v>9.0342000000000006E-2</v>
      </c>
      <c r="AW208" s="109">
        <f>AU208/'CALCULO GERAL'!$C$11</f>
        <v>0.76647113163457126</v>
      </c>
      <c r="AX208" s="109">
        <f>BP208-BB208-BD208*'CALCULO GERAL'!$C$11</f>
        <v>4.4493435000000003</v>
      </c>
      <c r="AY208" s="109">
        <f t="shared" si="206"/>
        <v>7.3414167750000009E-2</v>
      </c>
      <c r="AZ208" s="109">
        <f t="shared" si="207"/>
        <v>0.33815010600000001</v>
      </c>
      <c r="BA208" s="109">
        <f t="shared" si="208"/>
        <v>4.5171000000000001</v>
      </c>
      <c r="BB208" s="109">
        <f t="shared" si="209"/>
        <v>6.7756499999999997E-2</v>
      </c>
      <c r="BC208" s="109">
        <f t="shared" si="210"/>
        <v>4.5171000000000001</v>
      </c>
      <c r="BD208" s="109">
        <f t="shared" si="211"/>
        <v>0</v>
      </c>
      <c r="BE208" s="109">
        <f t="shared" si="212"/>
        <v>49868.784000000007</v>
      </c>
      <c r="BF208" s="109">
        <f t="shared" si="213"/>
        <v>74803.176000000007</v>
      </c>
      <c r="BG208" s="109">
        <f t="shared" si="214"/>
        <v>4.8784680000000004E-2</v>
      </c>
      <c r="BH208" s="109">
        <f t="shared" si="215"/>
        <v>5.4205200000000002E-2</v>
      </c>
      <c r="BI208" s="109">
        <f t="shared" si="216"/>
        <v>0</v>
      </c>
      <c r="BJ208" s="109">
        <f t="shared" si="217"/>
        <v>0.67265265375000005</v>
      </c>
      <c r="BK208" s="109">
        <f t="shared" si="218"/>
        <v>4.5195712634239129</v>
      </c>
      <c r="BL208" s="148">
        <v>0.87</v>
      </c>
      <c r="BM208" s="112">
        <f>ROUND((AW208/BL208)+((AW208*BL208)*'CALCULO GERAL'!$E$11)/BL208,2)</f>
        <v>0.9</v>
      </c>
      <c r="BN208" s="186">
        <f t="shared" si="189"/>
        <v>0.9</v>
      </c>
      <c r="BO208" s="186">
        <f t="shared" si="190"/>
        <v>1.054</v>
      </c>
      <c r="BP208" s="109">
        <f>BM208*'CALCULO GERAL'!$C$11</f>
        <v>4.5171000000000001</v>
      </c>
      <c r="BQ208" s="109">
        <f>BO208*'CALCULO GERAL'!$C$11</f>
        <v>5.2900260000000001</v>
      </c>
      <c r="BR208" s="186">
        <f>BN208*'CALCULO GERAL'!$C$11</f>
        <v>4.5171000000000001</v>
      </c>
      <c r="BS208" s="109">
        <f t="shared" si="219"/>
        <v>623359.80000000005</v>
      </c>
      <c r="BT208" s="109">
        <f t="shared" si="222"/>
        <v>92485.031865000026</v>
      </c>
      <c r="BU208" s="109">
        <f t="shared" si="220"/>
        <v>623359.80000000005</v>
      </c>
      <c r="BV208" s="109">
        <f t="shared" si="194"/>
        <v>623700.83435250004</v>
      </c>
      <c r="BW208" s="109">
        <f t="shared" si="191"/>
        <v>-341.03435249999166</v>
      </c>
      <c r="BX208" s="114">
        <f t="shared" si="221"/>
        <v>-5.470907050791399E-4</v>
      </c>
      <c r="BY208" s="152">
        <f t="shared" si="195"/>
        <v>0.87</v>
      </c>
      <c r="CA208" s="55"/>
      <c r="CB208" s="113"/>
      <c r="CC208" s="113"/>
      <c r="CE208" s="152">
        <f t="shared" si="196"/>
        <v>0</v>
      </c>
      <c r="CF208" s="152">
        <f t="shared" si="192"/>
        <v>1</v>
      </c>
      <c r="CG208" s="152">
        <f t="shared" si="193"/>
        <v>1</v>
      </c>
      <c r="CH208" s="34"/>
      <c r="CJ208" s="11"/>
      <c r="CK208" s="11"/>
    </row>
    <row r="209" spans="1:89" s="152" customFormat="1" x14ac:dyDescent="0.2">
      <c r="A209" s="125" t="s">
        <v>344</v>
      </c>
      <c r="B209" s="187" t="s">
        <v>325</v>
      </c>
      <c r="C209" s="8">
        <v>0.26</v>
      </c>
      <c r="D209" s="8">
        <v>0</v>
      </c>
      <c r="E209" s="7">
        <v>2.1000000000000001E-2</v>
      </c>
      <c r="F209" s="7">
        <v>0.1045</v>
      </c>
      <c r="G209" s="1">
        <v>1.6500000000000001E-2</v>
      </c>
      <c r="H209" s="1">
        <v>7.5999999999999998E-2</v>
      </c>
      <c r="I209" s="1">
        <v>0.18</v>
      </c>
      <c r="J209" s="1">
        <v>0.04</v>
      </c>
      <c r="K209" s="1">
        <v>0.14000000000000001</v>
      </c>
      <c r="L209" s="1">
        <v>1.4999999999999999E-2</v>
      </c>
      <c r="M209" s="2" t="s">
        <v>175</v>
      </c>
      <c r="N209" s="105">
        <v>165000</v>
      </c>
      <c r="O209" s="119">
        <v>0.32</v>
      </c>
      <c r="P209" s="119"/>
      <c r="Q209" s="119">
        <v>0.28999999999999998</v>
      </c>
      <c r="R209" s="119">
        <v>0.4</v>
      </c>
      <c r="S209" s="119"/>
      <c r="T209" s="119"/>
      <c r="U209" s="119"/>
      <c r="V209" s="119">
        <v>0.33</v>
      </c>
      <c r="W209" s="119">
        <v>0.29499999999999998</v>
      </c>
      <c r="X209" s="119">
        <f t="shared" si="198"/>
        <v>0.28999999999999998</v>
      </c>
      <c r="Y209" s="118">
        <f t="shared" si="199"/>
        <v>0.32700000000000001</v>
      </c>
      <c r="Z209" s="109">
        <f t="shared" si="197"/>
        <v>47850</v>
      </c>
      <c r="AA209" s="109">
        <f>'CALCULO GERAL'!$G$10</f>
        <v>6300</v>
      </c>
      <c r="AB209" s="109">
        <f t="shared" si="200"/>
        <v>54150</v>
      </c>
      <c r="AC209" s="109">
        <f>AB209*'CALCULO GERAL'!$C$11</f>
        <v>271778.85000000003</v>
      </c>
      <c r="AD209" s="109">
        <f t="shared" si="201"/>
        <v>70662.501000000018</v>
      </c>
      <c r="AE209" s="109">
        <f t="shared" si="202"/>
        <v>0</v>
      </c>
      <c r="AF209" s="109">
        <f t="shared" si="203"/>
        <v>5707.3558500000008</v>
      </c>
      <c r="AG209" s="109">
        <f t="shared" si="204"/>
        <v>28400.889825000002</v>
      </c>
      <c r="AH209" s="109">
        <v>154.22999999999999</v>
      </c>
      <c r="AI209" s="109">
        <f>((AA209*'CALCULO GERAL'!$C$11))*0.08+20</f>
        <v>2549.576</v>
      </c>
      <c r="AJ209" s="109">
        <v>1010</v>
      </c>
      <c r="AK209" s="109">
        <v>2500</v>
      </c>
      <c r="AL209" s="109">
        <f>(AA209*('CALCULO GERAL'!$C$11*1.02))-(AA209*'CALCULO GERAL'!$C$11)</f>
        <v>632.39400000000387</v>
      </c>
      <c r="AM209" s="109">
        <v>1800</v>
      </c>
      <c r="AN209" s="109">
        <v>2600</v>
      </c>
      <c r="AO209" s="109">
        <v>9400</v>
      </c>
      <c r="AP209" s="109">
        <v>1000</v>
      </c>
      <c r="AQ209" s="109">
        <v>0</v>
      </c>
      <c r="AR209" s="109">
        <v>0</v>
      </c>
      <c r="AS209" s="109"/>
      <c r="AT209" s="109">
        <f t="shared" si="188"/>
        <v>398195.79667500005</v>
      </c>
      <c r="AU209" s="111">
        <f t="shared" si="205"/>
        <v>2.4133078586363639</v>
      </c>
      <c r="AV209" s="109">
        <f>IFERROR((BS209*'CALCULO GERAL'!$E$11)/N209,0)</f>
        <v>5.7216599999999999E-2</v>
      </c>
      <c r="AW209" s="109">
        <f>AU209/'CALCULO GERAL'!$C$11</f>
        <v>0.48083440100345964</v>
      </c>
      <c r="AX209" s="109">
        <f>BP209-BB209-BD209*'CALCULO GERAL'!$C$11</f>
        <v>2.8179175499999998</v>
      </c>
      <c r="AY209" s="109">
        <f t="shared" si="206"/>
        <v>4.6495639574999997E-2</v>
      </c>
      <c r="AZ209" s="109">
        <f t="shared" si="207"/>
        <v>0.21416173379999998</v>
      </c>
      <c r="BA209" s="109">
        <f t="shared" si="208"/>
        <v>2.86083</v>
      </c>
      <c r="BB209" s="109">
        <f t="shared" si="209"/>
        <v>4.2912449999999998E-2</v>
      </c>
      <c r="BC209" s="109">
        <f t="shared" si="210"/>
        <v>2.86083</v>
      </c>
      <c r="BD209" s="109">
        <f t="shared" si="211"/>
        <v>0</v>
      </c>
      <c r="BE209" s="109">
        <f t="shared" si="212"/>
        <v>37762.955999999998</v>
      </c>
      <c r="BF209" s="109">
        <f t="shared" si="213"/>
        <v>56644.434000000001</v>
      </c>
      <c r="BG209" s="109">
        <f t="shared" si="214"/>
        <v>3.0896963999999999E-2</v>
      </c>
      <c r="BH209" s="109">
        <f t="shared" si="215"/>
        <v>3.4329959999999993E-2</v>
      </c>
      <c r="BI209" s="109">
        <f t="shared" si="216"/>
        <v>0</v>
      </c>
      <c r="BJ209" s="109">
        <f t="shared" si="217"/>
        <v>0.42601334737499996</v>
      </c>
      <c r="BK209" s="109">
        <f t="shared" si="218"/>
        <v>2.839321206011364</v>
      </c>
      <c r="BL209" s="148">
        <v>0.86</v>
      </c>
      <c r="BM209" s="112">
        <f>ROUND((AW209/BL209)+((AW209*BL209)*'CALCULO GERAL'!$E$11)/BL209,2)</f>
        <v>0.56999999999999995</v>
      </c>
      <c r="BN209" s="186">
        <f t="shared" si="189"/>
        <v>0.56999999999999995</v>
      </c>
      <c r="BO209" s="186">
        <f t="shared" si="190"/>
        <v>0.66800000000000004</v>
      </c>
      <c r="BP209" s="109">
        <f>BM209*'CALCULO GERAL'!$C$11</f>
        <v>2.86083</v>
      </c>
      <c r="BQ209" s="109">
        <f>BO209*'CALCULO GERAL'!$C$11</f>
        <v>3.3526920000000002</v>
      </c>
      <c r="BR209" s="186">
        <f>BN209*'CALCULO GERAL'!$C$11</f>
        <v>2.86083</v>
      </c>
      <c r="BS209" s="109">
        <f t="shared" si="219"/>
        <v>472036.95</v>
      </c>
      <c r="BT209" s="109">
        <f t="shared" si="222"/>
        <v>73841.153324999963</v>
      </c>
      <c r="BU209" s="109">
        <f t="shared" si="220"/>
        <v>472036.95</v>
      </c>
      <c r="BV209" s="109">
        <f t="shared" si="194"/>
        <v>468487.99899187504</v>
      </c>
      <c r="BW209" s="109">
        <f t="shared" si="191"/>
        <v>3548.9510081249755</v>
      </c>
      <c r="BX209" s="114">
        <f t="shared" si="221"/>
        <v>7.5183754325269993E-3</v>
      </c>
      <c r="BY209" s="152">
        <f t="shared" si="195"/>
        <v>0.86</v>
      </c>
      <c r="CA209" s="55"/>
      <c r="CB209" s="113"/>
      <c r="CC209" s="113"/>
      <c r="CE209" s="152">
        <f t="shared" si="196"/>
        <v>0</v>
      </c>
      <c r="CF209" s="152">
        <f t="shared" si="192"/>
        <v>1</v>
      </c>
      <c r="CG209" s="152">
        <f t="shared" si="193"/>
        <v>1</v>
      </c>
      <c r="CH209" s="34"/>
      <c r="CJ209" s="11"/>
      <c r="CK209" s="11"/>
    </row>
    <row r="210" spans="1:89" s="152" customFormat="1" x14ac:dyDescent="0.2">
      <c r="A210" s="125" t="s">
        <v>345</v>
      </c>
      <c r="B210" s="187" t="s">
        <v>325</v>
      </c>
      <c r="C210" s="8">
        <v>0.26</v>
      </c>
      <c r="D210" s="8">
        <v>0</v>
      </c>
      <c r="E210" s="7">
        <v>2.1000000000000001E-2</v>
      </c>
      <c r="F210" s="7">
        <v>0.1045</v>
      </c>
      <c r="G210" s="1">
        <v>1.6500000000000001E-2</v>
      </c>
      <c r="H210" s="1">
        <v>7.5999999999999998E-2</v>
      </c>
      <c r="I210" s="1">
        <v>0.18</v>
      </c>
      <c r="J210" s="1">
        <v>0.04</v>
      </c>
      <c r="K210" s="1">
        <v>0.14000000000000001</v>
      </c>
      <c r="L210" s="1">
        <v>1.4999999999999999E-2</v>
      </c>
      <c r="M210" s="2" t="s">
        <v>175</v>
      </c>
      <c r="N210" s="105">
        <v>154000</v>
      </c>
      <c r="O210" s="119">
        <v>0.38600000000000001</v>
      </c>
      <c r="P210" s="119">
        <v>0.41</v>
      </c>
      <c r="Q210" s="119">
        <v>0.36</v>
      </c>
      <c r="R210" s="119">
        <v>0.45</v>
      </c>
      <c r="S210" s="119"/>
      <c r="T210" s="119"/>
      <c r="U210" s="119"/>
      <c r="V210" s="119">
        <v>0.38</v>
      </c>
      <c r="W210" s="119">
        <v>0.375</v>
      </c>
      <c r="X210" s="119">
        <f t="shared" ref="X210:X223" si="223">MIN(O210:W210)</f>
        <v>0.36</v>
      </c>
      <c r="Y210" s="118">
        <f t="shared" ref="Y210:Y223" si="224">AVERAGE(O210:W210)</f>
        <v>0.39350000000000002</v>
      </c>
      <c r="Z210" s="109">
        <f t="shared" ref="Z210:Z223" si="225">X210*N210</f>
        <v>55440</v>
      </c>
      <c r="AA210" s="109">
        <f>'CALCULO GERAL'!$G$10</f>
        <v>6300</v>
      </c>
      <c r="AB210" s="109">
        <f t="shared" ref="AB210:AB223" si="226">Z210+AA210</f>
        <v>61740</v>
      </c>
      <c r="AC210" s="109">
        <f>AB210*'CALCULO GERAL'!$C$11</f>
        <v>309873.06</v>
      </c>
      <c r="AD210" s="109">
        <f t="shared" ref="AD210:AD223" si="227">AC210*C210</f>
        <v>80566.995600000009</v>
      </c>
      <c r="AE210" s="109">
        <f t="shared" ref="AE210:AE223" si="228">(AC210+AD210)*D210</f>
        <v>0</v>
      </c>
      <c r="AF210" s="109">
        <f t="shared" ref="AF210:AF223" si="229">AC210*E210</f>
        <v>6507.3342600000005</v>
      </c>
      <c r="AG210" s="109">
        <f t="shared" ref="AG210:AG223" si="230">AC210*F210</f>
        <v>32381.734769999999</v>
      </c>
      <c r="AH210" s="109">
        <v>154.22999999999999</v>
      </c>
      <c r="AI210" s="109">
        <f>((AA210*'CALCULO GERAL'!$C$11))*0.08+20</f>
        <v>2549.576</v>
      </c>
      <c r="AJ210" s="109">
        <v>1010</v>
      </c>
      <c r="AK210" s="109">
        <v>2500</v>
      </c>
      <c r="AL210" s="109">
        <f>(AA210*('CALCULO GERAL'!$C$11*1.02))-(AA210*'CALCULO GERAL'!$C$11)</f>
        <v>632.39400000000387</v>
      </c>
      <c r="AM210" s="109">
        <v>1800</v>
      </c>
      <c r="AN210" s="109">
        <v>2600</v>
      </c>
      <c r="AO210" s="109">
        <v>9400</v>
      </c>
      <c r="AP210" s="109">
        <v>1000</v>
      </c>
      <c r="AQ210" s="109">
        <v>0</v>
      </c>
      <c r="AR210" s="109">
        <v>0</v>
      </c>
      <c r="AS210" s="109"/>
      <c r="AT210" s="109">
        <f t="shared" ref="AT210:AT223" si="231">SUM(AC210:AS210)</f>
        <v>450975.32462999999</v>
      </c>
      <c r="AU210" s="111">
        <f t="shared" ref="AU210:AU223" si="232">IFERROR((AT210/N210),0)</f>
        <v>2.9284111988961037</v>
      </c>
      <c r="AV210" s="109">
        <f>IFERROR((BS210*'CALCULO GERAL'!$E$11)/N210,0)</f>
        <v>6.9262199999999996E-2</v>
      </c>
      <c r="AW210" s="109">
        <f>AU210/'CALCULO GERAL'!$C$11</f>
        <v>0.58346507250370661</v>
      </c>
      <c r="AX210" s="109">
        <f>BP210-BB210-BD210*'CALCULO GERAL'!$C$11</f>
        <v>3.4111633499999998</v>
      </c>
      <c r="AY210" s="109">
        <f t="shared" ref="AY210:AY223" si="233">AX210*G210</f>
        <v>5.6284195274999997E-2</v>
      </c>
      <c r="AZ210" s="109">
        <f t="shared" ref="AZ210:AZ223" si="234">AX210*H210</f>
        <v>0.25924841459999998</v>
      </c>
      <c r="BA210" s="109">
        <f t="shared" ref="BA210:BA223" si="235">BP210-BD210</f>
        <v>3.4631099999999999</v>
      </c>
      <c r="BB210" s="109">
        <f t="shared" ref="BB210:BB223" si="236">BA210*L210</f>
        <v>5.1946649999999997E-2</v>
      </c>
      <c r="BC210" s="109">
        <f t="shared" ref="BC210:BC223" si="237">BP210/(1+D210)</f>
        <v>3.4631099999999999</v>
      </c>
      <c r="BD210" s="109">
        <f t="shared" ref="BD210:BD223" si="238">BC210*D210</f>
        <v>0</v>
      </c>
      <c r="BE210" s="109">
        <f t="shared" ref="BE210:BE223" si="239">BU210*0.08</f>
        <v>42665.515199999994</v>
      </c>
      <c r="BF210" s="109">
        <f t="shared" ref="BF210:BF223" si="240">BU210*0.12</f>
        <v>63998.272799999992</v>
      </c>
      <c r="BG210" s="109">
        <f t="shared" ref="BG210:BG223" si="241">(BF210*0.09)/N210</f>
        <v>3.7401587999999993E-2</v>
      </c>
      <c r="BH210" s="109">
        <f t="shared" ref="BH210:BH223" si="242">(BE210*0.15)/N210</f>
        <v>4.1557319999999988E-2</v>
      </c>
      <c r="BI210" s="109">
        <f t="shared" ref="BI210:BI223" si="243">IF(BE210&gt;=$BY$1,($BY$1-BE210)*0.1,IF(BE210&lt;=$BY$1,($BY$1*0)))/N210</f>
        <v>0</v>
      </c>
      <c r="BJ210" s="109">
        <f t="shared" ref="BJ210:BJ223" si="244">(AY210+AZ210+BB210+AV210+BD210+BG210+BH210+BI210)</f>
        <v>0.51570036787499995</v>
      </c>
      <c r="BK210" s="109">
        <f t="shared" ref="BK210:BK223" si="245">BJ210+AU210</f>
        <v>3.4441115667711037</v>
      </c>
      <c r="BL210" s="148">
        <v>0.86</v>
      </c>
      <c r="BM210" s="112">
        <f>ROUND((AW210/BL210)+((AW210*BL210)*'CALCULO GERAL'!$E$11)/BL210,2)</f>
        <v>0.69</v>
      </c>
      <c r="BN210" s="186">
        <f t="shared" ref="BN210:BN223" si="246">BM210</f>
        <v>0.69</v>
      </c>
      <c r="BO210" s="186">
        <f t="shared" ref="BO210:BO223" si="247">ROUND(FV(0.02,8,,BN210)*-1,3)</f>
        <v>0.80800000000000005</v>
      </c>
      <c r="BP210" s="109">
        <f>BM210*'CALCULO GERAL'!$C$11</f>
        <v>3.4631099999999999</v>
      </c>
      <c r="BQ210" s="109">
        <f>BO210*'CALCULO GERAL'!$C$11</f>
        <v>4.0553520000000001</v>
      </c>
      <c r="BR210" s="186">
        <f>BN210*'CALCULO GERAL'!$C$11</f>
        <v>3.4631099999999999</v>
      </c>
      <c r="BS210" s="109">
        <f t="shared" ref="BS210:BS223" si="248">BP210*N210</f>
        <v>533318.93999999994</v>
      </c>
      <c r="BT210" s="109">
        <f t="shared" si="222"/>
        <v>82343.615369999956</v>
      </c>
      <c r="BU210" s="109">
        <f t="shared" ref="BU210:BU223" si="249">BR210*N210</f>
        <v>533318.93999999994</v>
      </c>
      <c r="BV210" s="109">
        <f t="shared" ref="BV210:BV223" si="250">BK210*N210</f>
        <v>530393.18128274998</v>
      </c>
      <c r="BW210" s="109">
        <f t="shared" ref="BW210:BW223" si="251">BS210-BV210</f>
        <v>2925.7587172499625</v>
      </c>
      <c r="BX210" s="114">
        <f t="shared" ref="BX210:BX223" si="252">(((BK210*N210)-BS210)/BS210*-1)</f>
        <v>5.4859456468018229E-3</v>
      </c>
      <c r="BY210" s="152">
        <f t="shared" ref="BY210:BY223" si="253">ROUND(BL210,2)</f>
        <v>0.86</v>
      </c>
      <c r="CA210" s="55"/>
      <c r="CB210" s="113"/>
      <c r="CC210" s="113"/>
      <c r="CE210" s="152">
        <f t="shared" ref="CE210:CE223" si="254">CC210/BY210</f>
        <v>0</v>
      </c>
      <c r="CF210" s="152">
        <f t="shared" ref="CF210:CF223" si="255">100%-CE210</f>
        <v>1</v>
      </c>
      <c r="CG210" s="152">
        <f t="shared" ref="CG210:CG223" si="256">AVERAGE(CF210,CD210)</f>
        <v>1</v>
      </c>
      <c r="CH210" s="34"/>
      <c r="CJ210" s="11"/>
      <c r="CK210" s="11"/>
    </row>
    <row r="211" spans="1:89" s="152" customFormat="1" x14ac:dyDescent="0.2">
      <c r="A211" s="125" t="s">
        <v>346</v>
      </c>
      <c r="B211" s="187" t="s">
        <v>325</v>
      </c>
      <c r="C211" s="8">
        <v>0.26</v>
      </c>
      <c r="D211" s="8">
        <v>0</v>
      </c>
      <c r="E211" s="7">
        <v>2.1000000000000001E-2</v>
      </c>
      <c r="F211" s="7">
        <v>0.1045</v>
      </c>
      <c r="G211" s="1">
        <v>1.6500000000000001E-2</v>
      </c>
      <c r="H211" s="1">
        <v>7.5999999999999998E-2</v>
      </c>
      <c r="I211" s="1">
        <v>0.18</v>
      </c>
      <c r="J211" s="1">
        <v>0.04</v>
      </c>
      <c r="K211" s="1">
        <v>0.14000000000000001</v>
      </c>
      <c r="L211" s="1">
        <v>1.4999999999999999E-2</v>
      </c>
      <c r="M211" s="2" t="s">
        <v>175</v>
      </c>
      <c r="N211" s="105">
        <v>138000</v>
      </c>
      <c r="O211" s="119">
        <v>0.42</v>
      </c>
      <c r="P211" s="119">
        <v>0.45</v>
      </c>
      <c r="Q211" s="119">
        <v>0.39</v>
      </c>
      <c r="R211" s="119">
        <v>0.48</v>
      </c>
      <c r="S211" s="119"/>
      <c r="T211" s="119"/>
      <c r="U211" s="119"/>
      <c r="V211" s="119">
        <v>0.41499999999999998</v>
      </c>
      <c r="W211" s="119">
        <v>0.39500000000000002</v>
      </c>
      <c r="X211" s="119">
        <f t="shared" si="223"/>
        <v>0.39</v>
      </c>
      <c r="Y211" s="118">
        <f t="shared" si="224"/>
        <v>0.42499999999999999</v>
      </c>
      <c r="Z211" s="109">
        <f t="shared" si="225"/>
        <v>53820</v>
      </c>
      <c r="AA211" s="109">
        <f>'CALCULO GERAL'!$G$10</f>
        <v>6300</v>
      </c>
      <c r="AB211" s="109">
        <f t="shared" si="226"/>
        <v>60120</v>
      </c>
      <c r="AC211" s="109">
        <f>AB211*'CALCULO GERAL'!$C$11</f>
        <v>301742.28000000003</v>
      </c>
      <c r="AD211" s="109">
        <f t="shared" si="227"/>
        <v>78452.992800000007</v>
      </c>
      <c r="AE211" s="109">
        <f t="shared" si="228"/>
        <v>0</v>
      </c>
      <c r="AF211" s="109">
        <f t="shared" si="229"/>
        <v>6336.587880000001</v>
      </c>
      <c r="AG211" s="109">
        <f t="shared" si="230"/>
        <v>31532.06826</v>
      </c>
      <c r="AH211" s="109">
        <v>154.22999999999999</v>
      </c>
      <c r="AI211" s="109">
        <f>((AA211*'CALCULO GERAL'!$C$11))*0.08+20</f>
        <v>2549.576</v>
      </c>
      <c r="AJ211" s="109">
        <v>1010</v>
      </c>
      <c r="AK211" s="109">
        <v>2500</v>
      </c>
      <c r="AL211" s="109">
        <f>(AA211*('CALCULO GERAL'!$C$11*1.02))-(AA211*'CALCULO GERAL'!$C$11)</f>
        <v>632.39400000000387</v>
      </c>
      <c r="AM211" s="109">
        <v>1800</v>
      </c>
      <c r="AN211" s="109">
        <v>2600</v>
      </c>
      <c r="AO211" s="109">
        <v>9400</v>
      </c>
      <c r="AP211" s="109">
        <v>1000</v>
      </c>
      <c r="AQ211" s="109">
        <v>0</v>
      </c>
      <c r="AR211" s="109">
        <v>0</v>
      </c>
      <c r="AS211" s="109"/>
      <c r="AT211" s="109">
        <f t="shared" si="231"/>
        <v>439710.12894000002</v>
      </c>
      <c r="AU211" s="111">
        <f t="shared" si="232"/>
        <v>3.1863052821739131</v>
      </c>
      <c r="AV211" s="109">
        <f>IFERROR((BS211*'CALCULO GERAL'!$E$11)/N211,0)</f>
        <v>7.5285000000000005E-2</v>
      </c>
      <c r="AW211" s="109">
        <f>AU211/'CALCULO GERAL'!$C$11</f>
        <v>0.63484863163457128</v>
      </c>
      <c r="AX211" s="109">
        <f>BP211-BB211-BD211*'CALCULO GERAL'!$C$11</f>
        <v>3.7077862500000003</v>
      </c>
      <c r="AY211" s="109">
        <f t="shared" si="233"/>
        <v>6.1178473125000007E-2</v>
      </c>
      <c r="AZ211" s="109">
        <f t="shared" si="234"/>
        <v>0.28179175500000003</v>
      </c>
      <c r="BA211" s="109">
        <f t="shared" si="235"/>
        <v>3.7642500000000001</v>
      </c>
      <c r="BB211" s="109">
        <f t="shared" si="236"/>
        <v>5.646375E-2</v>
      </c>
      <c r="BC211" s="109">
        <f t="shared" si="237"/>
        <v>3.7642500000000001</v>
      </c>
      <c r="BD211" s="109">
        <f t="shared" si="238"/>
        <v>0</v>
      </c>
      <c r="BE211" s="109">
        <f t="shared" si="239"/>
        <v>41557.32</v>
      </c>
      <c r="BF211" s="109">
        <f t="shared" si="240"/>
        <v>62335.979999999996</v>
      </c>
      <c r="BG211" s="109">
        <f t="shared" si="241"/>
        <v>4.06539E-2</v>
      </c>
      <c r="BH211" s="109">
        <f t="shared" si="242"/>
        <v>4.5171000000000003E-2</v>
      </c>
      <c r="BI211" s="109">
        <f t="shared" si="243"/>
        <v>0</v>
      </c>
      <c r="BJ211" s="109">
        <f t="shared" si="244"/>
        <v>0.56054387812499995</v>
      </c>
      <c r="BK211" s="109">
        <f t="shared" si="245"/>
        <v>3.7468491602989129</v>
      </c>
      <c r="BL211" s="148">
        <v>0.86</v>
      </c>
      <c r="BM211" s="112">
        <f>ROUND((AW211/BL211)+((AW211*BL211)*'CALCULO GERAL'!$E$11)/BL211,2)</f>
        <v>0.75</v>
      </c>
      <c r="BN211" s="186">
        <f t="shared" si="246"/>
        <v>0.75</v>
      </c>
      <c r="BO211" s="186">
        <f t="shared" si="247"/>
        <v>0.879</v>
      </c>
      <c r="BP211" s="109">
        <f>BM211*'CALCULO GERAL'!$C$11</f>
        <v>3.7642500000000001</v>
      </c>
      <c r="BQ211" s="109">
        <f>BO211*'CALCULO GERAL'!$C$11</f>
        <v>4.4117009999999999</v>
      </c>
      <c r="BR211" s="186">
        <f>BN211*'CALCULO GERAL'!$C$11</f>
        <v>3.7642500000000001</v>
      </c>
      <c r="BS211" s="109">
        <f t="shared" si="248"/>
        <v>519466.5</v>
      </c>
      <c r="BT211" s="109">
        <f t="shared" si="222"/>
        <v>79756.371059999976</v>
      </c>
      <c r="BU211" s="109">
        <f t="shared" si="249"/>
        <v>519466.5</v>
      </c>
      <c r="BV211" s="109">
        <f t="shared" si="250"/>
        <v>517065.18412125</v>
      </c>
      <c r="BW211" s="109">
        <f t="shared" si="251"/>
        <v>2401.3158787499997</v>
      </c>
      <c r="BX211" s="114">
        <f t="shared" si="252"/>
        <v>4.6226578205716823E-3</v>
      </c>
      <c r="BY211" s="152">
        <f t="shared" si="253"/>
        <v>0.86</v>
      </c>
      <c r="CA211" s="55"/>
      <c r="CB211" s="113"/>
      <c r="CC211" s="113"/>
      <c r="CE211" s="152">
        <f t="shared" si="254"/>
        <v>0</v>
      </c>
      <c r="CF211" s="152">
        <f t="shared" si="255"/>
        <v>1</v>
      </c>
      <c r="CG211" s="152">
        <f t="shared" si="256"/>
        <v>1</v>
      </c>
      <c r="CH211" s="34"/>
      <c r="CJ211" s="11"/>
      <c r="CK211" s="11"/>
    </row>
    <row r="212" spans="1:89" s="152" customFormat="1" x14ac:dyDescent="0.2">
      <c r="A212" s="125" t="s">
        <v>347</v>
      </c>
      <c r="B212" s="187" t="s">
        <v>325</v>
      </c>
      <c r="C212" s="8">
        <v>0.26</v>
      </c>
      <c r="D212" s="8">
        <v>0</v>
      </c>
      <c r="E212" s="7">
        <v>2.1000000000000001E-2</v>
      </c>
      <c r="F212" s="7">
        <v>0.1045</v>
      </c>
      <c r="G212" s="1">
        <v>1.6500000000000001E-2</v>
      </c>
      <c r="H212" s="1">
        <v>7.5999999999999998E-2</v>
      </c>
      <c r="I212" s="1">
        <v>0.18</v>
      </c>
      <c r="J212" s="1">
        <v>0.04</v>
      </c>
      <c r="K212" s="1">
        <v>0.14000000000000001</v>
      </c>
      <c r="L212" s="1">
        <v>1.4999999999999999E-2</v>
      </c>
      <c r="M212" s="2" t="s">
        <v>175</v>
      </c>
      <c r="N212" s="105">
        <v>138000</v>
      </c>
      <c r="O212" s="119"/>
      <c r="P212" s="119"/>
      <c r="Q212" s="119"/>
      <c r="R212" s="119"/>
      <c r="S212" s="119">
        <v>0.47</v>
      </c>
      <c r="T212" s="119"/>
      <c r="U212" s="119"/>
      <c r="V212" s="119"/>
      <c r="W212" s="119"/>
      <c r="X212" s="119">
        <f t="shared" si="223"/>
        <v>0.47</v>
      </c>
      <c r="Y212" s="118">
        <f t="shared" si="224"/>
        <v>0.47</v>
      </c>
      <c r="Z212" s="109">
        <f t="shared" si="225"/>
        <v>64859.999999999993</v>
      </c>
      <c r="AA212" s="109">
        <f>'CALCULO GERAL'!$G$10</f>
        <v>6300</v>
      </c>
      <c r="AB212" s="109">
        <f t="shared" si="226"/>
        <v>71160</v>
      </c>
      <c r="AC212" s="109">
        <f>AB212*'CALCULO GERAL'!$C$11</f>
        <v>357152.04000000004</v>
      </c>
      <c r="AD212" s="109">
        <f t="shared" si="227"/>
        <v>92859.530400000018</v>
      </c>
      <c r="AE212" s="109">
        <f t="shared" si="228"/>
        <v>0</v>
      </c>
      <c r="AF212" s="109">
        <f t="shared" si="229"/>
        <v>7500.1928400000015</v>
      </c>
      <c r="AG212" s="109">
        <f t="shared" si="230"/>
        <v>37322.388180000002</v>
      </c>
      <c r="AH212" s="109">
        <v>154.22999999999999</v>
      </c>
      <c r="AI212" s="109">
        <f>((AA212*'CALCULO GERAL'!$C$11))*0.08+20</f>
        <v>2549.576</v>
      </c>
      <c r="AJ212" s="109">
        <v>1010</v>
      </c>
      <c r="AK212" s="109">
        <v>2500</v>
      </c>
      <c r="AL212" s="109">
        <f>(AA212*('CALCULO GERAL'!$C$11*1.02))-(AA212*'CALCULO GERAL'!$C$11)</f>
        <v>632.39400000000387</v>
      </c>
      <c r="AM212" s="109">
        <v>1800</v>
      </c>
      <c r="AN212" s="109">
        <v>2600</v>
      </c>
      <c r="AO212" s="109">
        <v>9400</v>
      </c>
      <c r="AP212" s="109">
        <v>1000</v>
      </c>
      <c r="AQ212" s="109">
        <v>0</v>
      </c>
      <c r="AR212" s="109">
        <v>0</v>
      </c>
      <c r="AS212" s="109"/>
      <c r="AT212" s="109">
        <f t="shared" si="231"/>
        <v>516480.35142000008</v>
      </c>
      <c r="AU212" s="111">
        <f t="shared" si="232"/>
        <v>3.7426112421739135</v>
      </c>
      <c r="AV212" s="109">
        <f>IFERROR((BS212*'CALCULO GERAL'!$E$11)/N212,0)</f>
        <v>8.7330600000000008E-2</v>
      </c>
      <c r="AW212" s="109">
        <f>AU212/'CALCULO GERAL'!$C$11</f>
        <v>0.74568863163457133</v>
      </c>
      <c r="AX212" s="109">
        <f>BP212-BB212-BD212*'CALCULO GERAL'!$C$11</f>
        <v>4.3010320499999999</v>
      </c>
      <c r="AY212" s="109">
        <f t="shared" si="233"/>
        <v>7.0967028825E-2</v>
      </c>
      <c r="AZ212" s="109">
        <f t="shared" si="234"/>
        <v>0.32687843579999998</v>
      </c>
      <c r="BA212" s="109">
        <f t="shared" si="235"/>
        <v>4.36653</v>
      </c>
      <c r="BB212" s="109">
        <f t="shared" si="236"/>
        <v>6.5497949999999999E-2</v>
      </c>
      <c r="BC212" s="109">
        <f t="shared" si="237"/>
        <v>4.36653</v>
      </c>
      <c r="BD212" s="109">
        <f t="shared" si="238"/>
        <v>0</v>
      </c>
      <c r="BE212" s="109">
        <f t="shared" si="239"/>
        <v>48206.491200000004</v>
      </c>
      <c r="BF212" s="109">
        <f t="shared" si="240"/>
        <v>72309.736799999999</v>
      </c>
      <c r="BG212" s="109">
        <f t="shared" si="241"/>
        <v>4.7158523999999993E-2</v>
      </c>
      <c r="BH212" s="109">
        <f t="shared" si="242"/>
        <v>5.2398359999999998E-2</v>
      </c>
      <c r="BI212" s="109">
        <f t="shared" si="243"/>
        <v>0</v>
      </c>
      <c r="BJ212" s="109">
        <f t="shared" si="244"/>
        <v>0.65023089862499994</v>
      </c>
      <c r="BK212" s="109">
        <f t="shared" si="245"/>
        <v>4.3928421407989138</v>
      </c>
      <c r="BL212" s="148">
        <v>0.87</v>
      </c>
      <c r="BM212" s="112">
        <f>ROUND((AW212/BL212)+((AW212*BL212)*'CALCULO GERAL'!$E$11)/BL212,2)</f>
        <v>0.87</v>
      </c>
      <c r="BN212" s="186">
        <f t="shared" si="246"/>
        <v>0.87</v>
      </c>
      <c r="BO212" s="186">
        <f t="shared" si="247"/>
        <v>1.0189999999999999</v>
      </c>
      <c r="BP212" s="109">
        <f>BM212*'CALCULO GERAL'!$C$11</f>
        <v>4.36653</v>
      </c>
      <c r="BQ212" s="109">
        <f>BO212*'CALCULO GERAL'!$C$11</f>
        <v>5.1143609999999997</v>
      </c>
      <c r="BR212" s="186">
        <f>BN212*'CALCULO GERAL'!$C$11</f>
        <v>4.36653</v>
      </c>
      <c r="BS212" s="109">
        <f t="shared" si="248"/>
        <v>602581.14</v>
      </c>
      <c r="BT212" s="109">
        <f t="shared" si="222"/>
        <v>86100.788579999935</v>
      </c>
      <c r="BU212" s="109">
        <f t="shared" si="249"/>
        <v>602581.14</v>
      </c>
      <c r="BV212" s="109">
        <f t="shared" si="250"/>
        <v>606212.21543025016</v>
      </c>
      <c r="BW212" s="109">
        <f t="shared" si="251"/>
        <v>-3631.0754302501446</v>
      </c>
      <c r="BX212" s="114">
        <f t="shared" si="252"/>
        <v>-6.0258696949097084E-3</v>
      </c>
      <c r="BY212" s="152">
        <f t="shared" si="253"/>
        <v>0.87</v>
      </c>
      <c r="CA212" s="55"/>
      <c r="CB212" s="113"/>
      <c r="CC212" s="113"/>
      <c r="CE212" s="152">
        <f t="shared" si="254"/>
        <v>0</v>
      </c>
      <c r="CF212" s="152">
        <f t="shared" si="255"/>
        <v>1</v>
      </c>
      <c r="CG212" s="152">
        <f t="shared" si="256"/>
        <v>1</v>
      </c>
      <c r="CH212" s="34"/>
      <c r="CJ212" s="11"/>
      <c r="CK212" s="11"/>
    </row>
    <row r="213" spans="1:89" s="152" customFormat="1" x14ac:dyDescent="0.2">
      <c r="A213" s="125" t="s">
        <v>348</v>
      </c>
      <c r="B213" s="187" t="s">
        <v>325</v>
      </c>
      <c r="C213" s="8">
        <v>0.26</v>
      </c>
      <c r="D213" s="8">
        <v>0</v>
      </c>
      <c r="E213" s="7">
        <v>2.1000000000000001E-2</v>
      </c>
      <c r="F213" s="7">
        <v>0.1045</v>
      </c>
      <c r="G213" s="1">
        <v>1.6500000000000001E-2</v>
      </c>
      <c r="H213" s="1">
        <v>7.5999999999999998E-2</v>
      </c>
      <c r="I213" s="1">
        <v>0.18</v>
      </c>
      <c r="J213" s="1">
        <v>0.04</v>
      </c>
      <c r="K213" s="1">
        <v>0.14000000000000001</v>
      </c>
      <c r="L213" s="1">
        <v>1.4999999999999999E-2</v>
      </c>
      <c r="M213" s="2" t="s">
        <v>175</v>
      </c>
      <c r="N213" s="105">
        <v>130000</v>
      </c>
      <c r="O213" s="119"/>
      <c r="P213" s="119"/>
      <c r="Q213" s="119"/>
      <c r="R213" s="119"/>
      <c r="S213" s="119">
        <v>0.53500000000000003</v>
      </c>
      <c r="T213" s="119"/>
      <c r="U213" s="119"/>
      <c r="V213" s="119"/>
      <c r="W213" s="119"/>
      <c r="X213" s="119">
        <f t="shared" si="223"/>
        <v>0.53500000000000003</v>
      </c>
      <c r="Y213" s="118">
        <f t="shared" si="224"/>
        <v>0.53500000000000003</v>
      </c>
      <c r="Z213" s="109">
        <f t="shared" si="225"/>
        <v>69550</v>
      </c>
      <c r="AA213" s="109">
        <f>'CALCULO GERAL'!$G$10</f>
        <v>6300</v>
      </c>
      <c r="AB213" s="109">
        <f t="shared" si="226"/>
        <v>75850</v>
      </c>
      <c r="AC213" s="109">
        <f>AB213*'CALCULO GERAL'!$C$11</f>
        <v>380691.15</v>
      </c>
      <c r="AD213" s="109">
        <f t="shared" si="227"/>
        <v>98979.699000000008</v>
      </c>
      <c r="AE213" s="109">
        <f t="shared" si="228"/>
        <v>0</v>
      </c>
      <c r="AF213" s="109">
        <f t="shared" si="229"/>
        <v>7994.5141500000009</v>
      </c>
      <c r="AG213" s="109">
        <f t="shared" si="230"/>
        <v>39782.225175</v>
      </c>
      <c r="AH213" s="109">
        <v>154.22999999999999</v>
      </c>
      <c r="AI213" s="109">
        <f>((AA213*'CALCULO GERAL'!$C$11))*0.08+20</f>
        <v>2549.576</v>
      </c>
      <c r="AJ213" s="109">
        <v>1010</v>
      </c>
      <c r="AK213" s="109">
        <v>2500</v>
      </c>
      <c r="AL213" s="109">
        <f>(AA213*('CALCULO GERAL'!$C$11*1.02))-(AA213*'CALCULO GERAL'!$C$11)</f>
        <v>632.39400000000387</v>
      </c>
      <c r="AM213" s="109">
        <v>1800</v>
      </c>
      <c r="AN213" s="109">
        <v>2600</v>
      </c>
      <c r="AO213" s="109">
        <v>9400</v>
      </c>
      <c r="AP213" s="109">
        <v>1000</v>
      </c>
      <c r="AQ213" s="109">
        <v>0</v>
      </c>
      <c r="AR213" s="109">
        <v>0</v>
      </c>
      <c r="AS213" s="109"/>
      <c r="AT213" s="109">
        <f t="shared" si="231"/>
        <v>549093.78832499997</v>
      </c>
      <c r="AU213" s="111">
        <f t="shared" si="232"/>
        <v>4.2237983717307692</v>
      </c>
      <c r="AV213" s="109">
        <f>IFERROR((BS213*'CALCULO GERAL'!$E$11)/N213,0)</f>
        <v>9.8372399999999999E-2</v>
      </c>
      <c r="AW213" s="109">
        <f>AU213/'CALCULO GERAL'!$C$11</f>
        <v>0.84156173973516024</v>
      </c>
      <c r="AX213" s="109">
        <f>BP213-BB213-BD213*'CALCULO GERAL'!$C$11</f>
        <v>4.8448406999999998</v>
      </c>
      <c r="AY213" s="109">
        <f t="shared" si="233"/>
        <v>7.993987155E-2</v>
      </c>
      <c r="AZ213" s="109">
        <f t="shared" si="234"/>
        <v>0.36820789319999997</v>
      </c>
      <c r="BA213" s="109">
        <f t="shared" si="235"/>
        <v>4.9186199999999998</v>
      </c>
      <c r="BB213" s="109">
        <f t="shared" si="236"/>
        <v>7.3779299999999992E-2</v>
      </c>
      <c r="BC213" s="109">
        <f t="shared" si="237"/>
        <v>4.9186199999999998</v>
      </c>
      <c r="BD213" s="109">
        <f t="shared" si="238"/>
        <v>0</v>
      </c>
      <c r="BE213" s="109">
        <f t="shared" si="239"/>
        <v>51153.648000000001</v>
      </c>
      <c r="BF213" s="109">
        <f t="shared" si="240"/>
        <v>76730.471999999994</v>
      </c>
      <c r="BG213" s="109">
        <f t="shared" si="241"/>
        <v>5.3121095999999993E-2</v>
      </c>
      <c r="BH213" s="109">
        <f t="shared" si="242"/>
        <v>5.9023439999999996E-2</v>
      </c>
      <c r="BI213" s="109">
        <f t="shared" si="243"/>
        <v>0</v>
      </c>
      <c r="BJ213" s="109">
        <f t="shared" si="244"/>
        <v>0.73244400075000005</v>
      </c>
      <c r="BK213" s="109">
        <f t="shared" si="245"/>
        <v>4.9562423724807694</v>
      </c>
      <c r="BL213" s="148">
        <v>0.87</v>
      </c>
      <c r="BM213" s="112">
        <f>ROUND((AW213/BL213)+((AW213*BL213)*'CALCULO GERAL'!$E$11)/BL213,2)</f>
        <v>0.98</v>
      </c>
      <c r="BN213" s="186">
        <f t="shared" si="246"/>
        <v>0.98</v>
      </c>
      <c r="BO213" s="186">
        <f t="shared" si="247"/>
        <v>1.1479999999999999</v>
      </c>
      <c r="BP213" s="109">
        <f>BM213*'CALCULO GERAL'!$C$11</f>
        <v>4.9186199999999998</v>
      </c>
      <c r="BQ213" s="109">
        <f>BO213*'CALCULO GERAL'!$C$11</f>
        <v>5.7618119999999999</v>
      </c>
      <c r="BR213" s="186">
        <f>BN213*'CALCULO GERAL'!$C$11</f>
        <v>4.9186199999999998</v>
      </c>
      <c r="BS213" s="109">
        <f t="shared" si="248"/>
        <v>639420.6</v>
      </c>
      <c r="BT213" s="109">
        <f t="shared" si="222"/>
        <v>90326.811675000004</v>
      </c>
      <c r="BU213" s="109">
        <f t="shared" si="249"/>
        <v>639420.6</v>
      </c>
      <c r="BV213" s="109">
        <f t="shared" si="250"/>
        <v>644311.50842249999</v>
      </c>
      <c r="BW213" s="109">
        <f t="shared" si="251"/>
        <v>-4890.9084225000115</v>
      </c>
      <c r="BX213" s="114">
        <f t="shared" si="252"/>
        <v>-7.6489691175104643E-3</v>
      </c>
      <c r="BY213" s="152">
        <f t="shared" si="253"/>
        <v>0.87</v>
      </c>
      <c r="CA213" s="55"/>
      <c r="CB213" s="113"/>
      <c r="CC213" s="113"/>
      <c r="CE213" s="152">
        <f t="shared" si="254"/>
        <v>0</v>
      </c>
      <c r="CF213" s="152">
        <f t="shared" si="255"/>
        <v>1</v>
      </c>
      <c r="CG213" s="152">
        <f t="shared" si="256"/>
        <v>1</v>
      </c>
      <c r="CH213" s="34"/>
      <c r="CJ213" s="11"/>
      <c r="CK213" s="11"/>
    </row>
    <row r="214" spans="1:89" s="152" customFormat="1" x14ac:dyDescent="0.2">
      <c r="A214" s="125" t="s">
        <v>349</v>
      </c>
      <c r="B214" s="187" t="s">
        <v>297</v>
      </c>
      <c r="C214" s="8">
        <v>0.26</v>
      </c>
      <c r="D214" s="8">
        <v>0</v>
      </c>
      <c r="E214" s="7">
        <v>2.1000000000000001E-2</v>
      </c>
      <c r="F214" s="7">
        <v>0.1045</v>
      </c>
      <c r="G214" s="1">
        <v>1.6500000000000001E-2</v>
      </c>
      <c r="H214" s="1">
        <v>7.5999999999999998E-2</v>
      </c>
      <c r="I214" s="1">
        <v>0.18</v>
      </c>
      <c r="J214" s="1">
        <v>0.04</v>
      </c>
      <c r="K214" s="1">
        <v>0.14000000000000001</v>
      </c>
      <c r="L214" s="1">
        <v>1.4999999999999999E-2</v>
      </c>
      <c r="M214" s="2" t="s">
        <v>175</v>
      </c>
      <c r="N214" s="105">
        <v>128000</v>
      </c>
      <c r="O214" s="119">
        <v>0.46500000000000002</v>
      </c>
      <c r="P214" s="119"/>
      <c r="Q214" s="119"/>
      <c r="R214" s="119"/>
      <c r="S214" s="119"/>
      <c r="T214" s="119"/>
      <c r="U214" s="119"/>
      <c r="V214" s="119"/>
      <c r="W214" s="119"/>
      <c r="X214" s="119">
        <f t="shared" si="223"/>
        <v>0.46500000000000002</v>
      </c>
      <c r="Y214" s="118">
        <f t="shared" si="224"/>
        <v>0.46500000000000002</v>
      </c>
      <c r="Z214" s="109">
        <f t="shared" si="225"/>
        <v>59520</v>
      </c>
      <c r="AA214" s="109">
        <f>'CALCULO GERAL'!$G$10</f>
        <v>6300</v>
      </c>
      <c r="AB214" s="109">
        <f t="shared" si="226"/>
        <v>65820</v>
      </c>
      <c r="AC214" s="109">
        <f>AB214*'CALCULO GERAL'!$C$11</f>
        <v>330350.58</v>
      </c>
      <c r="AD214" s="109">
        <f t="shared" si="227"/>
        <v>85891.150800000003</v>
      </c>
      <c r="AE214" s="109">
        <f t="shared" si="228"/>
        <v>0</v>
      </c>
      <c r="AF214" s="109">
        <f t="shared" si="229"/>
        <v>6937.362180000001</v>
      </c>
      <c r="AG214" s="109">
        <f t="shared" si="230"/>
        <v>34521.635609999998</v>
      </c>
      <c r="AH214" s="109">
        <v>154.22999999999999</v>
      </c>
      <c r="AI214" s="109">
        <f>((AA214*'CALCULO GERAL'!$C$11))*0.08+20</f>
        <v>2549.576</v>
      </c>
      <c r="AJ214" s="109">
        <v>1010</v>
      </c>
      <c r="AK214" s="109">
        <v>2500</v>
      </c>
      <c r="AL214" s="109">
        <f>(AA214*('CALCULO GERAL'!$C$11*1.02))-(AA214*'CALCULO GERAL'!$C$11)</f>
        <v>632.39400000000387</v>
      </c>
      <c r="AM214" s="109">
        <v>1800</v>
      </c>
      <c r="AN214" s="109">
        <v>2600</v>
      </c>
      <c r="AO214" s="109">
        <v>9400</v>
      </c>
      <c r="AP214" s="109">
        <v>1000</v>
      </c>
      <c r="AQ214" s="109">
        <v>0</v>
      </c>
      <c r="AR214" s="109">
        <v>0</v>
      </c>
      <c r="AS214" s="109"/>
      <c r="AT214" s="109">
        <f t="shared" si="231"/>
        <v>479346.92859000002</v>
      </c>
      <c r="AU214" s="111">
        <f t="shared" si="232"/>
        <v>3.744897879609375</v>
      </c>
      <c r="AV214" s="109">
        <f>IFERROR((BS214*'CALCULO GERAL'!$E$11)/N214,0)</f>
        <v>8.8334399999999993E-2</v>
      </c>
      <c r="AW214" s="109">
        <f>AU214/'CALCULO GERAL'!$C$11</f>
        <v>0.74614422785602208</v>
      </c>
      <c r="AX214" s="109">
        <f>BP214-BB214-BD214*'CALCULO GERAL'!$C$11</f>
        <v>4.3504692</v>
      </c>
      <c r="AY214" s="109">
        <f t="shared" si="233"/>
        <v>7.1782741800000008E-2</v>
      </c>
      <c r="AZ214" s="109">
        <f t="shared" si="234"/>
        <v>0.33063565919999999</v>
      </c>
      <c r="BA214" s="109">
        <f t="shared" si="235"/>
        <v>4.4167199999999998</v>
      </c>
      <c r="BB214" s="109">
        <f t="shared" si="236"/>
        <v>6.6250799999999999E-2</v>
      </c>
      <c r="BC214" s="109">
        <f t="shared" si="237"/>
        <v>4.4167199999999998</v>
      </c>
      <c r="BD214" s="109">
        <f t="shared" si="238"/>
        <v>0</v>
      </c>
      <c r="BE214" s="109">
        <f t="shared" si="239"/>
        <v>45227.212799999994</v>
      </c>
      <c r="BF214" s="109">
        <f t="shared" si="240"/>
        <v>67840.819199999984</v>
      </c>
      <c r="BG214" s="109">
        <f t="shared" si="241"/>
        <v>4.7700575999999981E-2</v>
      </c>
      <c r="BH214" s="109">
        <f t="shared" si="242"/>
        <v>5.3000639999999988E-2</v>
      </c>
      <c r="BI214" s="109">
        <f t="shared" si="243"/>
        <v>0</v>
      </c>
      <c r="BJ214" s="109">
        <f t="shared" si="244"/>
        <v>0.65770481699999994</v>
      </c>
      <c r="BK214" s="109">
        <f t="shared" si="245"/>
        <v>4.4026026966093745</v>
      </c>
      <c r="BL214" s="148">
        <v>0.86</v>
      </c>
      <c r="BM214" s="112">
        <f>ROUND((AW214/BL214)+((AW214*BL214)*'CALCULO GERAL'!$E$11)/BL214,2)</f>
        <v>0.88</v>
      </c>
      <c r="BN214" s="186">
        <f t="shared" si="246"/>
        <v>0.88</v>
      </c>
      <c r="BO214" s="186">
        <f t="shared" si="247"/>
        <v>1.0309999999999999</v>
      </c>
      <c r="BP214" s="109">
        <f>BM214*'CALCULO GERAL'!$C$11</f>
        <v>4.4167199999999998</v>
      </c>
      <c r="BQ214" s="109">
        <f>BO214*'CALCULO GERAL'!$C$11</f>
        <v>5.1745890000000001</v>
      </c>
      <c r="BR214" s="186">
        <f>BN214*'CALCULO GERAL'!$C$11</f>
        <v>4.4167199999999998</v>
      </c>
      <c r="BS214" s="109">
        <f t="shared" si="248"/>
        <v>565340.15999999992</v>
      </c>
      <c r="BT214" s="109">
        <f t="shared" si="222"/>
        <v>85993.231409999891</v>
      </c>
      <c r="BU214" s="109">
        <f t="shared" si="249"/>
        <v>565340.15999999992</v>
      </c>
      <c r="BV214" s="109">
        <f t="shared" si="250"/>
        <v>563533.14516599989</v>
      </c>
      <c r="BW214" s="109">
        <f t="shared" si="251"/>
        <v>1807.0148340000305</v>
      </c>
      <c r="BX214" s="114">
        <f t="shared" si="252"/>
        <v>3.1963319817931045E-3</v>
      </c>
      <c r="BY214" s="152">
        <f t="shared" si="253"/>
        <v>0.86</v>
      </c>
      <c r="CA214" s="55"/>
      <c r="CB214" s="113"/>
      <c r="CC214" s="113"/>
      <c r="CE214" s="152">
        <f t="shared" si="254"/>
        <v>0</v>
      </c>
      <c r="CF214" s="152">
        <f t="shared" si="255"/>
        <v>1</v>
      </c>
      <c r="CG214" s="152">
        <f t="shared" si="256"/>
        <v>1</v>
      </c>
      <c r="CH214" s="34"/>
      <c r="CJ214" s="11"/>
      <c r="CK214" s="11"/>
    </row>
    <row r="215" spans="1:89" s="152" customFormat="1" x14ac:dyDescent="0.2">
      <c r="A215" s="125" t="s">
        <v>350</v>
      </c>
      <c r="B215" s="187" t="s">
        <v>297</v>
      </c>
      <c r="C215" s="8">
        <v>0.26</v>
      </c>
      <c r="D215" s="8">
        <v>0</v>
      </c>
      <c r="E215" s="7">
        <v>2.1000000000000001E-2</v>
      </c>
      <c r="F215" s="7">
        <v>0.1045</v>
      </c>
      <c r="G215" s="1">
        <v>1.6500000000000001E-2</v>
      </c>
      <c r="H215" s="1">
        <v>7.5999999999999998E-2</v>
      </c>
      <c r="I215" s="1">
        <v>0.18</v>
      </c>
      <c r="J215" s="1">
        <v>0.04</v>
      </c>
      <c r="K215" s="1">
        <v>0.14000000000000001</v>
      </c>
      <c r="L215" s="1">
        <v>1.4999999999999999E-2</v>
      </c>
      <c r="M215" s="2" t="s">
        <v>175</v>
      </c>
      <c r="N215" s="105">
        <v>120000</v>
      </c>
      <c r="O215" s="119">
        <v>0.47</v>
      </c>
      <c r="P215" s="119"/>
      <c r="Q215" s="119"/>
      <c r="R215" s="119"/>
      <c r="S215" s="119"/>
      <c r="T215" s="119"/>
      <c r="U215" s="119"/>
      <c r="V215" s="119"/>
      <c r="W215" s="119"/>
      <c r="X215" s="119">
        <f t="shared" si="223"/>
        <v>0.47</v>
      </c>
      <c r="Y215" s="118">
        <f t="shared" si="224"/>
        <v>0.47</v>
      </c>
      <c r="Z215" s="109">
        <f t="shared" si="225"/>
        <v>56400</v>
      </c>
      <c r="AA215" s="109">
        <f>'CALCULO GERAL'!$G$10</f>
        <v>6300</v>
      </c>
      <c r="AB215" s="109">
        <f t="shared" si="226"/>
        <v>62700</v>
      </c>
      <c r="AC215" s="109">
        <f>AB215*'CALCULO GERAL'!$C$11</f>
        <v>314691.3</v>
      </c>
      <c r="AD215" s="109">
        <f t="shared" si="227"/>
        <v>81819.737999999998</v>
      </c>
      <c r="AE215" s="109">
        <f t="shared" si="228"/>
        <v>0</v>
      </c>
      <c r="AF215" s="109">
        <f t="shared" si="229"/>
        <v>6608.5173000000004</v>
      </c>
      <c r="AG215" s="109">
        <f t="shared" si="230"/>
        <v>32885.240849999995</v>
      </c>
      <c r="AH215" s="109">
        <v>154.22999999999999</v>
      </c>
      <c r="AI215" s="109">
        <f>((AA215*'CALCULO GERAL'!$C$11))*0.08+20</f>
        <v>2549.576</v>
      </c>
      <c r="AJ215" s="109">
        <v>1010</v>
      </c>
      <c r="AK215" s="109">
        <v>2500</v>
      </c>
      <c r="AL215" s="109">
        <f>(AA215*('CALCULO GERAL'!$C$11*1.02))-(AA215*'CALCULO GERAL'!$C$11)</f>
        <v>632.39400000000387</v>
      </c>
      <c r="AM215" s="109">
        <v>1800</v>
      </c>
      <c r="AN215" s="109">
        <v>2600</v>
      </c>
      <c r="AO215" s="109">
        <v>9400</v>
      </c>
      <c r="AP215" s="109">
        <v>1000</v>
      </c>
      <c r="AQ215" s="109">
        <v>0</v>
      </c>
      <c r="AR215" s="109">
        <v>0</v>
      </c>
      <c r="AS215" s="109"/>
      <c r="AT215" s="109">
        <f t="shared" si="231"/>
        <v>457650.99615000002</v>
      </c>
      <c r="AU215" s="111">
        <f t="shared" si="232"/>
        <v>3.81375830125</v>
      </c>
      <c r="AV215" s="109">
        <f>IFERROR((BS215*'CALCULO GERAL'!$E$11)/N215,0)</f>
        <v>9.0342000000000006E-2</v>
      </c>
      <c r="AW215" s="109">
        <f>AU215/'CALCULO GERAL'!$C$11</f>
        <v>0.75986417637975689</v>
      </c>
      <c r="AX215" s="109">
        <f>BP215-BB215-BD215*'CALCULO GERAL'!$C$11</f>
        <v>4.4493435000000003</v>
      </c>
      <c r="AY215" s="109">
        <f t="shared" si="233"/>
        <v>7.3414167750000009E-2</v>
      </c>
      <c r="AZ215" s="109">
        <f t="shared" si="234"/>
        <v>0.33815010600000001</v>
      </c>
      <c r="BA215" s="109">
        <f t="shared" si="235"/>
        <v>4.5171000000000001</v>
      </c>
      <c r="BB215" s="109">
        <f t="shared" si="236"/>
        <v>6.7756499999999997E-2</v>
      </c>
      <c r="BC215" s="109">
        <f t="shared" si="237"/>
        <v>4.5171000000000001</v>
      </c>
      <c r="BD215" s="109">
        <f t="shared" si="238"/>
        <v>0</v>
      </c>
      <c r="BE215" s="109">
        <f t="shared" si="239"/>
        <v>43364.160000000003</v>
      </c>
      <c r="BF215" s="109">
        <f t="shared" si="240"/>
        <v>65046.239999999998</v>
      </c>
      <c r="BG215" s="109">
        <f t="shared" si="241"/>
        <v>4.8784679999999997E-2</v>
      </c>
      <c r="BH215" s="109">
        <f t="shared" si="242"/>
        <v>5.4205200000000009E-2</v>
      </c>
      <c r="BI215" s="109">
        <f t="shared" si="243"/>
        <v>0</v>
      </c>
      <c r="BJ215" s="109">
        <f t="shared" si="244"/>
        <v>0.67265265375000016</v>
      </c>
      <c r="BK215" s="109">
        <f t="shared" si="245"/>
        <v>4.4864109550000002</v>
      </c>
      <c r="BL215" s="148">
        <v>0.86</v>
      </c>
      <c r="BM215" s="112">
        <f>ROUND((AW215/BL215)+((AW215*BL215)*'CALCULO GERAL'!$E$11)/BL215,2)</f>
        <v>0.9</v>
      </c>
      <c r="BN215" s="186">
        <f t="shared" si="246"/>
        <v>0.9</v>
      </c>
      <c r="BO215" s="186">
        <f t="shared" si="247"/>
        <v>1.054</v>
      </c>
      <c r="BP215" s="109">
        <f>BM215*'CALCULO GERAL'!$C$11</f>
        <v>4.5171000000000001</v>
      </c>
      <c r="BQ215" s="109">
        <f>BO215*'CALCULO GERAL'!$C$11</f>
        <v>5.2900260000000001</v>
      </c>
      <c r="BR215" s="186">
        <f>BN215*'CALCULO GERAL'!$C$11</f>
        <v>4.5171000000000001</v>
      </c>
      <c r="BS215" s="109">
        <f t="shared" si="248"/>
        <v>542052</v>
      </c>
      <c r="BT215" s="109">
        <f t="shared" si="222"/>
        <v>84401.003849999979</v>
      </c>
      <c r="BU215" s="109">
        <f t="shared" si="249"/>
        <v>542052</v>
      </c>
      <c r="BV215" s="109">
        <f t="shared" si="250"/>
        <v>538369.31460000004</v>
      </c>
      <c r="BW215" s="109">
        <f t="shared" si="251"/>
        <v>3682.6853999999585</v>
      </c>
      <c r="BX215" s="114">
        <f t="shared" si="252"/>
        <v>6.7939706891588974E-3</v>
      </c>
      <c r="BY215" s="152">
        <f t="shared" si="253"/>
        <v>0.86</v>
      </c>
      <c r="CA215" s="55"/>
      <c r="CB215" s="113"/>
      <c r="CC215" s="113"/>
      <c r="CE215" s="152">
        <f t="shared" si="254"/>
        <v>0</v>
      </c>
      <c r="CF215" s="152">
        <f t="shared" si="255"/>
        <v>1</v>
      </c>
      <c r="CG215" s="152">
        <f t="shared" si="256"/>
        <v>1</v>
      </c>
      <c r="CH215" s="34"/>
      <c r="CJ215" s="11"/>
      <c r="CK215" s="11"/>
    </row>
    <row r="216" spans="1:89" s="152" customFormat="1" x14ac:dyDescent="0.2">
      <c r="A216" s="125" t="s">
        <v>351</v>
      </c>
      <c r="B216" s="187" t="s">
        <v>297</v>
      </c>
      <c r="C216" s="8">
        <v>0.26</v>
      </c>
      <c r="D216" s="8">
        <v>0</v>
      </c>
      <c r="E216" s="7">
        <v>2.1000000000000001E-2</v>
      </c>
      <c r="F216" s="7">
        <v>0.1045</v>
      </c>
      <c r="G216" s="1">
        <v>1.6500000000000001E-2</v>
      </c>
      <c r="H216" s="1">
        <v>7.5999999999999998E-2</v>
      </c>
      <c r="I216" s="1">
        <v>0.18</v>
      </c>
      <c r="J216" s="1">
        <v>0.04</v>
      </c>
      <c r="K216" s="1">
        <v>0.14000000000000001</v>
      </c>
      <c r="L216" s="1">
        <v>1.4999999999999999E-2</v>
      </c>
      <c r="M216" s="2" t="s">
        <v>175</v>
      </c>
      <c r="N216" s="105">
        <v>135000</v>
      </c>
      <c r="O216" s="119">
        <v>0.49</v>
      </c>
      <c r="P216" s="119">
        <v>0.52</v>
      </c>
      <c r="Q216" s="119">
        <v>0.52</v>
      </c>
      <c r="R216" s="119">
        <v>0.47</v>
      </c>
      <c r="S216" s="119"/>
      <c r="T216" s="119"/>
      <c r="U216" s="119"/>
      <c r="V216" s="119">
        <v>0.53</v>
      </c>
      <c r="W216" s="119">
        <v>0.52500000000000002</v>
      </c>
      <c r="X216" s="119">
        <f t="shared" si="223"/>
        <v>0.47</v>
      </c>
      <c r="Y216" s="118">
        <f t="shared" si="224"/>
        <v>0.50916666666666666</v>
      </c>
      <c r="Z216" s="109">
        <f t="shared" si="225"/>
        <v>63450</v>
      </c>
      <c r="AA216" s="109">
        <f>'CALCULO GERAL'!$G$10</f>
        <v>6300</v>
      </c>
      <c r="AB216" s="109">
        <f t="shared" si="226"/>
        <v>69750</v>
      </c>
      <c r="AC216" s="109">
        <f>AB216*'CALCULO GERAL'!$C$11</f>
        <v>350075.25</v>
      </c>
      <c r="AD216" s="109">
        <f t="shared" si="227"/>
        <v>91019.565000000002</v>
      </c>
      <c r="AE216" s="109">
        <f t="shared" si="228"/>
        <v>0</v>
      </c>
      <c r="AF216" s="109">
        <f t="shared" si="229"/>
        <v>7351.5802500000009</v>
      </c>
      <c r="AG216" s="109">
        <f t="shared" si="230"/>
        <v>36582.863624999998</v>
      </c>
      <c r="AH216" s="109">
        <v>154.22999999999999</v>
      </c>
      <c r="AI216" s="109">
        <f>((AA216*'CALCULO GERAL'!$C$11))*0.08+20</f>
        <v>2549.576</v>
      </c>
      <c r="AJ216" s="109">
        <v>1010</v>
      </c>
      <c r="AK216" s="109">
        <v>2500</v>
      </c>
      <c r="AL216" s="109">
        <f>(AA216*('CALCULO GERAL'!$C$11*1.02))-(AA216*'CALCULO GERAL'!$C$11)</f>
        <v>632.39400000000387</v>
      </c>
      <c r="AM216" s="109">
        <v>1800</v>
      </c>
      <c r="AN216" s="109">
        <v>2600</v>
      </c>
      <c r="AO216" s="109">
        <v>9400</v>
      </c>
      <c r="AP216" s="109">
        <v>1000</v>
      </c>
      <c r="AQ216" s="109">
        <v>0</v>
      </c>
      <c r="AR216" s="109">
        <v>0</v>
      </c>
      <c r="AS216" s="109"/>
      <c r="AT216" s="109">
        <f t="shared" si="231"/>
        <v>506675.45887500001</v>
      </c>
      <c r="AU216" s="111">
        <f t="shared" si="232"/>
        <v>3.7531515472222221</v>
      </c>
      <c r="AV216" s="109">
        <f>IFERROR((BS216*'CALCULO GERAL'!$E$11)/N216,0)</f>
        <v>8.8334399999999993E-2</v>
      </c>
      <c r="AW216" s="109">
        <f>AU216/'CALCULO GERAL'!$C$11</f>
        <v>0.74778871233756172</v>
      </c>
      <c r="AX216" s="109">
        <f>BP216-BB216-BD216*'CALCULO GERAL'!$C$11</f>
        <v>4.3504692</v>
      </c>
      <c r="AY216" s="109">
        <f t="shared" si="233"/>
        <v>7.1782741800000008E-2</v>
      </c>
      <c r="AZ216" s="109">
        <f t="shared" si="234"/>
        <v>0.33063565919999999</v>
      </c>
      <c r="BA216" s="109">
        <f t="shared" si="235"/>
        <v>4.4167199999999998</v>
      </c>
      <c r="BB216" s="109">
        <f t="shared" si="236"/>
        <v>6.6250799999999999E-2</v>
      </c>
      <c r="BC216" s="109">
        <f t="shared" si="237"/>
        <v>4.4167199999999998</v>
      </c>
      <c r="BD216" s="109">
        <f t="shared" si="238"/>
        <v>0</v>
      </c>
      <c r="BE216" s="109">
        <f t="shared" si="239"/>
        <v>47700.575999999994</v>
      </c>
      <c r="BF216" s="109">
        <f t="shared" si="240"/>
        <v>71550.863999999987</v>
      </c>
      <c r="BG216" s="109">
        <f t="shared" si="241"/>
        <v>4.7700575999999988E-2</v>
      </c>
      <c r="BH216" s="109">
        <f t="shared" si="242"/>
        <v>5.3000639999999995E-2</v>
      </c>
      <c r="BI216" s="109">
        <f t="shared" si="243"/>
        <v>0</v>
      </c>
      <c r="BJ216" s="109">
        <f t="shared" si="244"/>
        <v>0.65770481700000005</v>
      </c>
      <c r="BK216" s="109">
        <f t="shared" si="245"/>
        <v>4.410856364222222</v>
      </c>
      <c r="BL216" s="148">
        <v>0.86</v>
      </c>
      <c r="BM216" s="112">
        <f>ROUND((AW216/BL216)+((AW216*BL216)*'CALCULO GERAL'!$E$11)/BL216,2)</f>
        <v>0.88</v>
      </c>
      <c r="BN216" s="186">
        <f t="shared" si="246"/>
        <v>0.88</v>
      </c>
      <c r="BO216" s="186">
        <f t="shared" si="247"/>
        <v>1.0309999999999999</v>
      </c>
      <c r="BP216" s="109">
        <f>BM216*'CALCULO GERAL'!$C$11</f>
        <v>4.4167199999999998</v>
      </c>
      <c r="BQ216" s="109">
        <f>BO216*'CALCULO GERAL'!$C$11</f>
        <v>5.1745890000000001</v>
      </c>
      <c r="BR216" s="186">
        <f>BN216*'CALCULO GERAL'!$C$11</f>
        <v>4.4167199999999998</v>
      </c>
      <c r="BS216" s="109">
        <f t="shared" si="248"/>
        <v>596257.19999999995</v>
      </c>
      <c r="BT216" s="109">
        <f t="shared" si="222"/>
        <v>89581.741124999942</v>
      </c>
      <c r="BU216" s="109">
        <f t="shared" si="249"/>
        <v>596257.19999999995</v>
      </c>
      <c r="BV216" s="109">
        <f t="shared" si="250"/>
        <v>595465.60916999995</v>
      </c>
      <c r="BW216" s="109">
        <f t="shared" si="251"/>
        <v>791.59083000000101</v>
      </c>
      <c r="BX216" s="114">
        <f t="shared" si="252"/>
        <v>1.3275996164071496E-3</v>
      </c>
      <c r="BY216" s="152">
        <f t="shared" si="253"/>
        <v>0.86</v>
      </c>
      <c r="CA216" s="55"/>
      <c r="CB216" s="113"/>
      <c r="CC216" s="113"/>
      <c r="CE216" s="152">
        <f t="shared" si="254"/>
        <v>0</v>
      </c>
      <c r="CF216" s="152">
        <f t="shared" si="255"/>
        <v>1</v>
      </c>
      <c r="CG216" s="152">
        <f t="shared" si="256"/>
        <v>1</v>
      </c>
      <c r="CH216" s="34"/>
      <c r="CJ216" s="11"/>
      <c r="CK216" s="11"/>
    </row>
    <row r="217" spans="1:89" s="152" customFormat="1" x14ac:dyDescent="0.2">
      <c r="A217" s="125" t="s">
        <v>352</v>
      </c>
      <c r="B217" s="187" t="s">
        <v>297</v>
      </c>
      <c r="C217" s="8">
        <v>0.26</v>
      </c>
      <c r="D217" s="8">
        <v>0</v>
      </c>
      <c r="E217" s="7">
        <v>2.1000000000000001E-2</v>
      </c>
      <c r="F217" s="7">
        <v>0.1045</v>
      </c>
      <c r="G217" s="1">
        <v>1.6500000000000001E-2</v>
      </c>
      <c r="H217" s="1">
        <v>7.5999999999999998E-2</v>
      </c>
      <c r="I217" s="1">
        <v>0.18</v>
      </c>
      <c r="J217" s="1">
        <v>0.04</v>
      </c>
      <c r="K217" s="1">
        <v>0.14000000000000001</v>
      </c>
      <c r="L217" s="1">
        <v>1.4999999999999999E-2</v>
      </c>
      <c r="M217" s="2" t="s">
        <v>175</v>
      </c>
      <c r="N217" s="105">
        <v>120000</v>
      </c>
      <c r="O217" s="119">
        <v>0.505</v>
      </c>
      <c r="P217" s="119">
        <v>0.48</v>
      </c>
      <c r="Q217" s="119">
        <v>0.55000000000000004</v>
      </c>
      <c r="R217" s="119">
        <v>0.5</v>
      </c>
      <c r="S217" s="119"/>
      <c r="T217" s="119"/>
      <c r="U217" s="119"/>
      <c r="V217" s="119">
        <v>0.56000000000000005</v>
      </c>
      <c r="W217" s="119"/>
      <c r="X217" s="119">
        <f t="shared" si="223"/>
        <v>0.48</v>
      </c>
      <c r="Y217" s="118">
        <f t="shared" si="224"/>
        <v>0.51900000000000002</v>
      </c>
      <c r="Z217" s="109">
        <f t="shared" si="225"/>
        <v>57600</v>
      </c>
      <c r="AA217" s="109">
        <f>'CALCULO GERAL'!$G$10</f>
        <v>6300</v>
      </c>
      <c r="AB217" s="109">
        <f t="shared" si="226"/>
        <v>63900</v>
      </c>
      <c r="AC217" s="109">
        <f>AB217*'CALCULO GERAL'!$C$11</f>
        <v>320714.10000000003</v>
      </c>
      <c r="AD217" s="109">
        <f t="shared" si="227"/>
        <v>83385.666000000012</v>
      </c>
      <c r="AE217" s="109">
        <f t="shared" si="228"/>
        <v>0</v>
      </c>
      <c r="AF217" s="109">
        <f t="shared" si="229"/>
        <v>6734.9961000000012</v>
      </c>
      <c r="AG217" s="109">
        <f t="shared" si="230"/>
        <v>33514.623449999999</v>
      </c>
      <c r="AH217" s="109">
        <v>154.22999999999999</v>
      </c>
      <c r="AI217" s="109">
        <f>((AA217*'CALCULO GERAL'!$C$11))*0.08+20</f>
        <v>2549.576</v>
      </c>
      <c r="AJ217" s="109">
        <v>1010</v>
      </c>
      <c r="AK217" s="109">
        <v>2500</v>
      </c>
      <c r="AL217" s="109">
        <f>(AA217*('CALCULO GERAL'!$C$11*1.02))-(AA217*'CALCULO GERAL'!$C$11)</f>
        <v>632.39400000000387</v>
      </c>
      <c r="AM217" s="109">
        <v>1800</v>
      </c>
      <c r="AN217" s="109">
        <v>2600</v>
      </c>
      <c r="AO217" s="109">
        <v>9400</v>
      </c>
      <c r="AP217" s="109">
        <v>1000</v>
      </c>
      <c r="AQ217" s="109">
        <v>0</v>
      </c>
      <c r="AR217" s="109">
        <v>0</v>
      </c>
      <c r="AS217" s="109"/>
      <c r="AT217" s="109">
        <f t="shared" si="231"/>
        <v>465995.58555000008</v>
      </c>
      <c r="AU217" s="111">
        <f t="shared" si="232"/>
        <v>3.8832965462500004</v>
      </c>
      <c r="AV217" s="109">
        <f>IFERROR((BS217*'CALCULO GERAL'!$E$11)/N217,0)</f>
        <v>9.0342000000000006E-2</v>
      </c>
      <c r="AW217" s="109">
        <f>AU217/'CALCULO GERAL'!$C$11</f>
        <v>0.77371917637975696</v>
      </c>
      <c r="AX217" s="109">
        <f>BP217-BB217-BD217*'CALCULO GERAL'!$C$11</f>
        <v>4.4493435000000003</v>
      </c>
      <c r="AY217" s="109">
        <f t="shared" si="233"/>
        <v>7.3414167750000009E-2</v>
      </c>
      <c r="AZ217" s="109">
        <f t="shared" si="234"/>
        <v>0.33815010600000001</v>
      </c>
      <c r="BA217" s="109">
        <f t="shared" si="235"/>
        <v>4.5171000000000001</v>
      </c>
      <c r="BB217" s="109">
        <f t="shared" si="236"/>
        <v>6.7756499999999997E-2</v>
      </c>
      <c r="BC217" s="109">
        <f t="shared" si="237"/>
        <v>4.5171000000000001</v>
      </c>
      <c r="BD217" s="109">
        <f t="shared" si="238"/>
        <v>0</v>
      </c>
      <c r="BE217" s="109">
        <f t="shared" si="239"/>
        <v>43364.160000000003</v>
      </c>
      <c r="BF217" s="109">
        <f t="shared" si="240"/>
        <v>65046.239999999998</v>
      </c>
      <c r="BG217" s="109">
        <f t="shared" si="241"/>
        <v>4.8784679999999997E-2</v>
      </c>
      <c r="BH217" s="109">
        <f t="shared" si="242"/>
        <v>5.4205200000000009E-2</v>
      </c>
      <c r="BI217" s="109">
        <f t="shared" si="243"/>
        <v>0</v>
      </c>
      <c r="BJ217" s="109">
        <f t="shared" si="244"/>
        <v>0.67265265375000016</v>
      </c>
      <c r="BK217" s="109">
        <f t="shared" si="245"/>
        <v>4.5559492000000006</v>
      </c>
      <c r="BL217" s="148">
        <v>0.87</v>
      </c>
      <c r="BM217" s="112">
        <f>ROUND((AW217/BL217)+((AW217*BL217)*'CALCULO GERAL'!$E$11)/BL217,2)</f>
        <v>0.9</v>
      </c>
      <c r="BN217" s="186">
        <f t="shared" si="246"/>
        <v>0.9</v>
      </c>
      <c r="BO217" s="186">
        <f t="shared" si="247"/>
        <v>1.054</v>
      </c>
      <c r="BP217" s="109">
        <f>BM217*'CALCULO GERAL'!$C$11</f>
        <v>4.5171000000000001</v>
      </c>
      <c r="BQ217" s="109">
        <f>BO217*'CALCULO GERAL'!$C$11</f>
        <v>5.2900260000000001</v>
      </c>
      <c r="BR217" s="186">
        <f>BN217*'CALCULO GERAL'!$C$11</f>
        <v>4.5171000000000001</v>
      </c>
      <c r="BS217" s="109">
        <f t="shared" si="248"/>
        <v>542052</v>
      </c>
      <c r="BT217" s="109">
        <f t="shared" si="222"/>
        <v>76056.414449999924</v>
      </c>
      <c r="BU217" s="109">
        <f t="shared" si="249"/>
        <v>542052</v>
      </c>
      <c r="BV217" s="109">
        <f t="shared" si="250"/>
        <v>546713.9040000001</v>
      </c>
      <c r="BW217" s="109">
        <f t="shared" si="251"/>
        <v>-4661.9040000000969</v>
      </c>
      <c r="BX217" s="114">
        <f t="shared" si="252"/>
        <v>-8.6004737552856491E-3</v>
      </c>
      <c r="BY217" s="152">
        <f t="shared" si="253"/>
        <v>0.87</v>
      </c>
      <c r="CA217" s="55"/>
      <c r="CB217" s="113"/>
      <c r="CC217" s="113"/>
      <c r="CE217" s="152">
        <f t="shared" si="254"/>
        <v>0</v>
      </c>
      <c r="CF217" s="152">
        <f t="shared" si="255"/>
        <v>1</v>
      </c>
      <c r="CG217" s="152">
        <f t="shared" si="256"/>
        <v>1</v>
      </c>
      <c r="CH217" s="34"/>
      <c r="CJ217" s="11"/>
      <c r="CK217" s="11"/>
    </row>
    <row r="218" spans="1:89" s="152" customFormat="1" x14ac:dyDescent="0.2">
      <c r="A218" s="125" t="s">
        <v>353</v>
      </c>
      <c r="B218" s="187" t="s">
        <v>297</v>
      </c>
      <c r="C218" s="8">
        <v>0.26</v>
      </c>
      <c r="D218" s="8">
        <v>0</v>
      </c>
      <c r="E218" s="7">
        <v>2.1000000000000001E-2</v>
      </c>
      <c r="F218" s="7">
        <v>0.1045</v>
      </c>
      <c r="G218" s="1">
        <v>1.6500000000000001E-2</v>
      </c>
      <c r="H218" s="1">
        <v>7.5999999999999998E-2</v>
      </c>
      <c r="I218" s="1">
        <v>0.18</v>
      </c>
      <c r="J218" s="1">
        <v>0.04</v>
      </c>
      <c r="K218" s="1">
        <v>0.14000000000000001</v>
      </c>
      <c r="L218" s="1">
        <v>1.4999999999999999E-2</v>
      </c>
      <c r="M218" s="2" t="s">
        <v>175</v>
      </c>
      <c r="N218" s="105">
        <v>135000</v>
      </c>
      <c r="O218" s="119">
        <v>0.45500000000000002</v>
      </c>
      <c r="P218" s="119">
        <v>0.46</v>
      </c>
      <c r="Q218" s="119">
        <v>0.44</v>
      </c>
      <c r="R218" s="119">
        <v>0.49</v>
      </c>
      <c r="S218" s="119">
        <v>0.44</v>
      </c>
      <c r="T218" s="119"/>
      <c r="U218" s="119"/>
      <c r="V218" s="119">
        <v>0.46</v>
      </c>
      <c r="W218" s="119">
        <v>0.44500000000000001</v>
      </c>
      <c r="X218" s="119">
        <f t="shared" si="223"/>
        <v>0.44</v>
      </c>
      <c r="Y218" s="118">
        <f t="shared" si="224"/>
        <v>0.45571428571428568</v>
      </c>
      <c r="Z218" s="109">
        <f t="shared" si="225"/>
        <v>59400</v>
      </c>
      <c r="AA218" s="109">
        <f>'CALCULO GERAL'!$G$10</f>
        <v>6300</v>
      </c>
      <c r="AB218" s="109">
        <f t="shared" si="226"/>
        <v>65700</v>
      </c>
      <c r="AC218" s="109">
        <f>AB218*'CALCULO GERAL'!$C$11</f>
        <v>329748.3</v>
      </c>
      <c r="AD218" s="109">
        <f t="shared" si="227"/>
        <v>85734.558000000005</v>
      </c>
      <c r="AE218" s="109">
        <f t="shared" si="228"/>
        <v>0</v>
      </c>
      <c r="AF218" s="109">
        <f t="shared" si="229"/>
        <v>6924.7143000000005</v>
      </c>
      <c r="AG218" s="109">
        <f t="shared" si="230"/>
        <v>34458.697349999995</v>
      </c>
      <c r="AH218" s="109">
        <v>154.22999999999999</v>
      </c>
      <c r="AI218" s="109">
        <f>((AA218*'CALCULO GERAL'!$C$11))*0.08+20</f>
        <v>2549.576</v>
      </c>
      <c r="AJ218" s="109">
        <v>1010</v>
      </c>
      <c r="AK218" s="109">
        <v>2500</v>
      </c>
      <c r="AL218" s="109">
        <f>(AA218*('CALCULO GERAL'!$C$11*1.02))-(AA218*'CALCULO GERAL'!$C$11)</f>
        <v>632.39400000000387</v>
      </c>
      <c r="AM218" s="109">
        <v>1800</v>
      </c>
      <c r="AN218" s="109">
        <v>2600</v>
      </c>
      <c r="AO218" s="109">
        <v>9400</v>
      </c>
      <c r="AP218" s="109">
        <v>1000</v>
      </c>
      <c r="AQ218" s="109">
        <v>0</v>
      </c>
      <c r="AR218" s="109">
        <v>0</v>
      </c>
      <c r="AS218" s="109"/>
      <c r="AT218" s="109">
        <f t="shared" si="231"/>
        <v>478512.46964999998</v>
      </c>
      <c r="AU218" s="111">
        <f t="shared" si="232"/>
        <v>3.5445368122222223</v>
      </c>
      <c r="AV218" s="109">
        <f>IFERROR((BS218*'CALCULO GERAL'!$E$11)/N218,0)</f>
        <v>8.4319200000000011E-2</v>
      </c>
      <c r="AW218" s="109">
        <f>AU218/'CALCULO GERAL'!$C$11</f>
        <v>0.70622371233756165</v>
      </c>
      <c r="AX218" s="109">
        <f>BP218-BB218-BD218*'CALCULO GERAL'!$C$11</f>
        <v>4.1527206000000003</v>
      </c>
      <c r="AY218" s="109">
        <f t="shared" si="233"/>
        <v>6.8519889900000006E-2</v>
      </c>
      <c r="AZ218" s="109">
        <f t="shared" si="234"/>
        <v>0.31560676560000001</v>
      </c>
      <c r="BA218" s="109">
        <f t="shared" si="235"/>
        <v>4.2159599999999999</v>
      </c>
      <c r="BB218" s="109">
        <f t="shared" si="236"/>
        <v>6.3239400000000001E-2</v>
      </c>
      <c r="BC218" s="109">
        <f t="shared" si="237"/>
        <v>4.2159599999999999</v>
      </c>
      <c r="BD218" s="109">
        <f t="shared" si="238"/>
        <v>0</v>
      </c>
      <c r="BE218" s="109">
        <f t="shared" si="239"/>
        <v>45532.368000000002</v>
      </c>
      <c r="BF218" s="109">
        <f t="shared" si="240"/>
        <v>68298.551999999996</v>
      </c>
      <c r="BG218" s="109">
        <f t="shared" si="241"/>
        <v>4.5532367999999997E-2</v>
      </c>
      <c r="BH218" s="109">
        <f t="shared" si="242"/>
        <v>5.0591520000000001E-2</v>
      </c>
      <c r="BI218" s="109">
        <f t="shared" si="243"/>
        <v>0</v>
      </c>
      <c r="BJ218" s="109">
        <f t="shared" si="244"/>
        <v>0.62780914350000006</v>
      </c>
      <c r="BK218" s="109">
        <f t="shared" si="245"/>
        <v>4.1723459557222222</v>
      </c>
      <c r="BL218" s="148">
        <v>0.86</v>
      </c>
      <c r="BM218" s="112">
        <f>ROUND((AW218/BL218)+((AW218*BL218)*'CALCULO GERAL'!$E$11)/BL218,2)</f>
        <v>0.84</v>
      </c>
      <c r="BN218" s="186">
        <f t="shared" si="246"/>
        <v>0.84</v>
      </c>
      <c r="BO218" s="186">
        <f t="shared" si="247"/>
        <v>0.98399999999999999</v>
      </c>
      <c r="BP218" s="109">
        <f>BM218*'CALCULO GERAL'!$C$11</f>
        <v>4.2159599999999999</v>
      </c>
      <c r="BQ218" s="109">
        <f>BO218*'CALCULO GERAL'!$C$11</f>
        <v>4.9386960000000002</v>
      </c>
      <c r="BR218" s="186">
        <f>BN218*'CALCULO GERAL'!$C$11</f>
        <v>4.2159599999999999</v>
      </c>
      <c r="BS218" s="109">
        <f t="shared" si="248"/>
        <v>569154.6</v>
      </c>
      <c r="BT218" s="109">
        <f t="shared" si="222"/>
        <v>90642.130349999992</v>
      </c>
      <c r="BU218" s="109">
        <f t="shared" si="249"/>
        <v>569154.6</v>
      </c>
      <c r="BV218" s="109">
        <f t="shared" si="250"/>
        <v>563266.70402249997</v>
      </c>
      <c r="BW218" s="109">
        <f t="shared" si="251"/>
        <v>5887.8959775000112</v>
      </c>
      <c r="BX218" s="114">
        <f t="shared" si="252"/>
        <v>1.0344985312426556E-2</v>
      </c>
      <c r="BY218" s="152">
        <f t="shared" si="253"/>
        <v>0.86</v>
      </c>
      <c r="CA218" s="55"/>
      <c r="CB218" s="113"/>
      <c r="CC218" s="113"/>
      <c r="CE218" s="152">
        <f t="shared" si="254"/>
        <v>0</v>
      </c>
      <c r="CF218" s="152">
        <f t="shared" si="255"/>
        <v>1</v>
      </c>
      <c r="CG218" s="152">
        <f t="shared" si="256"/>
        <v>1</v>
      </c>
      <c r="CH218" s="34"/>
      <c r="CJ218" s="11"/>
      <c r="CK218" s="11"/>
    </row>
    <row r="219" spans="1:89" s="152" customFormat="1" x14ac:dyDescent="0.2">
      <c r="A219" s="125" t="s">
        <v>354</v>
      </c>
      <c r="B219" s="187" t="s">
        <v>297</v>
      </c>
      <c r="C219" s="8">
        <v>0.26</v>
      </c>
      <c r="D219" s="8">
        <v>0</v>
      </c>
      <c r="E219" s="7">
        <v>2.1000000000000001E-2</v>
      </c>
      <c r="F219" s="7">
        <v>0.1045</v>
      </c>
      <c r="G219" s="1">
        <v>1.6500000000000001E-2</v>
      </c>
      <c r="H219" s="1">
        <v>7.5999999999999998E-2</v>
      </c>
      <c r="I219" s="1">
        <v>0.18</v>
      </c>
      <c r="J219" s="1">
        <v>0.04</v>
      </c>
      <c r="K219" s="1">
        <v>0.14000000000000001</v>
      </c>
      <c r="L219" s="1">
        <v>1.4999999999999999E-2</v>
      </c>
      <c r="M219" s="2" t="s">
        <v>175</v>
      </c>
      <c r="N219" s="105">
        <v>120000</v>
      </c>
      <c r="O219" s="119">
        <v>0.45500000000000002</v>
      </c>
      <c r="P219" s="119">
        <v>0.51</v>
      </c>
      <c r="Q219" s="119">
        <v>0.46</v>
      </c>
      <c r="R219" s="119">
        <v>0.53</v>
      </c>
      <c r="S219" s="119">
        <v>0.49</v>
      </c>
      <c r="T219" s="119"/>
      <c r="U219" s="119">
        <v>0.505</v>
      </c>
      <c r="V219" s="119">
        <v>0.49</v>
      </c>
      <c r="W219" s="119">
        <v>0.47499999999999998</v>
      </c>
      <c r="X219" s="119">
        <f t="shared" si="223"/>
        <v>0.45500000000000002</v>
      </c>
      <c r="Y219" s="118">
        <f t="shared" si="224"/>
        <v>0.48937500000000006</v>
      </c>
      <c r="Z219" s="109">
        <f t="shared" si="225"/>
        <v>54600</v>
      </c>
      <c r="AA219" s="109">
        <f>'CALCULO GERAL'!$G$10</f>
        <v>6300</v>
      </c>
      <c r="AB219" s="109">
        <f t="shared" si="226"/>
        <v>60900</v>
      </c>
      <c r="AC219" s="109">
        <f>AB219*'CALCULO GERAL'!$C$11</f>
        <v>305657.10000000003</v>
      </c>
      <c r="AD219" s="109">
        <f t="shared" si="227"/>
        <v>79470.846000000005</v>
      </c>
      <c r="AE219" s="109">
        <f t="shared" si="228"/>
        <v>0</v>
      </c>
      <c r="AF219" s="109">
        <f t="shared" si="229"/>
        <v>6418.7991000000011</v>
      </c>
      <c r="AG219" s="109">
        <f t="shared" si="230"/>
        <v>31941.166950000003</v>
      </c>
      <c r="AH219" s="109">
        <v>154.22999999999999</v>
      </c>
      <c r="AI219" s="109">
        <f>((AA219*'CALCULO GERAL'!$C$11))*0.08+20</f>
        <v>2549.576</v>
      </c>
      <c r="AJ219" s="109">
        <v>1010</v>
      </c>
      <c r="AK219" s="109">
        <v>2500</v>
      </c>
      <c r="AL219" s="109">
        <f>(AA219*('CALCULO GERAL'!$C$11*1.02))-(AA219*'CALCULO GERAL'!$C$11)</f>
        <v>632.39400000000387</v>
      </c>
      <c r="AM219" s="109">
        <v>1800</v>
      </c>
      <c r="AN219" s="109">
        <v>2600</v>
      </c>
      <c r="AO219" s="109">
        <v>9400</v>
      </c>
      <c r="AP219" s="109">
        <v>1000</v>
      </c>
      <c r="AQ219" s="109">
        <v>0</v>
      </c>
      <c r="AR219" s="109">
        <v>0</v>
      </c>
      <c r="AS219" s="109"/>
      <c r="AT219" s="109">
        <f t="shared" si="231"/>
        <v>445134.11205000005</v>
      </c>
      <c r="AU219" s="111">
        <f t="shared" si="232"/>
        <v>3.7094509337500003</v>
      </c>
      <c r="AV219" s="109">
        <f>IFERROR((BS219*'CALCULO GERAL'!$E$11)/N219,0)</f>
        <v>8.7330600000000008E-2</v>
      </c>
      <c r="AW219" s="109">
        <f>AU219/'CALCULO GERAL'!$C$11</f>
        <v>0.73908167637975697</v>
      </c>
      <c r="AX219" s="109">
        <f>BP219-BB219-BD219*'CALCULO GERAL'!$C$11</f>
        <v>4.3010320499999999</v>
      </c>
      <c r="AY219" s="109">
        <f t="shared" si="233"/>
        <v>7.0967028825E-2</v>
      </c>
      <c r="AZ219" s="109">
        <f t="shared" si="234"/>
        <v>0.32687843579999998</v>
      </c>
      <c r="BA219" s="109">
        <f t="shared" si="235"/>
        <v>4.36653</v>
      </c>
      <c r="BB219" s="109">
        <f t="shared" si="236"/>
        <v>6.5497949999999999E-2</v>
      </c>
      <c r="BC219" s="109">
        <f t="shared" si="237"/>
        <v>4.36653</v>
      </c>
      <c r="BD219" s="109">
        <f t="shared" si="238"/>
        <v>0</v>
      </c>
      <c r="BE219" s="109">
        <f t="shared" si="239"/>
        <v>41918.688000000002</v>
      </c>
      <c r="BF219" s="109">
        <f t="shared" si="240"/>
        <v>62878.031999999992</v>
      </c>
      <c r="BG219" s="109">
        <f t="shared" si="241"/>
        <v>4.7158523999999986E-2</v>
      </c>
      <c r="BH219" s="109">
        <f t="shared" si="242"/>
        <v>5.2398360000000005E-2</v>
      </c>
      <c r="BI219" s="109">
        <f t="shared" si="243"/>
        <v>0</v>
      </c>
      <c r="BJ219" s="109">
        <f t="shared" si="244"/>
        <v>0.65023089862499994</v>
      </c>
      <c r="BK219" s="109">
        <f t="shared" si="245"/>
        <v>4.3596818323750002</v>
      </c>
      <c r="BL219" s="148">
        <v>0.86</v>
      </c>
      <c r="BM219" s="112">
        <f>ROUND((AW219/BL219)+((AW219*BL219)*'CALCULO GERAL'!$E$11)/BL219,2)</f>
        <v>0.87</v>
      </c>
      <c r="BN219" s="186">
        <f t="shared" si="246"/>
        <v>0.87</v>
      </c>
      <c r="BO219" s="186">
        <f t="shared" si="247"/>
        <v>1.0189999999999999</v>
      </c>
      <c r="BP219" s="109">
        <f>BM219*'CALCULO GERAL'!$C$11</f>
        <v>4.36653</v>
      </c>
      <c r="BQ219" s="109">
        <f>BO219*'CALCULO GERAL'!$C$11</f>
        <v>5.1143609999999997</v>
      </c>
      <c r="BR219" s="186">
        <f>BN219*'CALCULO GERAL'!$C$11</f>
        <v>4.36653</v>
      </c>
      <c r="BS219" s="109">
        <f t="shared" si="248"/>
        <v>523983.6</v>
      </c>
      <c r="BT219" s="109">
        <f t="shared" si="222"/>
        <v>78849.487949999922</v>
      </c>
      <c r="BU219" s="109">
        <f t="shared" si="249"/>
        <v>523983.6</v>
      </c>
      <c r="BV219" s="109">
        <f t="shared" si="250"/>
        <v>523161.819885</v>
      </c>
      <c r="BW219" s="109">
        <f t="shared" si="251"/>
        <v>821.78011499997228</v>
      </c>
      <c r="BX219" s="114">
        <f t="shared" si="252"/>
        <v>1.5683317474057821E-3</v>
      </c>
      <c r="BY219" s="152">
        <f t="shared" si="253"/>
        <v>0.86</v>
      </c>
      <c r="CA219" s="55"/>
      <c r="CB219" s="113"/>
      <c r="CC219" s="113"/>
      <c r="CE219" s="152">
        <f t="shared" si="254"/>
        <v>0</v>
      </c>
      <c r="CF219" s="152">
        <f t="shared" si="255"/>
        <v>1</v>
      </c>
      <c r="CG219" s="152">
        <f t="shared" si="256"/>
        <v>1</v>
      </c>
      <c r="CH219" s="34"/>
      <c r="CJ219" s="11"/>
      <c r="CK219" s="11"/>
    </row>
    <row r="220" spans="1:89" s="152" customFormat="1" x14ac:dyDescent="0.2">
      <c r="A220" s="125" t="s">
        <v>355</v>
      </c>
      <c r="B220" s="187" t="s">
        <v>325</v>
      </c>
      <c r="C220" s="8">
        <v>0.26</v>
      </c>
      <c r="D220" s="8">
        <v>0</v>
      </c>
      <c r="E220" s="7">
        <v>2.1000000000000001E-2</v>
      </c>
      <c r="F220" s="7">
        <v>0.1045</v>
      </c>
      <c r="G220" s="1">
        <v>1.6500000000000001E-2</v>
      </c>
      <c r="H220" s="1">
        <v>7.5999999999999998E-2</v>
      </c>
      <c r="I220" s="1">
        <v>0.18</v>
      </c>
      <c r="J220" s="1">
        <v>0.04</v>
      </c>
      <c r="K220" s="1">
        <v>0.14000000000000001</v>
      </c>
      <c r="L220" s="1">
        <v>1.4999999999999999E-2</v>
      </c>
      <c r="M220" s="2" t="s">
        <v>175</v>
      </c>
      <c r="N220" s="105">
        <v>115000</v>
      </c>
      <c r="O220" s="119">
        <v>0.52</v>
      </c>
      <c r="P220" s="119">
        <v>0.56999999999999995</v>
      </c>
      <c r="Q220" s="119">
        <v>0.56000000000000005</v>
      </c>
      <c r="R220" s="119">
        <v>0.51</v>
      </c>
      <c r="S220" s="119">
        <v>0.51</v>
      </c>
      <c r="T220" s="119"/>
      <c r="U220" s="119">
        <v>0.53500000000000003</v>
      </c>
      <c r="V220" s="119">
        <v>0.57999999999999996</v>
      </c>
      <c r="W220" s="119">
        <v>0.59</v>
      </c>
      <c r="X220" s="119">
        <f t="shared" si="223"/>
        <v>0.51</v>
      </c>
      <c r="Y220" s="118">
        <f t="shared" si="224"/>
        <v>0.546875</v>
      </c>
      <c r="Z220" s="109">
        <f t="shared" si="225"/>
        <v>58650</v>
      </c>
      <c r="AA220" s="109">
        <f>'CALCULO GERAL'!$G$10</f>
        <v>6300</v>
      </c>
      <c r="AB220" s="109">
        <f t="shared" si="226"/>
        <v>64950</v>
      </c>
      <c r="AC220" s="109">
        <f>AB220*'CALCULO GERAL'!$C$11</f>
        <v>325984.05</v>
      </c>
      <c r="AD220" s="109">
        <f t="shared" si="227"/>
        <v>84755.853000000003</v>
      </c>
      <c r="AE220" s="109">
        <f t="shared" si="228"/>
        <v>0</v>
      </c>
      <c r="AF220" s="109">
        <f t="shared" si="229"/>
        <v>6845.6650500000005</v>
      </c>
      <c r="AG220" s="109">
        <f t="shared" si="230"/>
        <v>34065.333224999995</v>
      </c>
      <c r="AH220" s="109">
        <v>154.22999999999999</v>
      </c>
      <c r="AI220" s="109">
        <f>((AA220*'CALCULO GERAL'!$C$11))*0.08+20</f>
        <v>2549.576</v>
      </c>
      <c r="AJ220" s="109">
        <v>1010</v>
      </c>
      <c r="AK220" s="109">
        <v>2500</v>
      </c>
      <c r="AL220" s="109">
        <f>(AA220*('CALCULO GERAL'!$C$11*1.02))-(AA220*'CALCULO GERAL'!$C$11)</f>
        <v>632.39400000000387</v>
      </c>
      <c r="AM220" s="109">
        <v>1800</v>
      </c>
      <c r="AN220" s="109">
        <v>2600</v>
      </c>
      <c r="AO220" s="109">
        <v>9400</v>
      </c>
      <c r="AP220" s="109">
        <v>1000</v>
      </c>
      <c r="AQ220" s="109">
        <v>0</v>
      </c>
      <c r="AR220" s="109">
        <v>0</v>
      </c>
      <c r="AS220" s="109"/>
      <c r="AT220" s="109">
        <f t="shared" si="231"/>
        <v>473297.10127500002</v>
      </c>
      <c r="AU220" s="111">
        <f t="shared" si="232"/>
        <v>4.1156269676086961</v>
      </c>
      <c r="AV220" s="109">
        <f>IFERROR((BS220*'CALCULO GERAL'!$E$11)/N220,0)</f>
        <v>9.63648E-2</v>
      </c>
      <c r="AW220" s="109">
        <f>AU220/'CALCULO GERAL'!$C$11</f>
        <v>0.82000935796148555</v>
      </c>
      <c r="AX220" s="109">
        <f>BP220-BB220-BD220*'CALCULO GERAL'!$C$11</f>
        <v>4.7459664000000004</v>
      </c>
      <c r="AY220" s="109">
        <f t="shared" si="233"/>
        <v>7.8308445600000012E-2</v>
      </c>
      <c r="AZ220" s="109">
        <f t="shared" si="234"/>
        <v>0.36069344640000001</v>
      </c>
      <c r="BA220" s="109">
        <f t="shared" si="235"/>
        <v>4.8182400000000003</v>
      </c>
      <c r="BB220" s="109">
        <f t="shared" si="236"/>
        <v>7.2273600000000007E-2</v>
      </c>
      <c r="BC220" s="109">
        <f t="shared" si="237"/>
        <v>4.8182400000000003</v>
      </c>
      <c r="BD220" s="109">
        <f t="shared" si="238"/>
        <v>0</v>
      </c>
      <c r="BE220" s="109">
        <f t="shared" si="239"/>
        <v>44327.807999999997</v>
      </c>
      <c r="BF220" s="109">
        <f t="shared" si="240"/>
        <v>66491.712</v>
      </c>
      <c r="BG220" s="109">
        <f t="shared" si="241"/>
        <v>5.2036991999999997E-2</v>
      </c>
      <c r="BH220" s="109">
        <f t="shared" si="242"/>
        <v>5.7818879999999996E-2</v>
      </c>
      <c r="BI220" s="109">
        <f t="shared" si="243"/>
        <v>0</v>
      </c>
      <c r="BJ220" s="109">
        <f t="shared" si="244"/>
        <v>0.71749616400000005</v>
      </c>
      <c r="BK220" s="109">
        <f t="shared" si="245"/>
        <v>4.833123131608696</v>
      </c>
      <c r="BL220" s="148">
        <v>0.87</v>
      </c>
      <c r="BM220" s="112">
        <f>ROUND((AW220/BL220)+((AW220*BL220)*'CALCULO GERAL'!$E$11)/BL220,2)</f>
        <v>0.96</v>
      </c>
      <c r="BN220" s="186">
        <f t="shared" si="246"/>
        <v>0.96</v>
      </c>
      <c r="BO220" s="186">
        <f t="shared" si="247"/>
        <v>1.125</v>
      </c>
      <c r="BP220" s="109">
        <f>BM220*'CALCULO GERAL'!$C$11</f>
        <v>4.8182400000000003</v>
      </c>
      <c r="BQ220" s="109">
        <f>BO220*'CALCULO GERAL'!$C$11</f>
        <v>5.6463749999999999</v>
      </c>
      <c r="BR220" s="186">
        <f>BN220*'CALCULO GERAL'!$C$11</f>
        <v>4.8182400000000003</v>
      </c>
      <c r="BS220" s="109">
        <f t="shared" si="248"/>
        <v>554097.6</v>
      </c>
      <c r="BT220" s="109">
        <f t="shared" si="222"/>
        <v>80800.498724999954</v>
      </c>
      <c r="BU220" s="109">
        <f t="shared" si="249"/>
        <v>554097.6</v>
      </c>
      <c r="BV220" s="109">
        <f t="shared" si="250"/>
        <v>555809.16013500001</v>
      </c>
      <c r="BW220" s="109">
        <f t="shared" si="251"/>
        <v>-1711.5601350000361</v>
      </c>
      <c r="BX220" s="114">
        <f t="shared" si="252"/>
        <v>-3.0889145432141129E-3</v>
      </c>
      <c r="BY220" s="152">
        <f t="shared" si="253"/>
        <v>0.87</v>
      </c>
      <c r="CA220" s="55"/>
      <c r="CB220" s="113"/>
      <c r="CC220" s="113"/>
      <c r="CE220" s="152">
        <f t="shared" si="254"/>
        <v>0</v>
      </c>
      <c r="CF220" s="152">
        <f t="shared" si="255"/>
        <v>1</v>
      </c>
      <c r="CG220" s="152">
        <f t="shared" si="256"/>
        <v>1</v>
      </c>
      <c r="CH220" s="34"/>
      <c r="CJ220" s="11"/>
      <c r="CK220" s="11"/>
    </row>
    <row r="221" spans="1:89" s="152" customFormat="1" x14ac:dyDescent="0.2">
      <c r="A221" s="125" t="s">
        <v>356</v>
      </c>
      <c r="B221" s="187" t="s">
        <v>325</v>
      </c>
      <c r="C221" s="8">
        <v>0.26</v>
      </c>
      <c r="D221" s="8">
        <v>0</v>
      </c>
      <c r="E221" s="7">
        <v>2.1000000000000001E-2</v>
      </c>
      <c r="F221" s="7">
        <v>0.1045</v>
      </c>
      <c r="G221" s="1">
        <v>1.6500000000000001E-2</v>
      </c>
      <c r="H221" s="1">
        <v>7.5999999999999998E-2</v>
      </c>
      <c r="I221" s="1">
        <v>0.18</v>
      </c>
      <c r="J221" s="1">
        <v>0.04</v>
      </c>
      <c r="K221" s="1">
        <v>0.14000000000000001</v>
      </c>
      <c r="L221" s="1">
        <v>1.4999999999999999E-2</v>
      </c>
      <c r="M221" s="2" t="s">
        <v>175</v>
      </c>
      <c r="N221" s="105">
        <v>100000</v>
      </c>
      <c r="O221" s="119">
        <v>0.59499999999999997</v>
      </c>
      <c r="P221" s="119"/>
      <c r="Q221" s="119">
        <v>0.7</v>
      </c>
      <c r="R221" s="119">
        <v>0.64</v>
      </c>
      <c r="S221" s="119">
        <v>0.65</v>
      </c>
      <c r="T221" s="119"/>
      <c r="U221" s="119"/>
      <c r="V221" s="119">
        <v>0.73</v>
      </c>
      <c r="W221" s="119">
        <v>0.81499999999999995</v>
      </c>
      <c r="X221" s="119">
        <f t="shared" si="223"/>
        <v>0.59499999999999997</v>
      </c>
      <c r="Y221" s="118">
        <f t="shared" si="224"/>
        <v>0.68833333333333335</v>
      </c>
      <c r="Z221" s="109">
        <f t="shared" si="225"/>
        <v>59500</v>
      </c>
      <c r="AA221" s="109">
        <f>'CALCULO GERAL'!$G$10</f>
        <v>6300</v>
      </c>
      <c r="AB221" s="109">
        <f t="shared" si="226"/>
        <v>65800</v>
      </c>
      <c r="AC221" s="109">
        <f>AB221*'CALCULO GERAL'!$C$11</f>
        <v>330250.2</v>
      </c>
      <c r="AD221" s="109">
        <f t="shared" si="227"/>
        <v>85865.052000000011</v>
      </c>
      <c r="AE221" s="109">
        <f t="shared" si="228"/>
        <v>0</v>
      </c>
      <c r="AF221" s="109">
        <f t="shared" si="229"/>
        <v>6935.2542000000003</v>
      </c>
      <c r="AG221" s="109">
        <f t="shared" si="230"/>
        <v>34511.145900000003</v>
      </c>
      <c r="AH221" s="109">
        <v>154.22999999999999</v>
      </c>
      <c r="AI221" s="109">
        <f>((AA221*'CALCULO GERAL'!$C$11))*0.08+20</f>
        <v>2549.576</v>
      </c>
      <c r="AJ221" s="109">
        <v>1010</v>
      </c>
      <c r="AK221" s="109">
        <v>2500</v>
      </c>
      <c r="AL221" s="109">
        <f>(AA221*('CALCULO GERAL'!$C$11*1.02))-(AA221*'CALCULO GERAL'!$C$11)</f>
        <v>632.39400000000387</v>
      </c>
      <c r="AM221" s="109">
        <v>1800</v>
      </c>
      <c r="AN221" s="109">
        <v>2600</v>
      </c>
      <c r="AO221" s="109">
        <v>9400</v>
      </c>
      <c r="AP221" s="109">
        <v>1000</v>
      </c>
      <c r="AQ221" s="109">
        <v>0</v>
      </c>
      <c r="AR221" s="109">
        <v>0</v>
      </c>
      <c r="AS221" s="109"/>
      <c r="AT221" s="109">
        <f t="shared" si="231"/>
        <v>479207.85210000008</v>
      </c>
      <c r="AU221" s="111">
        <f t="shared" si="232"/>
        <v>4.7920785210000005</v>
      </c>
      <c r="AV221" s="109">
        <f>IFERROR((BS221*'CALCULO GERAL'!$E$11)/N221,0)</f>
        <v>0.11342939999999999</v>
      </c>
      <c r="AW221" s="109">
        <f>AU221/'CALCULO GERAL'!$C$11</f>
        <v>0.95478751165570841</v>
      </c>
      <c r="AX221" s="109">
        <f>BP221-BB221-BD221*'CALCULO GERAL'!$C$11</f>
        <v>5.5863979499999994</v>
      </c>
      <c r="AY221" s="109">
        <f t="shared" si="233"/>
        <v>9.2175566175000001E-2</v>
      </c>
      <c r="AZ221" s="109">
        <f t="shared" si="234"/>
        <v>0.42456624419999994</v>
      </c>
      <c r="BA221" s="109">
        <f t="shared" si="235"/>
        <v>5.6714699999999993</v>
      </c>
      <c r="BB221" s="109">
        <f t="shared" si="236"/>
        <v>8.5072049999999982E-2</v>
      </c>
      <c r="BC221" s="109">
        <f t="shared" si="237"/>
        <v>5.6714699999999993</v>
      </c>
      <c r="BD221" s="109">
        <f t="shared" si="238"/>
        <v>0</v>
      </c>
      <c r="BE221" s="109">
        <f t="shared" si="239"/>
        <v>45371.759999999995</v>
      </c>
      <c r="BF221" s="109">
        <f t="shared" si="240"/>
        <v>68057.639999999985</v>
      </c>
      <c r="BG221" s="109">
        <f t="shared" si="241"/>
        <v>6.1251875999999983E-2</v>
      </c>
      <c r="BH221" s="109">
        <f t="shared" si="242"/>
        <v>6.8057639999999989E-2</v>
      </c>
      <c r="BI221" s="109">
        <f t="shared" si="243"/>
        <v>0</v>
      </c>
      <c r="BJ221" s="109">
        <f t="shared" si="244"/>
        <v>0.84455277637499993</v>
      </c>
      <c r="BK221" s="109">
        <f t="shared" si="245"/>
        <v>5.6366312973750006</v>
      </c>
      <c r="BL221" s="148">
        <v>0.86</v>
      </c>
      <c r="BM221" s="112">
        <f>ROUND((AW221/BL221)+((AW221*BL221)*'CALCULO GERAL'!$E$11)/BL221,2)</f>
        <v>1.1299999999999999</v>
      </c>
      <c r="BN221" s="186">
        <f t="shared" si="246"/>
        <v>1.1299999999999999</v>
      </c>
      <c r="BO221" s="186">
        <f t="shared" si="247"/>
        <v>1.3240000000000001</v>
      </c>
      <c r="BP221" s="109">
        <f>BM221*'CALCULO GERAL'!$C$11</f>
        <v>5.6714699999999993</v>
      </c>
      <c r="BQ221" s="109">
        <f>BO221*'CALCULO GERAL'!$C$11</f>
        <v>6.6451560000000001</v>
      </c>
      <c r="BR221" s="186">
        <f>BN221*'CALCULO GERAL'!$C$11</f>
        <v>5.6714699999999993</v>
      </c>
      <c r="BS221" s="109">
        <f t="shared" si="248"/>
        <v>567146.99999999988</v>
      </c>
      <c r="BT221" s="109">
        <f t="shared" si="222"/>
        <v>87939.147899999807</v>
      </c>
      <c r="BU221" s="109">
        <f t="shared" si="249"/>
        <v>567146.99999999988</v>
      </c>
      <c r="BV221" s="109">
        <f t="shared" si="250"/>
        <v>563663.1297375001</v>
      </c>
      <c r="BW221" s="109">
        <f t="shared" si="251"/>
        <v>3483.8702624997823</v>
      </c>
      <c r="BX221" s="114">
        <f t="shared" si="252"/>
        <v>6.1427994197267776E-3</v>
      </c>
      <c r="BY221" s="152">
        <f t="shared" si="253"/>
        <v>0.86</v>
      </c>
      <c r="CA221" s="55"/>
      <c r="CB221" s="113"/>
      <c r="CC221" s="113"/>
      <c r="CE221" s="152">
        <f t="shared" si="254"/>
        <v>0</v>
      </c>
      <c r="CF221" s="152">
        <f t="shared" si="255"/>
        <v>1</v>
      </c>
      <c r="CG221" s="152">
        <f t="shared" si="256"/>
        <v>1</v>
      </c>
      <c r="CH221" s="34"/>
      <c r="CJ221" s="11"/>
      <c r="CK221" s="11"/>
    </row>
    <row r="222" spans="1:89" s="152" customFormat="1" x14ac:dyDescent="0.2">
      <c r="A222" s="125" t="s">
        <v>92</v>
      </c>
      <c r="B222" s="187" t="s">
        <v>297</v>
      </c>
      <c r="C222" s="8">
        <v>0.26</v>
      </c>
      <c r="D222" s="8">
        <v>0</v>
      </c>
      <c r="E222" s="7">
        <v>2.1000000000000001E-2</v>
      </c>
      <c r="F222" s="7">
        <v>0.1045</v>
      </c>
      <c r="G222" s="1">
        <v>1.6500000000000001E-2</v>
      </c>
      <c r="H222" s="1">
        <v>7.5999999999999998E-2</v>
      </c>
      <c r="I222" s="1">
        <v>0.18</v>
      </c>
      <c r="J222" s="1">
        <v>0.04</v>
      </c>
      <c r="K222" s="1">
        <v>0.14000000000000001</v>
      </c>
      <c r="L222" s="1">
        <v>1.4999999999999999E-2</v>
      </c>
      <c r="M222" s="2" t="s">
        <v>175</v>
      </c>
      <c r="N222" s="105">
        <v>120000</v>
      </c>
      <c r="O222" s="119">
        <v>0.45500000000000002</v>
      </c>
      <c r="P222" s="119"/>
      <c r="Q222" s="119"/>
      <c r="R222" s="119"/>
      <c r="S222" s="119"/>
      <c r="T222" s="119"/>
      <c r="U222" s="119" t="s">
        <v>331</v>
      </c>
      <c r="V222" s="119"/>
      <c r="W222" s="119"/>
      <c r="X222" s="119">
        <f t="shared" si="223"/>
        <v>0.45500000000000002</v>
      </c>
      <c r="Y222" s="118">
        <f t="shared" si="224"/>
        <v>0.45500000000000002</v>
      </c>
      <c r="Z222" s="109">
        <f t="shared" si="225"/>
        <v>54600</v>
      </c>
      <c r="AA222" s="109">
        <f>'CALCULO GERAL'!$G$10</f>
        <v>6300</v>
      </c>
      <c r="AB222" s="109">
        <f t="shared" si="226"/>
        <v>60900</v>
      </c>
      <c r="AC222" s="109">
        <f>AB222*'CALCULO GERAL'!$C$11</f>
        <v>305657.10000000003</v>
      </c>
      <c r="AD222" s="109">
        <f t="shared" si="227"/>
        <v>79470.846000000005</v>
      </c>
      <c r="AE222" s="109">
        <f t="shared" si="228"/>
        <v>0</v>
      </c>
      <c r="AF222" s="109">
        <f t="shared" si="229"/>
        <v>6418.7991000000011</v>
      </c>
      <c r="AG222" s="109">
        <f t="shared" si="230"/>
        <v>31941.166950000003</v>
      </c>
      <c r="AH222" s="109">
        <v>154.22999999999999</v>
      </c>
      <c r="AI222" s="109">
        <f>((AA222*'CALCULO GERAL'!$C$11))*0.08+20</f>
        <v>2549.576</v>
      </c>
      <c r="AJ222" s="109">
        <v>1010</v>
      </c>
      <c r="AK222" s="109">
        <v>2500</v>
      </c>
      <c r="AL222" s="109">
        <f>(AA222*('CALCULO GERAL'!$C$11*1.02))-(AA222*'CALCULO GERAL'!$C$11)</f>
        <v>632.39400000000387</v>
      </c>
      <c r="AM222" s="109">
        <v>1800</v>
      </c>
      <c r="AN222" s="109">
        <v>2600</v>
      </c>
      <c r="AO222" s="109">
        <v>9400</v>
      </c>
      <c r="AP222" s="109">
        <v>1000</v>
      </c>
      <c r="AQ222" s="109">
        <v>0</v>
      </c>
      <c r="AR222" s="109">
        <v>0</v>
      </c>
      <c r="AS222" s="109"/>
      <c r="AT222" s="109">
        <f t="shared" si="231"/>
        <v>445134.11205000005</v>
      </c>
      <c r="AU222" s="111">
        <f t="shared" si="232"/>
        <v>3.7094509337500003</v>
      </c>
      <c r="AV222" s="109">
        <f>IFERROR((BS222*'CALCULO GERAL'!$E$11)/N222,0)</f>
        <v>8.7330600000000008E-2</v>
      </c>
      <c r="AW222" s="109">
        <f>AU222/'CALCULO GERAL'!$C$11</f>
        <v>0.73908167637975697</v>
      </c>
      <c r="AX222" s="109">
        <f>BP222-BB222-BD222*'CALCULO GERAL'!$C$11</f>
        <v>4.3010320499999999</v>
      </c>
      <c r="AY222" s="109">
        <f t="shared" si="233"/>
        <v>7.0967028825E-2</v>
      </c>
      <c r="AZ222" s="109">
        <f t="shared" si="234"/>
        <v>0.32687843579999998</v>
      </c>
      <c r="BA222" s="109">
        <f t="shared" si="235"/>
        <v>4.36653</v>
      </c>
      <c r="BB222" s="109">
        <f t="shared" si="236"/>
        <v>6.5497949999999999E-2</v>
      </c>
      <c r="BC222" s="109">
        <f t="shared" si="237"/>
        <v>4.36653</v>
      </c>
      <c r="BD222" s="109">
        <f t="shared" si="238"/>
        <v>0</v>
      </c>
      <c r="BE222" s="109">
        <f t="shared" si="239"/>
        <v>41918.688000000002</v>
      </c>
      <c r="BF222" s="109">
        <f t="shared" si="240"/>
        <v>62878.031999999992</v>
      </c>
      <c r="BG222" s="109">
        <f t="shared" si="241"/>
        <v>4.7158523999999986E-2</v>
      </c>
      <c r="BH222" s="109">
        <f t="shared" si="242"/>
        <v>5.2398360000000005E-2</v>
      </c>
      <c r="BI222" s="109">
        <f t="shared" si="243"/>
        <v>0</v>
      </c>
      <c r="BJ222" s="109">
        <f t="shared" si="244"/>
        <v>0.65023089862499994</v>
      </c>
      <c r="BK222" s="109">
        <f t="shared" si="245"/>
        <v>4.3596818323750002</v>
      </c>
      <c r="BL222" s="148">
        <v>0.86</v>
      </c>
      <c r="BM222" s="112">
        <f>ROUND((AW222/BL222)+((AW222*BL222)*'CALCULO GERAL'!$E$11)/BL222,2)</f>
        <v>0.87</v>
      </c>
      <c r="BN222" s="186">
        <f t="shared" si="246"/>
        <v>0.87</v>
      </c>
      <c r="BO222" s="186">
        <f t="shared" si="247"/>
        <v>1.0189999999999999</v>
      </c>
      <c r="BP222" s="109">
        <f>BM222*'CALCULO GERAL'!$C$11</f>
        <v>4.36653</v>
      </c>
      <c r="BQ222" s="109">
        <f>BO222*'CALCULO GERAL'!$C$11</f>
        <v>5.1143609999999997</v>
      </c>
      <c r="BR222" s="186">
        <f>BN222*'CALCULO GERAL'!$C$11</f>
        <v>4.36653</v>
      </c>
      <c r="BS222" s="109">
        <f t="shared" si="248"/>
        <v>523983.6</v>
      </c>
      <c r="BT222" s="109">
        <f t="shared" si="222"/>
        <v>78849.487949999922</v>
      </c>
      <c r="BU222" s="109">
        <f t="shared" si="249"/>
        <v>523983.6</v>
      </c>
      <c r="BV222" s="109">
        <f t="shared" si="250"/>
        <v>523161.819885</v>
      </c>
      <c r="BW222" s="109">
        <f t="shared" si="251"/>
        <v>821.78011499997228</v>
      </c>
      <c r="BX222" s="114">
        <f t="shared" si="252"/>
        <v>1.5683317474057821E-3</v>
      </c>
      <c r="BY222" s="152">
        <f t="shared" si="253"/>
        <v>0.86</v>
      </c>
      <c r="CA222" s="55"/>
      <c r="CB222" s="113"/>
      <c r="CC222" s="113"/>
      <c r="CE222" s="152">
        <f t="shared" si="254"/>
        <v>0</v>
      </c>
      <c r="CF222" s="152">
        <f t="shared" si="255"/>
        <v>1</v>
      </c>
      <c r="CG222" s="152">
        <f t="shared" si="256"/>
        <v>1</v>
      </c>
      <c r="CH222" s="34"/>
      <c r="CJ222" s="11"/>
      <c r="CK222" s="11"/>
    </row>
    <row r="223" spans="1:89" s="152" customFormat="1" x14ac:dyDescent="0.2">
      <c r="A223" s="125" t="s">
        <v>537</v>
      </c>
      <c r="B223" s="187" t="s">
        <v>297</v>
      </c>
      <c r="C223" s="8">
        <v>0.26</v>
      </c>
      <c r="D223" s="8">
        <v>0</v>
      </c>
      <c r="E223" s="7">
        <v>2.1000000000000001E-2</v>
      </c>
      <c r="F223" s="7">
        <v>0.1045</v>
      </c>
      <c r="G223" s="1">
        <v>1.6500000000000001E-2</v>
      </c>
      <c r="H223" s="1">
        <v>7.5999999999999998E-2</v>
      </c>
      <c r="I223" s="1">
        <v>0.18</v>
      </c>
      <c r="J223" s="1">
        <v>0.04</v>
      </c>
      <c r="K223" s="1">
        <v>0.14000000000000001</v>
      </c>
      <c r="L223" s="1">
        <v>1.4999999999999999E-2</v>
      </c>
      <c r="M223" s="2" t="s">
        <v>175</v>
      </c>
      <c r="N223" s="105">
        <v>115000</v>
      </c>
      <c r="O223" s="119">
        <v>0.48</v>
      </c>
      <c r="P223" s="119"/>
      <c r="Q223" s="119"/>
      <c r="R223" s="119"/>
      <c r="S223" s="119"/>
      <c r="T223" s="119"/>
      <c r="U223" s="119"/>
      <c r="V223" s="119"/>
      <c r="W223" s="119"/>
      <c r="X223" s="119">
        <f t="shared" si="223"/>
        <v>0.48</v>
      </c>
      <c r="Y223" s="118">
        <f t="shared" si="224"/>
        <v>0.48</v>
      </c>
      <c r="Z223" s="109">
        <f t="shared" si="225"/>
        <v>55200</v>
      </c>
      <c r="AA223" s="109">
        <f>'CALCULO GERAL'!$G$10</f>
        <v>6300</v>
      </c>
      <c r="AB223" s="109">
        <f t="shared" si="226"/>
        <v>61500</v>
      </c>
      <c r="AC223" s="109">
        <f>AB223*'CALCULO GERAL'!$C$11</f>
        <v>308668.5</v>
      </c>
      <c r="AD223" s="109">
        <f t="shared" si="227"/>
        <v>80253.81</v>
      </c>
      <c r="AE223" s="109">
        <f t="shared" si="228"/>
        <v>0</v>
      </c>
      <c r="AF223" s="109">
        <f t="shared" si="229"/>
        <v>6482.0385000000006</v>
      </c>
      <c r="AG223" s="109">
        <f t="shared" si="230"/>
        <v>32255.858249999997</v>
      </c>
      <c r="AH223" s="109">
        <v>154.22999999999999</v>
      </c>
      <c r="AI223" s="109">
        <f>((AA223*'CALCULO GERAL'!$C$11))*0.08+20</f>
        <v>2549.576</v>
      </c>
      <c r="AJ223" s="109">
        <v>1010</v>
      </c>
      <c r="AK223" s="109">
        <v>2500</v>
      </c>
      <c r="AL223" s="109">
        <f>(AA223*('CALCULO GERAL'!$C$11*1.02))-(AA223*'CALCULO GERAL'!$C$11)</f>
        <v>632.39400000000387</v>
      </c>
      <c r="AM223" s="109">
        <v>1800</v>
      </c>
      <c r="AN223" s="109">
        <v>2600</v>
      </c>
      <c r="AO223" s="109">
        <v>9400</v>
      </c>
      <c r="AP223" s="109">
        <v>1000</v>
      </c>
      <c r="AQ223" s="109">
        <v>0</v>
      </c>
      <c r="AR223" s="109">
        <v>0</v>
      </c>
      <c r="AS223" s="109"/>
      <c r="AT223" s="109">
        <f t="shared" si="231"/>
        <v>449306.40675000002</v>
      </c>
      <c r="AU223" s="111">
        <f t="shared" si="232"/>
        <v>3.9070122326086958</v>
      </c>
      <c r="AV223" s="109">
        <f>IFERROR((BS223*'CALCULO GERAL'!$E$11)/N223,0)</f>
        <v>9.1345800000000005E-2</v>
      </c>
      <c r="AW223" s="109">
        <f>AU223/'CALCULO GERAL'!$C$11</f>
        <v>0.77844435796148548</v>
      </c>
      <c r="AX223" s="109">
        <f>BP223-BB223-BD223*'CALCULO GERAL'!$C$11</f>
        <v>4.4987806499999996</v>
      </c>
      <c r="AY223" s="109">
        <f t="shared" si="233"/>
        <v>7.4229880725000003E-2</v>
      </c>
      <c r="AZ223" s="109">
        <f t="shared" si="234"/>
        <v>0.34190732939999996</v>
      </c>
      <c r="BA223" s="109">
        <f t="shared" si="235"/>
        <v>4.5672899999999998</v>
      </c>
      <c r="BB223" s="109">
        <f t="shared" si="236"/>
        <v>6.8509349999999997E-2</v>
      </c>
      <c r="BC223" s="109">
        <f t="shared" si="237"/>
        <v>4.5672899999999998</v>
      </c>
      <c r="BD223" s="109">
        <f t="shared" si="238"/>
        <v>0</v>
      </c>
      <c r="BE223" s="109">
        <f t="shared" si="239"/>
        <v>42019.067999999999</v>
      </c>
      <c r="BF223" s="109">
        <f t="shared" si="240"/>
        <v>63028.601999999992</v>
      </c>
      <c r="BG223" s="109">
        <f t="shared" si="241"/>
        <v>4.9326731999999991E-2</v>
      </c>
      <c r="BH223" s="109">
        <f t="shared" si="242"/>
        <v>5.4807479999999999E-2</v>
      </c>
      <c r="BI223" s="109">
        <f t="shared" si="243"/>
        <v>0</v>
      </c>
      <c r="BJ223" s="109">
        <f t="shared" si="244"/>
        <v>0.68012657212500005</v>
      </c>
      <c r="BK223" s="109">
        <f t="shared" si="245"/>
        <v>4.5871388047336961</v>
      </c>
      <c r="BL223" s="148">
        <v>0.87</v>
      </c>
      <c r="BM223" s="112">
        <f>ROUND((AW223/BL223)+((AW223*BL223)*'CALCULO GERAL'!$E$11)/BL223,2)</f>
        <v>0.91</v>
      </c>
      <c r="BN223" s="186">
        <f t="shared" si="246"/>
        <v>0.91</v>
      </c>
      <c r="BO223" s="186">
        <f t="shared" si="247"/>
        <v>1.0660000000000001</v>
      </c>
      <c r="BP223" s="109">
        <f>BM223*'CALCULO GERAL'!$C$11</f>
        <v>4.5672899999999998</v>
      </c>
      <c r="BQ223" s="109">
        <f>BO223*'CALCULO GERAL'!$C$11</f>
        <v>5.3502540000000005</v>
      </c>
      <c r="BR223" s="186">
        <f>BN223*'CALCULO GERAL'!$C$11</f>
        <v>4.5672899999999998</v>
      </c>
      <c r="BS223" s="109">
        <f t="shared" si="248"/>
        <v>525238.35</v>
      </c>
      <c r="BT223" s="109">
        <f t="shared" si="222"/>
        <v>75931.943249999953</v>
      </c>
      <c r="BU223" s="109">
        <f t="shared" si="249"/>
        <v>525238.35</v>
      </c>
      <c r="BV223" s="109">
        <f t="shared" si="250"/>
        <v>527520.9625443751</v>
      </c>
      <c r="BW223" s="109">
        <f t="shared" si="251"/>
        <v>-2282.6125443751225</v>
      </c>
      <c r="BX223" s="114">
        <f t="shared" si="252"/>
        <v>-4.3458603972370306E-3</v>
      </c>
      <c r="BY223" s="152">
        <f t="shared" si="253"/>
        <v>0.87</v>
      </c>
      <c r="CA223" s="55"/>
      <c r="CB223" s="113"/>
      <c r="CC223" s="113"/>
      <c r="CE223" s="152">
        <f t="shared" si="254"/>
        <v>0</v>
      </c>
      <c r="CF223" s="152">
        <f t="shared" si="255"/>
        <v>1</v>
      </c>
      <c r="CG223" s="152">
        <f t="shared" si="256"/>
        <v>1</v>
      </c>
      <c r="CH223" s="34"/>
      <c r="CJ223" s="11"/>
      <c r="CK223" s="11"/>
    </row>
    <row r="224" spans="1:89" s="152" customFormat="1" x14ac:dyDescent="0.2">
      <c r="A224" s="125" t="s">
        <v>357</v>
      </c>
      <c r="B224" s="187" t="s">
        <v>297</v>
      </c>
      <c r="C224" s="8">
        <v>0.26</v>
      </c>
      <c r="D224" s="8">
        <v>0</v>
      </c>
      <c r="E224" s="7">
        <v>2.1000000000000001E-2</v>
      </c>
      <c r="F224" s="7">
        <v>0.1045</v>
      </c>
      <c r="G224" s="1">
        <v>1.6500000000000001E-2</v>
      </c>
      <c r="H224" s="1">
        <v>7.5999999999999998E-2</v>
      </c>
      <c r="I224" s="1">
        <v>0.18</v>
      </c>
      <c r="J224" s="1">
        <v>0.04</v>
      </c>
      <c r="K224" s="1">
        <v>0.14000000000000001</v>
      </c>
      <c r="L224" s="1">
        <v>1.4999999999999999E-2</v>
      </c>
      <c r="M224" s="2" t="s">
        <v>175</v>
      </c>
      <c r="N224" s="105">
        <v>100000</v>
      </c>
      <c r="O224" s="119">
        <v>0.57999999999999996</v>
      </c>
      <c r="P224" s="119">
        <v>0.57999999999999996</v>
      </c>
      <c r="Q224" s="119">
        <v>0.66</v>
      </c>
      <c r="R224" s="119">
        <v>0.66</v>
      </c>
      <c r="S224" s="119">
        <v>0.64</v>
      </c>
      <c r="T224" s="119"/>
      <c r="U224" s="119"/>
      <c r="V224" s="119">
        <v>0.69</v>
      </c>
      <c r="W224" s="119">
        <v>0.66500000000000004</v>
      </c>
      <c r="X224" s="119">
        <f>MIN(O224:W224)</f>
        <v>0.57999999999999996</v>
      </c>
      <c r="Y224" s="118">
        <f>AVERAGE(O224:W224)</f>
        <v>0.63928571428571423</v>
      </c>
      <c r="Z224" s="109">
        <f>X224*N224</f>
        <v>57999.999999999993</v>
      </c>
      <c r="AA224" s="109">
        <f>'CALCULO GERAL'!$G$10</f>
        <v>6300</v>
      </c>
      <c r="AB224" s="109">
        <f>Z224+AA224</f>
        <v>64299.999999999993</v>
      </c>
      <c r="AC224" s="109">
        <f>AB224*'CALCULO GERAL'!$C$11</f>
        <v>322721.69999999995</v>
      </c>
      <c r="AD224" s="109">
        <f>AC224*C224</f>
        <v>83907.641999999993</v>
      </c>
      <c r="AE224" s="109">
        <f>(AC224+AD224)*D224</f>
        <v>0</v>
      </c>
      <c r="AF224" s="109">
        <f>AC224*E224</f>
        <v>6777.1556999999993</v>
      </c>
      <c r="AG224" s="109">
        <f>AC224*F224</f>
        <v>33724.417649999996</v>
      </c>
      <c r="AH224" s="109">
        <v>154.22999999999999</v>
      </c>
      <c r="AI224" s="109">
        <f>((AA224*'CALCULO GERAL'!$C$11))*0.08+20</f>
        <v>2549.576</v>
      </c>
      <c r="AJ224" s="109">
        <v>1010</v>
      </c>
      <c r="AK224" s="109">
        <v>2500</v>
      </c>
      <c r="AL224" s="109">
        <f>(AA224*('CALCULO GERAL'!$C$11*1.02))-(AA224*'CALCULO GERAL'!$C$11)</f>
        <v>632.39400000000387</v>
      </c>
      <c r="AM224" s="109">
        <v>1800</v>
      </c>
      <c r="AN224" s="109">
        <v>2600</v>
      </c>
      <c r="AO224" s="109">
        <v>9400</v>
      </c>
      <c r="AP224" s="109">
        <v>1000</v>
      </c>
      <c r="AQ224" s="109">
        <v>0</v>
      </c>
      <c r="AR224" s="109">
        <v>0</v>
      </c>
      <c r="AS224" s="109"/>
      <c r="AT224" s="109">
        <f>SUM(AC224:AS224)</f>
        <v>468777.11534999998</v>
      </c>
      <c r="AU224" s="111">
        <f>IFERROR((AT224/N224),0)</f>
        <v>4.6877711535</v>
      </c>
      <c r="AV224" s="109">
        <f>IFERROR((BS224*'CALCULO GERAL'!$E$11)/N224,0)</f>
        <v>0.1094142</v>
      </c>
      <c r="AW224" s="109">
        <f>AU224/'CALCULO GERAL'!$C$11</f>
        <v>0.93400501165570826</v>
      </c>
      <c r="AX224" s="109">
        <f>BP224-BB224-BD224*'CALCULO GERAL'!$C$11</f>
        <v>5.3886493500000006</v>
      </c>
      <c r="AY224" s="109">
        <f>AX224*G224</f>
        <v>8.8912714275000013E-2</v>
      </c>
      <c r="AZ224" s="109">
        <f>AX224*H224</f>
        <v>0.40953735060000002</v>
      </c>
      <c r="BA224" s="109">
        <f>BP224-BD224</f>
        <v>5.4707100000000004</v>
      </c>
      <c r="BB224" s="109">
        <f>BA224*L224</f>
        <v>8.2060649999999999E-2</v>
      </c>
      <c r="BC224" s="109">
        <f>BP224/(1+D224)</f>
        <v>5.4707100000000004</v>
      </c>
      <c r="BD224" s="109">
        <f>BC224*D224</f>
        <v>0</v>
      </c>
      <c r="BE224" s="109">
        <f>BU224*0.08</f>
        <v>43765.68</v>
      </c>
      <c r="BF224" s="109">
        <f>BU224*0.12</f>
        <v>65648.52</v>
      </c>
      <c r="BG224" s="109">
        <f>(BF224*0.09)/N224</f>
        <v>5.9083667999999999E-2</v>
      </c>
      <c r="BH224" s="109">
        <f>(BE224*0.15)/N224</f>
        <v>6.5648520000000002E-2</v>
      </c>
      <c r="BI224" s="109">
        <f>IF(BE224&gt;=$BY$1,($BY$1-BE224)*0.1,IF(BE224&lt;=$BY$1,($BY$1*0)))/N224</f>
        <v>0</v>
      </c>
      <c r="BJ224" s="109">
        <f>(AY224+AZ224+BB224+AV224+BD224+BG224+BH224+BI224)</f>
        <v>0.81465710287500004</v>
      </c>
      <c r="BK224" s="109">
        <f>BJ224+AU224</f>
        <v>5.5024282563749995</v>
      </c>
      <c r="BL224" s="148">
        <v>0.87</v>
      </c>
      <c r="BM224" s="112">
        <f>ROUND((AW224/BL224)+((AW224*BL224)*'CALCULO GERAL'!$E$11)/BL224,2)</f>
        <v>1.0900000000000001</v>
      </c>
      <c r="BN224" s="186">
        <f>BM224</f>
        <v>1.0900000000000001</v>
      </c>
      <c r="BO224" s="186">
        <f>ROUND(FV(0.02,8,,BN224)*-1,3)</f>
        <v>1.2769999999999999</v>
      </c>
      <c r="BP224" s="109">
        <f>BM224*'CALCULO GERAL'!$C$11</f>
        <v>5.4707100000000004</v>
      </c>
      <c r="BQ224" s="109">
        <f>BO224*'CALCULO GERAL'!$C$11</f>
        <v>6.4092630000000002</v>
      </c>
      <c r="BR224" s="186">
        <f>BN224*'CALCULO GERAL'!$C$11</f>
        <v>5.4707100000000004</v>
      </c>
      <c r="BS224" s="109">
        <f>BP224*N224</f>
        <v>547071</v>
      </c>
      <c r="BT224" s="109">
        <f t="shared" si="222"/>
        <v>78293.884650000022</v>
      </c>
      <c r="BU224" s="109">
        <f>BR224*N224</f>
        <v>547071</v>
      </c>
      <c r="BV224" s="109">
        <f>BK224*N224</f>
        <v>550242.82563749992</v>
      </c>
      <c r="BW224" s="109">
        <f>BS224-BV224</f>
        <v>-3171.8256374999182</v>
      </c>
      <c r="BX224" s="114">
        <f>(((BK224*N224)-BS224)/BS224*-1)</f>
        <v>-5.7978317942276566E-3</v>
      </c>
      <c r="BY224" s="152">
        <f>ROUND(BL224,2)</f>
        <v>0.87</v>
      </c>
      <c r="CA224" s="55"/>
      <c r="CB224" s="113"/>
      <c r="CC224" s="113"/>
      <c r="CE224" s="152">
        <f>CC224/BY224</f>
        <v>0</v>
      </c>
      <c r="CF224" s="152">
        <f>100%-CE224</f>
        <v>1</v>
      </c>
      <c r="CG224" s="152">
        <f>AVERAGE(CF224,CD224)</f>
        <v>1</v>
      </c>
      <c r="CH224" s="34"/>
      <c r="CJ224" s="11"/>
      <c r="CK224" s="11"/>
    </row>
    <row r="225" spans="1:89" s="152" customFormat="1" x14ac:dyDescent="0.2">
      <c r="A225" s="125" t="s">
        <v>358</v>
      </c>
      <c r="B225" s="187" t="s">
        <v>325</v>
      </c>
      <c r="C225" s="8">
        <v>0.26</v>
      </c>
      <c r="D225" s="8">
        <v>0</v>
      </c>
      <c r="E225" s="7">
        <v>2.1000000000000001E-2</v>
      </c>
      <c r="F225" s="7">
        <v>0.1045</v>
      </c>
      <c r="G225" s="1">
        <v>1.6500000000000001E-2</v>
      </c>
      <c r="H225" s="1">
        <v>7.5999999999999998E-2</v>
      </c>
      <c r="I225" s="1">
        <v>0.18</v>
      </c>
      <c r="J225" s="1">
        <v>0.04</v>
      </c>
      <c r="K225" s="1">
        <v>0.14000000000000001</v>
      </c>
      <c r="L225" s="1">
        <v>1.4999999999999999E-2</v>
      </c>
      <c r="M225" s="2" t="s">
        <v>175</v>
      </c>
      <c r="N225" s="105">
        <v>115000</v>
      </c>
      <c r="O225" s="119"/>
      <c r="P225" s="119"/>
      <c r="Q225" s="119"/>
      <c r="R225" s="119"/>
      <c r="S225" s="119"/>
      <c r="T225" s="119"/>
      <c r="U225" s="119"/>
      <c r="V225" s="119"/>
      <c r="W225" s="119">
        <v>0.54500000000000004</v>
      </c>
      <c r="X225" s="119">
        <f>MIN(O225:W225)</f>
        <v>0.54500000000000004</v>
      </c>
      <c r="Y225" s="118">
        <f t="shared" ref="Y225:Y233" si="257">AVERAGE(O225:W225)</f>
        <v>0.54500000000000004</v>
      </c>
      <c r="Z225" s="109">
        <f t="shared" ref="Z225:Z233" si="258">X225*N225</f>
        <v>62675.000000000007</v>
      </c>
      <c r="AA225" s="109">
        <f>'CALCULO GERAL'!$G$10</f>
        <v>6300</v>
      </c>
      <c r="AB225" s="109">
        <f t="shared" ref="AB225:AB233" si="259">Z225+AA225</f>
        <v>68975</v>
      </c>
      <c r="AC225" s="109">
        <f>AB225*'CALCULO GERAL'!$C$11</f>
        <v>346185.52500000002</v>
      </c>
      <c r="AD225" s="109">
        <f t="shared" ref="AD225:AD233" si="260">AC225*C225</f>
        <v>90008.236500000014</v>
      </c>
      <c r="AE225" s="109">
        <f t="shared" ref="AE225:AE233" si="261">(AC225+AD225)*D225</f>
        <v>0</v>
      </c>
      <c r="AF225" s="109">
        <f t="shared" ref="AF225:AF233" si="262">AC225*E225</f>
        <v>7269.8960250000009</v>
      </c>
      <c r="AG225" s="109">
        <f t="shared" ref="AG225:AG233" si="263">AC225*F225</f>
        <v>36176.387362499998</v>
      </c>
      <c r="AH225" s="109">
        <v>154.22999999999999</v>
      </c>
      <c r="AI225" s="109">
        <f>((AA225*'CALCULO GERAL'!$C$11))*0.08+20</f>
        <v>2549.576</v>
      </c>
      <c r="AJ225" s="109">
        <v>1010</v>
      </c>
      <c r="AK225" s="109">
        <v>2500</v>
      </c>
      <c r="AL225" s="109">
        <f>(AA225*('CALCULO GERAL'!$C$11*1.02))-(AA225*'CALCULO GERAL'!$C$11)</f>
        <v>632.39400000000387</v>
      </c>
      <c r="AM225" s="109">
        <v>1800</v>
      </c>
      <c r="AN225" s="109">
        <v>2600</v>
      </c>
      <c r="AO225" s="109">
        <v>9400</v>
      </c>
      <c r="AP225" s="109">
        <v>1000</v>
      </c>
      <c r="AQ225" s="109">
        <v>0</v>
      </c>
      <c r="AR225" s="109">
        <v>0</v>
      </c>
      <c r="AS225" s="109"/>
      <c r="AT225" s="109">
        <f t="shared" ref="AT225:AT269" si="264">SUM(AC225:AS225)</f>
        <v>501286.24488750007</v>
      </c>
      <c r="AU225" s="111">
        <f t="shared" ref="AU225:AU269" si="265">IFERROR((AT225/N225),0)</f>
        <v>4.3590108251086965</v>
      </c>
      <c r="AV225" s="109">
        <f>IFERROR((BS225*'CALCULO GERAL'!$E$11)/N225,0)</f>
        <v>0.10238760000000002</v>
      </c>
      <c r="AW225" s="109">
        <f>AU225/'CALCULO GERAL'!$C$11</f>
        <v>0.8685018579614856</v>
      </c>
      <c r="AX225" s="109">
        <f>BP225-BB225-BD225*'CALCULO GERAL'!$C$11</f>
        <v>5.0425893000000004</v>
      </c>
      <c r="AY225" s="109">
        <f t="shared" ref="AY225:AY269" si="266">AX225*G225</f>
        <v>8.3202723450000016E-2</v>
      </c>
      <c r="AZ225" s="109">
        <f t="shared" ref="AZ225:AZ269" si="267">AX225*H225</f>
        <v>0.38323678680000001</v>
      </c>
      <c r="BA225" s="109">
        <f t="shared" ref="BA225:BA269" si="268">BP225-BD225</f>
        <v>5.1193800000000005</v>
      </c>
      <c r="BB225" s="109">
        <f t="shared" ref="BB225:BB269" si="269">BA225*L225</f>
        <v>7.6790700000000003E-2</v>
      </c>
      <c r="BC225" s="109">
        <f t="shared" ref="BC225:BC269" si="270">BP225/(1+D225)</f>
        <v>5.1193800000000005</v>
      </c>
      <c r="BD225" s="109">
        <f t="shared" ref="BD225:BD269" si="271">BC225*D225</f>
        <v>0</v>
      </c>
      <c r="BE225" s="109">
        <f t="shared" ref="BE225:BE269" si="272">BU225*0.08</f>
        <v>47098.296000000009</v>
      </c>
      <c r="BF225" s="109">
        <f t="shared" ref="BF225:BF269" si="273">BU225*0.12</f>
        <v>70647.444000000003</v>
      </c>
      <c r="BG225" s="109">
        <f t="shared" ref="BG225:BG269" si="274">(BF225*0.09)/N225</f>
        <v>5.5289303999999997E-2</v>
      </c>
      <c r="BH225" s="109">
        <f t="shared" ref="BH225:BH269" si="275">(BE225*0.15)/N225</f>
        <v>6.1432560000000011E-2</v>
      </c>
      <c r="BI225" s="109">
        <f t="shared" ref="BI225:BI269" si="276">IF(BE225&gt;=$BY$1,($BY$1-BE225)*0.1,IF(BE225&lt;=$BY$1,($BY$1*0)))/N225</f>
        <v>0</v>
      </c>
      <c r="BJ225" s="109">
        <f t="shared" ref="BJ225:BJ269" si="277">(AY225+AZ225+BB225+AV225+BD225+BG225+BH225+BI225)</f>
        <v>0.76233967425000004</v>
      </c>
      <c r="BK225" s="109">
        <f t="shared" ref="BK225:BK269" si="278">BJ225+AU225</f>
        <v>5.1213504993586962</v>
      </c>
      <c r="BL225" s="148">
        <v>0.87</v>
      </c>
      <c r="BM225" s="112">
        <f>ROUND((AW225/BL225)+((AW225*BL225)*'CALCULO GERAL'!$E$11)/BL225,2)</f>
        <v>1.02</v>
      </c>
      <c r="BN225" s="186">
        <f t="shared" ref="BN225:BN269" si="279">BM225</f>
        <v>1.02</v>
      </c>
      <c r="BO225" s="186">
        <f t="shared" ref="BO225:BO269" si="280">ROUND(FV(0.02,8,,BN225)*-1,3)</f>
        <v>1.1950000000000001</v>
      </c>
      <c r="BP225" s="109">
        <f>BM225*'CALCULO GERAL'!$C$11</f>
        <v>5.1193800000000005</v>
      </c>
      <c r="BQ225" s="109">
        <f>BO225*'CALCULO GERAL'!$C$11</f>
        <v>5.9977050000000007</v>
      </c>
      <c r="BR225" s="186">
        <f>BN225*'CALCULO GERAL'!$C$11</f>
        <v>5.1193800000000005</v>
      </c>
      <c r="BS225" s="109">
        <f t="shared" ref="BS225:BS269" si="281">BP225*N225</f>
        <v>588728.70000000007</v>
      </c>
      <c r="BT225" s="109">
        <f t="shared" si="222"/>
        <v>87442.4551125</v>
      </c>
      <c r="BU225" s="109">
        <f t="shared" ref="BU225:BU269" si="282">BR225*N225</f>
        <v>588728.70000000007</v>
      </c>
      <c r="BV225" s="109">
        <f t="shared" ref="BV225:BV269" si="283">BK225*N225</f>
        <v>588955.30742625007</v>
      </c>
      <c r="BW225" s="109">
        <f t="shared" ref="BW225:BW269" si="284">BS225-BV225</f>
        <v>-226.60742625000421</v>
      </c>
      <c r="BX225" s="114">
        <f t="shared" ref="BX225:BX269" si="285">(((BK225*N225)-BS225)/BS225*-1)</f>
        <v>-3.8490976616224786E-4</v>
      </c>
      <c r="BY225" s="152">
        <f t="shared" ref="BY225:BY233" si="286">ROUND(BL225,2)</f>
        <v>0.87</v>
      </c>
      <c r="CA225" s="55"/>
      <c r="CB225" s="113"/>
      <c r="CC225" s="113"/>
      <c r="CE225" s="152">
        <f t="shared" ref="CE225:CE233" si="287">CC225/BY225</f>
        <v>0</v>
      </c>
      <c r="CF225" s="152">
        <f t="shared" ref="CF225:CF233" si="288">100%-CE225</f>
        <v>1</v>
      </c>
      <c r="CG225" s="152">
        <f t="shared" ref="CG225:CG233" si="289">AVERAGE(CF225,CD225)</f>
        <v>1</v>
      </c>
      <c r="CH225" s="34"/>
      <c r="CJ225" s="11"/>
      <c r="CK225" s="11"/>
    </row>
    <row r="226" spans="1:89" s="152" customFormat="1" x14ac:dyDescent="0.2">
      <c r="A226" s="125" t="s">
        <v>359</v>
      </c>
      <c r="B226" s="187" t="s">
        <v>325</v>
      </c>
      <c r="C226" s="8">
        <v>0.26</v>
      </c>
      <c r="D226" s="8">
        <v>0</v>
      </c>
      <c r="E226" s="7">
        <v>2.1000000000000001E-2</v>
      </c>
      <c r="F226" s="7">
        <v>0.1045</v>
      </c>
      <c r="G226" s="1">
        <v>1.6500000000000001E-2</v>
      </c>
      <c r="H226" s="1">
        <v>7.5999999999999998E-2</v>
      </c>
      <c r="I226" s="1">
        <v>0.18</v>
      </c>
      <c r="J226" s="1">
        <v>0.04</v>
      </c>
      <c r="K226" s="1">
        <v>0.14000000000000001</v>
      </c>
      <c r="L226" s="1">
        <v>1.4999999999999999E-2</v>
      </c>
      <c r="M226" s="2" t="s">
        <v>175</v>
      </c>
      <c r="N226" s="105">
        <v>160000</v>
      </c>
      <c r="O226" s="119">
        <v>0.43</v>
      </c>
      <c r="P226" s="119"/>
      <c r="Q226" s="119">
        <v>0.49</v>
      </c>
      <c r="R226" s="119">
        <v>0.54</v>
      </c>
      <c r="S226" s="119"/>
      <c r="T226" s="119"/>
      <c r="U226" s="119"/>
      <c r="V226" s="119">
        <v>0.52</v>
      </c>
      <c r="W226" s="119">
        <v>0.505</v>
      </c>
      <c r="X226" s="119">
        <f t="shared" ref="X226:X269" si="290">MIN(O226:W226)</f>
        <v>0.43</v>
      </c>
      <c r="Y226" s="118">
        <f t="shared" si="257"/>
        <v>0.497</v>
      </c>
      <c r="Z226" s="109">
        <f t="shared" si="258"/>
        <v>68800</v>
      </c>
      <c r="AA226" s="109">
        <f>'CALCULO GERAL'!$G$10</f>
        <v>6300</v>
      </c>
      <c r="AB226" s="109">
        <f t="shared" si="259"/>
        <v>75100</v>
      </c>
      <c r="AC226" s="109">
        <f>AB226*'CALCULO GERAL'!$C$11</f>
        <v>376926.9</v>
      </c>
      <c r="AD226" s="109">
        <f t="shared" si="260"/>
        <v>98000.994000000006</v>
      </c>
      <c r="AE226" s="109">
        <f t="shared" si="261"/>
        <v>0</v>
      </c>
      <c r="AF226" s="109">
        <f t="shared" si="262"/>
        <v>7915.4649000000009</v>
      </c>
      <c r="AG226" s="109">
        <f t="shared" si="263"/>
        <v>39388.86105</v>
      </c>
      <c r="AH226" s="109">
        <v>154.22999999999999</v>
      </c>
      <c r="AI226" s="109">
        <f>((AA226*'CALCULO GERAL'!$C$11))*0.08+20</f>
        <v>2549.576</v>
      </c>
      <c r="AJ226" s="109">
        <v>1010</v>
      </c>
      <c r="AK226" s="109">
        <v>2500</v>
      </c>
      <c r="AL226" s="109">
        <f>(AA226*('CALCULO GERAL'!$C$11*1.02))-(AA226*'CALCULO GERAL'!$C$11)</f>
        <v>632.39400000000387</v>
      </c>
      <c r="AM226" s="109">
        <v>1800</v>
      </c>
      <c r="AN226" s="109">
        <v>2600</v>
      </c>
      <c r="AO226" s="109">
        <v>9400</v>
      </c>
      <c r="AP226" s="109">
        <v>1000</v>
      </c>
      <c r="AQ226" s="109">
        <v>0</v>
      </c>
      <c r="AR226" s="109">
        <v>0</v>
      </c>
      <c r="AS226" s="109"/>
      <c r="AT226" s="109">
        <f t="shared" si="264"/>
        <v>543878.41995000001</v>
      </c>
      <c r="AU226" s="111">
        <f t="shared" si="265"/>
        <v>3.3992401246875001</v>
      </c>
      <c r="AV226" s="109">
        <f>IFERROR((BS226*'CALCULO GERAL'!$E$11)/N226,0)</f>
        <v>7.9300200000000015E-2</v>
      </c>
      <c r="AW226" s="109">
        <f>AU226/'CALCULO GERAL'!$C$11</f>
        <v>0.67727438228481773</v>
      </c>
      <c r="AX226" s="109">
        <f>BP226-BB226-BD226*'CALCULO GERAL'!$C$11</f>
        <v>3.9055348500000004</v>
      </c>
      <c r="AY226" s="109">
        <f t="shared" si="266"/>
        <v>6.444132502500001E-2</v>
      </c>
      <c r="AZ226" s="109">
        <f t="shared" si="267"/>
        <v>0.29682064860000001</v>
      </c>
      <c r="BA226" s="109">
        <f t="shared" si="268"/>
        <v>3.9650100000000004</v>
      </c>
      <c r="BB226" s="109">
        <f t="shared" si="269"/>
        <v>5.9475150000000004E-2</v>
      </c>
      <c r="BC226" s="109">
        <f t="shared" si="270"/>
        <v>3.9650100000000004</v>
      </c>
      <c r="BD226" s="109">
        <f t="shared" si="271"/>
        <v>0</v>
      </c>
      <c r="BE226" s="109">
        <f t="shared" si="272"/>
        <v>50752.128000000012</v>
      </c>
      <c r="BF226" s="109">
        <f t="shared" si="273"/>
        <v>76128.19200000001</v>
      </c>
      <c r="BG226" s="109">
        <f t="shared" si="274"/>
        <v>4.2822108000000005E-2</v>
      </c>
      <c r="BH226" s="109">
        <f t="shared" si="275"/>
        <v>4.758012000000001E-2</v>
      </c>
      <c r="BI226" s="109">
        <f t="shared" si="276"/>
        <v>0</v>
      </c>
      <c r="BJ226" s="109">
        <f t="shared" si="277"/>
        <v>0.59043955162500006</v>
      </c>
      <c r="BK226" s="109">
        <f t="shared" si="278"/>
        <v>3.9896796763125</v>
      </c>
      <c r="BL226" s="148">
        <v>0.87</v>
      </c>
      <c r="BM226" s="112">
        <f>ROUND((AW226/BL226)+((AW226*BL226)*'CALCULO GERAL'!$E$11)/BL226,2)</f>
        <v>0.79</v>
      </c>
      <c r="BN226" s="186">
        <f t="shared" si="279"/>
        <v>0.79</v>
      </c>
      <c r="BO226" s="186">
        <f t="shared" si="280"/>
        <v>0.92600000000000005</v>
      </c>
      <c r="BP226" s="109">
        <f>BM226*'CALCULO GERAL'!$C$11</f>
        <v>3.9650100000000004</v>
      </c>
      <c r="BQ226" s="109">
        <f>BO226*'CALCULO GERAL'!$C$11</f>
        <v>4.6475940000000007</v>
      </c>
      <c r="BR226" s="186">
        <f>BN226*'CALCULO GERAL'!$C$11</f>
        <v>3.9650100000000004</v>
      </c>
      <c r="BS226" s="109">
        <f t="shared" si="281"/>
        <v>634401.60000000009</v>
      </c>
      <c r="BT226" s="109">
        <f t="shared" si="222"/>
        <v>90523.180050000083</v>
      </c>
      <c r="BU226" s="109">
        <f t="shared" si="282"/>
        <v>634401.60000000009</v>
      </c>
      <c r="BV226" s="109">
        <f t="shared" si="283"/>
        <v>638348.74820999999</v>
      </c>
      <c r="BW226" s="109">
        <f t="shared" si="284"/>
        <v>-3947.1482099998975</v>
      </c>
      <c r="BX226" s="114">
        <f t="shared" si="285"/>
        <v>-6.2218446643260306E-3</v>
      </c>
      <c r="BY226" s="152">
        <f t="shared" si="286"/>
        <v>0.87</v>
      </c>
      <c r="CA226" s="55"/>
      <c r="CB226" s="113"/>
      <c r="CC226" s="113"/>
      <c r="CE226" s="152">
        <f t="shared" si="287"/>
        <v>0</v>
      </c>
      <c r="CF226" s="152">
        <f t="shared" si="288"/>
        <v>1</v>
      </c>
      <c r="CG226" s="152">
        <f t="shared" si="289"/>
        <v>1</v>
      </c>
      <c r="CH226" s="34"/>
      <c r="CJ226" s="11"/>
      <c r="CK226" s="11"/>
    </row>
    <row r="227" spans="1:89" s="152" customFormat="1" x14ac:dyDescent="0.2">
      <c r="A227" s="125" t="s">
        <v>360</v>
      </c>
      <c r="B227" s="187" t="s">
        <v>325</v>
      </c>
      <c r="C227" s="8">
        <v>0.26</v>
      </c>
      <c r="D227" s="8">
        <v>0</v>
      </c>
      <c r="E227" s="7">
        <v>2.1000000000000001E-2</v>
      </c>
      <c r="F227" s="7">
        <v>0.1045</v>
      </c>
      <c r="G227" s="1">
        <v>1.6500000000000001E-2</v>
      </c>
      <c r="H227" s="1">
        <v>7.5999999999999998E-2</v>
      </c>
      <c r="I227" s="1">
        <v>0.18</v>
      </c>
      <c r="J227" s="1">
        <v>0.04</v>
      </c>
      <c r="K227" s="1">
        <v>0.14000000000000001</v>
      </c>
      <c r="L227" s="1">
        <v>1.4999999999999999E-2</v>
      </c>
      <c r="M227" s="2" t="s">
        <v>175</v>
      </c>
      <c r="N227" s="105">
        <v>115000</v>
      </c>
      <c r="O227" s="119">
        <v>0.54</v>
      </c>
      <c r="P227" s="119">
        <v>0.55000000000000004</v>
      </c>
      <c r="Q227" s="119">
        <v>0.54</v>
      </c>
      <c r="R227" s="119">
        <v>0.49</v>
      </c>
      <c r="S227" s="119"/>
      <c r="T227" s="119"/>
      <c r="U227" s="119"/>
      <c r="V227" s="119">
        <v>0.56000000000000005</v>
      </c>
      <c r="W227" s="119">
        <v>0.495</v>
      </c>
      <c r="X227" s="119">
        <f t="shared" si="290"/>
        <v>0.49</v>
      </c>
      <c r="Y227" s="118">
        <f t="shared" si="257"/>
        <v>0.52916666666666667</v>
      </c>
      <c r="Z227" s="109">
        <f t="shared" si="258"/>
        <v>56350</v>
      </c>
      <c r="AA227" s="109">
        <f>'CALCULO GERAL'!$G$10</f>
        <v>6300</v>
      </c>
      <c r="AB227" s="109">
        <f t="shared" si="259"/>
        <v>62650</v>
      </c>
      <c r="AC227" s="109">
        <f>AB227*'CALCULO GERAL'!$C$11</f>
        <v>314440.35000000003</v>
      </c>
      <c r="AD227" s="109">
        <f t="shared" si="260"/>
        <v>81754.491000000009</v>
      </c>
      <c r="AE227" s="109">
        <f t="shared" si="261"/>
        <v>0</v>
      </c>
      <c r="AF227" s="109">
        <f t="shared" si="262"/>
        <v>6603.2473500000015</v>
      </c>
      <c r="AG227" s="109">
        <f t="shared" si="263"/>
        <v>32859.016575000001</v>
      </c>
      <c r="AH227" s="109">
        <v>154.22999999999999</v>
      </c>
      <c r="AI227" s="109">
        <f>((AA227*'CALCULO GERAL'!$C$11))*0.08+20</f>
        <v>2549.576</v>
      </c>
      <c r="AJ227" s="109">
        <v>1010</v>
      </c>
      <c r="AK227" s="109">
        <v>2500</v>
      </c>
      <c r="AL227" s="109">
        <f>(AA227*('CALCULO GERAL'!$C$11*1.02))-(AA227*'CALCULO GERAL'!$C$11)</f>
        <v>632.39400000000387</v>
      </c>
      <c r="AM227" s="109">
        <v>1800</v>
      </c>
      <c r="AN227" s="109">
        <v>2600</v>
      </c>
      <c r="AO227" s="109">
        <v>9400</v>
      </c>
      <c r="AP227" s="109">
        <v>1000</v>
      </c>
      <c r="AQ227" s="109">
        <v>0</v>
      </c>
      <c r="AR227" s="109">
        <v>0</v>
      </c>
      <c r="AS227" s="109"/>
      <c r="AT227" s="109">
        <f t="shared" si="264"/>
        <v>457303.30492500006</v>
      </c>
      <c r="AU227" s="111">
        <f t="shared" si="265"/>
        <v>3.9765504776086962</v>
      </c>
      <c r="AV227" s="109">
        <f>IFERROR((BS227*'CALCULO GERAL'!$E$11)/N227,0)</f>
        <v>9.3353400000000017E-2</v>
      </c>
      <c r="AW227" s="109">
        <f>AU227/'CALCULO GERAL'!$C$11</f>
        <v>0.79229935796148554</v>
      </c>
      <c r="AX227" s="109">
        <f>BP227-BB227-BD227*'CALCULO GERAL'!$C$11</f>
        <v>4.5976549499999999</v>
      </c>
      <c r="AY227" s="109">
        <f t="shared" si="266"/>
        <v>7.5861306675000004E-2</v>
      </c>
      <c r="AZ227" s="109">
        <f t="shared" si="267"/>
        <v>0.34942177619999998</v>
      </c>
      <c r="BA227" s="109">
        <f t="shared" si="268"/>
        <v>4.6676700000000002</v>
      </c>
      <c r="BB227" s="109">
        <f t="shared" si="269"/>
        <v>7.0015049999999995E-2</v>
      </c>
      <c r="BC227" s="109">
        <f t="shared" si="270"/>
        <v>4.6676700000000002</v>
      </c>
      <c r="BD227" s="109">
        <f t="shared" si="271"/>
        <v>0</v>
      </c>
      <c r="BE227" s="109">
        <f t="shared" si="272"/>
        <v>42942.564000000006</v>
      </c>
      <c r="BF227" s="109">
        <f t="shared" si="273"/>
        <v>64413.846000000005</v>
      </c>
      <c r="BG227" s="109">
        <f t="shared" si="274"/>
        <v>5.0410836000000001E-2</v>
      </c>
      <c r="BH227" s="109">
        <f t="shared" si="275"/>
        <v>5.6012040000000006E-2</v>
      </c>
      <c r="BI227" s="109">
        <f t="shared" si="276"/>
        <v>0</v>
      </c>
      <c r="BJ227" s="109">
        <f t="shared" si="277"/>
        <v>0.69507440887500005</v>
      </c>
      <c r="BK227" s="109">
        <f t="shared" si="278"/>
        <v>4.6716248864836967</v>
      </c>
      <c r="BL227" s="148">
        <v>0.87</v>
      </c>
      <c r="BM227" s="112">
        <f>ROUND((AW227/BL227)+((AW227*BL227)*'CALCULO GERAL'!$E$11)/BL227,2)</f>
        <v>0.93</v>
      </c>
      <c r="BN227" s="186">
        <f t="shared" si="279"/>
        <v>0.93</v>
      </c>
      <c r="BO227" s="186">
        <f t="shared" si="280"/>
        <v>1.0900000000000001</v>
      </c>
      <c r="BP227" s="109">
        <f>BM227*'CALCULO GERAL'!$C$11</f>
        <v>4.6676700000000002</v>
      </c>
      <c r="BQ227" s="109">
        <f>BO227*'CALCULO GERAL'!$C$11</f>
        <v>5.4707100000000004</v>
      </c>
      <c r="BR227" s="186">
        <f>BN227*'CALCULO GERAL'!$C$11</f>
        <v>4.6676700000000002</v>
      </c>
      <c r="BS227" s="109">
        <f t="shared" si="281"/>
        <v>536782.05000000005</v>
      </c>
      <c r="BT227" s="109">
        <f t="shared" si="222"/>
        <v>79478.745074999984</v>
      </c>
      <c r="BU227" s="109">
        <f t="shared" si="282"/>
        <v>536782.05000000005</v>
      </c>
      <c r="BV227" s="109">
        <f t="shared" si="283"/>
        <v>537236.86194562516</v>
      </c>
      <c r="BW227" s="109">
        <f t="shared" si="284"/>
        <v>-454.81194562511519</v>
      </c>
      <c r="BX227" s="114">
        <f t="shared" si="285"/>
        <v>-8.4729350697385498E-4</v>
      </c>
      <c r="BY227" s="152">
        <f t="shared" si="286"/>
        <v>0.87</v>
      </c>
      <c r="CA227" s="55"/>
      <c r="CB227" s="113"/>
      <c r="CC227" s="113"/>
      <c r="CE227" s="152">
        <f t="shared" si="287"/>
        <v>0</v>
      </c>
      <c r="CF227" s="152">
        <f t="shared" si="288"/>
        <v>1</v>
      </c>
      <c r="CG227" s="152">
        <f t="shared" si="289"/>
        <v>1</v>
      </c>
      <c r="CH227" s="34"/>
      <c r="CJ227" s="11"/>
      <c r="CK227" s="11"/>
    </row>
    <row r="228" spans="1:89" s="152" customFormat="1" x14ac:dyDescent="0.2">
      <c r="A228" s="125" t="s">
        <v>361</v>
      </c>
      <c r="B228" s="187" t="s">
        <v>325</v>
      </c>
      <c r="C228" s="8">
        <v>0.26</v>
      </c>
      <c r="D228" s="8">
        <v>0</v>
      </c>
      <c r="E228" s="7">
        <v>2.1000000000000001E-2</v>
      </c>
      <c r="F228" s="7">
        <v>0.1045</v>
      </c>
      <c r="G228" s="1">
        <v>1.6500000000000001E-2</v>
      </c>
      <c r="H228" s="1">
        <v>7.5999999999999998E-2</v>
      </c>
      <c r="I228" s="1">
        <v>0.18</v>
      </c>
      <c r="J228" s="1">
        <v>0.04</v>
      </c>
      <c r="K228" s="1">
        <v>0.14000000000000001</v>
      </c>
      <c r="L228" s="1">
        <v>1.4999999999999999E-2</v>
      </c>
      <c r="M228" s="2" t="s">
        <v>175</v>
      </c>
      <c r="N228" s="105">
        <v>108000</v>
      </c>
      <c r="O228" s="119">
        <v>0.56000000000000005</v>
      </c>
      <c r="P228" s="119">
        <v>0.57999999999999996</v>
      </c>
      <c r="Q228" s="119">
        <v>0.56000000000000005</v>
      </c>
      <c r="R228" s="119">
        <v>0.51</v>
      </c>
      <c r="S228" s="119"/>
      <c r="T228" s="119"/>
      <c r="U228" s="119"/>
      <c r="V228" s="119">
        <v>0.57999999999999996</v>
      </c>
      <c r="W228" s="119">
        <v>0.51500000000000001</v>
      </c>
      <c r="X228" s="119">
        <f t="shared" si="290"/>
        <v>0.51</v>
      </c>
      <c r="Y228" s="118">
        <f t="shared" si="257"/>
        <v>0.5508333333333334</v>
      </c>
      <c r="Z228" s="109">
        <f t="shared" si="258"/>
        <v>55080</v>
      </c>
      <c r="AA228" s="109">
        <f>'CALCULO GERAL'!$G$10</f>
        <v>6300</v>
      </c>
      <c r="AB228" s="109">
        <f t="shared" si="259"/>
        <v>61380</v>
      </c>
      <c r="AC228" s="109">
        <f>AB228*'CALCULO GERAL'!$C$11</f>
        <v>308066.22000000003</v>
      </c>
      <c r="AD228" s="109">
        <f t="shared" si="260"/>
        <v>80097.217200000014</v>
      </c>
      <c r="AE228" s="109">
        <f t="shared" si="261"/>
        <v>0</v>
      </c>
      <c r="AF228" s="109">
        <f t="shared" si="262"/>
        <v>6469.390620000001</v>
      </c>
      <c r="AG228" s="109">
        <f t="shared" si="263"/>
        <v>32192.919990000002</v>
      </c>
      <c r="AH228" s="109">
        <v>154.22999999999999</v>
      </c>
      <c r="AI228" s="109">
        <f>((AA228*'CALCULO GERAL'!$C$11))*0.08+20</f>
        <v>2549.576</v>
      </c>
      <c r="AJ228" s="109">
        <v>1010</v>
      </c>
      <c r="AK228" s="109">
        <v>2500</v>
      </c>
      <c r="AL228" s="109">
        <f>(AA228*('CALCULO GERAL'!$C$11*1.02))-(AA228*'CALCULO GERAL'!$C$11)</f>
        <v>632.39400000000387</v>
      </c>
      <c r="AM228" s="109">
        <v>1800</v>
      </c>
      <c r="AN228" s="109">
        <v>2600</v>
      </c>
      <c r="AO228" s="109">
        <v>9400</v>
      </c>
      <c r="AP228" s="109">
        <v>1000</v>
      </c>
      <c r="AQ228" s="109">
        <v>0</v>
      </c>
      <c r="AR228" s="109">
        <v>0</v>
      </c>
      <c r="AS228" s="109"/>
      <c r="AT228" s="109">
        <f t="shared" si="264"/>
        <v>448471.9478100001</v>
      </c>
      <c r="AU228" s="111">
        <f t="shared" si="265"/>
        <v>4.1525180352777786</v>
      </c>
      <c r="AV228" s="109">
        <f>IFERROR((BS228*'CALCULO GERAL'!$E$11)/N228,0)</f>
        <v>9.8372399999999999E-2</v>
      </c>
      <c r="AW228" s="109">
        <f>AU228/'CALCULO GERAL'!$C$11</f>
        <v>0.82735964042195231</v>
      </c>
      <c r="AX228" s="109">
        <f>BP228-BB228-BD228*'CALCULO GERAL'!$C$11</f>
        <v>4.8448406999999998</v>
      </c>
      <c r="AY228" s="109">
        <f t="shared" si="266"/>
        <v>7.993987155E-2</v>
      </c>
      <c r="AZ228" s="109">
        <f t="shared" si="267"/>
        <v>0.36820789319999997</v>
      </c>
      <c r="BA228" s="109">
        <f t="shared" si="268"/>
        <v>4.9186199999999998</v>
      </c>
      <c r="BB228" s="109">
        <f t="shared" si="269"/>
        <v>7.3779299999999992E-2</v>
      </c>
      <c r="BC228" s="109">
        <f t="shared" si="270"/>
        <v>4.9186199999999998</v>
      </c>
      <c r="BD228" s="109">
        <f t="shared" si="271"/>
        <v>0</v>
      </c>
      <c r="BE228" s="109">
        <f t="shared" si="272"/>
        <v>42496.876799999998</v>
      </c>
      <c r="BF228" s="109">
        <f t="shared" si="273"/>
        <v>63745.31519999999</v>
      </c>
      <c r="BG228" s="109">
        <f t="shared" si="274"/>
        <v>5.3121095999999986E-2</v>
      </c>
      <c r="BH228" s="109">
        <f t="shared" si="275"/>
        <v>5.9023439999999996E-2</v>
      </c>
      <c r="BI228" s="109">
        <f t="shared" si="276"/>
        <v>0</v>
      </c>
      <c r="BJ228" s="109">
        <f t="shared" si="277"/>
        <v>0.73244400075000005</v>
      </c>
      <c r="BK228" s="109">
        <f t="shared" si="278"/>
        <v>4.8849620360277788</v>
      </c>
      <c r="BL228" s="148">
        <v>0.86</v>
      </c>
      <c r="BM228" s="112">
        <f>ROUND((AW228/BL228)+((AW228*BL228)*'CALCULO GERAL'!$E$11)/BL228,2)</f>
        <v>0.98</v>
      </c>
      <c r="BN228" s="186">
        <f t="shared" si="279"/>
        <v>0.98</v>
      </c>
      <c r="BO228" s="186">
        <f t="shared" si="280"/>
        <v>1.1479999999999999</v>
      </c>
      <c r="BP228" s="109">
        <f>BM228*'CALCULO GERAL'!$C$11</f>
        <v>4.9186199999999998</v>
      </c>
      <c r="BQ228" s="109">
        <f>BO228*'CALCULO GERAL'!$C$11</f>
        <v>5.7618119999999999</v>
      </c>
      <c r="BR228" s="186">
        <f>BN228*'CALCULO GERAL'!$C$11</f>
        <v>4.9186199999999998</v>
      </c>
      <c r="BS228" s="109">
        <f t="shared" si="281"/>
        <v>531210.96</v>
      </c>
      <c r="BT228" s="109">
        <f t="shared" si="222"/>
        <v>82739.012189999863</v>
      </c>
      <c r="BU228" s="109">
        <f t="shared" si="282"/>
        <v>531210.96</v>
      </c>
      <c r="BV228" s="109">
        <f t="shared" si="283"/>
        <v>527575.89989100012</v>
      </c>
      <c r="BW228" s="109">
        <f t="shared" si="284"/>
        <v>3635.0601089998381</v>
      </c>
      <c r="BX228" s="114">
        <f t="shared" si="285"/>
        <v>6.8429689571913926E-3</v>
      </c>
      <c r="BY228" s="152">
        <f t="shared" si="286"/>
        <v>0.86</v>
      </c>
      <c r="CA228" s="55"/>
      <c r="CB228" s="113"/>
      <c r="CC228" s="113"/>
      <c r="CE228" s="152">
        <f t="shared" si="287"/>
        <v>0</v>
      </c>
      <c r="CF228" s="152">
        <f t="shared" si="288"/>
        <v>1</v>
      </c>
      <c r="CG228" s="152">
        <f t="shared" si="289"/>
        <v>1</v>
      </c>
      <c r="CH228" s="34"/>
      <c r="CJ228" s="11"/>
      <c r="CK228" s="11"/>
    </row>
    <row r="229" spans="1:89" s="152" customFormat="1" x14ac:dyDescent="0.2">
      <c r="A229" s="125" t="s">
        <v>362</v>
      </c>
      <c r="B229" s="187" t="s">
        <v>325</v>
      </c>
      <c r="C229" s="8">
        <v>0.26</v>
      </c>
      <c r="D229" s="8">
        <v>0</v>
      </c>
      <c r="E229" s="7">
        <v>2.1000000000000001E-2</v>
      </c>
      <c r="F229" s="7">
        <v>0.1045</v>
      </c>
      <c r="G229" s="1">
        <v>1.6500000000000001E-2</v>
      </c>
      <c r="H229" s="1">
        <v>7.5999999999999998E-2</v>
      </c>
      <c r="I229" s="1">
        <v>0.18</v>
      </c>
      <c r="J229" s="1">
        <v>0.04</v>
      </c>
      <c r="K229" s="1">
        <v>0.14000000000000001</v>
      </c>
      <c r="L229" s="1">
        <v>1.4999999999999999E-2</v>
      </c>
      <c r="M229" s="2" t="s">
        <v>175</v>
      </c>
      <c r="N229" s="105">
        <v>104000</v>
      </c>
      <c r="O229" s="119">
        <v>0.57999999999999996</v>
      </c>
      <c r="P229" s="119">
        <v>0.61</v>
      </c>
      <c r="Q229" s="119">
        <v>0.57999999999999996</v>
      </c>
      <c r="R229" s="119">
        <v>0.53</v>
      </c>
      <c r="S229" s="119"/>
      <c r="T229" s="119"/>
      <c r="U229" s="119"/>
      <c r="V229" s="119">
        <v>0.6</v>
      </c>
      <c r="W229" s="119">
        <v>0.53500000000000003</v>
      </c>
      <c r="X229" s="119">
        <f t="shared" si="290"/>
        <v>0.53</v>
      </c>
      <c r="Y229" s="118">
        <f t="shared" si="257"/>
        <v>0.57250000000000001</v>
      </c>
      <c r="Z229" s="109">
        <f t="shared" si="258"/>
        <v>55120</v>
      </c>
      <c r="AA229" s="109">
        <f>'CALCULO GERAL'!$G$10</f>
        <v>6300</v>
      </c>
      <c r="AB229" s="109">
        <f t="shared" si="259"/>
        <v>61420</v>
      </c>
      <c r="AC229" s="109">
        <f>AB229*'CALCULO GERAL'!$C$11</f>
        <v>308266.98</v>
      </c>
      <c r="AD229" s="109">
        <f t="shared" si="260"/>
        <v>80149.414799999999</v>
      </c>
      <c r="AE229" s="109">
        <f t="shared" si="261"/>
        <v>0</v>
      </c>
      <c r="AF229" s="109">
        <f t="shared" si="262"/>
        <v>6473.6065799999997</v>
      </c>
      <c r="AG229" s="109">
        <f t="shared" si="263"/>
        <v>32213.899409999998</v>
      </c>
      <c r="AH229" s="109">
        <v>154.22999999999999</v>
      </c>
      <c r="AI229" s="109">
        <f>((AA229*'CALCULO GERAL'!$C$11))*0.08+20</f>
        <v>2549.576</v>
      </c>
      <c r="AJ229" s="109">
        <v>1010</v>
      </c>
      <c r="AK229" s="109">
        <v>2500</v>
      </c>
      <c r="AL229" s="109">
        <f>(AA229*('CALCULO GERAL'!$C$11*1.02))-(AA229*'CALCULO GERAL'!$C$11)</f>
        <v>632.39400000000387</v>
      </c>
      <c r="AM229" s="109">
        <v>1800</v>
      </c>
      <c r="AN229" s="109">
        <v>2600</v>
      </c>
      <c r="AO229" s="109">
        <v>9400</v>
      </c>
      <c r="AP229" s="109">
        <v>1000</v>
      </c>
      <c r="AQ229" s="109">
        <v>0</v>
      </c>
      <c r="AR229" s="109">
        <v>0</v>
      </c>
      <c r="AS229" s="109"/>
      <c r="AT229" s="109">
        <f t="shared" si="264"/>
        <v>448750.10079000005</v>
      </c>
      <c r="AU229" s="111">
        <f t="shared" si="265"/>
        <v>4.3149048152884619</v>
      </c>
      <c r="AV229" s="109">
        <f>IFERROR((BS229*'CALCULO GERAL'!$E$11)/N229,0)</f>
        <v>0.10138380000000001</v>
      </c>
      <c r="AW229" s="109">
        <f>AU229/'CALCULO GERAL'!$C$11</f>
        <v>0.85971404966895038</v>
      </c>
      <c r="AX229" s="109">
        <f>BP229-BB229-BD229*'CALCULO GERAL'!$C$11</f>
        <v>4.9931521500000002</v>
      </c>
      <c r="AY229" s="109">
        <f t="shared" si="266"/>
        <v>8.2387010475000008E-2</v>
      </c>
      <c r="AZ229" s="109">
        <f t="shared" si="267"/>
        <v>0.3794795634</v>
      </c>
      <c r="BA229" s="109">
        <f t="shared" si="268"/>
        <v>5.0691899999999999</v>
      </c>
      <c r="BB229" s="109">
        <f t="shared" si="269"/>
        <v>7.603784999999999E-2</v>
      </c>
      <c r="BC229" s="109">
        <f t="shared" si="270"/>
        <v>5.0691899999999999</v>
      </c>
      <c r="BD229" s="109">
        <f t="shared" si="271"/>
        <v>0</v>
      </c>
      <c r="BE229" s="109">
        <f t="shared" si="272"/>
        <v>42175.660800000005</v>
      </c>
      <c r="BF229" s="109">
        <f t="shared" si="273"/>
        <v>63263.491199999997</v>
      </c>
      <c r="BG229" s="109">
        <f t="shared" si="274"/>
        <v>5.4747251999999996E-2</v>
      </c>
      <c r="BH229" s="109">
        <f t="shared" si="275"/>
        <v>6.0830280000000007E-2</v>
      </c>
      <c r="BI229" s="109">
        <f t="shared" si="276"/>
        <v>0</v>
      </c>
      <c r="BJ229" s="109">
        <f t="shared" si="277"/>
        <v>0.75486575587500004</v>
      </c>
      <c r="BK229" s="109">
        <f t="shared" si="278"/>
        <v>5.0697705711634615</v>
      </c>
      <c r="BL229" s="148">
        <v>0.87</v>
      </c>
      <c r="BM229" s="112">
        <f>ROUND((AW229/BL229)+((AW229*BL229)*'CALCULO GERAL'!$E$11)/BL229,2)</f>
        <v>1.01</v>
      </c>
      <c r="BN229" s="186">
        <f t="shared" si="279"/>
        <v>1.01</v>
      </c>
      <c r="BO229" s="186">
        <f t="shared" si="280"/>
        <v>1.1830000000000001</v>
      </c>
      <c r="BP229" s="109">
        <f>BM229*'CALCULO GERAL'!$C$11</f>
        <v>5.0691899999999999</v>
      </c>
      <c r="BQ229" s="109">
        <f>BO229*'CALCULO GERAL'!$C$11</f>
        <v>5.9374770000000003</v>
      </c>
      <c r="BR229" s="186">
        <f>BN229*'CALCULO GERAL'!$C$11</f>
        <v>5.0691899999999999</v>
      </c>
      <c r="BS229" s="109">
        <f t="shared" si="281"/>
        <v>527195.76</v>
      </c>
      <c r="BT229" s="109">
        <f t="shared" si="222"/>
        <v>78445.659209999954</v>
      </c>
      <c r="BU229" s="109">
        <f t="shared" si="282"/>
        <v>527195.76</v>
      </c>
      <c r="BV229" s="109">
        <f t="shared" si="283"/>
        <v>527256.13940099999</v>
      </c>
      <c r="BW229" s="109">
        <f t="shared" si="284"/>
        <v>-60.379400999983773</v>
      </c>
      <c r="BX229" s="114">
        <f t="shared" si="285"/>
        <v>-1.1452937519828265E-4</v>
      </c>
      <c r="BY229" s="152">
        <f t="shared" si="286"/>
        <v>0.87</v>
      </c>
      <c r="CA229" s="55"/>
      <c r="CB229" s="113"/>
      <c r="CC229" s="113"/>
      <c r="CE229" s="152">
        <f t="shared" si="287"/>
        <v>0</v>
      </c>
      <c r="CF229" s="152">
        <f t="shared" si="288"/>
        <v>1</v>
      </c>
      <c r="CG229" s="152">
        <f t="shared" si="289"/>
        <v>1</v>
      </c>
      <c r="CH229" s="34"/>
      <c r="CJ229" s="11"/>
      <c r="CK229" s="11"/>
    </row>
    <row r="230" spans="1:89" s="152" customFormat="1" x14ac:dyDescent="0.2">
      <c r="A230" s="125" t="s">
        <v>363</v>
      </c>
      <c r="B230" s="187" t="s">
        <v>297</v>
      </c>
      <c r="C230" s="8">
        <v>0.26</v>
      </c>
      <c r="D230" s="8">
        <v>0</v>
      </c>
      <c r="E230" s="7">
        <v>2.1000000000000001E-2</v>
      </c>
      <c r="F230" s="7">
        <v>0.1045</v>
      </c>
      <c r="G230" s="1">
        <v>1.6500000000000001E-2</v>
      </c>
      <c r="H230" s="1">
        <v>7.5999999999999998E-2</v>
      </c>
      <c r="I230" s="1">
        <v>0.18</v>
      </c>
      <c r="J230" s="1">
        <v>0.04</v>
      </c>
      <c r="K230" s="1">
        <v>0.14000000000000001</v>
      </c>
      <c r="L230" s="1">
        <v>1.4999999999999999E-2</v>
      </c>
      <c r="M230" s="2" t="s">
        <v>175</v>
      </c>
      <c r="N230" s="105">
        <v>160000</v>
      </c>
      <c r="O230" s="119">
        <v>0.34</v>
      </c>
      <c r="P230" s="119">
        <v>0.38</v>
      </c>
      <c r="Q230" s="119">
        <v>0.38</v>
      </c>
      <c r="R230" s="119">
        <v>0.4</v>
      </c>
      <c r="S230" s="119"/>
      <c r="T230" s="119"/>
      <c r="U230" s="119"/>
      <c r="V230" s="119">
        <v>0.36</v>
      </c>
      <c r="W230" s="119">
        <v>0.38500000000000001</v>
      </c>
      <c r="X230" s="119">
        <f t="shared" si="290"/>
        <v>0.34</v>
      </c>
      <c r="Y230" s="118">
        <f t="shared" si="257"/>
        <v>0.3741666666666667</v>
      </c>
      <c r="Z230" s="109">
        <f t="shared" si="258"/>
        <v>54400.000000000007</v>
      </c>
      <c r="AA230" s="109">
        <f>'CALCULO GERAL'!$G$10</f>
        <v>6300</v>
      </c>
      <c r="AB230" s="109">
        <f t="shared" si="259"/>
        <v>60700.000000000007</v>
      </c>
      <c r="AC230" s="109">
        <f>AB230*'CALCULO GERAL'!$C$11</f>
        <v>304653.30000000005</v>
      </c>
      <c r="AD230" s="109">
        <f t="shared" si="260"/>
        <v>79209.858000000022</v>
      </c>
      <c r="AE230" s="109">
        <f t="shared" si="261"/>
        <v>0</v>
      </c>
      <c r="AF230" s="109">
        <f t="shared" si="262"/>
        <v>6397.7193000000016</v>
      </c>
      <c r="AG230" s="109">
        <f t="shared" si="263"/>
        <v>31836.269850000004</v>
      </c>
      <c r="AH230" s="109">
        <v>154.22999999999999</v>
      </c>
      <c r="AI230" s="109">
        <f>((AA230*'CALCULO GERAL'!$C$11))*0.08+20</f>
        <v>2549.576</v>
      </c>
      <c r="AJ230" s="109">
        <v>1010</v>
      </c>
      <c r="AK230" s="109">
        <v>2500</v>
      </c>
      <c r="AL230" s="109">
        <f>(AA230*('CALCULO GERAL'!$C$11*1.02))-(AA230*'CALCULO GERAL'!$C$11)</f>
        <v>632.39400000000387</v>
      </c>
      <c r="AM230" s="109">
        <v>1800</v>
      </c>
      <c r="AN230" s="109">
        <v>2600</v>
      </c>
      <c r="AO230" s="109">
        <v>9400</v>
      </c>
      <c r="AP230" s="109">
        <v>1000</v>
      </c>
      <c r="AQ230" s="109">
        <v>0</v>
      </c>
      <c r="AR230" s="109">
        <v>0</v>
      </c>
      <c r="AS230" s="109"/>
      <c r="AT230" s="109">
        <f t="shared" si="264"/>
        <v>443743.34715000005</v>
      </c>
      <c r="AU230" s="111">
        <f t="shared" si="265"/>
        <v>2.7733959196875002</v>
      </c>
      <c r="AV230" s="109">
        <f>IFERROR((BS230*'CALCULO GERAL'!$E$11)/N230,0)</f>
        <v>6.5246999999999999E-2</v>
      </c>
      <c r="AW230" s="109">
        <f>AU230/'CALCULO GERAL'!$C$11</f>
        <v>0.55257938228481773</v>
      </c>
      <c r="AX230" s="109">
        <f>BP230-BB230-BD230*'CALCULO GERAL'!$C$11</f>
        <v>3.2134147500000001</v>
      </c>
      <c r="AY230" s="109">
        <f t="shared" si="266"/>
        <v>5.3021343375000002E-2</v>
      </c>
      <c r="AZ230" s="109">
        <f t="shared" si="267"/>
        <v>0.24421952099999999</v>
      </c>
      <c r="BA230" s="109">
        <f t="shared" si="268"/>
        <v>3.2623500000000001</v>
      </c>
      <c r="BB230" s="109">
        <f t="shared" si="269"/>
        <v>4.893525E-2</v>
      </c>
      <c r="BC230" s="109">
        <f t="shared" si="270"/>
        <v>3.2623500000000001</v>
      </c>
      <c r="BD230" s="109">
        <f t="shared" si="271"/>
        <v>0</v>
      </c>
      <c r="BE230" s="109">
        <f t="shared" si="272"/>
        <v>41758.080000000002</v>
      </c>
      <c r="BF230" s="109">
        <f t="shared" si="273"/>
        <v>62637.119999999995</v>
      </c>
      <c r="BG230" s="109">
        <f t="shared" si="274"/>
        <v>3.5233379999999995E-2</v>
      </c>
      <c r="BH230" s="109">
        <f t="shared" si="275"/>
        <v>3.9148200000000001E-2</v>
      </c>
      <c r="BI230" s="109">
        <f t="shared" si="276"/>
        <v>0</v>
      </c>
      <c r="BJ230" s="109">
        <f t="shared" si="277"/>
        <v>0.48580469437499996</v>
      </c>
      <c r="BK230" s="109">
        <f t="shared" si="278"/>
        <v>3.2592006140625003</v>
      </c>
      <c r="BL230" s="148">
        <v>0.86</v>
      </c>
      <c r="BM230" s="112">
        <f>ROUND((AW230/BL230)+((AW230*BL230)*'CALCULO GERAL'!$E$11)/BL230,2)</f>
        <v>0.65</v>
      </c>
      <c r="BN230" s="186">
        <f t="shared" si="279"/>
        <v>0.65</v>
      </c>
      <c r="BO230" s="186">
        <f t="shared" si="280"/>
        <v>0.76200000000000001</v>
      </c>
      <c r="BP230" s="109">
        <f>BM230*'CALCULO GERAL'!$C$11</f>
        <v>3.2623500000000001</v>
      </c>
      <c r="BQ230" s="109">
        <f>BO230*'CALCULO GERAL'!$C$11</f>
        <v>3.824478</v>
      </c>
      <c r="BR230" s="186">
        <f>BN230*'CALCULO GERAL'!$C$11</f>
        <v>3.2623500000000001</v>
      </c>
      <c r="BS230" s="109">
        <f t="shared" si="281"/>
        <v>521976</v>
      </c>
      <c r="BT230" s="109">
        <f t="shared" si="222"/>
        <v>78232.652849999955</v>
      </c>
      <c r="BU230" s="109">
        <f t="shared" si="282"/>
        <v>521976</v>
      </c>
      <c r="BV230" s="109">
        <f t="shared" si="283"/>
        <v>521472.09825000004</v>
      </c>
      <c r="BW230" s="109">
        <f t="shared" si="284"/>
        <v>503.90174999996088</v>
      </c>
      <c r="BX230" s="114">
        <f t="shared" si="285"/>
        <v>9.6537340797270537E-4</v>
      </c>
      <c r="BY230" s="152">
        <f t="shared" si="286"/>
        <v>0.86</v>
      </c>
      <c r="CA230" s="55"/>
      <c r="CB230" s="113"/>
      <c r="CC230" s="113"/>
      <c r="CE230" s="152">
        <f t="shared" si="287"/>
        <v>0</v>
      </c>
      <c r="CF230" s="152">
        <f t="shared" si="288"/>
        <v>1</v>
      </c>
      <c r="CG230" s="152">
        <f t="shared" si="289"/>
        <v>1</v>
      </c>
      <c r="CH230" s="34"/>
      <c r="CJ230" s="11"/>
      <c r="CK230" s="11"/>
    </row>
    <row r="231" spans="1:89" s="152" customFormat="1" x14ac:dyDescent="0.2">
      <c r="A231" s="125" t="s">
        <v>364</v>
      </c>
      <c r="B231" s="187" t="s">
        <v>297</v>
      </c>
      <c r="C231" s="8">
        <v>0.26</v>
      </c>
      <c r="D231" s="8">
        <v>0</v>
      </c>
      <c r="E231" s="7">
        <v>2.1000000000000001E-2</v>
      </c>
      <c r="F231" s="7">
        <v>0.1045</v>
      </c>
      <c r="G231" s="1">
        <v>1.6500000000000001E-2</v>
      </c>
      <c r="H231" s="1">
        <v>7.5999999999999998E-2</v>
      </c>
      <c r="I231" s="1">
        <v>0.18</v>
      </c>
      <c r="J231" s="1">
        <v>0.04</v>
      </c>
      <c r="K231" s="1">
        <v>0.14000000000000001</v>
      </c>
      <c r="L231" s="1">
        <v>1.4999999999999999E-2</v>
      </c>
      <c r="M231" s="2" t="s">
        <v>175</v>
      </c>
      <c r="N231" s="105">
        <v>115000</v>
      </c>
      <c r="O231" s="119">
        <v>0.51</v>
      </c>
      <c r="P231" s="119">
        <v>0.52</v>
      </c>
      <c r="Q231" s="119">
        <v>0.51</v>
      </c>
      <c r="R231" s="119">
        <v>0.56000000000000005</v>
      </c>
      <c r="S231" s="119">
        <v>0.53</v>
      </c>
      <c r="T231" s="119"/>
      <c r="U231" s="119"/>
      <c r="V231" s="119">
        <v>0.54</v>
      </c>
      <c r="W231" s="119">
        <v>0.51500000000000001</v>
      </c>
      <c r="X231" s="119">
        <f t="shared" si="290"/>
        <v>0.51</v>
      </c>
      <c r="Y231" s="118">
        <f t="shared" si="257"/>
        <v>0.52642857142857147</v>
      </c>
      <c r="Z231" s="109">
        <f t="shared" si="258"/>
        <v>58650</v>
      </c>
      <c r="AA231" s="109">
        <f>'CALCULO GERAL'!$G$10</f>
        <v>6300</v>
      </c>
      <c r="AB231" s="109">
        <f t="shared" si="259"/>
        <v>64950</v>
      </c>
      <c r="AC231" s="109">
        <f>AB231*'CALCULO GERAL'!$C$11</f>
        <v>325984.05</v>
      </c>
      <c r="AD231" s="109">
        <f t="shared" si="260"/>
        <v>84755.853000000003</v>
      </c>
      <c r="AE231" s="109">
        <f t="shared" si="261"/>
        <v>0</v>
      </c>
      <c r="AF231" s="109">
        <f t="shared" si="262"/>
        <v>6845.6650500000005</v>
      </c>
      <c r="AG231" s="109">
        <f t="shared" si="263"/>
        <v>34065.333224999995</v>
      </c>
      <c r="AH231" s="109">
        <v>154.22999999999999</v>
      </c>
      <c r="AI231" s="109">
        <f>((AA231*'CALCULO GERAL'!$C$11))*0.08+20</f>
        <v>2549.576</v>
      </c>
      <c r="AJ231" s="109">
        <v>1010</v>
      </c>
      <c r="AK231" s="109">
        <v>2500</v>
      </c>
      <c r="AL231" s="109">
        <f>(AA231*('CALCULO GERAL'!$C$11*1.02))-(AA231*'CALCULO GERAL'!$C$11)</f>
        <v>632.39400000000387</v>
      </c>
      <c r="AM231" s="109">
        <v>1800</v>
      </c>
      <c r="AN231" s="109">
        <v>2600</v>
      </c>
      <c r="AO231" s="109">
        <v>9400</v>
      </c>
      <c r="AP231" s="109">
        <v>1000</v>
      </c>
      <c r="AQ231" s="109">
        <v>0</v>
      </c>
      <c r="AR231" s="109">
        <v>0</v>
      </c>
      <c r="AS231" s="109"/>
      <c r="AT231" s="109">
        <f t="shared" si="264"/>
        <v>473297.10127500002</v>
      </c>
      <c r="AU231" s="111">
        <f t="shared" si="265"/>
        <v>4.1156269676086961</v>
      </c>
      <c r="AV231" s="109">
        <f>IFERROR((BS231*'CALCULO GERAL'!$E$11)/N231,0)</f>
        <v>9.63648E-2</v>
      </c>
      <c r="AW231" s="109">
        <f>AU231/'CALCULO GERAL'!$C$11</f>
        <v>0.82000935796148555</v>
      </c>
      <c r="AX231" s="109">
        <f>BP231-BB231-BD231*'CALCULO GERAL'!$C$11</f>
        <v>4.7459664000000004</v>
      </c>
      <c r="AY231" s="109">
        <f t="shared" si="266"/>
        <v>7.8308445600000012E-2</v>
      </c>
      <c r="AZ231" s="109">
        <f t="shared" si="267"/>
        <v>0.36069344640000001</v>
      </c>
      <c r="BA231" s="109">
        <f t="shared" si="268"/>
        <v>4.8182400000000003</v>
      </c>
      <c r="BB231" s="109">
        <f t="shared" si="269"/>
        <v>7.2273600000000007E-2</v>
      </c>
      <c r="BC231" s="109">
        <f t="shared" si="270"/>
        <v>4.8182400000000003</v>
      </c>
      <c r="BD231" s="109">
        <f t="shared" si="271"/>
        <v>0</v>
      </c>
      <c r="BE231" s="109">
        <f t="shared" si="272"/>
        <v>44327.807999999997</v>
      </c>
      <c r="BF231" s="109">
        <f t="shared" si="273"/>
        <v>66491.712</v>
      </c>
      <c r="BG231" s="109">
        <f t="shared" si="274"/>
        <v>5.2036991999999997E-2</v>
      </c>
      <c r="BH231" s="109">
        <f t="shared" si="275"/>
        <v>5.7818879999999996E-2</v>
      </c>
      <c r="BI231" s="109">
        <f t="shared" si="276"/>
        <v>0</v>
      </c>
      <c r="BJ231" s="109">
        <f t="shared" si="277"/>
        <v>0.71749616400000005</v>
      </c>
      <c r="BK231" s="109">
        <f t="shared" si="278"/>
        <v>4.833123131608696</v>
      </c>
      <c r="BL231" s="148">
        <v>0.87</v>
      </c>
      <c r="BM231" s="112">
        <f>ROUND((AW231/BL231)+((AW231*BL231)*'CALCULO GERAL'!$E$11)/BL231,2)</f>
        <v>0.96</v>
      </c>
      <c r="BN231" s="186">
        <f t="shared" si="279"/>
        <v>0.96</v>
      </c>
      <c r="BO231" s="186">
        <f t="shared" si="280"/>
        <v>1.125</v>
      </c>
      <c r="BP231" s="109">
        <f>BM231*'CALCULO GERAL'!$C$11</f>
        <v>4.8182400000000003</v>
      </c>
      <c r="BQ231" s="109">
        <f>BO231*'CALCULO GERAL'!$C$11</f>
        <v>5.6463749999999999</v>
      </c>
      <c r="BR231" s="186">
        <f>BN231*'CALCULO GERAL'!$C$11</f>
        <v>4.8182400000000003</v>
      </c>
      <c r="BS231" s="109">
        <f t="shared" si="281"/>
        <v>554097.6</v>
      </c>
      <c r="BT231" s="109">
        <f t="shared" si="222"/>
        <v>80800.498724999954</v>
      </c>
      <c r="BU231" s="109">
        <f t="shared" si="282"/>
        <v>554097.6</v>
      </c>
      <c r="BV231" s="109">
        <f t="shared" si="283"/>
        <v>555809.16013500001</v>
      </c>
      <c r="BW231" s="109">
        <f t="shared" si="284"/>
        <v>-1711.5601350000361</v>
      </c>
      <c r="BX231" s="114">
        <f t="shared" si="285"/>
        <v>-3.0889145432141129E-3</v>
      </c>
      <c r="BY231" s="152">
        <f t="shared" si="286"/>
        <v>0.87</v>
      </c>
      <c r="CA231" s="55"/>
      <c r="CB231" s="113"/>
      <c r="CC231" s="113"/>
      <c r="CE231" s="152">
        <f t="shared" si="287"/>
        <v>0</v>
      </c>
      <c r="CF231" s="152">
        <f t="shared" si="288"/>
        <v>1</v>
      </c>
      <c r="CG231" s="152">
        <f t="shared" si="289"/>
        <v>1</v>
      </c>
      <c r="CH231" s="34"/>
      <c r="CJ231" s="11"/>
      <c r="CK231" s="11"/>
    </row>
    <row r="232" spans="1:89" s="152" customFormat="1" x14ac:dyDescent="0.2">
      <c r="A232" s="125" t="s">
        <v>365</v>
      </c>
      <c r="B232" s="187" t="s">
        <v>297</v>
      </c>
      <c r="C232" s="8">
        <v>0.26</v>
      </c>
      <c r="D232" s="8">
        <v>0</v>
      </c>
      <c r="E232" s="7">
        <v>2.1000000000000001E-2</v>
      </c>
      <c r="F232" s="7">
        <v>0.1045</v>
      </c>
      <c r="G232" s="1">
        <v>1.6500000000000001E-2</v>
      </c>
      <c r="H232" s="1">
        <v>7.5999999999999998E-2</v>
      </c>
      <c r="I232" s="1">
        <v>0.18</v>
      </c>
      <c r="J232" s="1">
        <v>0.04</v>
      </c>
      <c r="K232" s="1">
        <v>0.14000000000000001</v>
      </c>
      <c r="L232" s="1">
        <v>1.4999999999999999E-2</v>
      </c>
      <c r="M232" s="2" t="s">
        <v>175</v>
      </c>
      <c r="N232" s="105">
        <v>108000</v>
      </c>
      <c r="O232" s="119">
        <v>0.53</v>
      </c>
      <c r="P232" s="119">
        <v>0.54</v>
      </c>
      <c r="Q232" s="119">
        <v>0.53</v>
      </c>
      <c r="R232" s="119">
        <v>0.57999999999999996</v>
      </c>
      <c r="S232" s="119">
        <v>0.55000000000000004</v>
      </c>
      <c r="T232" s="119"/>
      <c r="U232" s="119"/>
      <c r="V232" s="119">
        <v>0.56000000000000005</v>
      </c>
      <c r="W232" s="119">
        <v>0.53500000000000003</v>
      </c>
      <c r="X232" s="119">
        <f t="shared" si="290"/>
        <v>0.53</v>
      </c>
      <c r="Y232" s="118">
        <f t="shared" si="257"/>
        <v>0.54642857142857149</v>
      </c>
      <c r="Z232" s="109">
        <f t="shared" si="258"/>
        <v>57240</v>
      </c>
      <c r="AA232" s="109">
        <f>'CALCULO GERAL'!$G$10</f>
        <v>6300</v>
      </c>
      <c r="AB232" s="109">
        <f t="shared" si="259"/>
        <v>63540</v>
      </c>
      <c r="AC232" s="109">
        <f>AB232*'CALCULO GERAL'!$C$11</f>
        <v>318907.26</v>
      </c>
      <c r="AD232" s="109">
        <f t="shared" si="260"/>
        <v>82915.887600000002</v>
      </c>
      <c r="AE232" s="109">
        <f t="shared" si="261"/>
        <v>0</v>
      </c>
      <c r="AF232" s="109">
        <f t="shared" si="262"/>
        <v>6697.0524600000008</v>
      </c>
      <c r="AG232" s="109">
        <f t="shared" si="263"/>
        <v>33325.808669999999</v>
      </c>
      <c r="AH232" s="109">
        <v>154.22999999999999</v>
      </c>
      <c r="AI232" s="109">
        <f>((AA232*'CALCULO GERAL'!$C$11))*0.08+20</f>
        <v>2549.576</v>
      </c>
      <c r="AJ232" s="109">
        <v>1010</v>
      </c>
      <c r="AK232" s="109">
        <v>2500</v>
      </c>
      <c r="AL232" s="109">
        <f>(AA232*('CALCULO GERAL'!$C$11*1.02))-(AA232*'CALCULO GERAL'!$C$11)</f>
        <v>632.39400000000387</v>
      </c>
      <c r="AM232" s="109">
        <v>1800</v>
      </c>
      <c r="AN232" s="109">
        <v>2600</v>
      </c>
      <c r="AO232" s="109">
        <v>9400</v>
      </c>
      <c r="AP232" s="109">
        <v>1000</v>
      </c>
      <c r="AQ232" s="109">
        <v>0</v>
      </c>
      <c r="AR232" s="109">
        <v>0</v>
      </c>
      <c r="AS232" s="109"/>
      <c r="AT232" s="109">
        <f t="shared" si="264"/>
        <v>463492.20873000001</v>
      </c>
      <c r="AU232" s="111">
        <f t="shared" si="265"/>
        <v>4.2915945252777776</v>
      </c>
      <c r="AV232" s="109">
        <f>IFERROR((BS232*'CALCULO GERAL'!$E$11)/N232,0)</f>
        <v>0.1013838</v>
      </c>
      <c r="AW232" s="109">
        <f>AU232/'CALCULO GERAL'!$C$11</f>
        <v>0.8550696404219521</v>
      </c>
      <c r="AX232" s="109">
        <f>BP232-BB232-BD232*'CALCULO GERAL'!$C$11</f>
        <v>4.9931521500000002</v>
      </c>
      <c r="AY232" s="109">
        <f t="shared" si="266"/>
        <v>8.2387010475000008E-2</v>
      </c>
      <c r="AZ232" s="109">
        <f t="shared" si="267"/>
        <v>0.3794795634</v>
      </c>
      <c r="BA232" s="109">
        <f t="shared" si="268"/>
        <v>5.0691899999999999</v>
      </c>
      <c r="BB232" s="109">
        <f t="shared" si="269"/>
        <v>7.603784999999999E-2</v>
      </c>
      <c r="BC232" s="109">
        <f t="shared" si="270"/>
        <v>5.0691899999999999</v>
      </c>
      <c r="BD232" s="109">
        <f t="shared" si="271"/>
        <v>0</v>
      </c>
      <c r="BE232" s="109">
        <f t="shared" si="272"/>
        <v>43797.801599999999</v>
      </c>
      <c r="BF232" s="109">
        <f t="shared" si="273"/>
        <v>65696.702399999995</v>
      </c>
      <c r="BG232" s="109">
        <f t="shared" si="274"/>
        <v>5.4747251999999989E-2</v>
      </c>
      <c r="BH232" s="109">
        <f t="shared" si="275"/>
        <v>6.0830279999999994E-2</v>
      </c>
      <c r="BI232" s="109">
        <f t="shared" si="276"/>
        <v>0</v>
      </c>
      <c r="BJ232" s="109">
        <f t="shared" si="277"/>
        <v>0.75486575587500004</v>
      </c>
      <c r="BK232" s="109">
        <f t="shared" si="278"/>
        <v>5.0464602811527772</v>
      </c>
      <c r="BL232" s="148">
        <v>0.86</v>
      </c>
      <c r="BM232" s="112">
        <f>ROUND((AW232/BL232)+((AW232*BL232)*'CALCULO GERAL'!$E$11)/BL232,2)</f>
        <v>1.01</v>
      </c>
      <c r="BN232" s="186">
        <f t="shared" si="279"/>
        <v>1.01</v>
      </c>
      <c r="BO232" s="186">
        <f t="shared" si="280"/>
        <v>1.1830000000000001</v>
      </c>
      <c r="BP232" s="109">
        <f>BM232*'CALCULO GERAL'!$C$11</f>
        <v>5.0691899999999999</v>
      </c>
      <c r="BQ232" s="109">
        <f>BO232*'CALCULO GERAL'!$C$11</f>
        <v>5.9374770000000003</v>
      </c>
      <c r="BR232" s="186">
        <f>BN232*'CALCULO GERAL'!$C$11</f>
        <v>5.0691899999999999</v>
      </c>
      <c r="BS232" s="109">
        <f t="shared" si="281"/>
        <v>547472.52</v>
      </c>
      <c r="BT232" s="109">
        <f t="shared" si="222"/>
        <v>83980.311270000006</v>
      </c>
      <c r="BU232" s="109">
        <f t="shared" si="282"/>
        <v>547472.52</v>
      </c>
      <c r="BV232" s="109">
        <f t="shared" si="283"/>
        <v>545017.71036449994</v>
      </c>
      <c r="BW232" s="109">
        <f t="shared" si="284"/>
        <v>2454.8096355000744</v>
      </c>
      <c r="BX232" s="114">
        <f t="shared" si="285"/>
        <v>4.4838956218297022E-3</v>
      </c>
      <c r="BY232" s="152">
        <f t="shared" si="286"/>
        <v>0.86</v>
      </c>
      <c r="CA232" s="55"/>
      <c r="CB232" s="113"/>
      <c r="CC232" s="113"/>
      <c r="CE232" s="152">
        <f t="shared" si="287"/>
        <v>0</v>
      </c>
      <c r="CF232" s="152">
        <f t="shared" si="288"/>
        <v>1</v>
      </c>
      <c r="CG232" s="152">
        <f t="shared" si="289"/>
        <v>1</v>
      </c>
      <c r="CH232" s="34"/>
      <c r="CJ232" s="11"/>
      <c r="CK232" s="11"/>
    </row>
    <row r="233" spans="1:89" s="152" customFormat="1" x14ac:dyDescent="0.2">
      <c r="A233" s="125" t="s">
        <v>366</v>
      </c>
      <c r="B233" s="187" t="s">
        <v>297</v>
      </c>
      <c r="C233" s="8">
        <v>0.26</v>
      </c>
      <c r="D233" s="8">
        <v>0</v>
      </c>
      <c r="E233" s="7">
        <v>2.1000000000000001E-2</v>
      </c>
      <c r="F233" s="7">
        <v>0.1045</v>
      </c>
      <c r="G233" s="1">
        <v>1.6500000000000001E-2</v>
      </c>
      <c r="H233" s="1">
        <v>7.5999999999999998E-2</v>
      </c>
      <c r="I233" s="1">
        <v>0.18</v>
      </c>
      <c r="J233" s="1">
        <v>0.04</v>
      </c>
      <c r="K233" s="1">
        <v>0.14000000000000001</v>
      </c>
      <c r="L233" s="1">
        <v>1.4999999999999999E-2</v>
      </c>
      <c r="M233" s="2" t="s">
        <v>175</v>
      </c>
      <c r="N233" s="105">
        <v>104000</v>
      </c>
      <c r="O233" s="119">
        <v>0.56999999999999995</v>
      </c>
      <c r="P233" s="119">
        <v>0.56000000000000005</v>
      </c>
      <c r="Q233" s="119">
        <v>0.54</v>
      </c>
      <c r="R233" s="119">
        <v>0.6</v>
      </c>
      <c r="S233" s="119">
        <v>0.56000000000000005</v>
      </c>
      <c r="T233" s="119"/>
      <c r="U233" s="119"/>
      <c r="V233" s="119">
        <v>0.56999999999999995</v>
      </c>
      <c r="W233" s="119">
        <v>0.54500000000000004</v>
      </c>
      <c r="X233" s="119">
        <f t="shared" si="290"/>
        <v>0.54</v>
      </c>
      <c r="Y233" s="118">
        <f t="shared" si="257"/>
        <v>0.5635714285714285</v>
      </c>
      <c r="Z233" s="109">
        <f t="shared" si="258"/>
        <v>56160.000000000007</v>
      </c>
      <c r="AA233" s="109">
        <f>'CALCULO GERAL'!$G$10</f>
        <v>6300</v>
      </c>
      <c r="AB233" s="109">
        <f t="shared" si="259"/>
        <v>62460.000000000007</v>
      </c>
      <c r="AC233" s="109">
        <f>AB233*'CALCULO GERAL'!$C$11</f>
        <v>313486.74000000005</v>
      </c>
      <c r="AD233" s="109">
        <f t="shared" si="260"/>
        <v>81506.552400000015</v>
      </c>
      <c r="AE233" s="109">
        <f t="shared" si="261"/>
        <v>0</v>
      </c>
      <c r="AF233" s="109">
        <f t="shared" si="262"/>
        <v>6583.2215400000014</v>
      </c>
      <c r="AG233" s="109">
        <f t="shared" si="263"/>
        <v>32759.364330000004</v>
      </c>
      <c r="AH233" s="109">
        <v>154.22999999999999</v>
      </c>
      <c r="AI233" s="109">
        <f>((AA233*'CALCULO GERAL'!$C$11))*0.08+20</f>
        <v>2549.576</v>
      </c>
      <c r="AJ233" s="109">
        <v>1010</v>
      </c>
      <c r="AK233" s="109">
        <v>2500</v>
      </c>
      <c r="AL233" s="109">
        <f>(AA233*('CALCULO GERAL'!$C$11*1.02))-(AA233*'CALCULO GERAL'!$C$11)</f>
        <v>632.39400000000387</v>
      </c>
      <c r="AM233" s="109">
        <v>1800</v>
      </c>
      <c r="AN233" s="109">
        <v>2600</v>
      </c>
      <c r="AO233" s="109">
        <v>9400</v>
      </c>
      <c r="AP233" s="109">
        <v>1000</v>
      </c>
      <c r="AQ233" s="109">
        <v>0</v>
      </c>
      <c r="AR233" s="109">
        <v>0</v>
      </c>
      <c r="AS233" s="109"/>
      <c r="AT233" s="109">
        <f t="shared" si="264"/>
        <v>455982.07827000006</v>
      </c>
      <c r="AU233" s="111">
        <f t="shared" si="265"/>
        <v>4.3844430602884623</v>
      </c>
      <c r="AV233" s="109">
        <f>IFERROR((BS233*'CALCULO GERAL'!$E$11)/N233,0)</f>
        <v>0.10339140000000001</v>
      </c>
      <c r="AW233" s="109">
        <f>AU233/'CALCULO GERAL'!$C$11</f>
        <v>0.87356904966895044</v>
      </c>
      <c r="AX233" s="109">
        <f>BP233-BB233-BD233*'CALCULO GERAL'!$C$11</f>
        <v>5.0920264500000005</v>
      </c>
      <c r="AY233" s="109">
        <f t="shared" si="266"/>
        <v>8.4018436425000009E-2</v>
      </c>
      <c r="AZ233" s="109">
        <f t="shared" si="267"/>
        <v>0.38699401020000002</v>
      </c>
      <c r="BA233" s="109">
        <f t="shared" si="268"/>
        <v>5.1695700000000002</v>
      </c>
      <c r="BB233" s="109">
        <f t="shared" si="269"/>
        <v>7.7543550000000003E-2</v>
      </c>
      <c r="BC233" s="109">
        <f t="shared" si="270"/>
        <v>5.1695700000000002</v>
      </c>
      <c r="BD233" s="109">
        <f t="shared" si="271"/>
        <v>0</v>
      </c>
      <c r="BE233" s="109">
        <f t="shared" si="272"/>
        <v>43010.822400000005</v>
      </c>
      <c r="BF233" s="109">
        <f t="shared" si="273"/>
        <v>64516.2336</v>
      </c>
      <c r="BG233" s="109">
        <f t="shared" si="274"/>
        <v>5.5831355999999999E-2</v>
      </c>
      <c r="BH233" s="109">
        <f t="shared" si="275"/>
        <v>6.2034840000000008E-2</v>
      </c>
      <c r="BI233" s="109">
        <f t="shared" si="276"/>
        <v>0</v>
      </c>
      <c r="BJ233" s="109">
        <f t="shared" si="277"/>
        <v>0.76981359262500004</v>
      </c>
      <c r="BK233" s="109">
        <f t="shared" si="278"/>
        <v>5.1542566529134621</v>
      </c>
      <c r="BL233" s="148">
        <v>0.86</v>
      </c>
      <c r="BM233" s="112">
        <f>ROUND((AW233/BL233)+((AW233*BL233)*'CALCULO GERAL'!$E$11)/BL233,2)</f>
        <v>1.03</v>
      </c>
      <c r="BN233" s="186">
        <f t="shared" si="279"/>
        <v>1.03</v>
      </c>
      <c r="BO233" s="186">
        <f t="shared" si="280"/>
        <v>1.2070000000000001</v>
      </c>
      <c r="BP233" s="109">
        <f>BM233*'CALCULO GERAL'!$C$11</f>
        <v>5.1695700000000002</v>
      </c>
      <c r="BQ233" s="109">
        <f>BO233*'CALCULO GERAL'!$C$11</f>
        <v>6.0579330000000002</v>
      </c>
      <c r="BR233" s="186">
        <f>BN233*'CALCULO GERAL'!$C$11</f>
        <v>5.1695700000000002</v>
      </c>
      <c r="BS233" s="109">
        <f t="shared" si="281"/>
        <v>537635.28</v>
      </c>
      <c r="BT233" s="109">
        <f t="shared" si="222"/>
        <v>81653.201729999972</v>
      </c>
      <c r="BU233" s="109">
        <f t="shared" si="282"/>
        <v>537635.28</v>
      </c>
      <c r="BV233" s="109">
        <f t="shared" si="283"/>
        <v>536042.69190300012</v>
      </c>
      <c r="BW233" s="109">
        <f t="shared" si="284"/>
        <v>1592.5880969999125</v>
      </c>
      <c r="BX233" s="114">
        <f t="shared" si="285"/>
        <v>2.9622090592713937E-3</v>
      </c>
      <c r="BY233" s="152">
        <f t="shared" si="286"/>
        <v>0.86</v>
      </c>
      <c r="CA233" s="55"/>
      <c r="CB233" s="113"/>
      <c r="CC233" s="113"/>
      <c r="CE233" s="152">
        <f t="shared" si="287"/>
        <v>0</v>
      </c>
      <c r="CF233" s="152">
        <f t="shared" si="288"/>
        <v>1</v>
      </c>
      <c r="CG233" s="152">
        <f t="shared" si="289"/>
        <v>1</v>
      </c>
      <c r="CH233" s="34"/>
      <c r="CJ233" s="11"/>
      <c r="CK233" s="11"/>
    </row>
    <row r="234" spans="1:89" s="152" customFormat="1" x14ac:dyDescent="0.2">
      <c r="A234" s="125" t="s">
        <v>367</v>
      </c>
      <c r="B234" s="187" t="s">
        <v>297</v>
      </c>
      <c r="C234" s="8">
        <v>0.26</v>
      </c>
      <c r="D234" s="8">
        <v>0</v>
      </c>
      <c r="E234" s="7">
        <v>2.1000000000000001E-2</v>
      </c>
      <c r="F234" s="7">
        <v>0.1045</v>
      </c>
      <c r="G234" s="1">
        <v>1.6500000000000001E-2</v>
      </c>
      <c r="H234" s="1">
        <v>7.5999999999999998E-2</v>
      </c>
      <c r="I234" s="1">
        <v>0.18</v>
      </c>
      <c r="J234" s="1">
        <v>0.04</v>
      </c>
      <c r="K234" s="1">
        <v>0.14000000000000001</v>
      </c>
      <c r="L234" s="1">
        <v>1.4999999999999999E-2</v>
      </c>
      <c r="M234" s="2" t="s">
        <v>175</v>
      </c>
      <c r="N234" s="105">
        <v>81000</v>
      </c>
      <c r="O234" s="119">
        <v>0.63500000000000001</v>
      </c>
      <c r="P234" s="119"/>
      <c r="Q234" s="119"/>
      <c r="R234" s="119"/>
      <c r="S234" s="119"/>
      <c r="T234" s="119"/>
      <c r="U234" s="119"/>
      <c r="V234" s="119"/>
      <c r="W234" s="119"/>
      <c r="X234" s="119">
        <f t="shared" si="290"/>
        <v>0.63500000000000001</v>
      </c>
      <c r="Y234" s="118">
        <f>AVERAGE(O234:W234)</f>
        <v>0.63500000000000001</v>
      </c>
      <c r="Z234" s="109">
        <f>X234*N234</f>
        <v>51435</v>
      </c>
      <c r="AA234" s="109">
        <f>'CALCULO GERAL'!$G$10</f>
        <v>6300</v>
      </c>
      <c r="AB234" s="109">
        <f>Z234+AA234</f>
        <v>57735</v>
      </c>
      <c r="AC234" s="109">
        <f>AB234*'CALCULO GERAL'!$C$11</f>
        <v>289771.96500000003</v>
      </c>
      <c r="AD234" s="109">
        <f>AC234*C234</f>
        <v>75340.710900000005</v>
      </c>
      <c r="AE234" s="109">
        <f>(AC234+AD234)*D234</f>
        <v>0</v>
      </c>
      <c r="AF234" s="109">
        <f>AC234*E234</f>
        <v>6085.2112650000008</v>
      </c>
      <c r="AG234" s="109">
        <f>AC234*F234</f>
        <v>30281.170342500001</v>
      </c>
      <c r="AH234" s="109">
        <v>154.22999999999999</v>
      </c>
      <c r="AI234" s="109">
        <f>((AA234*'CALCULO GERAL'!$C$11))*0.08+20</f>
        <v>2549.576</v>
      </c>
      <c r="AJ234" s="109">
        <v>1010</v>
      </c>
      <c r="AK234" s="109">
        <v>2500</v>
      </c>
      <c r="AL234" s="109">
        <f>(AA234*('CALCULO GERAL'!$C$11*1.02))-(AA234*'CALCULO GERAL'!$C$11)</f>
        <v>632.39400000000387</v>
      </c>
      <c r="AM234" s="109">
        <v>1800</v>
      </c>
      <c r="AN234" s="109">
        <v>2600</v>
      </c>
      <c r="AO234" s="109">
        <v>9400</v>
      </c>
      <c r="AP234" s="109">
        <v>1000</v>
      </c>
      <c r="AQ234" s="109">
        <v>0</v>
      </c>
      <c r="AR234" s="109">
        <v>0</v>
      </c>
      <c r="AS234" s="109"/>
      <c r="AT234" s="109">
        <f t="shared" si="264"/>
        <v>423125.25750750006</v>
      </c>
      <c r="AU234" s="111">
        <f t="shared" si="265"/>
        <v>5.2237686112037043</v>
      </c>
      <c r="AV234" s="109">
        <f>IFERROR((BS234*'CALCULO GERAL'!$E$11)/N234,0)</f>
        <v>0.12346740000000002</v>
      </c>
      <c r="AW234" s="109">
        <f>AU234/'CALCULO GERAL'!$C$11</f>
        <v>1.0407986872292696</v>
      </c>
      <c r="AX234" s="109">
        <f>BP234-BB234-BD234*'CALCULO GERAL'!$C$11</f>
        <v>6.08076945</v>
      </c>
      <c r="AY234" s="109">
        <f t="shared" si="266"/>
        <v>0.10033269592500001</v>
      </c>
      <c r="AZ234" s="109">
        <f t="shared" si="267"/>
        <v>0.46213847819999998</v>
      </c>
      <c r="BA234" s="109">
        <f t="shared" si="268"/>
        <v>6.1733700000000002</v>
      </c>
      <c r="BB234" s="109">
        <f t="shared" si="269"/>
        <v>9.2600550000000004E-2</v>
      </c>
      <c r="BC234" s="109">
        <f t="shared" si="270"/>
        <v>6.1733700000000002</v>
      </c>
      <c r="BD234" s="109">
        <f t="shared" si="271"/>
        <v>0</v>
      </c>
      <c r="BE234" s="109">
        <f t="shared" si="272"/>
        <v>40003.437600000005</v>
      </c>
      <c r="BF234" s="109">
        <f t="shared" si="273"/>
        <v>60005.1564</v>
      </c>
      <c r="BG234" s="109">
        <f t="shared" si="274"/>
        <v>6.6672396000000009E-2</v>
      </c>
      <c r="BH234" s="109">
        <f t="shared" si="275"/>
        <v>7.4080440000000011E-2</v>
      </c>
      <c r="BI234" s="109">
        <f t="shared" si="276"/>
        <v>0</v>
      </c>
      <c r="BJ234" s="109">
        <f t="shared" si="277"/>
        <v>0.91929196012500003</v>
      </c>
      <c r="BK234" s="109">
        <f t="shared" si="278"/>
        <v>6.1430605713287045</v>
      </c>
      <c r="BL234" s="148">
        <v>0.86</v>
      </c>
      <c r="BM234" s="112">
        <f>ROUND((AW234/BL234)+((AW234*BL234)*'CALCULO GERAL'!$E$11)/BL234,2)</f>
        <v>1.23</v>
      </c>
      <c r="BN234" s="186">
        <f t="shared" si="279"/>
        <v>1.23</v>
      </c>
      <c r="BO234" s="186">
        <f t="shared" si="280"/>
        <v>1.4410000000000001</v>
      </c>
      <c r="BP234" s="109">
        <f>BM234*'CALCULO GERAL'!$C$11</f>
        <v>6.1733700000000002</v>
      </c>
      <c r="BQ234" s="109">
        <f>BO234*'CALCULO GERAL'!$C$11</f>
        <v>7.2323790000000008</v>
      </c>
      <c r="BR234" s="186">
        <f>BN234*'CALCULO GERAL'!$C$11</f>
        <v>6.1733700000000002</v>
      </c>
      <c r="BS234" s="109">
        <f t="shared" si="281"/>
        <v>500042.97000000003</v>
      </c>
      <c r="BT234" s="109">
        <f t="shared" si="222"/>
        <v>76917.712492499966</v>
      </c>
      <c r="BU234" s="109">
        <f t="shared" si="282"/>
        <v>500042.97000000003</v>
      </c>
      <c r="BV234" s="109">
        <f t="shared" si="283"/>
        <v>497587.90627762506</v>
      </c>
      <c r="BW234" s="109">
        <f t="shared" si="284"/>
        <v>2455.0637223749654</v>
      </c>
      <c r="BX234" s="114">
        <f t="shared" si="285"/>
        <v>4.9097055046588602E-3</v>
      </c>
      <c r="BY234" s="152">
        <f>ROUND(BL234,2)</f>
        <v>0.86</v>
      </c>
      <c r="CA234" s="55"/>
      <c r="CB234" s="113"/>
      <c r="CC234" s="113"/>
      <c r="CE234" s="152">
        <f>CC234/BY234</f>
        <v>0</v>
      </c>
      <c r="CF234" s="152">
        <f>100%-CE234</f>
        <v>1</v>
      </c>
      <c r="CG234" s="152">
        <f>AVERAGE(CF234,CD234)</f>
        <v>1</v>
      </c>
      <c r="CH234" s="34"/>
      <c r="CJ234" s="11"/>
      <c r="CK234" s="11"/>
    </row>
    <row r="235" spans="1:89" s="152" customFormat="1" x14ac:dyDescent="0.2">
      <c r="A235" s="125" t="s">
        <v>368</v>
      </c>
      <c r="B235" s="187" t="s">
        <v>325</v>
      </c>
      <c r="C235" s="8">
        <v>0.26</v>
      </c>
      <c r="D235" s="8">
        <v>0</v>
      </c>
      <c r="E235" s="7">
        <v>2.1000000000000001E-2</v>
      </c>
      <c r="F235" s="7">
        <v>0.1045</v>
      </c>
      <c r="G235" s="1">
        <v>1.6500000000000001E-2</v>
      </c>
      <c r="H235" s="1">
        <v>7.5999999999999998E-2</v>
      </c>
      <c r="I235" s="1">
        <v>0.18</v>
      </c>
      <c r="J235" s="1">
        <v>0.04</v>
      </c>
      <c r="K235" s="1">
        <v>0.14000000000000001</v>
      </c>
      <c r="L235" s="1">
        <v>1.4999999999999999E-2</v>
      </c>
      <c r="M235" s="2" t="s">
        <v>175</v>
      </c>
      <c r="N235" s="105">
        <v>81000</v>
      </c>
      <c r="O235" s="119">
        <v>0.66</v>
      </c>
      <c r="P235" s="119"/>
      <c r="Q235" s="119"/>
      <c r="R235" s="119"/>
      <c r="S235" s="119"/>
      <c r="T235" s="119"/>
      <c r="U235" s="119"/>
      <c r="V235" s="119"/>
      <c r="W235" s="119"/>
      <c r="X235" s="119">
        <f t="shared" si="290"/>
        <v>0.66</v>
      </c>
      <c r="Y235" s="118">
        <f>AVERAGE(O235:W235)</f>
        <v>0.66</v>
      </c>
      <c r="Z235" s="109">
        <f>X235*N235</f>
        <v>53460</v>
      </c>
      <c r="AA235" s="109">
        <f>'CALCULO GERAL'!$G$10</f>
        <v>6300</v>
      </c>
      <c r="AB235" s="109">
        <f>Z235+AA235</f>
        <v>59760</v>
      </c>
      <c r="AC235" s="109">
        <f>AB235*'CALCULO GERAL'!$C$11</f>
        <v>299935.44</v>
      </c>
      <c r="AD235" s="109">
        <f>AC235*C235</f>
        <v>77983.214399999997</v>
      </c>
      <c r="AE235" s="109">
        <f>(AC235+AD235)*D235</f>
        <v>0</v>
      </c>
      <c r="AF235" s="109">
        <f>AC235*E235</f>
        <v>6298.6442400000005</v>
      </c>
      <c r="AG235" s="109">
        <f>AC235*F235</f>
        <v>31343.253479999999</v>
      </c>
      <c r="AH235" s="109">
        <v>154.22999999999999</v>
      </c>
      <c r="AI235" s="109">
        <f>((AA235*'CALCULO GERAL'!$C$11))*0.08+20</f>
        <v>2549.576</v>
      </c>
      <c r="AJ235" s="109">
        <v>1010</v>
      </c>
      <c r="AK235" s="109">
        <v>2500</v>
      </c>
      <c r="AL235" s="109">
        <f>(AA235*('CALCULO GERAL'!$C$11*1.02))-(AA235*'CALCULO GERAL'!$C$11)</f>
        <v>632.39400000000387</v>
      </c>
      <c r="AM235" s="109">
        <v>1800</v>
      </c>
      <c r="AN235" s="109">
        <v>2600</v>
      </c>
      <c r="AO235" s="109">
        <v>9400</v>
      </c>
      <c r="AP235" s="109">
        <v>1000</v>
      </c>
      <c r="AQ235" s="109">
        <v>0</v>
      </c>
      <c r="AR235" s="109">
        <v>0</v>
      </c>
      <c r="AS235" s="109"/>
      <c r="AT235" s="109">
        <f t="shared" si="264"/>
        <v>437206.75212000002</v>
      </c>
      <c r="AU235" s="111">
        <f t="shared" si="265"/>
        <v>5.3976142237037044</v>
      </c>
      <c r="AV235" s="109">
        <f>IFERROR((BS235*'CALCULO GERAL'!$E$11)/N235,0)</f>
        <v>0.12748260000000003</v>
      </c>
      <c r="AW235" s="109">
        <f>AU235/'CALCULO GERAL'!$C$11</f>
        <v>1.0754361872292697</v>
      </c>
      <c r="AX235" s="109">
        <f>BP235-BB235-BD235*'CALCULO GERAL'!$C$11</f>
        <v>6.2785180499999997</v>
      </c>
      <c r="AY235" s="109">
        <f t="shared" si="266"/>
        <v>0.103595547825</v>
      </c>
      <c r="AZ235" s="109">
        <f t="shared" si="267"/>
        <v>0.47716737179999996</v>
      </c>
      <c r="BA235" s="109">
        <f t="shared" si="268"/>
        <v>6.3741300000000001</v>
      </c>
      <c r="BB235" s="109">
        <f t="shared" si="269"/>
        <v>9.5611950000000001E-2</v>
      </c>
      <c r="BC235" s="109">
        <f t="shared" si="270"/>
        <v>6.3741300000000001</v>
      </c>
      <c r="BD235" s="109">
        <f t="shared" si="271"/>
        <v>0</v>
      </c>
      <c r="BE235" s="109">
        <f t="shared" si="272"/>
        <v>41304.362400000005</v>
      </c>
      <c r="BF235" s="109">
        <f t="shared" si="273"/>
        <v>61956.543600000005</v>
      </c>
      <c r="BG235" s="109">
        <f t="shared" si="274"/>
        <v>6.8840604000000014E-2</v>
      </c>
      <c r="BH235" s="109">
        <f t="shared" si="275"/>
        <v>7.6489560000000012E-2</v>
      </c>
      <c r="BI235" s="109">
        <f t="shared" si="276"/>
        <v>0</v>
      </c>
      <c r="BJ235" s="109">
        <f t="shared" si="277"/>
        <v>0.94918763362500003</v>
      </c>
      <c r="BK235" s="109">
        <f t="shared" si="278"/>
        <v>6.3468018573287042</v>
      </c>
      <c r="BL235" s="148">
        <v>0.86</v>
      </c>
      <c r="BM235" s="112">
        <f>ROUND((AW235/BL235)+((AW235*BL235)*'CALCULO GERAL'!$E$11)/BL235,2)</f>
        <v>1.27</v>
      </c>
      <c r="BN235" s="186">
        <f t="shared" si="279"/>
        <v>1.27</v>
      </c>
      <c r="BO235" s="186">
        <f t="shared" si="280"/>
        <v>1.488</v>
      </c>
      <c r="BP235" s="109">
        <f>BM235*'CALCULO GERAL'!$C$11</f>
        <v>6.3741300000000001</v>
      </c>
      <c r="BQ235" s="109">
        <f>BO235*'CALCULO GERAL'!$C$11</f>
        <v>7.4682719999999998</v>
      </c>
      <c r="BR235" s="186">
        <f>BN235*'CALCULO GERAL'!$C$11</f>
        <v>6.3741300000000001</v>
      </c>
      <c r="BS235" s="109">
        <f t="shared" si="281"/>
        <v>516304.53</v>
      </c>
      <c r="BT235" s="109">
        <f t="shared" si="222"/>
        <v>79097.777880000009</v>
      </c>
      <c r="BU235" s="109">
        <f t="shared" si="282"/>
        <v>516304.53</v>
      </c>
      <c r="BV235" s="109">
        <f t="shared" si="283"/>
        <v>514090.95044362504</v>
      </c>
      <c r="BW235" s="109">
        <f t="shared" si="284"/>
        <v>2213.5795563749853</v>
      </c>
      <c r="BX235" s="114">
        <f t="shared" si="285"/>
        <v>4.2873525753783044E-3</v>
      </c>
      <c r="BY235" s="152">
        <f>ROUND(BL235,2)</f>
        <v>0.86</v>
      </c>
      <c r="CA235" s="55"/>
      <c r="CB235" s="113"/>
      <c r="CC235" s="113"/>
      <c r="CE235" s="152">
        <f>CC235/BY235</f>
        <v>0</v>
      </c>
      <c r="CF235" s="152">
        <f>100%-CE235</f>
        <v>1</v>
      </c>
      <c r="CG235" s="152">
        <f>AVERAGE(CF235,CD235)</f>
        <v>1</v>
      </c>
      <c r="CH235" s="34"/>
      <c r="CJ235" s="11"/>
      <c r="CK235" s="11"/>
    </row>
    <row r="236" spans="1:89" s="152" customFormat="1" x14ac:dyDescent="0.2">
      <c r="A236" s="125" t="s">
        <v>369</v>
      </c>
      <c r="B236" s="187" t="s">
        <v>297</v>
      </c>
      <c r="C236" s="8">
        <v>0.26</v>
      </c>
      <c r="D236" s="8">
        <v>0</v>
      </c>
      <c r="E236" s="7">
        <v>2.1000000000000001E-2</v>
      </c>
      <c r="F236" s="7">
        <v>0.1045</v>
      </c>
      <c r="G236" s="1">
        <v>1.6500000000000001E-2</v>
      </c>
      <c r="H236" s="1">
        <v>7.5999999999999998E-2</v>
      </c>
      <c r="I236" s="1">
        <v>0.18</v>
      </c>
      <c r="J236" s="1">
        <v>0.04</v>
      </c>
      <c r="K236" s="1">
        <v>0.14000000000000001</v>
      </c>
      <c r="L236" s="1">
        <v>1.4999999999999999E-2</v>
      </c>
      <c r="M236" s="2" t="s">
        <v>175</v>
      </c>
      <c r="N236" s="105">
        <v>81000</v>
      </c>
      <c r="O236" s="119">
        <v>0.7</v>
      </c>
      <c r="P236" s="119"/>
      <c r="Q236" s="119"/>
      <c r="R236" s="119"/>
      <c r="S236" s="119"/>
      <c r="T236" s="119"/>
      <c r="U236" s="119"/>
      <c r="V236" s="119"/>
      <c r="W236" s="119"/>
      <c r="X236" s="119">
        <f t="shared" si="290"/>
        <v>0.7</v>
      </c>
      <c r="Y236" s="118">
        <f>AVERAGE(O236:W236)</f>
        <v>0.7</v>
      </c>
      <c r="Z236" s="109">
        <f>X236*N236</f>
        <v>56700</v>
      </c>
      <c r="AA236" s="109">
        <f>'CALCULO GERAL'!$G$10</f>
        <v>6300</v>
      </c>
      <c r="AB236" s="109">
        <f>Z236+AA236</f>
        <v>63000</v>
      </c>
      <c r="AC236" s="109">
        <f>AB236*'CALCULO GERAL'!$C$11</f>
        <v>316197</v>
      </c>
      <c r="AD236" s="109">
        <f>AC236*C236</f>
        <v>82211.22</v>
      </c>
      <c r="AE236" s="109">
        <f>(AC236+AD236)*D236</f>
        <v>0</v>
      </c>
      <c r="AF236" s="109">
        <f>AC236*E236</f>
        <v>6640.1370000000006</v>
      </c>
      <c r="AG236" s="109">
        <f>AC236*F236</f>
        <v>33042.586499999998</v>
      </c>
      <c r="AH236" s="109">
        <v>154.22999999999999</v>
      </c>
      <c r="AI236" s="109">
        <f>((AA236*'CALCULO GERAL'!$C$11))*0.08+20</f>
        <v>2549.576</v>
      </c>
      <c r="AJ236" s="109">
        <v>1010</v>
      </c>
      <c r="AK236" s="109">
        <v>2500</v>
      </c>
      <c r="AL236" s="109">
        <f>(AA236*('CALCULO GERAL'!$C$11*1.02))-(AA236*'CALCULO GERAL'!$C$11)</f>
        <v>632.39400000000387</v>
      </c>
      <c r="AM236" s="109">
        <v>1800</v>
      </c>
      <c r="AN236" s="109">
        <v>2600</v>
      </c>
      <c r="AO236" s="109">
        <v>9400</v>
      </c>
      <c r="AP236" s="109">
        <v>1000</v>
      </c>
      <c r="AQ236" s="109">
        <v>0</v>
      </c>
      <c r="AR236" s="109">
        <v>0</v>
      </c>
      <c r="AS236" s="109"/>
      <c r="AT236" s="109">
        <f t="shared" si="264"/>
        <v>459737.14349999995</v>
      </c>
      <c r="AU236" s="111">
        <f t="shared" si="265"/>
        <v>5.6757672037037032</v>
      </c>
      <c r="AV236" s="109">
        <f>IFERROR((BS236*'CALCULO GERAL'!$E$11)/N236,0)</f>
        <v>0.13450920000000005</v>
      </c>
      <c r="AW236" s="109">
        <f>AU236/'CALCULO GERAL'!$C$11</f>
        <v>1.1308561872292695</v>
      </c>
      <c r="AX236" s="109">
        <f>BP236-BB236-BD236*'CALCULO GERAL'!$C$11</f>
        <v>6.6245781000000008</v>
      </c>
      <c r="AY236" s="109">
        <f t="shared" si="266"/>
        <v>0.10930553865000002</v>
      </c>
      <c r="AZ236" s="109">
        <f t="shared" si="267"/>
        <v>0.50346793560000003</v>
      </c>
      <c r="BA236" s="109">
        <f t="shared" si="268"/>
        <v>6.7254600000000009</v>
      </c>
      <c r="BB236" s="109">
        <f t="shared" si="269"/>
        <v>0.10088190000000001</v>
      </c>
      <c r="BC236" s="109">
        <f t="shared" si="270"/>
        <v>6.7254600000000009</v>
      </c>
      <c r="BD236" s="109">
        <f t="shared" si="271"/>
        <v>0</v>
      </c>
      <c r="BE236" s="109">
        <f t="shared" si="272"/>
        <v>43580.980800000012</v>
      </c>
      <c r="BF236" s="109">
        <f t="shared" si="273"/>
        <v>65371.471200000015</v>
      </c>
      <c r="BG236" s="109">
        <f t="shared" si="274"/>
        <v>7.2634968000000022E-2</v>
      </c>
      <c r="BH236" s="109">
        <f t="shared" si="275"/>
        <v>8.0705520000000017E-2</v>
      </c>
      <c r="BI236" s="109">
        <f t="shared" si="276"/>
        <v>0</v>
      </c>
      <c r="BJ236" s="109">
        <f t="shared" si="277"/>
        <v>1.0015050622500001</v>
      </c>
      <c r="BK236" s="109">
        <f t="shared" si="278"/>
        <v>6.6772722659537038</v>
      </c>
      <c r="BL236" s="148">
        <v>0.86</v>
      </c>
      <c r="BM236" s="112">
        <f>ROUND((AW236/BL236)+((AW236*BL236)*'CALCULO GERAL'!$E$11)/BL236,2)</f>
        <v>1.34</v>
      </c>
      <c r="BN236" s="186">
        <f t="shared" si="279"/>
        <v>1.34</v>
      </c>
      <c r="BO236" s="186">
        <f t="shared" si="280"/>
        <v>1.57</v>
      </c>
      <c r="BP236" s="109">
        <f>BM236*'CALCULO GERAL'!$C$11</f>
        <v>6.7254600000000009</v>
      </c>
      <c r="BQ236" s="109">
        <f>BO236*'CALCULO GERAL'!$C$11</f>
        <v>7.8798300000000001</v>
      </c>
      <c r="BR236" s="186">
        <f>BN236*'CALCULO GERAL'!$C$11</f>
        <v>6.7254600000000009</v>
      </c>
      <c r="BS236" s="109">
        <f t="shared" si="281"/>
        <v>544762.26000000013</v>
      </c>
      <c r="BT236" s="109">
        <f t="shared" si="222"/>
        <v>85025.116500000178</v>
      </c>
      <c r="BU236" s="109">
        <f t="shared" si="282"/>
        <v>544762.26000000013</v>
      </c>
      <c r="BV236" s="109">
        <f t="shared" si="283"/>
        <v>540859.05354224995</v>
      </c>
      <c r="BW236" s="109">
        <f t="shared" si="284"/>
        <v>3903.2064577501733</v>
      </c>
      <c r="BX236" s="114">
        <f t="shared" si="285"/>
        <v>7.1649722169633634E-3</v>
      </c>
      <c r="BY236" s="152">
        <f>ROUND(BL236,2)</f>
        <v>0.86</v>
      </c>
      <c r="CA236" s="55"/>
      <c r="CB236" s="113"/>
      <c r="CC236" s="113"/>
      <c r="CE236" s="152">
        <f>CC236/BY236</f>
        <v>0</v>
      </c>
      <c r="CF236" s="152">
        <f>100%-CE236</f>
        <v>1</v>
      </c>
      <c r="CG236" s="152">
        <f>AVERAGE(CF236,CD236)</f>
        <v>1</v>
      </c>
      <c r="CH236" s="34"/>
      <c r="CJ236" s="11"/>
      <c r="CK236" s="11"/>
    </row>
    <row r="237" spans="1:89" s="152" customFormat="1" x14ac:dyDescent="0.2">
      <c r="A237" s="125" t="s">
        <v>370</v>
      </c>
      <c r="B237" s="187" t="s">
        <v>297</v>
      </c>
      <c r="C237" s="8">
        <v>0.26</v>
      </c>
      <c r="D237" s="8">
        <v>0</v>
      </c>
      <c r="E237" s="7">
        <v>2.1000000000000001E-2</v>
      </c>
      <c r="F237" s="7">
        <v>0.1045</v>
      </c>
      <c r="G237" s="1">
        <v>1.6500000000000001E-2</v>
      </c>
      <c r="H237" s="1">
        <v>7.5999999999999998E-2</v>
      </c>
      <c r="I237" s="1">
        <v>0.18</v>
      </c>
      <c r="J237" s="1">
        <v>0.04</v>
      </c>
      <c r="K237" s="1">
        <v>0.14000000000000001</v>
      </c>
      <c r="L237" s="1">
        <v>1.4999999999999999E-2</v>
      </c>
      <c r="M237" s="2" t="s">
        <v>175</v>
      </c>
      <c r="N237" s="105">
        <v>74000</v>
      </c>
      <c r="O237" s="119">
        <v>0.76</v>
      </c>
      <c r="P237" s="119"/>
      <c r="Q237" s="119"/>
      <c r="R237" s="119"/>
      <c r="S237" s="119"/>
      <c r="T237" s="119"/>
      <c r="U237" s="119"/>
      <c r="V237" s="119"/>
      <c r="W237" s="119"/>
      <c r="X237" s="119">
        <f t="shared" si="290"/>
        <v>0.76</v>
      </c>
      <c r="Y237" s="118">
        <f>AVERAGE(O237:W237)</f>
        <v>0.76</v>
      </c>
      <c r="Z237" s="109">
        <f>X237*N237</f>
        <v>56240</v>
      </c>
      <c r="AA237" s="109">
        <f>'CALCULO GERAL'!$G$10</f>
        <v>6300</v>
      </c>
      <c r="AB237" s="109">
        <f>Z237+AA237</f>
        <v>62540</v>
      </c>
      <c r="AC237" s="109">
        <f>AB237*'CALCULO GERAL'!$C$11</f>
        <v>313888.26</v>
      </c>
      <c r="AD237" s="109">
        <f>AC237*C237</f>
        <v>81610.9476</v>
      </c>
      <c r="AE237" s="109">
        <f>(AC237+AD237)*D237</f>
        <v>0</v>
      </c>
      <c r="AF237" s="109">
        <f>AC237*E237</f>
        <v>6591.6534600000005</v>
      </c>
      <c r="AG237" s="109">
        <f>AC237*F237</f>
        <v>32801.323169999996</v>
      </c>
      <c r="AH237" s="109">
        <v>154.22999999999999</v>
      </c>
      <c r="AI237" s="109">
        <f>((AA237*'CALCULO GERAL'!$C$11))*0.08+20</f>
        <v>2549.576</v>
      </c>
      <c r="AJ237" s="109">
        <v>1010</v>
      </c>
      <c r="AK237" s="109">
        <v>2500</v>
      </c>
      <c r="AL237" s="109">
        <f>(AA237*('CALCULO GERAL'!$C$11*1.02))-(AA237*'CALCULO GERAL'!$C$11)</f>
        <v>632.39400000000387</v>
      </c>
      <c r="AM237" s="109">
        <v>1800</v>
      </c>
      <c r="AN237" s="109">
        <v>2600</v>
      </c>
      <c r="AO237" s="109">
        <v>9400</v>
      </c>
      <c r="AP237" s="109">
        <v>1000</v>
      </c>
      <c r="AQ237" s="109">
        <v>0</v>
      </c>
      <c r="AR237" s="109">
        <v>0</v>
      </c>
      <c r="AS237" s="109"/>
      <c r="AT237" s="109">
        <f t="shared" si="264"/>
        <v>456538.38423000003</v>
      </c>
      <c r="AU237" s="111">
        <f t="shared" si="265"/>
        <v>6.1694376247297305</v>
      </c>
      <c r="AV237" s="109">
        <f>IFERROR((BS237*'CALCULO GERAL'!$E$11)/N237,0)</f>
        <v>0.14555099999999999</v>
      </c>
      <c r="AW237" s="109">
        <f>AU237/'CALCULO GERAL'!$C$11</f>
        <v>1.2292165022374437</v>
      </c>
      <c r="AX237" s="109">
        <f>BP237-BB237-BD237*'CALCULO GERAL'!$C$11</f>
        <v>7.1683867499999998</v>
      </c>
      <c r="AY237" s="109">
        <f t="shared" si="266"/>
        <v>0.11827838137500001</v>
      </c>
      <c r="AZ237" s="109">
        <f t="shared" si="267"/>
        <v>0.54479739299999996</v>
      </c>
      <c r="BA237" s="109">
        <f t="shared" si="268"/>
        <v>7.2775499999999997</v>
      </c>
      <c r="BB237" s="109">
        <f t="shared" si="269"/>
        <v>0.10916324999999999</v>
      </c>
      <c r="BC237" s="109">
        <f t="shared" si="270"/>
        <v>7.2775499999999997</v>
      </c>
      <c r="BD237" s="109">
        <f t="shared" si="271"/>
        <v>0</v>
      </c>
      <c r="BE237" s="109">
        <f t="shared" si="272"/>
        <v>43083.095999999998</v>
      </c>
      <c r="BF237" s="109">
        <f t="shared" si="273"/>
        <v>64624.643999999993</v>
      </c>
      <c r="BG237" s="109">
        <f t="shared" si="274"/>
        <v>7.8597539999999994E-2</v>
      </c>
      <c r="BH237" s="109">
        <f t="shared" si="275"/>
        <v>8.7330599999999994E-2</v>
      </c>
      <c r="BI237" s="109">
        <f t="shared" si="276"/>
        <v>0</v>
      </c>
      <c r="BJ237" s="109">
        <f t="shared" si="277"/>
        <v>1.0837181643749998</v>
      </c>
      <c r="BK237" s="109">
        <f t="shared" si="278"/>
        <v>7.2531557891047305</v>
      </c>
      <c r="BL237" s="148">
        <v>0.86</v>
      </c>
      <c r="BM237" s="112">
        <f>ROUND((AW237/BL237)+((AW237*BL237)*'CALCULO GERAL'!$E$11)/BL237,2)</f>
        <v>1.45</v>
      </c>
      <c r="BN237" s="186">
        <f t="shared" si="279"/>
        <v>1.45</v>
      </c>
      <c r="BO237" s="186">
        <f t="shared" si="280"/>
        <v>1.6990000000000001</v>
      </c>
      <c r="BP237" s="109">
        <f>BM237*'CALCULO GERAL'!$C$11</f>
        <v>7.2775499999999997</v>
      </c>
      <c r="BQ237" s="109">
        <f>BO237*'CALCULO GERAL'!$C$11</f>
        <v>8.5272810000000003</v>
      </c>
      <c r="BR237" s="186">
        <f>BN237*'CALCULO GERAL'!$C$11</f>
        <v>7.2775499999999997</v>
      </c>
      <c r="BS237" s="109">
        <f t="shared" si="281"/>
        <v>538538.69999999995</v>
      </c>
      <c r="BT237" s="109">
        <f t="shared" si="222"/>
        <v>82000.315769999928</v>
      </c>
      <c r="BU237" s="109">
        <f t="shared" si="282"/>
        <v>538538.69999999995</v>
      </c>
      <c r="BV237" s="109">
        <f t="shared" si="283"/>
        <v>536733.52839375008</v>
      </c>
      <c r="BW237" s="109">
        <f t="shared" si="284"/>
        <v>1805.1716062498745</v>
      </c>
      <c r="BX237" s="114">
        <f t="shared" si="285"/>
        <v>3.3519812155558635E-3</v>
      </c>
      <c r="BY237" s="152">
        <f>ROUND(BL237,2)</f>
        <v>0.86</v>
      </c>
      <c r="CA237" s="55"/>
      <c r="CB237" s="113"/>
      <c r="CC237" s="113"/>
      <c r="CE237" s="152">
        <f>CC237/BY237</f>
        <v>0</v>
      </c>
      <c r="CF237" s="152">
        <f>100%-CE237</f>
        <v>1</v>
      </c>
      <c r="CG237" s="152">
        <f>AVERAGE(CF237,CD237)</f>
        <v>1</v>
      </c>
      <c r="CH237" s="34"/>
      <c r="CJ237" s="11"/>
      <c r="CK237" s="11"/>
    </row>
    <row r="238" spans="1:89" s="152" customFormat="1" x14ac:dyDescent="0.2">
      <c r="A238" s="125" t="s">
        <v>371</v>
      </c>
      <c r="B238" s="187" t="s">
        <v>297</v>
      </c>
      <c r="C238" s="8">
        <v>0.26</v>
      </c>
      <c r="D238" s="8">
        <v>0</v>
      </c>
      <c r="E238" s="7">
        <v>2.1000000000000001E-2</v>
      </c>
      <c r="F238" s="7">
        <v>0.1045</v>
      </c>
      <c r="G238" s="1">
        <v>1.6500000000000001E-2</v>
      </c>
      <c r="H238" s="1">
        <v>7.5999999999999998E-2</v>
      </c>
      <c r="I238" s="1">
        <v>0.18</v>
      </c>
      <c r="J238" s="1">
        <v>0.04</v>
      </c>
      <c r="K238" s="1">
        <v>0.14000000000000001</v>
      </c>
      <c r="L238" s="1">
        <v>1.4999999999999999E-2</v>
      </c>
      <c r="M238" s="2" t="s">
        <v>175</v>
      </c>
      <c r="N238" s="105">
        <v>78000</v>
      </c>
      <c r="O238" s="119">
        <v>0.69</v>
      </c>
      <c r="P238" s="119"/>
      <c r="Q238" s="119"/>
      <c r="R238" s="119"/>
      <c r="S238" s="119"/>
      <c r="T238" s="119"/>
      <c r="U238" s="119"/>
      <c r="V238" s="119"/>
      <c r="W238" s="119"/>
      <c r="X238" s="119">
        <f t="shared" si="290"/>
        <v>0.69</v>
      </c>
      <c r="Y238" s="118">
        <f>AVERAGE(O238:W238)</f>
        <v>0.69</v>
      </c>
      <c r="Z238" s="109">
        <f>X238*N234</f>
        <v>55889.999999999993</v>
      </c>
      <c r="AA238" s="109">
        <f>'CALCULO GERAL'!$G$10</f>
        <v>6300</v>
      </c>
      <c r="AB238" s="109">
        <f>Z238+AA238</f>
        <v>62189.999999999993</v>
      </c>
      <c r="AC238" s="109">
        <f>AB238*'CALCULO GERAL'!$C$11</f>
        <v>312131.61</v>
      </c>
      <c r="AD238" s="109">
        <f>AC238*C238</f>
        <v>81154.218599999993</v>
      </c>
      <c r="AE238" s="109">
        <f>(AC238+AD238)*D238</f>
        <v>0</v>
      </c>
      <c r="AF238" s="109">
        <f>AC238*E238</f>
        <v>6554.7638100000004</v>
      </c>
      <c r="AG238" s="109">
        <f>AC238*F238</f>
        <v>32617.753244999996</v>
      </c>
      <c r="AH238" s="109">
        <v>154.22999999999999</v>
      </c>
      <c r="AI238" s="109">
        <f>((AA238*'CALCULO GERAL'!$C$11))*0.08+20</f>
        <v>2549.576</v>
      </c>
      <c r="AJ238" s="109">
        <v>1010</v>
      </c>
      <c r="AK238" s="109">
        <v>2500</v>
      </c>
      <c r="AL238" s="109">
        <f>(AA238*('CALCULO GERAL'!$C$11*1.02))-(AA238*'CALCULO GERAL'!$C$11)</f>
        <v>632.39400000000387</v>
      </c>
      <c r="AM238" s="109">
        <v>1800</v>
      </c>
      <c r="AN238" s="109">
        <v>2600</v>
      </c>
      <c r="AO238" s="109">
        <v>9400</v>
      </c>
      <c r="AP238" s="109">
        <v>1000</v>
      </c>
      <c r="AQ238" s="109">
        <v>0</v>
      </c>
      <c r="AR238" s="109">
        <v>0</v>
      </c>
      <c r="AS238" s="109"/>
      <c r="AT238" s="109">
        <f t="shared" si="264"/>
        <v>454104.54565499997</v>
      </c>
      <c r="AU238" s="111">
        <f t="shared" si="265"/>
        <v>5.8218531494230765</v>
      </c>
      <c r="AV238" s="109">
        <f>IFERROR((BS238*'CALCULO GERAL'!$E$11)/N238,0)</f>
        <v>0.13752060000000002</v>
      </c>
      <c r="AW238" s="109">
        <f>AU238/'CALCULO GERAL'!$C$11</f>
        <v>1.1599627713534721</v>
      </c>
      <c r="AX238" s="109">
        <f>BP238-BB238-BD238*'CALCULO GERAL'!$C$11</f>
        <v>6.7728895500000013</v>
      </c>
      <c r="AY238" s="109">
        <f t="shared" si="266"/>
        <v>0.11175267757500003</v>
      </c>
      <c r="AZ238" s="109">
        <f t="shared" si="267"/>
        <v>0.51473960580000011</v>
      </c>
      <c r="BA238" s="109">
        <f t="shared" si="268"/>
        <v>6.876030000000001</v>
      </c>
      <c r="BB238" s="109">
        <f t="shared" si="269"/>
        <v>0.10314045000000001</v>
      </c>
      <c r="BC238" s="109">
        <f t="shared" si="270"/>
        <v>6.876030000000001</v>
      </c>
      <c r="BD238" s="109">
        <f t="shared" si="271"/>
        <v>0</v>
      </c>
      <c r="BE238" s="109">
        <f t="shared" si="272"/>
        <v>42906.427200000006</v>
      </c>
      <c r="BF238" s="109">
        <f t="shared" si="273"/>
        <v>64359.640800000008</v>
      </c>
      <c r="BG238" s="109">
        <f t="shared" si="274"/>
        <v>7.4261123999999998E-2</v>
      </c>
      <c r="BH238" s="109">
        <f t="shared" si="275"/>
        <v>8.2512360000000007E-2</v>
      </c>
      <c r="BI238" s="109">
        <f t="shared" si="276"/>
        <v>0</v>
      </c>
      <c r="BJ238" s="109">
        <f t="shared" si="277"/>
        <v>1.0239268173750002</v>
      </c>
      <c r="BK238" s="109">
        <f t="shared" si="278"/>
        <v>6.8457799667980765</v>
      </c>
      <c r="BL238" s="148">
        <v>0.86</v>
      </c>
      <c r="BM238" s="112">
        <f>ROUND((AW238/BL238)+((AW238*BL238)*'CALCULO GERAL'!$E$11)/BL238,2)</f>
        <v>1.37</v>
      </c>
      <c r="BN238" s="186">
        <f t="shared" si="279"/>
        <v>1.37</v>
      </c>
      <c r="BO238" s="186">
        <f t="shared" si="280"/>
        <v>1.605</v>
      </c>
      <c r="BP238" s="109">
        <f>BM238*'CALCULO GERAL'!$C$11</f>
        <v>6.876030000000001</v>
      </c>
      <c r="BQ238" s="109">
        <f>BO238*'CALCULO GERAL'!$C$11</f>
        <v>8.0554950000000005</v>
      </c>
      <c r="BR238" s="186">
        <f>BN238*'CALCULO GERAL'!$C$11</f>
        <v>6.876030000000001</v>
      </c>
      <c r="BS238" s="109">
        <f t="shared" si="281"/>
        <v>536330.34000000008</v>
      </c>
      <c r="BT238" s="109">
        <f t="shared" si="222"/>
        <v>82225.794345000118</v>
      </c>
      <c r="BU238" s="109">
        <f t="shared" si="282"/>
        <v>536330.34000000008</v>
      </c>
      <c r="BV238" s="109">
        <f t="shared" si="283"/>
        <v>533970.83741024998</v>
      </c>
      <c r="BW238" s="109">
        <f t="shared" si="284"/>
        <v>2359.5025897501037</v>
      </c>
      <c r="BX238" s="114">
        <f t="shared" si="285"/>
        <v>4.3993457273927544E-3</v>
      </c>
      <c r="BY238" s="152">
        <f>ROUND(BL238,2)</f>
        <v>0.86</v>
      </c>
      <c r="CA238" s="55"/>
      <c r="CB238" s="113"/>
      <c r="CC238" s="113"/>
      <c r="CE238" s="152">
        <f>CC238/BY238</f>
        <v>0</v>
      </c>
      <c r="CF238" s="152">
        <f>100%-CE238</f>
        <v>1</v>
      </c>
      <c r="CG238" s="152">
        <f>AVERAGE(CF238,CD238)</f>
        <v>1</v>
      </c>
      <c r="CH238" s="34"/>
      <c r="CJ238" s="11"/>
      <c r="CK238" s="11"/>
    </row>
    <row r="239" spans="1:89" s="152" customFormat="1" x14ac:dyDescent="0.2">
      <c r="A239" s="125" t="s">
        <v>372</v>
      </c>
      <c r="B239" s="187" t="s">
        <v>297</v>
      </c>
      <c r="C239" s="8">
        <v>0.26</v>
      </c>
      <c r="D239" s="8">
        <v>0</v>
      </c>
      <c r="E239" s="7">
        <v>2.1000000000000001E-2</v>
      </c>
      <c r="F239" s="7">
        <v>0.1045</v>
      </c>
      <c r="G239" s="1">
        <v>1.6500000000000001E-2</v>
      </c>
      <c r="H239" s="1">
        <v>7.5999999999999998E-2</v>
      </c>
      <c r="I239" s="1">
        <v>0.18</v>
      </c>
      <c r="J239" s="1">
        <v>0.04</v>
      </c>
      <c r="K239" s="1">
        <v>0.14000000000000001</v>
      </c>
      <c r="L239" s="1">
        <v>1.4999999999999999E-2</v>
      </c>
      <c r="M239" s="2" t="s">
        <v>175</v>
      </c>
      <c r="N239" s="105">
        <v>70000</v>
      </c>
      <c r="O239" s="119">
        <v>0.78</v>
      </c>
      <c r="P239" s="119">
        <v>0.81</v>
      </c>
      <c r="Q239" s="119">
        <v>0.78</v>
      </c>
      <c r="R239" s="119"/>
      <c r="S239" s="119"/>
      <c r="T239" s="119"/>
      <c r="U239" s="119"/>
      <c r="V239" s="119"/>
      <c r="W239" s="119"/>
      <c r="X239" s="119">
        <f t="shared" si="290"/>
        <v>0.78</v>
      </c>
      <c r="Y239" s="118">
        <f t="shared" ref="Y239:Y269" si="291">AVERAGE(O239:W239)</f>
        <v>0.79</v>
      </c>
      <c r="Z239" s="109">
        <f t="shared" ref="Z239:Z248" si="292">X239*N239</f>
        <v>54600</v>
      </c>
      <c r="AA239" s="109">
        <f>'CALCULO GERAL'!$G$10</f>
        <v>6300</v>
      </c>
      <c r="AB239" s="109">
        <f t="shared" ref="AB239:AB269" si="293">Z239+AA239</f>
        <v>60900</v>
      </c>
      <c r="AC239" s="109">
        <f>AB239*'CALCULO GERAL'!$C$11</f>
        <v>305657.10000000003</v>
      </c>
      <c r="AD239" s="109">
        <f t="shared" ref="AD239:AD269" si="294">AC239*C239</f>
        <v>79470.846000000005</v>
      </c>
      <c r="AE239" s="109">
        <f t="shared" ref="AE239:AE269" si="295">(AC239+AD239)*D239</f>
        <v>0</v>
      </c>
      <c r="AF239" s="109">
        <f t="shared" ref="AF239:AF269" si="296">AC239*E239</f>
        <v>6418.7991000000011</v>
      </c>
      <c r="AG239" s="109">
        <f t="shared" ref="AG239:AG269" si="297">AC239*F239</f>
        <v>31941.166950000003</v>
      </c>
      <c r="AH239" s="109">
        <v>154.22999999999999</v>
      </c>
      <c r="AI239" s="109">
        <f>((AA239*'CALCULO GERAL'!$C$11))*0.08+20</f>
        <v>2549.576</v>
      </c>
      <c r="AJ239" s="109">
        <v>1010</v>
      </c>
      <c r="AK239" s="109">
        <v>2500</v>
      </c>
      <c r="AL239" s="109">
        <f>(AA239*('CALCULO GERAL'!$C$11*1.02))-(AA239*'CALCULO GERAL'!$C$11)</f>
        <v>632.39400000000387</v>
      </c>
      <c r="AM239" s="109">
        <v>1800</v>
      </c>
      <c r="AN239" s="109">
        <v>2600</v>
      </c>
      <c r="AO239" s="109">
        <v>9400</v>
      </c>
      <c r="AP239" s="109">
        <v>1000</v>
      </c>
      <c r="AQ239" s="109">
        <v>0</v>
      </c>
      <c r="AR239" s="109">
        <v>0</v>
      </c>
      <c r="AS239" s="109"/>
      <c r="AT239" s="109">
        <f t="shared" si="264"/>
        <v>445134.11205000005</v>
      </c>
      <c r="AU239" s="111">
        <f t="shared" si="265"/>
        <v>6.3590587435714294</v>
      </c>
      <c r="AV239" s="109">
        <f>IFERROR((BS239*'CALCULO GERAL'!$E$11)/N239,0)</f>
        <v>0.15056999999999998</v>
      </c>
      <c r="AW239" s="109">
        <f>AU239/'CALCULO GERAL'!$C$11</f>
        <v>1.2669971595081548</v>
      </c>
      <c r="AX239" s="109">
        <f>BP239-BB239-BD239*'CALCULO GERAL'!$C$11</f>
        <v>7.4155725000000006</v>
      </c>
      <c r="AY239" s="109">
        <f t="shared" si="266"/>
        <v>0.12235694625000001</v>
      </c>
      <c r="AZ239" s="109">
        <f t="shared" si="267"/>
        <v>0.56358351000000007</v>
      </c>
      <c r="BA239" s="109">
        <f t="shared" si="268"/>
        <v>7.5285000000000002</v>
      </c>
      <c r="BB239" s="109">
        <f t="shared" si="269"/>
        <v>0.1129275</v>
      </c>
      <c r="BC239" s="109">
        <f t="shared" si="270"/>
        <v>7.5285000000000002</v>
      </c>
      <c r="BD239" s="109">
        <f t="shared" si="271"/>
        <v>0</v>
      </c>
      <c r="BE239" s="109">
        <f t="shared" si="272"/>
        <v>42159.6</v>
      </c>
      <c r="BF239" s="109">
        <f t="shared" si="273"/>
        <v>63239.399999999994</v>
      </c>
      <c r="BG239" s="109">
        <f t="shared" si="274"/>
        <v>8.1307799999999986E-2</v>
      </c>
      <c r="BH239" s="109">
        <f t="shared" si="275"/>
        <v>9.0341999999999992E-2</v>
      </c>
      <c r="BI239" s="109">
        <f t="shared" si="276"/>
        <v>0</v>
      </c>
      <c r="BJ239" s="109">
        <f t="shared" si="277"/>
        <v>1.1210877562499999</v>
      </c>
      <c r="BK239" s="109">
        <f t="shared" si="278"/>
        <v>7.4801464998214291</v>
      </c>
      <c r="BL239" s="148">
        <v>0.86</v>
      </c>
      <c r="BM239" s="112">
        <f>ROUND((AW239/BL239)+((AW239*BL239)*'CALCULO GERAL'!$E$11)/BL239,2)</f>
        <v>1.5</v>
      </c>
      <c r="BN239" s="186">
        <f t="shared" si="279"/>
        <v>1.5</v>
      </c>
      <c r="BO239" s="186">
        <f t="shared" si="280"/>
        <v>1.7569999999999999</v>
      </c>
      <c r="BP239" s="109">
        <f>BM239*'CALCULO GERAL'!$C$11</f>
        <v>7.5285000000000002</v>
      </c>
      <c r="BQ239" s="109">
        <f>BO239*'CALCULO GERAL'!$C$11</f>
        <v>8.818382999999999</v>
      </c>
      <c r="BR239" s="186">
        <f>BN239*'CALCULO GERAL'!$C$11</f>
        <v>7.5285000000000002</v>
      </c>
      <c r="BS239" s="109">
        <f t="shared" si="281"/>
        <v>526995</v>
      </c>
      <c r="BT239" s="109">
        <f t="shared" si="222"/>
        <v>81860.887949999946</v>
      </c>
      <c r="BU239" s="109">
        <f t="shared" si="282"/>
        <v>526995</v>
      </c>
      <c r="BV239" s="109">
        <f t="shared" si="283"/>
        <v>523610.25498750003</v>
      </c>
      <c r="BW239" s="109">
        <f t="shared" si="284"/>
        <v>3384.7450124999741</v>
      </c>
      <c r="BX239" s="114">
        <f t="shared" si="285"/>
        <v>6.4227269945634664E-3</v>
      </c>
      <c r="BY239" s="152">
        <f t="shared" ref="BY239:BY269" si="298">ROUND(BL239,2)</f>
        <v>0.86</v>
      </c>
      <c r="CA239" s="55"/>
      <c r="CB239" s="113"/>
      <c r="CC239" s="113"/>
      <c r="CE239" s="152">
        <f t="shared" ref="CE239:CE269" si="299">CC239/BY239</f>
        <v>0</v>
      </c>
      <c r="CF239" s="152">
        <f t="shared" ref="CF239:CF269" si="300">100%-CE239</f>
        <v>1</v>
      </c>
      <c r="CG239" s="152">
        <f t="shared" ref="CG239:CG269" si="301">AVERAGE(CF239,CD239)</f>
        <v>1</v>
      </c>
      <c r="CH239" s="34"/>
      <c r="CJ239" s="11"/>
      <c r="CK239" s="11"/>
    </row>
    <row r="240" spans="1:89" s="152" customFormat="1" x14ac:dyDescent="0.2">
      <c r="A240" s="125" t="s">
        <v>373</v>
      </c>
      <c r="B240" s="187" t="s">
        <v>297</v>
      </c>
      <c r="C240" s="8">
        <v>0.26</v>
      </c>
      <c r="D240" s="8">
        <v>0</v>
      </c>
      <c r="E240" s="7">
        <v>2.1000000000000001E-2</v>
      </c>
      <c r="F240" s="7">
        <v>0.1045</v>
      </c>
      <c r="G240" s="1">
        <v>1.6500000000000001E-2</v>
      </c>
      <c r="H240" s="1">
        <v>7.5999999999999998E-2</v>
      </c>
      <c r="I240" s="1">
        <v>0.18</v>
      </c>
      <c r="J240" s="1">
        <v>0.04</v>
      </c>
      <c r="K240" s="1">
        <v>0.14000000000000001</v>
      </c>
      <c r="L240" s="1">
        <v>1.4999999999999999E-2</v>
      </c>
      <c r="M240" s="2" t="s">
        <v>175</v>
      </c>
      <c r="N240" s="105">
        <v>65000</v>
      </c>
      <c r="O240" s="119">
        <v>0.81</v>
      </c>
      <c r="P240" s="119">
        <v>0.81</v>
      </c>
      <c r="Q240" s="119"/>
      <c r="R240" s="119"/>
      <c r="S240" s="119"/>
      <c r="T240" s="119"/>
      <c r="U240" s="119"/>
      <c r="V240" s="119"/>
      <c r="W240" s="119"/>
      <c r="X240" s="119">
        <f t="shared" si="290"/>
        <v>0.81</v>
      </c>
      <c r="Y240" s="118">
        <f t="shared" si="291"/>
        <v>0.81</v>
      </c>
      <c r="Z240" s="109">
        <f t="shared" si="292"/>
        <v>52650</v>
      </c>
      <c r="AA240" s="109">
        <f>'CALCULO GERAL'!$G$10</f>
        <v>6300</v>
      </c>
      <c r="AB240" s="109">
        <f t="shared" si="293"/>
        <v>58950</v>
      </c>
      <c r="AC240" s="109">
        <f>AB240*'CALCULO GERAL'!$C$11</f>
        <v>295870.05</v>
      </c>
      <c r="AD240" s="109">
        <f t="shared" si="294"/>
        <v>76926.213000000003</v>
      </c>
      <c r="AE240" s="109">
        <f t="shared" si="295"/>
        <v>0</v>
      </c>
      <c r="AF240" s="109">
        <f t="shared" si="296"/>
        <v>6213.2710500000003</v>
      </c>
      <c r="AG240" s="109">
        <f t="shared" si="297"/>
        <v>30918.420224999998</v>
      </c>
      <c r="AH240" s="109">
        <v>154.22999999999999</v>
      </c>
      <c r="AI240" s="109">
        <f>((AA240*'CALCULO GERAL'!$C$11))*0.08+20</f>
        <v>2549.576</v>
      </c>
      <c r="AJ240" s="109">
        <v>1010</v>
      </c>
      <c r="AK240" s="109">
        <v>2500</v>
      </c>
      <c r="AL240" s="109">
        <f>(AA240*('CALCULO GERAL'!$C$11*1.02))-(AA240*'CALCULO GERAL'!$C$11)</f>
        <v>632.39400000000387</v>
      </c>
      <c r="AM240" s="109">
        <v>1800</v>
      </c>
      <c r="AN240" s="109">
        <v>2600</v>
      </c>
      <c r="AO240" s="109">
        <v>9400</v>
      </c>
      <c r="AP240" s="109">
        <v>1000</v>
      </c>
      <c r="AQ240" s="109">
        <v>0</v>
      </c>
      <c r="AR240" s="109">
        <v>0</v>
      </c>
      <c r="AS240" s="109"/>
      <c r="AT240" s="109">
        <f t="shared" si="264"/>
        <v>431574.15427499998</v>
      </c>
      <c r="AU240" s="111">
        <f t="shared" si="265"/>
        <v>6.6396023734615381</v>
      </c>
      <c r="AV240" s="109">
        <f>IFERROR((BS240*'CALCULO GERAL'!$E$11)/N240,0)</f>
        <v>0.1565928</v>
      </c>
      <c r="AW240" s="109">
        <f>AU240/'CALCULO GERAL'!$C$11</f>
        <v>1.3228934794703204</v>
      </c>
      <c r="AX240" s="109">
        <f>BP240-BB240-BD240*'CALCULO GERAL'!$C$11</f>
        <v>7.7121954000000006</v>
      </c>
      <c r="AY240" s="109">
        <f t="shared" si="266"/>
        <v>0.1272512241</v>
      </c>
      <c r="AZ240" s="109">
        <f t="shared" si="267"/>
        <v>0.58612685040000001</v>
      </c>
      <c r="BA240" s="109">
        <f t="shared" si="268"/>
        <v>7.8296400000000004</v>
      </c>
      <c r="BB240" s="109">
        <f t="shared" si="269"/>
        <v>0.1174446</v>
      </c>
      <c r="BC240" s="109">
        <f t="shared" si="270"/>
        <v>7.8296400000000004</v>
      </c>
      <c r="BD240" s="109">
        <f t="shared" si="271"/>
        <v>0</v>
      </c>
      <c r="BE240" s="109">
        <f t="shared" si="272"/>
        <v>40714.128000000004</v>
      </c>
      <c r="BF240" s="109">
        <f t="shared" si="273"/>
        <v>61071.192000000003</v>
      </c>
      <c r="BG240" s="109">
        <f t="shared" si="274"/>
        <v>8.4560112000000007E-2</v>
      </c>
      <c r="BH240" s="109">
        <f t="shared" si="275"/>
        <v>9.395568E-2</v>
      </c>
      <c r="BI240" s="109">
        <f t="shared" si="276"/>
        <v>0</v>
      </c>
      <c r="BJ240" s="109">
        <f t="shared" si="277"/>
        <v>1.1659312665000001</v>
      </c>
      <c r="BK240" s="109">
        <f t="shared" si="278"/>
        <v>7.8055336399615385</v>
      </c>
      <c r="BL240" s="148">
        <v>0.86</v>
      </c>
      <c r="BM240" s="112">
        <f>ROUND((AW240/BL240)+((AW240*BL240)*'CALCULO GERAL'!$E$11)/BL240,2)</f>
        <v>1.56</v>
      </c>
      <c r="BN240" s="186">
        <f t="shared" si="279"/>
        <v>1.56</v>
      </c>
      <c r="BO240" s="186">
        <f t="shared" si="280"/>
        <v>1.8280000000000001</v>
      </c>
      <c r="BP240" s="109">
        <f>BM240*'CALCULO GERAL'!$C$11</f>
        <v>7.8296400000000004</v>
      </c>
      <c r="BQ240" s="109">
        <f>BO240*'CALCULO GERAL'!$C$11</f>
        <v>9.1747320000000006</v>
      </c>
      <c r="BR240" s="186">
        <f>BN240*'CALCULO GERAL'!$C$11</f>
        <v>7.8296400000000004</v>
      </c>
      <c r="BS240" s="109">
        <f t="shared" si="281"/>
        <v>508926.60000000003</v>
      </c>
      <c r="BT240" s="109">
        <f t="shared" si="222"/>
        <v>77352.445725000056</v>
      </c>
      <c r="BU240" s="109">
        <f t="shared" si="282"/>
        <v>508926.60000000003</v>
      </c>
      <c r="BV240" s="109">
        <f t="shared" si="283"/>
        <v>507359.6865975</v>
      </c>
      <c r="BW240" s="109">
        <f t="shared" si="284"/>
        <v>1566.9134025000385</v>
      </c>
      <c r="BX240" s="114">
        <f t="shared" si="285"/>
        <v>3.078859313897207E-3</v>
      </c>
      <c r="BY240" s="152">
        <f t="shared" si="298"/>
        <v>0.86</v>
      </c>
      <c r="CA240" s="55"/>
      <c r="CB240" s="113"/>
      <c r="CC240" s="113"/>
      <c r="CE240" s="152">
        <f t="shared" si="299"/>
        <v>0</v>
      </c>
      <c r="CF240" s="152">
        <f t="shared" si="300"/>
        <v>1</v>
      </c>
      <c r="CG240" s="152">
        <f t="shared" si="301"/>
        <v>1</v>
      </c>
      <c r="CH240" s="34"/>
      <c r="CJ240" s="11"/>
      <c r="CK240" s="11"/>
    </row>
    <row r="241" spans="1:89" s="152" customFormat="1" x14ac:dyDescent="0.2">
      <c r="A241" s="5" t="s">
        <v>374</v>
      </c>
      <c r="B241" s="187" t="s">
        <v>297</v>
      </c>
      <c r="C241" s="8">
        <v>0.26</v>
      </c>
      <c r="D241" s="8">
        <v>0</v>
      </c>
      <c r="E241" s="7">
        <v>2.1000000000000001E-2</v>
      </c>
      <c r="F241" s="7">
        <v>0.1045</v>
      </c>
      <c r="G241" s="1">
        <v>1.6500000000000001E-2</v>
      </c>
      <c r="H241" s="1">
        <v>7.5999999999999998E-2</v>
      </c>
      <c r="I241" s="1">
        <v>0.18</v>
      </c>
      <c r="J241" s="1">
        <v>0.04</v>
      </c>
      <c r="K241" s="1">
        <v>0.14000000000000001</v>
      </c>
      <c r="L241" s="1">
        <v>1.4999999999999999E-2</v>
      </c>
      <c r="M241" s="2" t="s">
        <v>175</v>
      </c>
      <c r="N241" s="105">
        <v>60000</v>
      </c>
      <c r="O241" s="119">
        <v>0.85</v>
      </c>
      <c r="P241" s="119">
        <v>0.87</v>
      </c>
      <c r="Q241" s="119">
        <v>0.93</v>
      </c>
      <c r="R241" s="119"/>
      <c r="S241" s="119"/>
      <c r="T241" s="119"/>
      <c r="U241" s="119"/>
      <c r="V241" s="119"/>
      <c r="W241" s="119">
        <v>0.93</v>
      </c>
      <c r="X241" s="119">
        <f t="shared" si="290"/>
        <v>0.85</v>
      </c>
      <c r="Y241" s="118">
        <f t="shared" si="291"/>
        <v>0.89500000000000002</v>
      </c>
      <c r="Z241" s="109">
        <f t="shared" si="292"/>
        <v>51000</v>
      </c>
      <c r="AA241" s="109">
        <f>'CALCULO GERAL'!$G$10</f>
        <v>6300</v>
      </c>
      <c r="AB241" s="109">
        <f t="shared" si="293"/>
        <v>57300</v>
      </c>
      <c r="AC241" s="109">
        <f>AB241*'CALCULO GERAL'!$C$11</f>
        <v>287588.7</v>
      </c>
      <c r="AD241" s="109">
        <f t="shared" si="294"/>
        <v>74773.062000000005</v>
      </c>
      <c r="AE241" s="109">
        <f t="shared" si="295"/>
        <v>0</v>
      </c>
      <c r="AF241" s="109">
        <f t="shared" si="296"/>
        <v>6039.3627000000006</v>
      </c>
      <c r="AG241" s="109">
        <f t="shared" si="297"/>
        <v>30053.01915</v>
      </c>
      <c r="AH241" s="109">
        <v>154.22999999999999</v>
      </c>
      <c r="AI241" s="109">
        <f>((AA241*'CALCULO GERAL'!$C$11))*0.08+20</f>
        <v>2549.576</v>
      </c>
      <c r="AJ241" s="109">
        <v>1010</v>
      </c>
      <c r="AK241" s="109">
        <v>2500</v>
      </c>
      <c r="AL241" s="109">
        <f>(AA241*('CALCULO GERAL'!$C$11*1.02))-(AA241*'CALCULO GERAL'!$C$11)</f>
        <v>632.39400000000387</v>
      </c>
      <c r="AM241" s="109">
        <v>1800</v>
      </c>
      <c r="AN241" s="109">
        <v>2600</v>
      </c>
      <c r="AO241" s="109">
        <v>9400</v>
      </c>
      <c r="AP241" s="109">
        <v>1000</v>
      </c>
      <c r="AQ241" s="109">
        <v>0</v>
      </c>
      <c r="AR241" s="109">
        <v>0</v>
      </c>
      <c r="AS241" s="109"/>
      <c r="AT241" s="109">
        <f t="shared" si="264"/>
        <v>420100.34385</v>
      </c>
      <c r="AU241" s="111">
        <f t="shared" si="265"/>
        <v>7.0016723975000001</v>
      </c>
      <c r="AV241" s="109">
        <f>IFERROR((BS241*'CALCULO GERAL'!$E$11)/N241,0)</f>
        <v>0.16763459999999999</v>
      </c>
      <c r="AW241" s="109">
        <f>AU241/'CALCULO GERAL'!$C$11</f>
        <v>1.3950333527595138</v>
      </c>
      <c r="AX241" s="109">
        <f>BP241-BB241-BD241*'CALCULO GERAL'!$C$11</f>
        <v>8.2560040499999996</v>
      </c>
      <c r="AY241" s="109">
        <f t="shared" si="266"/>
        <v>0.13622406682499999</v>
      </c>
      <c r="AZ241" s="109">
        <f t="shared" si="267"/>
        <v>0.62745630779999995</v>
      </c>
      <c r="BA241" s="109">
        <f t="shared" si="268"/>
        <v>8.3817299999999992</v>
      </c>
      <c r="BB241" s="109">
        <f t="shared" si="269"/>
        <v>0.12572594999999998</v>
      </c>
      <c r="BC241" s="109">
        <f t="shared" si="270"/>
        <v>8.3817299999999992</v>
      </c>
      <c r="BD241" s="109">
        <f t="shared" si="271"/>
        <v>0</v>
      </c>
      <c r="BE241" s="109">
        <f t="shared" si="272"/>
        <v>40232.303999999996</v>
      </c>
      <c r="BF241" s="109">
        <f t="shared" si="273"/>
        <v>60348.455999999991</v>
      </c>
      <c r="BG241" s="109">
        <f t="shared" si="274"/>
        <v>9.0522683999999978E-2</v>
      </c>
      <c r="BH241" s="109">
        <f t="shared" si="275"/>
        <v>0.10058075999999999</v>
      </c>
      <c r="BI241" s="109">
        <f t="shared" si="276"/>
        <v>0</v>
      </c>
      <c r="BJ241" s="109">
        <f t="shared" si="277"/>
        <v>1.2481443686249998</v>
      </c>
      <c r="BK241" s="109">
        <f t="shared" si="278"/>
        <v>8.2498167661250008</v>
      </c>
      <c r="BL241" s="148">
        <v>0.85</v>
      </c>
      <c r="BM241" s="112">
        <f>ROUND((AW241/BL241)+((AW241*BL241)*'CALCULO GERAL'!$E$11)/BL241,2)</f>
        <v>1.67</v>
      </c>
      <c r="BN241" s="186">
        <f t="shared" si="279"/>
        <v>1.67</v>
      </c>
      <c r="BO241" s="186">
        <f t="shared" si="280"/>
        <v>1.9570000000000001</v>
      </c>
      <c r="BP241" s="109">
        <f>BM241*'CALCULO GERAL'!$C$11</f>
        <v>8.3817299999999992</v>
      </c>
      <c r="BQ241" s="109">
        <f>BO241*'CALCULO GERAL'!$C$11</f>
        <v>9.8221830000000008</v>
      </c>
      <c r="BR241" s="186">
        <f>BN241*'CALCULO GERAL'!$C$11</f>
        <v>8.3817299999999992</v>
      </c>
      <c r="BS241" s="109">
        <f t="shared" si="281"/>
        <v>502903.79999999993</v>
      </c>
      <c r="BT241" s="109">
        <f t="shared" si="222"/>
        <v>82803.456149999925</v>
      </c>
      <c r="BU241" s="109">
        <f t="shared" si="282"/>
        <v>502903.79999999993</v>
      </c>
      <c r="BV241" s="109">
        <f t="shared" si="283"/>
        <v>494989.00596750004</v>
      </c>
      <c r="BW241" s="109">
        <f t="shared" si="284"/>
        <v>7914.7940324998926</v>
      </c>
      <c r="BX241" s="114">
        <f t="shared" si="285"/>
        <v>1.5738186970350777E-2</v>
      </c>
      <c r="BY241" s="152">
        <f t="shared" si="298"/>
        <v>0.85</v>
      </c>
      <c r="CA241" s="55"/>
      <c r="CB241" s="113"/>
      <c r="CC241" s="113"/>
      <c r="CE241" s="152">
        <f t="shared" si="299"/>
        <v>0</v>
      </c>
      <c r="CF241" s="152">
        <f t="shared" si="300"/>
        <v>1</v>
      </c>
      <c r="CG241" s="152">
        <f t="shared" si="301"/>
        <v>1</v>
      </c>
      <c r="CH241" s="34"/>
      <c r="CJ241" s="11"/>
      <c r="CK241" s="11"/>
    </row>
    <row r="242" spans="1:89" s="152" customFormat="1" x14ac:dyDescent="0.2">
      <c r="A242" s="125" t="s">
        <v>375</v>
      </c>
      <c r="B242" s="187" t="s">
        <v>297</v>
      </c>
      <c r="C242" s="8">
        <v>0.26</v>
      </c>
      <c r="D242" s="8">
        <v>0</v>
      </c>
      <c r="E242" s="7">
        <v>2.1000000000000001E-2</v>
      </c>
      <c r="F242" s="7">
        <v>0.1045</v>
      </c>
      <c r="G242" s="1">
        <v>1.6500000000000001E-2</v>
      </c>
      <c r="H242" s="1">
        <v>7.5999999999999998E-2</v>
      </c>
      <c r="I242" s="1">
        <v>0.18</v>
      </c>
      <c r="J242" s="1">
        <v>0.04</v>
      </c>
      <c r="K242" s="1">
        <v>0.14000000000000001</v>
      </c>
      <c r="L242" s="1">
        <v>1.4999999999999999E-2</v>
      </c>
      <c r="M242" s="2" t="s">
        <v>175</v>
      </c>
      <c r="N242" s="105">
        <v>75000</v>
      </c>
      <c r="O242" s="119">
        <v>1.04</v>
      </c>
      <c r="P242" s="119"/>
      <c r="Q242" s="119"/>
      <c r="R242" s="119"/>
      <c r="S242" s="119"/>
      <c r="T242" s="119"/>
      <c r="U242" s="119"/>
      <c r="V242" s="119"/>
      <c r="W242" s="119"/>
      <c r="X242" s="119">
        <f t="shared" si="290"/>
        <v>1.04</v>
      </c>
      <c r="Y242" s="118">
        <f t="shared" si="291"/>
        <v>1.04</v>
      </c>
      <c r="Z242" s="109">
        <f t="shared" si="292"/>
        <v>78000</v>
      </c>
      <c r="AA242" s="109">
        <f>'CALCULO GERAL'!$G$10</f>
        <v>6300</v>
      </c>
      <c r="AB242" s="109">
        <f t="shared" si="293"/>
        <v>84300</v>
      </c>
      <c r="AC242" s="109">
        <f>AB242*'CALCULO GERAL'!$C$11</f>
        <v>423101.7</v>
      </c>
      <c r="AD242" s="109">
        <f t="shared" si="294"/>
        <v>110006.44200000001</v>
      </c>
      <c r="AE242" s="109">
        <f t="shared" si="295"/>
        <v>0</v>
      </c>
      <c r="AF242" s="109">
        <f t="shared" si="296"/>
        <v>8885.1357000000007</v>
      </c>
      <c r="AG242" s="109">
        <f t="shared" si="297"/>
        <v>44214.127650000002</v>
      </c>
      <c r="AH242" s="109">
        <v>154.22999999999999</v>
      </c>
      <c r="AI242" s="109">
        <f>((AA242*'CALCULO GERAL'!$C$11))*0.08+20</f>
        <v>2549.576</v>
      </c>
      <c r="AJ242" s="109">
        <v>1010</v>
      </c>
      <c r="AK242" s="109">
        <v>2500</v>
      </c>
      <c r="AL242" s="109">
        <f>(AA242*('CALCULO GERAL'!$C$11*1.02))-(AA242*'CALCULO GERAL'!$C$11)</f>
        <v>632.39400000000387</v>
      </c>
      <c r="AM242" s="109">
        <v>1800</v>
      </c>
      <c r="AN242" s="109">
        <v>2600</v>
      </c>
      <c r="AO242" s="109">
        <v>9400</v>
      </c>
      <c r="AP242" s="109">
        <v>1000</v>
      </c>
      <c r="AQ242" s="109">
        <v>0</v>
      </c>
      <c r="AR242" s="109">
        <v>0</v>
      </c>
      <c r="AS242" s="109"/>
      <c r="AT242" s="109">
        <f t="shared" si="264"/>
        <v>607853.60534999997</v>
      </c>
      <c r="AU242" s="111">
        <f t="shared" si="265"/>
        <v>8.1047147380000002</v>
      </c>
      <c r="AV242" s="109">
        <f>IFERROR((BS242*'CALCULO GERAL'!$E$11)/N242,0)</f>
        <v>0.1897182</v>
      </c>
      <c r="AW242" s="109">
        <f>AU242/'CALCULO GERAL'!$C$11</f>
        <v>1.614806682207611</v>
      </c>
      <c r="AX242" s="109">
        <f>BP242-BB242-BD242*'CALCULO GERAL'!$C$11</f>
        <v>9.3436213500000012</v>
      </c>
      <c r="AY242" s="109">
        <f t="shared" si="266"/>
        <v>0.15416975227500002</v>
      </c>
      <c r="AZ242" s="109">
        <f t="shared" si="267"/>
        <v>0.71011522260000004</v>
      </c>
      <c r="BA242" s="109">
        <f t="shared" si="268"/>
        <v>9.4859100000000005</v>
      </c>
      <c r="BB242" s="109">
        <f t="shared" si="269"/>
        <v>0.14228864999999999</v>
      </c>
      <c r="BC242" s="109">
        <f t="shared" si="270"/>
        <v>9.4859100000000005</v>
      </c>
      <c r="BD242" s="109">
        <f t="shared" si="271"/>
        <v>0</v>
      </c>
      <c r="BE242" s="109">
        <f t="shared" si="272"/>
        <v>56915.46</v>
      </c>
      <c r="BF242" s="109">
        <f t="shared" si="273"/>
        <v>85373.19</v>
      </c>
      <c r="BG242" s="109">
        <f t="shared" si="274"/>
        <v>0.10244782799999999</v>
      </c>
      <c r="BH242" s="109">
        <f t="shared" si="275"/>
        <v>0.11383091999999999</v>
      </c>
      <c r="BI242" s="109">
        <f t="shared" si="276"/>
        <v>0</v>
      </c>
      <c r="BJ242" s="109">
        <f t="shared" si="277"/>
        <v>1.4125705728750002</v>
      </c>
      <c r="BK242" s="109">
        <f t="shared" si="278"/>
        <v>9.5172853108749997</v>
      </c>
      <c r="BL242" s="148">
        <v>0.87</v>
      </c>
      <c r="BM242" s="112">
        <f>ROUND((AW242/BL242)+((AW242*BL242)*'CALCULO GERAL'!$E$11)/BL242,2)</f>
        <v>1.89</v>
      </c>
      <c r="BN242" s="186">
        <f t="shared" si="279"/>
        <v>1.89</v>
      </c>
      <c r="BO242" s="186">
        <f t="shared" si="280"/>
        <v>2.214</v>
      </c>
      <c r="BP242" s="109">
        <f>BM242*'CALCULO GERAL'!$C$11</f>
        <v>9.4859100000000005</v>
      </c>
      <c r="BQ242" s="109">
        <f>BO242*'CALCULO GERAL'!$C$11</f>
        <v>11.112066</v>
      </c>
      <c r="BR242" s="186">
        <f>BN242*'CALCULO GERAL'!$C$11</f>
        <v>9.4859100000000005</v>
      </c>
      <c r="BS242" s="109">
        <f t="shared" si="281"/>
        <v>711443.25</v>
      </c>
      <c r="BT242" s="109">
        <f t="shared" si="222"/>
        <v>103589.64465000003</v>
      </c>
      <c r="BU242" s="109">
        <f t="shared" si="282"/>
        <v>711443.25</v>
      </c>
      <c r="BV242" s="109">
        <f t="shared" si="283"/>
        <v>713796.39831562503</v>
      </c>
      <c r="BW242" s="109">
        <f t="shared" si="284"/>
        <v>-2353.1483156250324</v>
      </c>
      <c r="BX242" s="114">
        <f t="shared" si="285"/>
        <v>-3.3075699511170178E-3</v>
      </c>
      <c r="BY242" s="152">
        <f t="shared" si="298"/>
        <v>0.87</v>
      </c>
      <c r="CA242" s="55"/>
      <c r="CB242" s="113"/>
      <c r="CC242" s="113"/>
      <c r="CE242" s="152">
        <f t="shared" si="299"/>
        <v>0</v>
      </c>
      <c r="CF242" s="152">
        <f t="shared" si="300"/>
        <v>1</v>
      </c>
      <c r="CG242" s="152">
        <f t="shared" si="301"/>
        <v>1</v>
      </c>
      <c r="CH242" s="34"/>
      <c r="CJ242" s="11"/>
      <c r="CK242" s="11"/>
    </row>
    <row r="243" spans="1:89" s="152" customFormat="1" x14ac:dyDescent="0.2">
      <c r="A243" s="125" t="s">
        <v>376</v>
      </c>
      <c r="B243" s="187" t="s">
        <v>297</v>
      </c>
      <c r="C243" s="8">
        <v>0.26</v>
      </c>
      <c r="D243" s="8">
        <v>0</v>
      </c>
      <c r="E243" s="7">
        <v>2.1000000000000001E-2</v>
      </c>
      <c r="F243" s="7">
        <v>0.1045</v>
      </c>
      <c r="G243" s="1">
        <v>1.6500000000000001E-2</v>
      </c>
      <c r="H243" s="1">
        <v>7.5999999999999998E-2</v>
      </c>
      <c r="I243" s="1">
        <v>0.18</v>
      </c>
      <c r="J243" s="1">
        <v>0.04</v>
      </c>
      <c r="K243" s="1">
        <v>0.14000000000000001</v>
      </c>
      <c r="L243" s="1">
        <v>1.4999999999999999E-2</v>
      </c>
      <c r="M243" s="2" t="s">
        <v>175</v>
      </c>
      <c r="N243" s="105">
        <v>70000</v>
      </c>
      <c r="O243" s="119">
        <v>1.0900000000000001</v>
      </c>
      <c r="P243" s="119"/>
      <c r="Q243" s="119"/>
      <c r="R243" s="119"/>
      <c r="S243" s="119"/>
      <c r="T243" s="119"/>
      <c r="U243" s="119"/>
      <c r="V243" s="119"/>
      <c r="W243" s="119"/>
      <c r="X243" s="119">
        <f t="shared" si="290"/>
        <v>1.0900000000000001</v>
      </c>
      <c r="Y243" s="118">
        <f t="shared" si="291"/>
        <v>1.0900000000000001</v>
      </c>
      <c r="Z243" s="109">
        <f t="shared" si="292"/>
        <v>76300</v>
      </c>
      <c r="AA243" s="109">
        <f>'CALCULO GERAL'!$G$10</f>
        <v>6300</v>
      </c>
      <c r="AB243" s="109">
        <f t="shared" si="293"/>
        <v>82600</v>
      </c>
      <c r="AC243" s="109">
        <f>AB243*'CALCULO GERAL'!$C$11</f>
        <v>414569.4</v>
      </c>
      <c r="AD243" s="109">
        <f t="shared" si="294"/>
        <v>107788.04400000001</v>
      </c>
      <c r="AE243" s="109">
        <f t="shared" si="295"/>
        <v>0</v>
      </c>
      <c r="AF243" s="109">
        <f t="shared" si="296"/>
        <v>8705.9574000000011</v>
      </c>
      <c r="AG243" s="109">
        <f t="shared" si="297"/>
        <v>43322.5023</v>
      </c>
      <c r="AH243" s="109">
        <v>154.22999999999999</v>
      </c>
      <c r="AI243" s="109">
        <f>((AA243*'CALCULO GERAL'!$C$11))*0.08+20</f>
        <v>2549.576</v>
      </c>
      <c r="AJ243" s="109">
        <v>1010</v>
      </c>
      <c r="AK243" s="109">
        <v>2500</v>
      </c>
      <c r="AL243" s="109">
        <f>(AA243*('CALCULO GERAL'!$C$11*1.02))-(AA243*'CALCULO GERAL'!$C$11)</f>
        <v>632.39400000000387</v>
      </c>
      <c r="AM243" s="109">
        <v>1800</v>
      </c>
      <c r="AN243" s="109">
        <v>2600</v>
      </c>
      <c r="AO243" s="109">
        <v>9400</v>
      </c>
      <c r="AP243" s="109">
        <v>1000</v>
      </c>
      <c r="AQ243" s="109">
        <v>0</v>
      </c>
      <c r="AR243" s="109">
        <v>0</v>
      </c>
      <c r="AS243" s="109"/>
      <c r="AT243" s="109">
        <f t="shared" si="264"/>
        <v>596032.10369999998</v>
      </c>
      <c r="AU243" s="111">
        <f t="shared" si="265"/>
        <v>8.514744338571429</v>
      </c>
      <c r="AV243" s="109">
        <f>IFERROR((BS243*'CALCULO GERAL'!$E$11)/N243,0)</f>
        <v>0.19875240000000002</v>
      </c>
      <c r="AW243" s="109">
        <f>AU243/'CALCULO GERAL'!$C$11</f>
        <v>1.6965021595081549</v>
      </c>
      <c r="AX243" s="109">
        <f>BP243-BB243-BD243*'CALCULO GERAL'!$C$11</f>
        <v>9.7885557000000016</v>
      </c>
      <c r="AY243" s="109">
        <f t="shared" si="266"/>
        <v>0.16151116905000004</v>
      </c>
      <c r="AZ243" s="109">
        <f t="shared" si="267"/>
        <v>0.74393023320000007</v>
      </c>
      <c r="BA243" s="109">
        <f t="shared" si="268"/>
        <v>9.9376200000000008</v>
      </c>
      <c r="BB243" s="109">
        <f t="shared" si="269"/>
        <v>0.14906430000000001</v>
      </c>
      <c r="BC243" s="109">
        <f t="shared" si="270"/>
        <v>9.9376200000000008</v>
      </c>
      <c r="BD243" s="109">
        <f t="shared" si="271"/>
        <v>0</v>
      </c>
      <c r="BE243" s="109">
        <f t="shared" si="272"/>
        <v>55650.672000000006</v>
      </c>
      <c r="BF243" s="109">
        <f t="shared" si="273"/>
        <v>83476.008000000002</v>
      </c>
      <c r="BG243" s="109">
        <f t="shared" si="274"/>
        <v>0.107326296</v>
      </c>
      <c r="BH243" s="109">
        <f t="shared" si="275"/>
        <v>0.11925144</v>
      </c>
      <c r="BI243" s="109">
        <f t="shared" si="276"/>
        <v>0</v>
      </c>
      <c r="BJ243" s="109">
        <f t="shared" si="277"/>
        <v>1.4798358382500003</v>
      </c>
      <c r="BK243" s="109">
        <f t="shared" si="278"/>
        <v>9.9945801768214295</v>
      </c>
      <c r="BL243" s="148">
        <v>0.87</v>
      </c>
      <c r="BM243" s="112">
        <f>ROUND((AW243/BL243)+((AW243*BL243)*'CALCULO GERAL'!$E$11)/BL243,2)</f>
        <v>1.98</v>
      </c>
      <c r="BN243" s="186">
        <f t="shared" si="279"/>
        <v>1.98</v>
      </c>
      <c r="BO243" s="186">
        <f t="shared" si="280"/>
        <v>2.3199999999999998</v>
      </c>
      <c r="BP243" s="109">
        <f>BM243*'CALCULO GERAL'!$C$11</f>
        <v>9.9376200000000008</v>
      </c>
      <c r="BQ243" s="109">
        <f>BO243*'CALCULO GERAL'!$C$11</f>
        <v>11.644079999999999</v>
      </c>
      <c r="BR243" s="186">
        <f>BN243*'CALCULO GERAL'!$C$11</f>
        <v>9.9376200000000008</v>
      </c>
      <c r="BS243" s="109">
        <f t="shared" si="281"/>
        <v>695633.4</v>
      </c>
      <c r="BT243" s="109">
        <f t="shared" si="222"/>
        <v>99601.296300000045</v>
      </c>
      <c r="BU243" s="109">
        <f t="shared" si="282"/>
        <v>695633.4</v>
      </c>
      <c r="BV243" s="109">
        <f t="shared" si="283"/>
        <v>699620.61237750005</v>
      </c>
      <c r="BW243" s="109">
        <f t="shared" si="284"/>
        <v>-3987.2123775000218</v>
      </c>
      <c r="BX243" s="114">
        <f t="shared" si="285"/>
        <v>-5.7317724788660549E-3</v>
      </c>
      <c r="BY243" s="152">
        <f t="shared" si="298"/>
        <v>0.87</v>
      </c>
      <c r="CA243" s="55"/>
      <c r="CB243" s="113"/>
      <c r="CC243" s="113"/>
      <c r="CE243" s="152">
        <f t="shared" si="299"/>
        <v>0</v>
      </c>
      <c r="CF243" s="152">
        <f t="shared" si="300"/>
        <v>1</v>
      </c>
      <c r="CG243" s="152">
        <f t="shared" si="301"/>
        <v>1</v>
      </c>
      <c r="CH243" s="34"/>
      <c r="CJ243" s="11"/>
      <c r="CK243" s="11"/>
    </row>
    <row r="244" spans="1:89" s="152" customFormat="1" x14ac:dyDescent="0.2">
      <c r="A244" s="5" t="s">
        <v>377</v>
      </c>
      <c r="B244" s="187" t="s">
        <v>325</v>
      </c>
      <c r="C244" s="8">
        <v>0.26</v>
      </c>
      <c r="D244" s="8">
        <v>0</v>
      </c>
      <c r="E244" s="7">
        <v>2.1000000000000001E-2</v>
      </c>
      <c r="F244" s="7">
        <v>0.1045</v>
      </c>
      <c r="G244" s="1">
        <v>1.6500000000000001E-2</v>
      </c>
      <c r="H244" s="1">
        <v>7.5999999999999998E-2</v>
      </c>
      <c r="I244" s="1">
        <v>0.18</v>
      </c>
      <c r="J244" s="1">
        <v>0.04</v>
      </c>
      <c r="K244" s="1">
        <v>0.14000000000000001</v>
      </c>
      <c r="L244" s="1">
        <v>1.4999999999999999E-2</v>
      </c>
      <c r="M244" s="2" t="s">
        <v>175</v>
      </c>
      <c r="N244" s="105">
        <v>160000</v>
      </c>
      <c r="O244" s="119"/>
      <c r="P244" s="119"/>
      <c r="Q244" s="119"/>
      <c r="R244" s="119"/>
      <c r="S244" s="119"/>
      <c r="T244" s="119"/>
      <c r="U244" s="119"/>
      <c r="V244" s="119">
        <v>0.71</v>
      </c>
      <c r="W244" s="119"/>
      <c r="X244" s="119">
        <f t="shared" si="290"/>
        <v>0.71</v>
      </c>
      <c r="Y244" s="118">
        <f t="shared" si="291"/>
        <v>0.71</v>
      </c>
      <c r="Z244" s="109">
        <f t="shared" si="292"/>
        <v>113600</v>
      </c>
      <c r="AA244" s="109">
        <f>'CALCULO GERAL'!$G$10</f>
        <v>6300</v>
      </c>
      <c r="AB244" s="109">
        <f t="shared" si="293"/>
        <v>119900</v>
      </c>
      <c r="AC244" s="109">
        <f>AB244*'CALCULO GERAL'!$C$11</f>
        <v>601778.1</v>
      </c>
      <c r="AD244" s="109">
        <f t="shared" si="294"/>
        <v>156462.30600000001</v>
      </c>
      <c r="AE244" s="109">
        <f t="shared" si="295"/>
        <v>0</v>
      </c>
      <c r="AF244" s="109">
        <f t="shared" si="296"/>
        <v>12637.340099999999</v>
      </c>
      <c r="AG244" s="109">
        <f t="shared" si="297"/>
        <v>62885.811449999994</v>
      </c>
      <c r="AH244" s="109">
        <v>154.22999999999999</v>
      </c>
      <c r="AI244" s="109">
        <f>((AA244*'CALCULO GERAL'!$C$11))*0.08+20</f>
        <v>2549.576</v>
      </c>
      <c r="AJ244" s="109">
        <v>1010</v>
      </c>
      <c r="AK244" s="109">
        <v>2500</v>
      </c>
      <c r="AL244" s="109">
        <f>(AA244*('CALCULO GERAL'!$C$11*1.02))-(AA244*'CALCULO GERAL'!$C$11)</f>
        <v>632.39400000000387</v>
      </c>
      <c r="AM244" s="109">
        <v>1800</v>
      </c>
      <c r="AN244" s="109">
        <v>2600</v>
      </c>
      <c r="AO244" s="109">
        <v>9400</v>
      </c>
      <c r="AP244" s="109">
        <v>1000</v>
      </c>
      <c r="AQ244" s="109">
        <v>0</v>
      </c>
      <c r="AR244" s="109">
        <v>0</v>
      </c>
      <c r="AS244" s="109"/>
      <c r="AT244" s="109">
        <f t="shared" si="264"/>
        <v>855409.75754999998</v>
      </c>
      <c r="AU244" s="111">
        <f t="shared" si="265"/>
        <v>5.3463109846874994</v>
      </c>
      <c r="AV244" s="109">
        <f>IFERROR((BS244*'CALCULO GERAL'!$E$11)/N244,0)</f>
        <v>0.12246359999999999</v>
      </c>
      <c r="AW244" s="109">
        <f>AU244/'CALCULO GERAL'!$C$11</f>
        <v>1.0652143822848175</v>
      </c>
      <c r="AX244" s="109">
        <f>BP244-BB244-BD244*'CALCULO GERAL'!$C$11</f>
        <v>6.0313322999999999</v>
      </c>
      <c r="AY244" s="109">
        <f t="shared" si="266"/>
        <v>9.9516982949999999E-2</v>
      </c>
      <c r="AZ244" s="109">
        <f t="shared" si="267"/>
        <v>0.45838125479999997</v>
      </c>
      <c r="BA244" s="109">
        <f t="shared" si="268"/>
        <v>6.1231799999999996</v>
      </c>
      <c r="BB244" s="109">
        <f t="shared" si="269"/>
        <v>9.184769999999999E-2</v>
      </c>
      <c r="BC244" s="109">
        <f t="shared" si="270"/>
        <v>6.1231799999999996</v>
      </c>
      <c r="BD244" s="109">
        <f t="shared" si="271"/>
        <v>0</v>
      </c>
      <c r="BE244" s="109">
        <f t="shared" si="272"/>
        <v>78376.703999999998</v>
      </c>
      <c r="BF244" s="109">
        <f t="shared" si="273"/>
        <v>117565.05599999998</v>
      </c>
      <c r="BG244" s="109">
        <f t="shared" si="274"/>
        <v>6.6130343999999994E-2</v>
      </c>
      <c r="BH244" s="109">
        <f t="shared" si="275"/>
        <v>7.3478159999999987E-2</v>
      </c>
      <c r="BI244" s="109">
        <f t="shared" si="276"/>
        <v>-1.1485446250000001E-2</v>
      </c>
      <c r="BJ244" s="109">
        <f t="shared" si="277"/>
        <v>0.90033259549999978</v>
      </c>
      <c r="BK244" s="109">
        <f t="shared" si="278"/>
        <v>6.2466435801874995</v>
      </c>
      <c r="BL244" s="148">
        <v>0.89</v>
      </c>
      <c r="BM244" s="112">
        <f>ROUND((AW244/BL244)+((AW244*BL244)*'CALCULO GERAL'!$E$11)/BL244,2)</f>
        <v>1.22</v>
      </c>
      <c r="BN244" s="186">
        <f t="shared" si="279"/>
        <v>1.22</v>
      </c>
      <c r="BO244" s="186">
        <f t="shared" si="280"/>
        <v>1.429</v>
      </c>
      <c r="BP244" s="109">
        <f>BM244*'CALCULO GERAL'!$C$11</f>
        <v>6.1231799999999996</v>
      </c>
      <c r="BQ244" s="109">
        <f>BO244*'CALCULO GERAL'!$C$11</f>
        <v>7.1721510000000004</v>
      </c>
      <c r="BR244" s="186">
        <f>BN244*'CALCULO GERAL'!$C$11</f>
        <v>6.1231799999999996</v>
      </c>
      <c r="BS244" s="109">
        <f t="shared" si="281"/>
        <v>979708.79999999993</v>
      </c>
      <c r="BT244" s="109">
        <f t="shared" si="222"/>
        <v>124299.04244999995</v>
      </c>
      <c r="BU244" s="109">
        <f t="shared" si="282"/>
        <v>979708.79999999993</v>
      </c>
      <c r="BV244" s="109">
        <f t="shared" si="283"/>
        <v>999462.97282999998</v>
      </c>
      <c r="BW244" s="109">
        <f t="shared" si="284"/>
        <v>-19754.172830000054</v>
      </c>
      <c r="BX244" s="114">
        <f t="shared" si="285"/>
        <v>-2.0163310598006322E-2</v>
      </c>
      <c r="BY244" s="152">
        <f t="shared" si="298"/>
        <v>0.89</v>
      </c>
      <c r="CA244" s="55"/>
      <c r="CB244" s="113"/>
      <c r="CC244" s="113"/>
      <c r="CE244" s="152">
        <f t="shared" si="299"/>
        <v>0</v>
      </c>
      <c r="CF244" s="152">
        <f t="shared" si="300"/>
        <v>1</v>
      </c>
      <c r="CG244" s="152">
        <f t="shared" si="301"/>
        <v>1</v>
      </c>
      <c r="CH244" s="34"/>
      <c r="CJ244" s="11"/>
      <c r="CK244" s="11"/>
    </row>
    <row r="245" spans="1:89" s="152" customFormat="1" x14ac:dyDescent="0.2">
      <c r="A245" s="5" t="s">
        <v>378</v>
      </c>
      <c r="B245" s="187" t="s">
        <v>325</v>
      </c>
      <c r="C245" s="8">
        <v>0.26</v>
      </c>
      <c r="D245" s="8">
        <v>0</v>
      </c>
      <c r="E245" s="7">
        <v>2.1000000000000001E-2</v>
      </c>
      <c r="F245" s="7">
        <v>0.1045</v>
      </c>
      <c r="G245" s="1">
        <v>1.6500000000000001E-2</v>
      </c>
      <c r="H245" s="1">
        <v>7.5999999999999998E-2</v>
      </c>
      <c r="I245" s="1">
        <v>0.18</v>
      </c>
      <c r="J245" s="1">
        <v>0.04</v>
      </c>
      <c r="K245" s="1">
        <v>0.14000000000000001</v>
      </c>
      <c r="L245" s="1">
        <v>1.4999999999999999E-2</v>
      </c>
      <c r="M245" s="2" t="s">
        <v>175</v>
      </c>
      <c r="N245" s="105">
        <v>74000</v>
      </c>
      <c r="O245" s="119">
        <v>1.46</v>
      </c>
      <c r="P245" s="119"/>
      <c r="Q245" s="119"/>
      <c r="R245" s="119"/>
      <c r="S245" s="119"/>
      <c r="T245" s="119"/>
      <c r="U245" s="119"/>
      <c r="V245" s="119"/>
      <c r="W245" s="119"/>
      <c r="X245" s="119">
        <f t="shared" si="290"/>
        <v>1.46</v>
      </c>
      <c r="Y245" s="118">
        <f t="shared" si="291"/>
        <v>1.46</v>
      </c>
      <c r="Z245" s="109">
        <f t="shared" si="292"/>
        <v>108040</v>
      </c>
      <c r="AA245" s="109">
        <f>'CALCULO GERAL'!$G$10</f>
        <v>6300</v>
      </c>
      <c r="AB245" s="109">
        <f t="shared" si="293"/>
        <v>114340</v>
      </c>
      <c r="AC245" s="109">
        <f>AB245*'CALCULO GERAL'!$C$11</f>
        <v>573872.46</v>
      </c>
      <c r="AD245" s="109">
        <f t="shared" si="294"/>
        <v>149206.83960000001</v>
      </c>
      <c r="AE245" s="109">
        <f t="shared" si="295"/>
        <v>0</v>
      </c>
      <c r="AF245" s="109">
        <f t="shared" si="296"/>
        <v>12051.32166</v>
      </c>
      <c r="AG245" s="109">
        <f t="shared" si="297"/>
        <v>59969.672069999993</v>
      </c>
      <c r="AH245" s="109">
        <v>154.22999999999999</v>
      </c>
      <c r="AI245" s="109">
        <f>((AA245*'CALCULO GERAL'!$C$11))*0.08+20</f>
        <v>2549.576</v>
      </c>
      <c r="AJ245" s="109">
        <v>1010</v>
      </c>
      <c r="AK245" s="109">
        <v>2500</v>
      </c>
      <c r="AL245" s="109">
        <f>(AA245*('CALCULO GERAL'!$C$11*1.02))-(AA245*'CALCULO GERAL'!$C$11)</f>
        <v>632.39400000000387</v>
      </c>
      <c r="AM245" s="109">
        <v>1800</v>
      </c>
      <c r="AN245" s="109">
        <v>2600</v>
      </c>
      <c r="AO245" s="109">
        <v>9400</v>
      </c>
      <c r="AP245" s="109">
        <v>1000</v>
      </c>
      <c r="AQ245" s="109">
        <v>0</v>
      </c>
      <c r="AR245" s="109">
        <v>0</v>
      </c>
      <c r="AS245" s="109"/>
      <c r="AT245" s="109">
        <f t="shared" si="264"/>
        <v>816746.49332999997</v>
      </c>
      <c r="AU245" s="111">
        <f t="shared" si="265"/>
        <v>11.03711477472973</v>
      </c>
      <c r="AV245" s="109">
        <f>IFERROR((BS245*'CALCULO GERAL'!$E$11)/N245,0)</f>
        <v>0.25195380000000001</v>
      </c>
      <c r="AW245" s="109">
        <f>AU245/'CALCULO GERAL'!$C$11</f>
        <v>2.1990665022374438</v>
      </c>
      <c r="AX245" s="109">
        <f>BP245-BB245-BD245*'CALCULO GERAL'!$C$11</f>
        <v>12.40872465</v>
      </c>
      <c r="AY245" s="109">
        <f t="shared" si="266"/>
        <v>0.20474395672500001</v>
      </c>
      <c r="AZ245" s="109">
        <f t="shared" si="267"/>
        <v>0.94306307339999995</v>
      </c>
      <c r="BA245" s="109">
        <f t="shared" si="268"/>
        <v>12.59769</v>
      </c>
      <c r="BB245" s="109">
        <f t="shared" si="269"/>
        <v>0.18896535</v>
      </c>
      <c r="BC245" s="109">
        <f t="shared" si="270"/>
        <v>12.59769</v>
      </c>
      <c r="BD245" s="109">
        <f t="shared" si="271"/>
        <v>0</v>
      </c>
      <c r="BE245" s="109">
        <f t="shared" si="272"/>
        <v>74578.324800000002</v>
      </c>
      <c r="BF245" s="109">
        <f t="shared" si="273"/>
        <v>111867.4872</v>
      </c>
      <c r="BG245" s="109">
        <f t="shared" si="274"/>
        <v>0.13605505200000001</v>
      </c>
      <c r="BH245" s="109">
        <f t="shared" si="275"/>
        <v>0.15117227999999999</v>
      </c>
      <c r="BI245" s="109">
        <f t="shared" si="276"/>
        <v>-1.9700452432432437E-2</v>
      </c>
      <c r="BJ245" s="109">
        <f t="shared" si="277"/>
        <v>1.8562530596925677</v>
      </c>
      <c r="BK245" s="109">
        <f t="shared" si="278"/>
        <v>12.893367834422298</v>
      </c>
      <c r="BL245" s="148">
        <v>0.89</v>
      </c>
      <c r="BM245" s="112">
        <f>ROUND((AW245/BL245)+((AW245*BL245)*'CALCULO GERAL'!$E$11)/BL245,2)</f>
        <v>2.5099999999999998</v>
      </c>
      <c r="BN245" s="186">
        <f t="shared" si="279"/>
        <v>2.5099999999999998</v>
      </c>
      <c r="BO245" s="186">
        <f t="shared" si="280"/>
        <v>2.9409999999999998</v>
      </c>
      <c r="BP245" s="109">
        <f>BM245*'CALCULO GERAL'!$C$11</f>
        <v>12.59769</v>
      </c>
      <c r="BQ245" s="109">
        <f>BO245*'CALCULO GERAL'!$C$11</f>
        <v>14.760878999999999</v>
      </c>
      <c r="BR245" s="186">
        <f>BN245*'CALCULO GERAL'!$C$11</f>
        <v>12.59769</v>
      </c>
      <c r="BS245" s="109">
        <f t="shared" si="281"/>
        <v>932229.06</v>
      </c>
      <c r="BT245" s="109">
        <f t="shared" si="222"/>
        <v>115482.56667000009</v>
      </c>
      <c r="BU245" s="109">
        <f t="shared" si="282"/>
        <v>932229.06</v>
      </c>
      <c r="BV245" s="109">
        <f t="shared" si="283"/>
        <v>954109.21974725008</v>
      </c>
      <c r="BW245" s="109">
        <f t="shared" si="284"/>
        <v>-21880.159747250029</v>
      </c>
      <c r="BX245" s="114">
        <f t="shared" si="285"/>
        <v>-2.3470797775012535E-2</v>
      </c>
      <c r="BY245" s="152">
        <f t="shared" si="298"/>
        <v>0.89</v>
      </c>
      <c r="CA245" s="55"/>
      <c r="CB245" s="113"/>
      <c r="CC245" s="113"/>
      <c r="CE245" s="152">
        <f t="shared" si="299"/>
        <v>0</v>
      </c>
      <c r="CF245" s="152">
        <f t="shared" si="300"/>
        <v>1</v>
      </c>
      <c r="CG245" s="152">
        <f t="shared" si="301"/>
        <v>1</v>
      </c>
      <c r="CH245" s="34"/>
      <c r="CJ245" s="11"/>
      <c r="CK245" s="11"/>
    </row>
    <row r="246" spans="1:89" s="152" customFormat="1" x14ac:dyDescent="0.2">
      <c r="A246" s="5" t="s">
        <v>379</v>
      </c>
      <c r="B246" s="187" t="s">
        <v>325</v>
      </c>
      <c r="C246" s="8">
        <v>0.26</v>
      </c>
      <c r="D246" s="8">
        <v>0</v>
      </c>
      <c r="E246" s="7">
        <v>2.1000000000000001E-2</v>
      </c>
      <c r="F246" s="7">
        <v>0.1045</v>
      </c>
      <c r="G246" s="1">
        <v>1.6500000000000001E-2</v>
      </c>
      <c r="H246" s="1">
        <v>7.5999999999999998E-2</v>
      </c>
      <c r="I246" s="1">
        <v>0.18</v>
      </c>
      <c r="J246" s="1">
        <v>0.04</v>
      </c>
      <c r="K246" s="1">
        <v>0.14000000000000001</v>
      </c>
      <c r="L246" s="1">
        <v>1.4999999999999999E-2</v>
      </c>
      <c r="M246" s="2" t="s">
        <v>175</v>
      </c>
      <c r="N246" s="105">
        <v>130000</v>
      </c>
      <c r="O246" s="119"/>
      <c r="P246" s="119"/>
      <c r="Q246" s="119"/>
      <c r="R246" s="119"/>
      <c r="S246" s="119">
        <v>0.51</v>
      </c>
      <c r="T246" s="119"/>
      <c r="U246" s="119"/>
      <c r="V246" s="119">
        <v>0.47</v>
      </c>
      <c r="W246" s="119">
        <v>0.47499999999999998</v>
      </c>
      <c r="X246" s="119">
        <f t="shared" si="290"/>
        <v>0.47</v>
      </c>
      <c r="Y246" s="118">
        <f t="shared" si="291"/>
        <v>0.48500000000000004</v>
      </c>
      <c r="Z246" s="109">
        <f t="shared" si="292"/>
        <v>61100</v>
      </c>
      <c r="AA246" s="109">
        <f>'CALCULO GERAL'!$G$10</f>
        <v>6300</v>
      </c>
      <c r="AB246" s="109">
        <f t="shared" si="293"/>
        <v>67400</v>
      </c>
      <c r="AC246" s="109">
        <f>AB246*'CALCULO GERAL'!$C$11</f>
        <v>338280.60000000003</v>
      </c>
      <c r="AD246" s="109">
        <f t="shared" si="294"/>
        <v>87952.956000000006</v>
      </c>
      <c r="AE246" s="109">
        <f t="shared" si="295"/>
        <v>0</v>
      </c>
      <c r="AF246" s="109">
        <f t="shared" si="296"/>
        <v>7103.892600000001</v>
      </c>
      <c r="AG246" s="109">
        <f t="shared" si="297"/>
        <v>35350.322700000004</v>
      </c>
      <c r="AH246" s="109">
        <v>154.22999999999999</v>
      </c>
      <c r="AI246" s="109">
        <f>((AA246*'CALCULO GERAL'!$C$11))*0.08+20</f>
        <v>2549.576</v>
      </c>
      <c r="AJ246" s="109">
        <v>1010</v>
      </c>
      <c r="AK246" s="109">
        <v>2500</v>
      </c>
      <c r="AL246" s="109">
        <f>(AA246*('CALCULO GERAL'!$C$11*1.02))-(AA246*'CALCULO GERAL'!$C$11)</f>
        <v>632.39400000000387</v>
      </c>
      <c r="AM246" s="109">
        <v>1800</v>
      </c>
      <c r="AN246" s="109">
        <v>2600</v>
      </c>
      <c r="AO246" s="109">
        <v>9400</v>
      </c>
      <c r="AP246" s="109">
        <v>1000</v>
      </c>
      <c r="AQ246" s="109">
        <v>0</v>
      </c>
      <c r="AR246" s="109">
        <v>0</v>
      </c>
      <c r="AS246" s="109"/>
      <c r="AT246" s="109">
        <f t="shared" si="264"/>
        <v>490333.97130000009</v>
      </c>
      <c r="AU246" s="111">
        <f t="shared" si="265"/>
        <v>3.7717997792307698</v>
      </c>
      <c r="AV246" s="109">
        <f>IFERROR((BS246*'CALCULO GERAL'!$E$11)/N246,0)</f>
        <v>8.8334399999999993E-2</v>
      </c>
      <c r="AW246" s="109">
        <f>AU246/'CALCULO GERAL'!$C$11</f>
        <v>0.75150423973516034</v>
      </c>
      <c r="AX246" s="109">
        <f>BP246-BB246-BD246*'CALCULO GERAL'!$C$11</f>
        <v>4.3504692</v>
      </c>
      <c r="AY246" s="109">
        <f t="shared" si="266"/>
        <v>7.1782741800000008E-2</v>
      </c>
      <c r="AZ246" s="109">
        <f t="shared" si="267"/>
        <v>0.33063565919999999</v>
      </c>
      <c r="BA246" s="109">
        <f t="shared" si="268"/>
        <v>4.4167199999999998</v>
      </c>
      <c r="BB246" s="109">
        <f t="shared" si="269"/>
        <v>6.6250799999999999E-2</v>
      </c>
      <c r="BC246" s="109">
        <f t="shared" si="270"/>
        <v>4.4167199999999998</v>
      </c>
      <c r="BD246" s="109">
        <f t="shared" si="271"/>
        <v>0</v>
      </c>
      <c r="BE246" s="109">
        <f t="shared" si="272"/>
        <v>45933.887999999999</v>
      </c>
      <c r="BF246" s="109">
        <f t="shared" si="273"/>
        <v>68900.831999999995</v>
      </c>
      <c r="BG246" s="109">
        <f t="shared" si="274"/>
        <v>4.7700575999999995E-2</v>
      </c>
      <c r="BH246" s="109">
        <f t="shared" si="275"/>
        <v>5.3000640000000002E-2</v>
      </c>
      <c r="BI246" s="109">
        <f t="shared" si="276"/>
        <v>0</v>
      </c>
      <c r="BJ246" s="109">
        <f t="shared" si="277"/>
        <v>0.65770481700000005</v>
      </c>
      <c r="BK246" s="109">
        <f t="shared" si="278"/>
        <v>4.4295045962307702</v>
      </c>
      <c r="BL246" s="148">
        <v>0.87</v>
      </c>
      <c r="BM246" s="112">
        <f>ROUND((AW246/BL246)+((AW246*BL246)*'CALCULO GERAL'!$E$11)/BL246,2)</f>
        <v>0.88</v>
      </c>
      <c r="BN246" s="186">
        <f t="shared" si="279"/>
        <v>0.88</v>
      </c>
      <c r="BO246" s="186">
        <f t="shared" si="280"/>
        <v>1.0309999999999999</v>
      </c>
      <c r="BP246" s="109">
        <f>BM246*'CALCULO GERAL'!$C$11</f>
        <v>4.4167199999999998</v>
      </c>
      <c r="BQ246" s="109">
        <f>BO246*'CALCULO GERAL'!$C$11</f>
        <v>5.1745890000000001</v>
      </c>
      <c r="BR246" s="186">
        <f>BN246*'CALCULO GERAL'!$C$11</f>
        <v>4.4167199999999998</v>
      </c>
      <c r="BS246" s="109">
        <f t="shared" si="281"/>
        <v>574173.6</v>
      </c>
      <c r="BT246" s="109">
        <f t="shared" si="222"/>
        <v>83839.628699999885</v>
      </c>
      <c r="BU246" s="109">
        <f t="shared" si="282"/>
        <v>574173.6</v>
      </c>
      <c r="BV246" s="109">
        <f t="shared" si="283"/>
        <v>575835.59751000011</v>
      </c>
      <c r="BW246" s="109">
        <f t="shared" si="284"/>
        <v>-1661.997510000132</v>
      </c>
      <c r="BX246" s="114">
        <f t="shared" si="285"/>
        <v>-2.8945906081368632E-3</v>
      </c>
      <c r="BY246" s="152">
        <f t="shared" si="298"/>
        <v>0.87</v>
      </c>
      <c r="CA246" s="55"/>
      <c r="CB246" s="113"/>
      <c r="CC246" s="113"/>
      <c r="CE246" s="152">
        <f t="shared" si="299"/>
        <v>0</v>
      </c>
      <c r="CF246" s="152">
        <f t="shared" si="300"/>
        <v>1</v>
      </c>
      <c r="CG246" s="152">
        <f t="shared" si="301"/>
        <v>1</v>
      </c>
      <c r="CH246" s="34"/>
      <c r="CJ246" s="11"/>
      <c r="CK246" s="11"/>
    </row>
    <row r="247" spans="1:89" s="152" customFormat="1" x14ac:dyDescent="0.2">
      <c r="A247" s="5" t="s">
        <v>380</v>
      </c>
      <c r="B247" s="187" t="s">
        <v>297</v>
      </c>
      <c r="C247" s="8">
        <v>0.26</v>
      </c>
      <c r="D247" s="8">
        <v>0</v>
      </c>
      <c r="E247" s="7">
        <v>2.1000000000000001E-2</v>
      </c>
      <c r="F247" s="7">
        <v>0.1045</v>
      </c>
      <c r="G247" s="1">
        <v>1.6500000000000001E-2</v>
      </c>
      <c r="H247" s="1">
        <v>7.5999999999999998E-2</v>
      </c>
      <c r="I247" s="1">
        <v>0.18</v>
      </c>
      <c r="J247" s="1">
        <v>0.04</v>
      </c>
      <c r="K247" s="1">
        <v>0.14000000000000001</v>
      </c>
      <c r="L247" s="1">
        <v>1.4999999999999999E-2</v>
      </c>
      <c r="M247" s="2" t="s">
        <v>175</v>
      </c>
      <c r="N247" s="105">
        <v>120000</v>
      </c>
      <c r="O247" s="119">
        <v>0.43</v>
      </c>
      <c r="P247" s="119"/>
      <c r="Q247" s="119"/>
      <c r="R247" s="119"/>
      <c r="S247" s="119">
        <v>0.44</v>
      </c>
      <c r="T247" s="119"/>
      <c r="U247" s="119">
        <v>0.44</v>
      </c>
      <c r="V247" s="119">
        <v>0.42</v>
      </c>
      <c r="W247" s="119">
        <v>0.41499999999999998</v>
      </c>
      <c r="X247" s="119">
        <f t="shared" si="290"/>
        <v>0.41499999999999998</v>
      </c>
      <c r="Y247" s="118">
        <f t="shared" si="291"/>
        <v>0.42899999999999999</v>
      </c>
      <c r="Z247" s="109">
        <f t="shared" si="292"/>
        <v>49800</v>
      </c>
      <c r="AA247" s="109">
        <f>'CALCULO GERAL'!$G$10</f>
        <v>6300</v>
      </c>
      <c r="AB247" s="109">
        <f t="shared" si="293"/>
        <v>56100</v>
      </c>
      <c r="AC247" s="109">
        <f>AB247*'CALCULO GERAL'!$C$11</f>
        <v>281565.90000000002</v>
      </c>
      <c r="AD247" s="109">
        <f t="shared" si="294"/>
        <v>73207.134000000005</v>
      </c>
      <c r="AE247" s="109">
        <f t="shared" si="295"/>
        <v>0</v>
      </c>
      <c r="AF247" s="109">
        <f t="shared" si="296"/>
        <v>5912.8839000000007</v>
      </c>
      <c r="AG247" s="109">
        <f t="shared" si="297"/>
        <v>29423.636550000003</v>
      </c>
      <c r="AH247" s="109">
        <v>154.22999999999999</v>
      </c>
      <c r="AI247" s="109">
        <f>((AA247*'CALCULO GERAL'!$C$11))*0.08+20</f>
        <v>2549.576</v>
      </c>
      <c r="AJ247" s="109">
        <v>1010</v>
      </c>
      <c r="AK247" s="109">
        <v>2500</v>
      </c>
      <c r="AL247" s="109">
        <f>(AA247*('CALCULO GERAL'!$C$11*1.02))-(AA247*'CALCULO GERAL'!$C$11)</f>
        <v>632.39400000000387</v>
      </c>
      <c r="AM247" s="109">
        <v>1800</v>
      </c>
      <c r="AN247" s="109">
        <v>2600</v>
      </c>
      <c r="AO247" s="109">
        <v>9400</v>
      </c>
      <c r="AP247" s="109">
        <v>1000</v>
      </c>
      <c r="AQ247" s="109">
        <v>0</v>
      </c>
      <c r="AR247" s="109">
        <v>0</v>
      </c>
      <c r="AS247" s="109"/>
      <c r="AT247" s="109">
        <f t="shared" si="264"/>
        <v>411755.75445000007</v>
      </c>
      <c r="AU247" s="111">
        <f t="shared" si="265"/>
        <v>3.4312979537500006</v>
      </c>
      <c r="AV247" s="109">
        <f>IFERROR((BS247*'CALCULO GERAL'!$E$11)/N247,0)</f>
        <v>8.1307800000000013E-2</v>
      </c>
      <c r="AW247" s="109">
        <f>AU247/'CALCULO GERAL'!$C$11</f>
        <v>0.68366167637975706</v>
      </c>
      <c r="AX247" s="109">
        <f>BP247-BB247-BD247*'CALCULO GERAL'!$C$11</f>
        <v>4.0044091500000007</v>
      </c>
      <c r="AY247" s="109">
        <f t="shared" si="266"/>
        <v>6.6072750975000011E-2</v>
      </c>
      <c r="AZ247" s="109">
        <f t="shared" si="267"/>
        <v>0.30433509540000003</v>
      </c>
      <c r="BA247" s="109">
        <f t="shared" si="268"/>
        <v>4.0653900000000007</v>
      </c>
      <c r="BB247" s="109">
        <f t="shared" si="269"/>
        <v>6.098085000000001E-2</v>
      </c>
      <c r="BC247" s="109">
        <f t="shared" si="270"/>
        <v>4.0653900000000007</v>
      </c>
      <c r="BD247" s="109">
        <f t="shared" si="271"/>
        <v>0</v>
      </c>
      <c r="BE247" s="109">
        <f t="shared" si="272"/>
        <v>39027.744000000006</v>
      </c>
      <c r="BF247" s="109">
        <f t="shared" si="273"/>
        <v>58541.616000000009</v>
      </c>
      <c r="BG247" s="109">
        <f t="shared" si="274"/>
        <v>4.3906212000000007E-2</v>
      </c>
      <c r="BH247" s="109">
        <f t="shared" si="275"/>
        <v>4.8784680000000004E-2</v>
      </c>
      <c r="BI247" s="109">
        <f t="shared" si="276"/>
        <v>0</v>
      </c>
      <c r="BJ247" s="109">
        <f t="shared" si="277"/>
        <v>0.60538738837500006</v>
      </c>
      <c r="BK247" s="109">
        <f t="shared" si="278"/>
        <v>4.0366853421250006</v>
      </c>
      <c r="BL247" s="148">
        <v>0.86</v>
      </c>
      <c r="BM247" s="112">
        <f>ROUND((AW247/BL247)+((AW247*BL247)*'CALCULO GERAL'!$E$11)/BL247,2)</f>
        <v>0.81</v>
      </c>
      <c r="BN247" s="186">
        <f t="shared" si="279"/>
        <v>0.81</v>
      </c>
      <c r="BO247" s="186">
        <f t="shared" si="280"/>
        <v>0.94899999999999995</v>
      </c>
      <c r="BP247" s="109">
        <f>BM247*'CALCULO GERAL'!$C$11</f>
        <v>4.0653900000000007</v>
      </c>
      <c r="BQ247" s="109">
        <f>BO247*'CALCULO GERAL'!$C$11</f>
        <v>4.7630309999999998</v>
      </c>
      <c r="BR247" s="186">
        <f>BN247*'CALCULO GERAL'!$C$11</f>
        <v>4.0653900000000007</v>
      </c>
      <c r="BS247" s="109">
        <f t="shared" si="281"/>
        <v>487846.8000000001</v>
      </c>
      <c r="BT247" s="109">
        <f t="shared" si="222"/>
        <v>76091.045550000039</v>
      </c>
      <c r="BU247" s="109">
        <f t="shared" si="282"/>
        <v>487846.8000000001</v>
      </c>
      <c r="BV247" s="109">
        <f t="shared" si="283"/>
        <v>484402.24105500005</v>
      </c>
      <c r="BW247" s="109">
        <f t="shared" si="284"/>
        <v>3444.5589450000552</v>
      </c>
      <c r="BX247" s="114">
        <f t="shared" si="285"/>
        <v>7.0607390373372426E-3</v>
      </c>
      <c r="BY247" s="152">
        <f t="shared" si="298"/>
        <v>0.86</v>
      </c>
      <c r="CA247" s="55"/>
      <c r="CB247" s="113"/>
      <c r="CC247" s="113"/>
      <c r="CE247" s="152">
        <f t="shared" si="299"/>
        <v>0</v>
      </c>
      <c r="CF247" s="152">
        <f t="shared" si="300"/>
        <v>1</v>
      </c>
      <c r="CG247" s="152">
        <f t="shared" si="301"/>
        <v>1</v>
      </c>
      <c r="CH247" s="34"/>
      <c r="CJ247" s="11"/>
      <c r="CK247" s="11"/>
    </row>
    <row r="248" spans="1:89" s="152" customFormat="1" x14ac:dyDescent="0.2">
      <c r="A248" s="5" t="s">
        <v>381</v>
      </c>
      <c r="B248" s="187" t="s">
        <v>297</v>
      </c>
      <c r="C248" s="8">
        <v>0.26</v>
      </c>
      <c r="D248" s="8">
        <v>0</v>
      </c>
      <c r="E248" s="7">
        <v>2.1000000000000001E-2</v>
      </c>
      <c r="F248" s="7">
        <v>0.1045</v>
      </c>
      <c r="G248" s="1">
        <v>1.6500000000000001E-2</v>
      </c>
      <c r="H248" s="1">
        <v>7.5999999999999998E-2</v>
      </c>
      <c r="I248" s="1">
        <v>0.18</v>
      </c>
      <c r="J248" s="1">
        <v>0.04</v>
      </c>
      <c r="K248" s="1">
        <v>0.14000000000000001</v>
      </c>
      <c r="L248" s="1">
        <v>1.4999999999999999E-2</v>
      </c>
      <c r="M248" s="2" t="s">
        <v>175</v>
      </c>
      <c r="N248" s="105">
        <v>90000</v>
      </c>
      <c r="O248" s="119">
        <v>0.83</v>
      </c>
      <c r="P248" s="119"/>
      <c r="Q248" s="119"/>
      <c r="R248" s="119"/>
      <c r="S248" s="119">
        <v>0.84</v>
      </c>
      <c r="T248" s="119"/>
      <c r="U248" s="119"/>
      <c r="V248" s="119">
        <v>0.89</v>
      </c>
      <c r="W248" s="119">
        <v>0.83</v>
      </c>
      <c r="X248" s="119">
        <f t="shared" si="290"/>
        <v>0.83</v>
      </c>
      <c r="Y248" s="118">
        <f t="shared" si="291"/>
        <v>0.84750000000000003</v>
      </c>
      <c r="Z248" s="109">
        <f t="shared" si="292"/>
        <v>74700</v>
      </c>
      <c r="AA248" s="109">
        <f>'CALCULO GERAL'!$G$10</f>
        <v>6300</v>
      </c>
      <c r="AB248" s="109">
        <f t="shared" si="293"/>
        <v>81000</v>
      </c>
      <c r="AC248" s="109">
        <f>AB248*'CALCULO GERAL'!$C$11</f>
        <v>406539</v>
      </c>
      <c r="AD248" s="109">
        <f t="shared" si="294"/>
        <v>105700.14</v>
      </c>
      <c r="AE248" s="109">
        <f t="shared" si="295"/>
        <v>0</v>
      </c>
      <c r="AF248" s="109">
        <f t="shared" si="296"/>
        <v>8537.3190000000013</v>
      </c>
      <c r="AG248" s="109">
        <f t="shared" si="297"/>
        <v>42483.325499999999</v>
      </c>
      <c r="AH248" s="109">
        <v>154.22999999999999</v>
      </c>
      <c r="AI248" s="109">
        <f>((AA248*'CALCULO GERAL'!$C$11))*0.08+20</f>
        <v>2549.576</v>
      </c>
      <c r="AJ248" s="109">
        <v>1010</v>
      </c>
      <c r="AK248" s="109">
        <v>2500</v>
      </c>
      <c r="AL248" s="109">
        <f>(AA248*('CALCULO GERAL'!$C$11*1.02))-(AA248*'CALCULO GERAL'!$C$11)</f>
        <v>632.39400000000387</v>
      </c>
      <c r="AM248" s="109">
        <v>1800</v>
      </c>
      <c r="AN248" s="109">
        <v>2600</v>
      </c>
      <c r="AO248" s="109">
        <v>9400</v>
      </c>
      <c r="AP248" s="109">
        <v>1000</v>
      </c>
      <c r="AQ248" s="109">
        <v>0</v>
      </c>
      <c r="AR248" s="109">
        <v>0</v>
      </c>
      <c r="AS248" s="109"/>
      <c r="AT248" s="109">
        <f t="shared" si="264"/>
        <v>584905.98450000002</v>
      </c>
      <c r="AU248" s="111">
        <f t="shared" si="265"/>
        <v>6.4989553833333336</v>
      </c>
      <c r="AV248" s="109">
        <f>IFERROR((BS248*'CALCULO GERAL'!$E$11)/N248,0)</f>
        <v>0.15157380000000001</v>
      </c>
      <c r="AW248" s="109">
        <f>AU248/'CALCULO GERAL'!$C$11</f>
        <v>1.2948705685063426</v>
      </c>
      <c r="AX248" s="109">
        <f>BP248-BB248-BD248*'CALCULO GERAL'!$C$11</f>
        <v>7.4650096499999998</v>
      </c>
      <c r="AY248" s="109">
        <f t="shared" si="266"/>
        <v>0.12317265922500001</v>
      </c>
      <c r="AZ248" s="109">
        <f t="shared" si="267"/>
        <v>0.56734073340000002</v>
      </c>
      <c r="BA248" s="109">
        <f t="shared" si="268"/>
        <v>7.5786899999999999</v>
      </c>
      <c r="BB248" s="109">
        <f t="shared" si="269"/>
        <v>0.11368035</v>
      </c>
      <c r="BC248" s="109">
        <f t="shared" si="270"/>
        <v>7.5786899999999999</v>
      </c>
      <c r="BD248" s="109">
        <f t="shared" si="271"/>
        <v>0</v>
      </c>
      <c r="BE248" s="109">
        <f t="shared" si="272"/>
        <v>54566.567999999999</v>
      </c>
      <c r="BF248" s="109">
        <f t="shared" si="273"/>
        <v>81849.851999999999</v>
      </c>
      <c r="BG248" s="109">
        <f t="shared" si="274"/>
        <v>8.1849852000000001E-2</v>
      </c>
      <c r="BH248" s="109">
        <f t="shared" si="275"/>
        <v>9.0944279999999988E-2</v>
      </c>
      <c r="BI248" s="109">
        <f t="shared" si="276"/>
        <v>0</v>
      </c>
      <c r="BJ248" s="109">
        <f t="shared" si="277"/>
        <v>1.128561674625</v>
      </c>
      <c r="BK248" s="109">
        <f t="shared" si="278"/>
        <v>7.6275170579583333</v>
      </c>
      <c r="BL248" s="148">
        <v>0.875</v>
      </c>
      <c r="BM248" s="112">
        <f>ROUND((AW248/BL248)+((AW248*BL248)*'CALCULO GERAL'!$E$11)/BL248,2)</f>
        <v>1.51</v>
      </c>
      <c r="BN248" s="186">
        <f t="shared" si="279"/>
        <v>1.51</v>
      </c>
      <c r="BO248" s="186">
        <f t="shared" si="280"/>
        <v>1.7689999999999999</v>
      </c>
      <c r="BP248" s="109">
        <f>BM248*'CALCULO GERAL'!$C$11</f>
        <v>7.5786899999999999</v>
      </c>
      <c r="BQ248" s="109">
        <f>BO248*'CALCULO GERAL'!$C$11</f>
        <v>8.8786109999999994</v>
      </c>
      <c r="BR248" s="186">
        <f>BN248*'CALCULO GERAL'!$C$11</f>
        <v>7.5786899999999999</v>
      </c>
      <c r="BS248" s="109">
        <f t="shared" si="281"/>
        <v>682082.1</v>
      </c>
      <c r="BT248" s="109">
        <f t="shared" si="222"/>
        <v>97176.115499999956</v>
      </c>
      <c r="BU248" s="109">
        <f t="shared" si="282"/>
        <v>682082.1</v>
      </c>
      <c r="BV248" s="109">
        <f t="shared" si="283"/>
        <v>686476.53521624999</v>
      </c>
      <c r="BW248" s="109">
        <f t="shared" si="284"/>
        <v>-4394.4352162500145</v>
      </c>
      <c r="BX248" s="114">
        <f t="shared" si="285"/>
        <v>-6.442677818769932E-3</v>
      </c>
      <c r="BY248" s="152">
        <f t="shared" si="298"/>
        <v>0.88</v>
      </c>
      <c r="CA248" s="55"/>
      <c r="CB248" s="113"/>
      <c r="CC248" s="113"/>
      <c r="CE248" s="152">
        <f t="shared" si="299"/>
        <v>0</v>
      </c>
      <c r="CF248" s="152">
        <f t="shared" si="300"/>
        <v>1</v>
      </c>
      <c r="CG248" s="152">
        <f t="shared" si="301"/>
        <v>1</v>
      </c>
      <c r="CH248" s="34"/>
      <c r="CJ248" s="11"/>
      <c r="CK248" s="11"/>
    </row>
    <row r="249" spans="1:89" s="152" customFormat="1" x14ac:dyDescent="0.2">
      <c r="A249" s="5" t="s">
        <v>382</v>
      </c>
      <c r="B249" s="187" t="s">
        <v>383</v>
      </c>
      <c r="C249" s="6">
        <v>0</v>
      </c>
      <c r="D249" s="8">
        <v>0</v>
      </c>
      <c r="E249" s="7">
        <v>2.1000000000000001E-2</v>
      </c>
      <c r="F249" s="7">
        <v>0.1045</v>
      </c>
      <c r="G249" s="1">
        <v>1.6500000000000001E-2</v>
      </c>
      <c r="H249" s="1">
        <v>7.5999999999999998E-2</v>
      </c>
      <c r="I249" s="1">
        <v>0.18</v>
      </c>
      <c r="J249" s="1">
        <v>0.04</v>
      </c>
      <c r="K249" s="1">
        <v>0.14000000000000001</v>
      </c>
      <c r="L249" s="1">
        <v>1.4999999999999999E-2</v>
      </c>
      <c r="M249" s="2" t="s">
        <v>175</v>
      </c>
      <c r="N249" s="105">
        <v>17000</v>
      </c>
      <c r="O249" s="119"/>
      <c r="P249" s="119"/>
      <c r="Q249" s="119"/>
      <c r="R249" s="119"/>
      <c r="S249" s="119"/>
      <c r="T249" s="119"/>
      <c r="U249" s="119"/>
      <c r="V249" s="119">
        <v>2.0499999999999998</v>
      </c>
      <c r="W249" s="119">
        <v>2.2000000000000002</v>
      </c>
      <c r="X249" s="119">
        <f t="shared" si="290"/>
        <v>2.0499999999999998</v>
      </c>
      <c r="Y249" s="118">
        <f t="shared" si="291"/>
        <v>2.125</v>
      </c>
      <c r="Z249" s="109">
        <f t="shared" ref="Z249:Z269" si="302">Y249*N249</f>
        <v>36125</v>
      </c>
      <c r="AA249" s="109">
        <f>'CALCULO GERAL'!$G$10</f>
        <v>6300</v>
      </c>
      <c r="AB249" s="109">
        <f t="shared" si="293"/>
        <v>42425</v>
      </c>
      <c r="AC249" s="109">
        <f>AB249*'CALCULO GERAL'!$C$11</f>
        <v>212931.07500000001</v>
      </c>
      <c r="AD249" s="109">
        <f t="shared" si="294"/>
        <v>0</v>
      </c>
      <c r="AE249" s="109">
        <f t="shared" si="295"/>
        <v>0</v>
      </c>
      <c r="AF249" s="109">
        <f t="shared" si="296"/>
        <v>4471.5525750000006</v>
      </c>
      <c r="AG249" s="109">
        <f t="shared" si="297"/>
        <v>22251.2973375</v>
      </c>
      <c r="AH249" s="109">
        <v>154.22999999999999</v>
      </c>
      <c r="AI249" s="109">
        <f>((AA249*'CALCULO GERAL'!$C$11))*0.08+20</f>
        <v>2549.576</v>
      </c>
      <c r="AJ249" s="109">
        <v>1010</v>
      </c>
      <c r="AK249" s="109">
        <v>2500</v>
      </c>
      <c r="AL249" s="109">
        <f>(AA249*('CALCULO GERAL'!$C$11*1.02))-(AA249*'CALCULO GERAL'!$C$11)</f>
        <v>632.39400000000387</v>
      </c>
      <c r="AM249" s="109">
        <v>1800</v>
      </c>
      <c r="AN249" s="109">
        <v>2600</v>
      </c>
      <c r="AO249" s="109">
        <v>9400</v>
      </c>
      <c r="AP249" s="109">
        <v>1000</v>
      </c>
      <c r="AQ249" s="109">
        <v>0</v>
      </c>
      <c r="AR249" s="109">
        <v>0</v>
      </c>
      <c r="AS249" s="109"/>
      <c r="AT249" s="109">
        <f t="shared" si="264"/>
        <v>261300.12491250003</v>
      </c>
      <c r="AU249" s="111">
        <f t="shared" si="265"/>
        <v>15.370595583088237</v>
      </c>
      <c r="AV249" s="109">
        <f>IFERROR((BS249*'CALCULO GERAL'!$E$11)/N249,0)</f>
        <v>0.38144400000000001</v>
      </c>
      <c r="AW249" s="109">
        <f>AU249/'CALCULO GERAL'!$C$11</f>
        <v>3.0624816862100492</v>
      </c>
      <c r="AX249" s="109">
        <f>BP249-BB249-BD249*'CALCULO GERAL'!$C$11</f>
        <v>18.786116999999997</v>
      </c>
      <c r="AY249" s="109">
        <f t="shared" si="266"/>
        <v>0.30997093049999996</v>
      </c>
      <c r="AZ249" s="109">
        <f t="shared" si="267"/>
        <v>1.4277448919999998</v>
      </c>
      <c r="BA249" s="109">
        <f t="shared" si="268"/>
        <v>19.072199999999999</v>
      </c>
      <c r="BB249" s="109">
        <f t="shared" si="269"/>
        <v>0.28608299999999998</v>
      </c>
      <c r="BC249" s="109">
        <f t="shared" si="270"/>
        <v>19.072199999999999</v>
      </c>
      <c r="BD249" s="109">
        <f t="shared" si="271"/>
        <v>0</v>
      </c>
      <c r="BE249" s="109">
        <f t="shared" si="272"/>
        <v>25938.191999999999</v>
      </c>
      <c r="BF249" s="109">
        <f t="shared" si="273"/>
        <v>38907.287999999993</v>
      </c>
      <c r="BG249" s="109">
        <f t="shared" si="274"/>
        <v>0.20597975999999996</v>
      </c>
      <c r="BH249" s="109">
        <f t="shared" si="275"/>
        <v>0.2288664</v>
      </c>
      <c r="BI249" s="109">
        <f t="shared" si="276"/>
        <v>0</v>
      </c>
      <c r="BJ249" s="109">
        <f t="shared" si="277"/>
        <v>2.8400889824999997</v>
      </c>
      <c r="BK249" s="109">
        <f t="shared" si="278"/>
        <v>18.210684565588238</v>
      </c>
      <c r="BL249" s="148">
        <v>0.82</v>
      </c>
      <c r="BM249" s="112">
        <f>ROUND((AW249/BL249)+((AW249*BL249)*'CALCULO GERAL'!$E$11)/BL249,2)</f>
        <v>3.8</v>
      </c>
      <c r="BN249" s="186">
        <f t="shared" si="279"/>
        <v>3.8</v>
      </c>
      <c r="BO249" s="186">
        <f t="shared" si="280"/>
        <v>4.452</v>
      </c>
      <c r="BP249" s="109">
        <f>BM249*'CALCULO GERAL'!$C$11</f>
        <v>19.072199999999999</v>
      </c>
      <c r="BQ249" s="109">
        <f>BO249*'CALCULO GERAL'!$C$11</f>
        <v>22.344588000000002</v>
      </c>
      <c r="BR249" s="186">
        <f>BN249*'CALCULO GERAL'!$C$11</f>
        <v>19.072199999999999</v>
      </c>
      <c r="BS249" s="109">
        <f t="shared" si="281"/>
        <v>324227.39999999997</v>
      </c>
      <c r="BT249" s="109">
        <f t="shared" si="222"/>
        <v>62927.275087499933</v>
      </c>
      <c r="BU249" s="109">
        <f t="shared" si="282"/>
        <v>324227.39999999997</v>
      </c>
      <c r="BV249" s="109">
        <f t="shared" si="283"/>
        <v>309581.63761500007</v>
      </c>
      <c r="BW249" s="109">
        <f t="shared" si="284"/>
        <v>14645.762384999893</v>
      </c>
      <c r="BX249" s="114">
        <f t="shared" si="285"/>
        <v>4.5171266786828916E-2</v>
      </c>
      <c r="BY249" s="152">
        <f t="shared" si="298"/>
        <v>0.82</v>
      </c>
      <c r="CA249" s="55"/>
      <c r="CB249" s="113"/>
      <c r="CC249" s="113"/>
      <c r="CE249" s="152">
        <f t="shared" si="299"/>
        <v>0</v>
      </c>
      <c r="CF249" s="152">
        <f t="shared" si="300"/>
        <v>1</v>
      </c>
      <c r="CG249" s="152">
        <f t="shared" si="301"/>
        <v>1</v>
      </c>
      <c r="CH249" s="34"/>
      <c r="CJ249" s="11"/>
      <c r="CK249" s="11"/>
    </row>
    <row r="250" spans="1:89" s="152" customFormat="1" x14ac:dyDescent="0.2">
      <c r="A250" s="5" t="s">
        <v>384</v>
      </c>
      <c r="B250" s="187" t="s">
        <v>383</v>
      </c>
      <c r="C250" s="6">
        <v>0</v>
      </c>
      <c r="D250" s="8">
        <v>0</v>
      </c>
      <c r="E250" s="7">
        <v>2.1000000000000001E-2</v>
      </c>
      <c r="F250" s="7">
        <v>0.1045</v>
      </c>
      <c r="G250" s="1">
        <v>1.6500000000000001E-2</v>
      </c>
      <c r="H250" s="1">
        <v>7.5999999999999998E-2</v>
      </c>
      <c r="I250" s="1">
        <v>0.18</v>
      </c>
      <c r="J250" s="1">
        <v>0.04</v>
      </c>
      <c r="K250" s="1">
        <v>0.14000000000000001</v>
      </c>
      <c r="L250" s="1">
        <v>1.4999999999999999E-2</v>
      </c>
      <c r="M250" s="2" t="s">
        <v>175</v>
      </c>
      <c r="N250" s="105">
        <v>17000</v>
      </c>
      <c r="O250" s="119"/>
      <c r="P250" s="119"/>
      <c r="Q250" s="119"/>
      <c r="R250" s="119"/>
      <c r="S250" s="119"/>
      <c r="T250" s="119"/>
      <c r="U250" s="119"/>
      <c r="V250" s="119">
        <v>2.2999999999999998</v>
      </c>
      <c r="W250" s="119">
        <v>2.2999999999999998</v>
      </c>
      <c r="X250" s="119">
        <f t="shared" si="290"/>
        <v>2.2999999999999998</v>
      </c>
      <c r="Y250" s="118">
        <f t="shared" si="291"/>
        <v>2.2999999999999998</v>
      </c>
      <c r="Z250" s="109">
        <f t="shared" si="302"/>
        <v>39100</v>
      </c>
      <c r="AA250" s="109">
        <f>'CALCULO GERAL'!$G$10</f>
        <v>6300</v>
      </c>
      <c r="AB250" s="109">
        <f t="shared" si="293"/>
        <v>45400</v>
      </c>
      <c r="AC250" s="109">
        <f>AB250*'CALCULO GERAL'!$C$11</f>
        <v>227862.6</v>
      </c>
      <c r="AD250" s="109">
        <f t="shared" si="294"/>
        <v>0</v>
      </c>
      <c r="AE250" s="109">
        <f t="shared" si="295"/>
        <v>0</v>
      </c>
      <c r="AF250" s="109">
        <f t="shared" si="296"/>
        <v>4785.1146000000008</v>
      </c>
      <c r="AG250" s="109">
        <f t="shared" si="297"/>
        <v>23811.6417</v>
      </c>
      <c r="AH250" s="109">
        <v>154.22999999999999</v>
      </c>
      <c r="AI250" s="109">
        <f>((AA250*'CALCULO GERAL'!$C$11))*0.08+20</f>
        <v>2549.576</v>
      </c>
      <c r="AJ250" s="109">
        <v>1010</v>
      </c>
      <c r="AK250" s="109">
        <v>2500</v>
      </c>
      <c r="AL250" s="109">
        <f>(AA250*('CALCULO GERAL'!$C$11*1.02))-(AA250*'CALCULO GERAL'!$C$11)</f>
        <v>632.39400000000387</v>
      </c>
      <c r="AM250" s="109">
        <v>1800</v>
      </c>
      <c r="AN250" s="109">
        <v>2600</v>
      </c>
      <c r="AO250" s="109">
        <v>9400</v>
      </c>
      <c r="AP250" s="109">
        <v>1000</v>
      </c>
      <c r="AQ250" s="109">
        <v>0</v>
      </c>
      <c r="AR250" s="109">
        <v>0</v>
      </c>
      <c r="AS250" s="109"/>
      <c r="AT250" s="109">
        <f t="shared" si="264"/>
        <v>278105.55630000005</v>
      </c>
      <c r="AU250" s="111">
        <f t="shared" si="265"/>
        <v>16.359150370588239</v>
      </c>
      <c r="AV250" s="109">
        <f>IFERROR((BS250*'CALCULO GERAL'!$E$11)/N250,0)</f>
        <v>0.40553519999999998</v>
      </c>
      <c r="AW250" s="109">
        <f>AU250/'CALCULO GERAL'!$C$11</f>
        <v>3.2594441862100494</v>
      </c>
      <c r="AX250" s="109">
        <f>BP250-BB250-BD250*'CALCULO GERAL'!$C$11</f>
        <v>19.972608600000001</v>
      </c>
      <c r="AY250" s="109">
        <f t="shared" si="266"/>
        <v>0.32954804190000003</v>
      </c>
      <c r="AZ250" s="109">
        <f t="shared" si="267"/>
        <v>1.5179182536</v>
      </c>
      <c r="BA250" s="109">
        <f t="shared" si="268"/>
        <v>20.276759999999999</v>
      </c>
      <c r="BB250" s="109">
        <f t="shared" si="269"/>
        <v>0.30415139999999996</v>
      </c>
      <c r="BC250" s="109">
        <f t="shared" si="270"/>
        <v>20.276759999999999</v>
      </c>
      <c r="BD250" s="109">
        <f t="shared" si="271"/>
        <v>0</v>
      </c>
      <c r="BE250" s="109">
        <f t="shared" si="272"/>
        <v>27576.393599999999</v>
      </c>
      <c r="BF250" s="109">
        <f t="shared" si="273"/>
        <v>41364.590399999994</v>
      </c>
      <c r="BG250" s="109">
        <f t="shared" si="274"/>
        <v>0.21898900799999996</v>
      </c>
      <c r="BH250" s="109">
        <f t="shared" si="275"/>
        <v>0.24332111999999997</v>
      </c>
      <c r="BI250" s="109">
        <f t="shared" si="276"/>
        <v>0</v>
      </c>
      <c r="BJ250" s="109">
        <f t="shared" si="277"/>
        <v>3.0194630235000002</v>
      </c>
      <c r="BK250" s="109">
        <f t="shared" si="278"/>
        <v>19.378613394088241</v>
      </c>
      <c r="BL250" s="148">
        <v>0.82</v>
      </c>
      <c r="BM250" s="112">
        <f>ROUND((AW250/BL250)+((AW250*BL250)*'CALCULO GERAL'!$E$11)/BL250,2)</f>
        <v>4.04</v>
      </c>
      <c r="BN250" s="186">
        <f t="shared" si="279"/>
        <v>4.04</v>
      </c>
      <c r="BO250" s="186">
        <f t="shared" si="280"/>
        <v>4.734</v>
      </c>
      <c r="BP250" s="109">
        <f>BM250*'CALCULO GERAL'!$C$11</f>
        <v>20.276759999999999</v>
      </c>
      <c r="BQ250" s="109">
        <f>BO250*'CALCULO GERAL'!$C$11</f>
        <v>23.759945999999999</v>
      </c>
      <c r="BR250" s="186">
        <f>BN250*'CALCULO GERAL'!$C$11</f>
        <v>20.276759999999999</v>
      </c>
      <c r="BS250" s="109">
        <f t="shared" si="281"/>
        <v>344704.92</v>
      </c>
      <c r="BT250" s="109">
        <f t="shared" si="222"/>
        <v>66599.363699999929</v>
      </c>
      <c r="BU250" s="109">
        <f t="shared" si="282"/>
        <v>344704.92</v>
      </c>
      <c r="BV250" s="109">
        <f t="shared" si="283"/>
        <v>329436.42769950011</v>
      </c>
      <c r="BW250" s="109">
        <f t="shared" si="284"/>
        <v>15268.492300499871</v>
      </c>
      <c r="BX250" s="114">
        <f t="shared" si="285"/>
        <v>4.4294384601472676E-2</v>
      </c>
      <c r="BY250" s="152">
        <f t="shared" si="298"/>
        <v>0.82</v>
      </c>
      <c r="CA250" s="55"/>
      <c r="CB250" s="113"/>
      <c r="CC250" s="113"/>
      <c r="CE250" s="152">
        <f t="shared" si="299"/>
        <v>0</v>
      </c>
      <c r="CF250" s="152">
        <f t="shared" si="300"/>
        <v>1</v>
      </c>
      <c r="CG250" s="152">
        <f t="shared" si="301"/>
        <v>1</v>
      </c>
      <c r="CH250" s="34"/>
      <c r="CJ250" s="11"/>
      <c r="CK250" s="11"/>
    </row>
    <row r="251" spans="1:89" s="152" customFormat="1" x14ac:dyDescent="0.2">
      <c r="A251" s="5" t="s">
        <v>385</v>
      </c>
      <c r="B251" s="187" t="s">
        <v>383</v>
      </c>
      <c r="C251" s="8">
        <v>0.26</v>
      </c>
      <c r="D251" s="8">
        <v>0</v>
      </c>
      <c r="E251" s="7">
        <v>2.1000000000000001E-2</v>
      </c>
      <c r="F251" s="7">
        <v>0.1045</v>
      </c>
      <c r="G251" s="1">
        <v>1.6500000000000001E-2</v>
      </c>
      <c r="H251" s="1">
        <v>7.5999999999999998E-2</v>
      </c>
      <c r="I251" s="1">
        <v>0.18</v>
      </c>
      <c r="J251" s="1">
        <v>0.04</v>
      </c>
      <c r="K251" s="1">
        <v>0.14000000000000001</v>
      </c>
      <c r="L251" s="1">
        <v>1.4999999999999999E-2</v>
      </c>
      <c r="M251" s="2" t="s">
        <v>175</v>
      </c>
      <c r="N251" s="105">
        <v>22000</v>
      </c>
      <c r="O251" s="119"/>
      <c r="P251" s="119"/>
      <c r="Q251" s="119"/>
      <c r="R251" s="119"/>
      <c r="S251" s="119"/>
      <c r="T251" s="119"/>
      <c r="U251" s="119"/>
      <c r="V251" s="119">
        <v>2.2999999999999998</v>
      </c>
      <c r="W251" s="119"/>
      <c r="X251" s="119">
        <f t="shared" si="290"/>
        <v>2.2999999999999998</v>
      </c>
      <c r="Y251" s="118">
        <f t="shared" si="291"/>
        <v>2.2999999999999998</v>
      </c>
      <c r="Z251" s="109">
        <f t="shared" si="302"/>
        <v>50599.999999999993</v>
      </c>
      <c r="AA251" s="109">
        <f>'CALCULO GERAL'!$G$10</f>
        <v>6300</v>
      </c>
      <c r="AB251" s="109">
        <f t="shared" si="293"/>
        <v>56899.999999999993</v>
      </c>
      <c r="AC251" s="109">
        <f>AB251*'CALCULO GERAL'!$C$11</f>
        <v>285581.09999999998</v>
      </c>
      <c r="AD251" s="109">
        <f t="shared" si="294"/>
        <v>74251.085999999996</v>
      </c>
      <c r="AE251" s="109">
        <f t="shared" si="295"/>
        <v>0</v>
      </c>
      <c r="AF251" s="109">
        <f t="shared" si="296"/>
        <v>5997.2030999999997</v>
      </c>
      <c r="AG251" s="109">
        <f t="shared" si="297"/>
        <v>29843.224949999996</v>
      </c>
      <c r="AH251" s="109">
        <v>154.22999999999999</v>
      </c>
      <c r="AI251" s="109">
        <f>((AA251*'CALCULO GERAL'!$C$11))*0.08+20</f>
        <v>2549.576</v>
      </c>
      <c r="AJ251" s="109">
        <v>1010</v>
      </c>
      <c r="AK251" s="109">
        <v>2500</v>
      </c>
      <c r="AL251" s="109">
        <f>(AA251*('CALCULO GERAL'!$C$11*1.02))-(AA251*'CALCULO GERAL'!$C$11)</f>
        <v>632.39400000000387</v>
      </c>
      <c r="AM251" s="109">
        <v>1800</v>
      </c>
      <c r="AN251" s="109">
        <v>2600</v>
      </c>
      <c r="AO251" s="109">
        <v>9400</v>
      </c>
      <c r="AP251" s="109">
        <v>1000</v>
      </c>
      <c r="AQ251" s="109">
        <v>0</v>
      </c>
      <c r="AR251" s="109">
        <v>0</v>
      </c>
      <c r="AS251" s="109"/>
      <c r="AT251" s="109">
        <f t="shared" si="264"/>
        <v>417318.81404999999</v>
      </c>
      <c r="AU251" s="111">
        <f t="shared" si="265"/>
        <v>18.969037002272728</v>
      </c>
      <c r="AV251" s="109">
        <f>IFERROR((BS251*'CALCULO GERAL'!$E$11)/N251,0)</f>
        <v>0.46977839999999998</v>
      </c>
      <c r="AW251" s="109">
        <f>AU251/'CALCULO GERAL'!$C$11</f>
        <v>3.779445507525947</v>
      </c>
      <c r="AX251" s="109">
        <f>BP251-BB251-BD251*'CALCULO GERAL'!$C$11</f>
        <v>23.1365862</v>
      </c>
      <c r="AY251" s="109">
        <f t="shared" si="266"/>
        <v>0.38175367230000001</v>
      </c>
      <c r="AZ251" s="109">
        <f t="shared" si="267"/>
        <v>1.7583805511999999</v>
      </c>
      <c r="BA251" s="109">
        <f t="shared" si="268"/>
        <v>23.48892</v>
      </c>
      <c r="BB251" s="109">
        <f t="shared" si="269"/>
        <v>0.35233379999999997</v>
      </c>
      <c r="BC251" s="109">
        <f t="shared" si="270"/>
        <v>23.48892</v>
      </c>
      <c r="BD251" s="109">
        <f t="shared" si="271"/>
        <v>0</v>
      </c>
      <c r="BE251" s="109">
        <f t="shared" si="272"/>
        <v>41340.499199999998</v>
      </c>
      <c r="BF251" s="109">
        <f t="shared" si="273"/>
        <v>62010.748799999994</v>
      </c>
      <c r="BG251" s="109">
        <f t="shared" si="274"/>
        <v>0.25368033600000001</v>
      </c>
      <c r="BH251" s="109">
        <f t="shared" si="275"/>
        <v>0.28186703999999996</v>
      </c>
      <c r="BI251" s="109">
        <f t="shared" si="276"/>
        <v>0</v>
      </c>
      <c r="BJ251" s="109">
        <f t="shared" si="277"/>
        <v>3.4977937994999997</v>
      </c>
      <c r="BK251" s="109">
        <f t="shared" si="278"/>
        <v>22.466830801772726</v>
      </c>
      <c r="BL251" s="148">
        <v>0.82</v>
      </c>
      <c r="BM251" s="112">
        <f>ROUND((AW251/BL251)+((AW251*BL251)*'CALCULO GERAL'!$E$11)/BL251,2)</f>
        <v>4.68</v>
      </c>
      <c r="BN251" s="186">
        <f t="shared" si="279"/>
        <v>4.68</v>
      </c>
      <c r="BO251" s="186">
        <f t="shared" si="280"/>
        <v>5.4829999999999997</v>
      </c>
      <c r="BP251" s="109">
        <f>BM251*'CALCULO GERAL'!$C$11</f>
        <v>23.48892</v>
      </c>
      <c r="BQ251" s="109">
        <f>BO251*'CALCULO GERAL'!$C$11</f>
        <v>27.519176999999999</v>
      </c>
      <c r="BR251" s="186">
        <f>BN251*'CALCULO GERAL'!$C$11</f>
        <v>23.48892</v>
      </c>
      <c r="BS251" s="109">
        <f t="shared" si="281"/>
        <v>516756.24</v>
      </c>
      <c r="BT251" s="109">
        <f t="shared" si="222"/>
        <v>99437.425950000004</v>
      </c>
      <c r="BU251" s="109">
        <f t="shared" si="282"/>
        <v>516756.24</v>
      </c>
      <c r="BV251" s="109">
        <f t="shared" si="283"/>
        <v>494270.27763899998</v>
      </c>
      <c r="BW251" s="109">
        <f t="shared" si="284"/>
        <v>22485.962361000013</v>
      </c>
      <c r="BX251" s="114">
        <f t="shared" si="285"/>
        <v>4.351367360556694E-2</v>
      </c>
      <c r="BY251" s="152">
        <f t="shared" si="298"/>
        <v>0.82</v>
      </c>
      <c r="CA251" s="55"/>
      <c r="CB251" s="113"/>
      <c r="CC251" s="113"/>
      <c r="CE251" s="152">
        <f t="shared" si="299"/>
        <v>0</v>
      </c>
      <c r="CF251" s="152">
        <f t="shared" si="300"/>
        <v>1</v>
      </c>
      <c r="CG251" s="152">
        <f t="shared" si="301"/>
        <v>1</v>
      </c>
      <c r="CH251" s="34"/>
      <c r="CJ251" s="11"/>
      <c r="CK251" s="11"/>
    </row>
    <row r="252" spans="1:89" s="152" customFormat="1" x14ac:dyDescent="0.2">
      <c r="A252" s="5" t="s">
        <v>386</v>
      </c>
      <c r="B252" s="187" t="s">
        <v>383</v>
      </c>
      <c r="C252" s="6">
        <v>0</v>
      </c>
      <c r="D252" s="8">
        <v>0</v>
      </c>
      <c r="E252" s="7">
        <v>2.1000000000000001E-2</v>
      </c>
      <c r="F252" s="7">
        <v>0.1045</v>
      </c>
      <c r="G252" s="1">
        <v>1.6500000000000001E-2</v>
      </c>
      <c r="H252" s="1">
        <v>7.5999999999999998E-2</v>
      </c>
      <c r="I252" s="1">
        <v>0.18</v>
      </c>
      <c r="J252" s="1">
        <v>0.04</v>
      </c>
      <c r="K252" s="1">
        <v>0.14000000000000001</v>
      </c>
      <c r="L252" s="1">
        <v>1.4999999999999999E-2</v>
      </c>
      <c r="M252" s="2" t="s">
        <v>175</v>
      </c>
      <c r="N252" s="105">
        <v>17000</v>
      </c>
      <c r="O252" s="119"/>
      <c r="P252" s="119"/>
      <c r="Q252" s="119"/>
      <c r="R252" s="119"/>
      <c r="S252" s="119"/>
      <c r="T252" s="119"/>
      <c r="U252" s="119"/>
      <c r="V252" s="119">
        <v>2.0499999999999998</v>
      </c>
      <c r="W252" s="119"/>
      <c r="X252" s="119">
        <f t="shared" si="290"/>
        <v>2.0499999999999998</v>
      </c>
      <c r="Y252" s="118">
        <f t="shared" si="291"/>
        <v>2.0499999999999998</v>
      </c>
      <c r="Z252" s="109">
        <f t="shared" si="302"/>
        <v>34850</v>
      </c>
      <c r="AA252" s="109">
        <f>'CALCULO GERAL'!$G$10</f>
        <v>6300</v>
      </c>
      <c r="AB252" s="109">
        <f t="shared" si="293"/>
        <v>41150</v>
      </c>
      <c r="AC252" s="109">
        <f>AB252*'CALCULO GERAL'!$C$11</f>
        <v>206531.85</v>
      </c>
      <c r="AD252" s="109">
        <f t="shared" si="294"/>
        <v>0</v>
      </c>
      <c r="AE252" s="109">
        <f t="shared" si="295"/>
        <v>0</v>
      </c>
      <c r="AF252" s="109">
        <f t="shared" si="296"/>
        <v>4337.16885</v>
      </c>
      <c r="AG252" s="109">
        <f t="shared" si="297"/>
        <v>21582.578324999999</v>
      </c>
      <c r="AH252" s="109">
        <v>154.22999999999999</v>
      </c>
      <c r="AI252" s="109">
        <f>((AA252*'CALCULO GERAL'!$C$11))*0.08+20</f>
        <v>2549.576</v>
      </c>
      <c r="AJ252" s="109">
        <v>1010</v>
      </c>
      <c r="AK252" s="109">
        <v>2500</v>
      </c>
      <c r="AL252" s="109">
        <f>(AA252*('CALCULO GERAL'!$C$11*1.02))-(AA252*'CALCULO GERAL'!$C$11)</f>
        <v>632.39400000000387</v>
      </c>
      <c r="AM252" s="109">
        <v>1800</v>
      </c>
      <c r="AN252" s="109">
        <v>2600</v>
      </c>
      <c r="AO252" s="109">
        <v>9400</v>
      </c>
      <c r="AP252" s="109">
        <v>1000</v>
      </c>
      <c r="AQ252" s="109">
        <v>0</v>
      </c>
      <c r="AR252" s="109">
        <v>0</v>
      </c>
      <c r="AS252" s="109"/>
      <c r="AT252" s="109">
        <f t="shared" si="264"/>
        <v>254097.79717500001</v>
      </c>
      <c r="AU252" s="111">
        <f t="shared" si="265"/>
        <v>14.946929245588237</v>
      </c>
      <c r="AV252" s="109">
        <f>IFERROR((BS252*'CALCULO GERAL'!$E$11)/N252,0)</f>
        <v>0.37040220000000001</v>
      </c>
      <c r="AW252" s="109">
        <f>AU252/'CALCULO GERAL'!$C$11</f>
        <v>2.9780691862100492</v>
      </c>
      <c r="AX252" s="109">
        <f>BP252-BB252-BD252*'CALCULO GERAL'!$C$11</f>
        <v>18.242308349999998</v>
      </c>
      <c r="AY252" s="109">
        <f t="shared" si="266"/>
        <v>0.30099808777499998</v>
      </c>
      <c r="AZ252" s="109">
        <f t="shared" si="267"/>
        <v>1.3864154345999999</v>
      </c>
      <c r="BA252" s="109">
        <f t="shared" si="268"/>
        <v>18.520109999999999</v>
      </c>
      <c r="BB252" s="109">
        <f t="shared" si="269"/>
        <v>0.27780164999999996</v>
      </c>
      <c r="BC252" s="109">
        <f t="shared" si="270"/>
        <v>18.520109999999999</v>
      </c>
      <c r="BD252" s="109">
        <f t="shared" si="271"/>
        <v>0</v>
      </c>
      <c r="BE252" s="109">
        <f t="shared" si="272"/>
        <v>25187.349600000001</v>
      </c>
      <c r="BF252" s="109">
        <f t="shared" si="273"/>
        <v>37781.024399999995</v>
      </c>
      <c r="BG252" s="109">
        <f t="shared" si="274"/>
        <v>0.20001718799999996</v>
      </c>
      <c r="BH252" s="109">
        <f t="shared" si="275"/>
        <v>0.22224132000000002</v>
      </c>
      <c r="BI252" s="109">
        <f t="shared" si="276"/>
        <v>0</v>
      </c>
      <c r="BJ252" s="109">
        <f t="shared" si="277"/>
        <v>2.7578758803750003</v>
      </c>
      <c r="BK252" s="109">
        <f t="shared" si="278"/>
        <v>17.704805125963237</v>
      </c>
      <c r="BL252" s="148">
        <v>0.82</v>
      </c>
      <c r="BM252" s="112">
        <f>ROUND((AW252/BL252)+((AW252*BL252)*'CALCULO GERAL'!$E$11)/BL252,2)</f>
        <v>3.69</v>
      </c>
      <c r="BN252" s="186">
        <f t="shared" si="279"/>
        <v>3.69</v>
      </c>
      <c r="BO252" s="186">
        <f t="shared" si="280"/>
        <v>4.3230000000000004</v>
      </c>
      <c r="BP252" s="109">
        <f>BM252*'CALCULO GERAL'!$C$11</f>
        <v>18.520109999999999</v>
      </c>
      <c r="BQ252" s="109">
        <f>BO252*'CALCULO GERAL'!$C$11</f>
        <v>21.697137000000001</v>
      </c>
      <c r="BR252" s="186">
        <f>BN252*'CALCULO GERAL'!$C$11</f>
        <v>18.520109999999999</v>
      </c>
      <c r="BS252" s="109">
        <f t="shared" si="281"/>
        <v>314841.87</v>
      </c>
      <c r="BT252" s="109">
        <f t="shared" si="222"/>
        <v>60744.072824999981</v>
      </c>
      <c r="BU252" s="109">
        <f t="shared" si="282"/>
        <v>314841.87</v>
      </c>
      <c r="BV252" s="109">
        <f t="shared" si="283"/>
        <v>300981.68714137503</v>
      </c>
      <c r="BW252" s="109">
        <f t="shared" si="284"/>
        <v>13860.182858624961</v>
      </c>
      <c r="BX252" s="114">
        <f t="shared" si="285"/>
        <v>4.4022679888875524E-2</v>
      </c>
      <c r="BY252" s="152">
        <f t="shared" si="298"/>
        <v>0.82</v>
      </c>
      <c r="CA252" s="55"/>
      <c r="CB252" s="113"/>
      <c r="CC252" s="113"/>
      <c r="CE252" s="152">
        <f t="shared" si="299"/>
        <v>0</v>
      </c>
      <c r="CF252" s="152">
        <f t="shared" si="300"/>
        <v>1</v>
      </c>
      <c r="CG252" s="152">
        <f t="shared" si="301"/>
        <v>1</v>
      </c>
      <c r="CH252" s="34"/>
      <c r="CJ252" s="11"/>
      <c r="CK252" s="11"/>
    </row>
    <row r="253" spans="1:89" s="152" customFormat="1" x14ac:dyDescent="0.2">
      <c r="A253" s="5" t="s">
        <v>387</v>
      </c>
      <c r="B253" s="187" t="s">
        <v>383</v>
      </c>
      <c r="C253" s="8">
        <v>0.26</v>
      </c>
      <c r="D253" s="8">
        <v>0</v>
      </c>
      <c r="E253" s="7">
        <v>2.1000000000000001E-2</v>
      </c>
      <c r="F253" s="7">
        <v>0.1065</v>
      </c>
      <c r="G253" s="1">
        <v>1.6500000000000001E-2</v>
      </c>
      <c r="H253" s="1">
        <v>7.5999999999999998E-2</v>
      </c>
      <c r="I253" s="1">
        <v>0.18</v>
      </c>
      <c r="J253" s="1">
        <v>0.04</v>
      </c>
      <c r="K253" s="1">
        <v>0.14000000000000001</v>
      </c>
      <c r="L253" s="1">
        <v>1.4999999999999999E-2</v>
      </c>
      <c r="M253" s="2" t="s">
        <v>175</v>
      </c>
      <c r="N253" s="105">
        <v>20000</v>
      </c>
      <c r="O253" s="119"/>
      <c r="P253" s="119"/>
      <c r="Q253" s="119"/>
      <c r="R253" s="119"/>
      <c r="S253" s="119"/>
      <c r="T253" s="119"/>
      <c r="U253" s="119"/>
      <c r="V253" s="119">
        <v>2.66</v>
      </c>
      <c r="W253" s="119"/>
      <c r="X253" s="119">
        <f t="shared" si="290"/>
        <v>2.66</v>
      </c>
      <c r="Y253" s="118">
        <f t="shared" si="291"/>
        <v>2.66</v>
      </c>
      <c r="Z253" s="109">
        <f t="shared" si="302"/>
        <v>53200</v>
      </c>
      <c r="AA253" s="109">
        <f>'CALCULO GERAL'!$G$10</f>
        <v>6300</v>
      </c>
      <c r="AB253" s="109">
        <f t="shared" si="293"/>
        <v>59500</v>
      </c>
      <c r="AC253" s="109">
        <f>AB253*'CALCULO GERAL'!$C$11</f>
        <v>298630.5</v>
      </c>
      <c r="AD253" s="109">
        <f t="shared" si="294"/>
        <v>77643.930000000008</v>
      </c>
      <c r="AE253" s="109">
        <f t="shared" si="295"/>
        <v>0</v>
      </c>
      <c r="AF253" s="109">
        <f t="shared" si="296"/>
        <v>6271.2405000000008</v>
      </c>
      <c r="AG253" s="109">
        <f t="shared" si="297"/>
        <v>31804.148249999998</v>
      </c>
      <c r="AH253" s="109">
        <v>154.22999999999999</v>
      </c>
      <c r="AI253" s="109">
        <f>((AA253*'CALCULO GERAL'!$C$11))*0.08+20</f>
        <v>2549.576</v>
      </c>
      <c r="AJ253" s="109">
        <v>1010</v>
      </c>
      <c r="AK253" s="109">
        <v>2500</v>
      </c>
      <c r="AL253" s="109">
        <f>(AA253*('CALCULO GERAL'!$C$11*1.02))-(AA253*'CALCULO GERAL'!$C$11)</f>
        <v>632.39400000000387</v>
      </c>
      <c r="AM253" s="109">
        <v>1800</v>
      </c>
      <c r="AN253" s="109">
        <v>2600</v>
      </c>
      <c r="AO253" s="109">
        <v>9400</v>
      </c>
      <c r="AP253" s="109">
        <v>1000</v>
      </c>
      <c r="AQ253" s="109">
        <v>0</v>
      </c>
      <c r="AR253" s="109">
        <v>0</v>
      </c>
      <c r="AS253" s="109"/>
      <c r="AT253" s="109">
        <f t="shared" si="264"/>
        <v>435996.01874999999</v>
      </c>
      <c r="AU253" s="111">
        <f t="shared" si="265"/>
        <v>21.799800937499999</v>
      </c>
      <c r="AV253" s="109">
        <f>IFERROR((BS253*'CALCULO GERAL'!$E$11)/N253,0)</f>
        <v>0.5159532</v>
      </c>
      <c r="AW253" s="109">
        <f>AU253/'CALCULO GERAL'!$C$11</f>
        <v>4.3434550582785416</v>
      </c>
      <c r="AX253" s="109">
        <f>BP253-BB253-BD253*'CALCULO GERAL'!$C$11</f>
        <v>25.410695100000002</v>
      </c>
      <c r="AY253" s="109">
        <f t="shared" si="266"/>
        <v>0.41927646915000005</v>
      </c>
      <c r="AZ253" s="109">
        <f t="shared" si="267"/>
        <v>1.9312128276</v>
      </c>
      <c r="BA253" s="109">
        <f t="shared" si="268"/>
        <v>25.79766</v>
      </c>
      <c r="BB253" s="109">
        <f t="shared" si="269"/>
        <v>0.3869649</v>
      </c>
      <c r="BC253" s="109">
        <f t="shared" si="270"/>
        <v>25.79766</v>
      </c>
      <c r="BD253" s="109">
        <f t="shared" si="271"/>
        <v>0</v>
      </c>
      <c r="BE253" s="109">
        <f t="shared" si="272"/>
        <v>41276.256000000001</v>
      </c>
      <c r="BF253" s="109">
        <f t="shared" si="273"/>
        <v>61914.383999999998</v>
      </c>
      <c r="BG253" s="109">
        <f t="shared" si="274"/>
        <v>0.27861472799999998</v>
      </c>
      <c r="BH253" s="109">
        <f t="shared" si="275"/>
        <v>0.30957192</v>
      </c>
      <c r="BI253" s="109">
        <f t="shared" si="276"/>
        <v>0</v>
      </c>
      <c r="BJ253" s="109">
        <f t="shared" si="277"/>
        <v>3.8415940447499999</v>
      </c>
      <c r="BK253" s="109">
        <f t="shared" si="278"/>
        <v>25.641394982249999</v>
      </c>
      <c r="BL253" s="148">
        <v>0.86</v>
      </c>
      <c r="BM253" s="112">
        <f>ROUND((AW253/BL253)+((AW253*BL253)*'CALCULO GERAL'!$E$11)/BL253,2)</f>
        <v>5.14</v>
      </c>
      <c r="BN253" s="186">
        <f t="shared" si="279"/>
        <v>5.14</v>
      </c>
      <c r="BO253" s="186">
        <f t="shared" si="280"/>
        <v>6.0220000000000002</v>
      </c>
      <c r="BP253" s="109">
        <f>BM253*'CALCULO GERAL'!$C$11</f>
        <v>25.79766</v>
      </c>
      <c r="BQ253" s="109">
        <f>BO253*'CALCULO GERAL'!$C$11</f>
        <v>30.224418000000004</v>
      </c>
      <c r="BR253" s="186">
        <f>BN253*'CALCULO GERAL'!$C$11</f>
        <v>25.79766</v>
      </c>
      <c r="BS253" s="109">
        <f t="shared" si="281"/>
        <v>515953.2</v>
      </c>
      <c r="BT253" s="109">
        <f t="shared" si="222"/>
        <v>79957.181250000023</v>
      </c>
      <c r="BU253" s="109">
        <f t="shared" si="282"/>
        <v>515953.2</v>
      </c>
      <c r="BV253" s="109">
        <f t="shared" si="283"/>
        <v>512827.899645</v>
      </c>
      <c r="BW253" s="109">
        <f t="shared" si="284"/>
        <v>3125.300355000014</v>
      </c>
      <c r="BX253" s="114">
        <f t="shared" si="285"/>
        <v>6.0573330197390262E-3</v>
      </c>
      <c r="BY253" s="152">
        <f t="shared" si="298"/>
        <v>0.86</v>
      </c>
      <c r="CA253" s="55"/>
      <c r="CB253" s="113"/>
      <c r="CC253" s="113"/>
      <c r="CE253" s="152">
        <f t="shared" si="299"/>
        <v>0</v>
      </c>
      <c r="CF253" s="152">
        <f t="shared" si="300"/>
        <v>1</v>
      </c>
      <c r="CG253" s="152">
        <f t="shared" si="301"/>
        <v>1</v>
      </c>
      <c r="CH253" s="34"/>
      <c r="CJ253" s="11"/>
      <c r="CK253" s="11"/>
    </row>
    <row r="254" spans="1:89" s="152" customFormat="1" x14ac:dyDescent="0.2">
      <c r="A254" s="5" t="s">
        <v>388</v>
      </c>
      <c r="B254" s="187" t="s">
        <v>383</v>
      </c>
      <c r="C254" s="8">
        <v>0.26</v>
      </c>
      <c r="D254" s="8">
        <v>0</v>
      </c>
      <c r="E254" s="7">
        <v>2.1000000000000001E-2</v>
      </c>
      <c r="F254" s="7">
        <v>0.1065</v>
      </c>
      <c r="G254" s="1">
        <v>1.6500000000000001E-2</v>
      </c>
      <c r="H254" s="1">
        <v>7.5999999999999998E-2</v>
      </c>
      <c r="I254" s="1">
        <v>0.18</v>
      </c>
      <c r="J254" s="1">
        <v>0.04</v>
      </c>
      <c r="K254" s="1">
        <v>0.14000000000000001</v>
      </c>
      <c r="L254" s="1">
        <v>1.4999999999999999E-2</v>
      </c>
      <c r="M254" s="2" t="s">
        <v>175</v>
      </c>
      <c r="N254" s="105">
        <v>20000</v>
      </c>
      <c r="O254" s="119"/>
      <c r="P254" s="119"/>
      <c r="Q254" s="119"/>
      <c r="R254" s="119"/>
      <c r="S254" s="119"/>
      <c r="T254" s="119"/>
      <c r="U254" s="119"/>
      <c r="V254" s="119">
        <v>2.77</v>
      </c>
      <c r="W254" s="119"/>
      <c r="X254" s="119">
        <f t="shared" si="290"/>
        <v>2.77</v>
      </c>
      <c r="Y254" s="118">
        <f t="shared" si="291"/>
        <v>2.77</v>
      </c>
      <c r="Z254" s="109">
        <f t="shared" si="302"/>
        <v>55400</v>
      </c>
      <c r="AA254" s="109">
        <f>'CALCULO GERAL'!$G$10</f>
        <v>6300</v>
      </c>
      <c r="AB254" s="109">
        <f t="shared" si="293"/>
        <v>61700</v>
      </c>
      <c r="AC254" s="109">
        <f>AB254*'CALCULO GERAL'!$C$11</f>
        <v>309672.3</v>
      </c>
      <c r="AD254" s="109">
        <f t="shared" si="294"/>
        <v>80514.797999999995</v>
      </c>
      <c r="AE254" s="109">
        <f t="shared" si="295"/>
        <v>0</v>
      </c>
      <c r="AF254" s="109">
        <f t="shared" si="296"/>
        <v>6503.1183000000001</v>
      </c>
      <c r="AG254" s="109">
        <f t="shared" si="297"/>
        <v>32980.099949999996</v>
      </c>
      <c r="AH254" s="109">
        <v>154.22999999999999</v>
      </c>
      <c r="AI254" s="109">
        <f>((AA254*'CALCULO GERAL'!$C$11))*0.08+20</f>
        <v>2549.576</v>
      </c>
      <c r="AJ254" s="109">
        <v>1010</v>
      </c>
      <c r="AK254" s="109">
        <v>2500</v>
      </c>
      <c r="AL254" s="109">
        <f>(AA254*('CALCULO GERAL'!$C$11*1.02))-(AA254*'CALCULO GERAL'!$C$11)</f>
        <v>632.39400000000387</v>
      </c>
      <c r="AM254" s="109">
        <v>1800</v>
      </c>
      <c r="AN254" s="109">
        <v>2600</v>
      </c>
      <c r="AO254" s="109">
        <v>9400</v>
      </c>
      <c r="AP254" s="109">
        <v>1000</v>
      </c>
      <c r="AQ254" s="109">
        <v>0</v>
      </c>
      <c r="AR254" s="109">
        <v>0</v>
      </c>
      <c r="AS254" s="109"/>
      <c r="AT254" s="109">
        <f t="shared" si="264"/>
        <v>451316.51624999999</v>
      </c>
      <c r="AU254" s="111">
        <f t="shared" si="265"/>
        <v>22.565825812499998</v>
      </c>
      <c r="AV254" s="109">
        <f>IFERROR((BS254*'CALCULO GERAL'!$E$11)/N254,0)</f>
        <v>0.53402159999999999</v>
      </c>
      <c r="AW254" s="109">
        <f>AU254/'CALCULO GERAL'!$C$11</f>
        <v>4.4960800582785412</v>
      </c>
      <c r="AX254" s="109">
        <f>BP254-BB254-BD254*'CALCULO GERAL'!$C$11</f>
        <v>26.300563800000003</v>
      </c>
      <c r="AY254" s="109">
        <f t="shared" si="266"/>
        <v>0.43395930270000005</v>
      </c>
      <c r="AZ254" s="109">
        <f t="shared" si="267"/>
        <v>1.9988428488000001</v>
      </c>
      <c r="BA254" s="109">
        <f t="shared" si="268"/>
        <v>26.701080000000001</v>
      </c>
      <c r="BB254" s="109">
        <f t="shared" si="269"/>
        <v>0.40051619999999999</v>
      </c>
      <c r="BC254" s="109">
        <f t="shared" si="270"/>
        <v>26.701080000000001</v>
      </c>
      <c r="BD254" s="109">
        <f t="shared" si="271"/>
        <v>0</v>
      </c>
      <c r="BE254" s="109">
        <f t="shared" si="272"/>
        <v>42721.727999999996</v>
      </c>
      <c r="BF254" s="109">
        <f t="shared" si="273"/>
        <v>64082.591999999997</v>
      </c>
      <c r="BG254" s="109">
        <f t="shared" si="274"/>
        <v>0.28837166399999997</v>
      </c>
      <c r="BH254" s="109">
        <f t="shared" si="275"/>
        <v>0.32041295999999997</v>
      </c>
      <c r="BI254" s="109">
        <f t="shared" si="276"/>
        <v>0</v>
      </c>
      <c r="BJ254" s="109">
        <f t="shared" si="277"/>
        <v>3.9761245755000001</v>
      </c>
      <c r="BK254" s="109">
        <f t="shared" si="278"/>
        <v>26.541950387999997</v>
      </c>
      <c r="BL254" s="148">
        <v>0.86</v>
      </c>
      <c r="BM254" s="112">
        <f>ROUND((AW254/BL254)+((AW254*BL254)*'CALCULO GERAL'!$E$11)/BL254,2)</f>
        <v>5.32</v>
      </c>
      <c r="BN254" s="186">
        <f t="shared" si="279"/>
        <v>5.32</v>
      </c>
      <c r="BO254" s="186">
        <f t="shared" si="280"/>
        <v>6.2329999999999997</v>
      </c>
      <c r="BP254" s="109">
        <f>BM254*'CALCULO GERAL'!$C$11</f>
        <v>26.701080000000001</v>
      </c>
      <c r="BQ254" s="109">
        <f>BO254*'CALCULO GERAL'!$C$11</f>
        <v>31.283427</v>
      </c>
      <c r="BR254" s="186">
        <f>BN254*'CALCULO GERAL'!$C$11</f>
        <v>26.701080000000001</v>
      </c>
      <c r="BS254" s="109">
        <f t="shared" si="281"/>
        <v>534021.6</v>
      </c>
      <c r="BT254" s="109">
        <f t="shared" si="222"/>
        <v>82705.083749999991</v>
      </c>
      <c r="BU254" s="109">
        <f t="shared" si="282"/>
        <v>534021.6</v>
      </c>
      <c r="BV254" s="109">
        <f t="shared" si="283"/>
        <v>530839.00775999995</v>
      </c>
      <c r="BW254" s="109">
        <f t="shared" si="284"/>
        <v>3182.5922400000272</v>
      </c>
      <c r="BX254" s="114">
        <f t="shared" si="285"/>
        <v>5.9596694965147988E-3</v>
      </c>
      <c r="BY254" s="152">
        <f t="shared" si="298"/>
        <v>0.86</v>
      </c>
      <c r="CA254" s="55"/>
      <c r="CB254" s="113"/>
      <c r="CC254" s="113"/>
      <c r="CE254" s="152">
        <f t="shared" si="299"/>
        <v>0</v>
      </c>
      <c r="CF254" s="152">
        <f t="shared" si="300"/>
        <v>1</v>
      </c>
      <c r="CG254" s="152">
        <f t="shared" si="301"/>
        <v>1</v>
      </c>
      <c r="CH254" s="34"/>
      <c r="CJ254" s="11"/>
      <c r="CK254" s="11"/>
    </row>
    <row r="255" spans="1:89" s="152" customFormat="1" x14ac:dyDescent="0.2">
      <c r="A255" s="5" t="s">
        <v>389</v>
      </c>
      <c r="B255" s="187" t="s">
        <v>383</v>
      </c>
      <c r="C255" s="8">
        <v>0.26</v>
      </c>
      <c r="D255" s="8">
        <v>0</v>
      </c>
      <c r="E255" s="7">
        <v>2.1000000000000001E-2</v>
      </c>
      <c r="F255" s="7">
        <v>0.1065</v>
      </c>
      <c r="G255" s="1">
        <v>1.6500000000000001E-2</v>
      </c>
      <c r="H255" s="1">
        <v>7.5999999999999998E-2</v>
      </c>
      <c r="I255" s="1">
        <v>0.18</v>
      </c>
      <c r="J255" s="1">
        <v>0.04</v>
      </c>
      <c r="K255" s="1">
        <v>0.14000000000000001</v>
      </c>
      <c r="L255" s="1">
        <v>1.4999999999999999E-2</v>
      </c>
      <c r="M255" s="2" t="s">
        <v>175</v>
      </c>
      <c r="N255" s="105">
        <v>80000</v>
      </c>
      <c r="O255" s="119"/>
      <c r="P255" s="119"/>
      <c r="Q255" s="119"/>
      <c r="R255" s="119"/>
      <c r="S255" s="119"/>
      <c r="T255" s="119"/>
      <c r="U255" s="119"/>
      <c r="V255" s="119">
        <v>0.74</v>
      </c>
      <c r="W255" s="119"/>
      <c r="X255" s="119">
        <f t="shared" si="290"/>
        <v>0.74</v>
      </c>
      <c r="Y255" s="118">
        <f t="shared" si="291"/>
        <v>0.74</v>
      </c>
      <c r="Z255" s="109">
        <f t="shared" si="302"/>
        <v>59200</v>
      </c>
      <c r="AA255" s="109">
        <f>'CALCULO GERAL'!$G$10</f>
        <v>6300</v>
      </c>
      <c r="AB255" s="109">
        <f t="shared" si="293"/>
        <v>65500</v>
      </c>
      <c r="AC255" s="109">
        <f>AB255*'CALCULO GERAL'!$C$11</f>
        <v>328744.5</v>
      </c>
      <c r="AD255" s="109">
        <f t="shared" si="294"/>
        <v>85473.57</v>
      </c>
      <c r="AE255" s="109">
        <f t="shared" si="295"/>
        <v>0</v>
      </c>
      <c r="AF255" s="109">
        <f t="shared" si="296"/>
        <v>6903.6345000000001</v>
      </c>
      <c r="AG255" s="109">
        <f t="shared" si="297"/>
        <v>35011.289250000002</v>
      </c>
      <c r="AH255" s="109">
        <v>154.22999999999999</v>
      </c>
      <c r="AI255" s="109">
        <f>((AA255*'CALCULO GERAL'!$C$11))*0.08+20</f>
        <v>2549.576</v>
      </c>
      <c r="AJ255" s="109">
        <v>1010</v>
      </c>
      <c r="AK255" s="109">
        <v>2500</v>
      </c>
      <c r="AL255" s="109">
        <f>(AA255*('CALCULO GERAL'!$C$11*1.02))-(AA255*'CALCULO GERAL'!$C$11)</f>
        <v>632.39400000000387</v>
      </c>
      <c r="AM255" s="109">
        <v>1800</v>
      </c>
      <c r="AN255" s="109">
        <v>2600</v>
      </c>
      <c r="AO255" s="109">
        <v>9400</v>
      </c>
      <c r="AP255" s="109">
        <v>1000</v>
      </c>
      <c r="AQ255" s="109">
        <v>0</v>
      </c>
      <c r="AR255" s="109">
        <v>0</v>
      </c>
      <c r="AS255" s="109"/>
      <c r="AT255" s="109">
        <f t="shared" si="264"/>
        <v>477779.19375000003</v>
      </c>
      <c r="AU255" s="111">
        <f t="shared" si="265"/>
        <v>5.9722399218750004</v>
      </c>
      <c r="AV255" s="109">
        <f>IFERROR((BS255*'CALCULO GERAL'!$E$11)/N255,0)</f>
        <v>0.13952819999999999</v>
      </c>
      <c r="AW255" s="109">
        <f>AU255/'CALCULO GERAL'!$C$11</f>
        <v>1.1899262645696354</v>
      </c>
      <c r="AX255" s="109">
        <f>BP255-BB255-BD255*'CALCULO GERAL'!$C$11</f>
        <v>6.8717638499999998</v>
      </c>
      <c r="AY255" s="109">
        <f t="shared" si="266"/>
        <v>0.113384103525</v>
      </c>
      <c r="AZ255" s="109">
        <f t="shared" si="267"/>
        <v>0.52225405260000002</v>
      </c>
      <c r="BA255" s="109">
        <f t="shared" si="268"/>
        <v>6.9764099999999996</v>
      </c>
      <c r="BB255" s="109">
        <f t="shared" si="269"/>
        <v>0.10464614999999999</v>
      </c>
      <c r="BC255" s="109">
        <f t="shared" si="270"/>
        <v>6.9764099999999996</v>
      </c>
      <c r="BD255" s="109">
        <f t="shared" si="271"/>
        <v>0</v>
      </c>
      <c r="BE255" s="109">
        <f t="shared" si="272"/>
        <v>44649.023999999998</v>
      </c>
      <c r="BF255" s="109">
        <f t="shared" si="273"/>
        <v>66973.535999999993</v>
      </c>
      <c r="BG255" s="109">
        <f t="shared" si="274"/>
        <v>7.5345227999999986E-2</v>
      </c>
      <c r="BH255" s="109">
        <f t="shared" si="275"/>
        <v>8.3716919999999986E-2</v>
      </c>
      <c r="BI255" s="109">
        <f t="shared" si="276"/>
        <v>0</v>
      </c>
      <c r="BJ255" s="109">
        <f t="shared" si="277"/>
        <v>1.038874654125</v>
      </c>
      <c r="BK255" s="109">
        <f t="shared" si="278"/>
        <v>7.0111145760000007</v>
      </c>
      <c r="BL255" s="148">
        <v>0.87</v>
      </c>
      <c r="BM255" s="112">
        <f>ROUND((AW255/BL255)+((AW255*BL255)*'CALCULO GERAL'!$E$11)/BL255,2)</f>
        <v>1.39</v>
      </c>
      <c r="BN255" s="186">
        <f t="shared" si="279"/>
        <v>1.39</v>
      </c>
      <c r="BO255" s="186">
        <f t="shared" si="280"/>
        <v>1.629</v>
      </c>
      <c r="BP255" s="109">
        <f>BM255*'CALCULO GERAL'!$C$11</f>
        <v>6.9764099999999996</v>
      </c>
      <c r="BQ255" s="109">
        <f>BO255*'CALCULO GERAL'!$C$11</f>
        <v>8.1759509999999995</v>
      </c>
      <c r="BR255" s="186">
        <f>BN255*'CALCULO GERAL'!$C$11</f>
        <v>6.9764099999999996</v>
      </c>
      <c r="BS255" s="109">
        <f t="shared" si="281"/>
        <v>558112.79999999993</v>
      </c>
      <c r="BT255" s="109">
        <f t="shared" si="222"/>
        <v>80333.606249999895</v>
      </c>
      <c r="BU255" s="109">
        <f t="shared" si="282"/>
        <v>558112.79999999993</v>
      </c>
      <c r="BV255" s="109">
        <f t="shared" si="283"/>
        <v>560889.16608</v>
      </c>
      <c r="BW255" s="109">
        <f t="shared" si="284"/>
        <v>-2776.3660800000653</v>
      </c>
      <c r="BX255" s="114">
        <f t="shared" si="285"/>
        <v>-4.9745608414644236E-3</v>
      </c>
      <c r="BY255" s="152">
        <f t="shared" si="298"/>
        <v>0.87</v>
      </c>
      <c r="CA255" s="55"/>
      <c r="CB255" s="113"/>
      <c r="CC255" s="113"/>
      <c r="CE255" s="152">
        <f t="shared" si="299"/>
        <v>0</v>
      </c>
      <c r="CF255" s="152">
        <f t="shared" si="300"/>
        <v>1</v>
      </c>
      <c r="CG255" s="152">
        <f t="shared" si="301"/>
        <v>1</v>
      </c>
      <c r="CH255" s="34"/>
      <c r="CJ255" s="11"/>
      <c r="CK255" s="11"/>
    </row>
    <row r="256" spans="1:89" s="152" customFormat="1" x14ac:dyDescent="0.2">
      <c r="A256" s="5" t="s">
        <v>390</v>
      </c>
      <c r="B256" s="187" t="s">
        <v>383</v>
      </c>
      <c r="C256" s="8">
        <v>0.26</v>
      </c>
      <c r="D256" s="8">
        <v>0</v>
      </c>
      <c r="E256" s="7">
        <v>2.1000000000000001E-2</v>
      </c>
      <c r="F256" s="7">
        <v>0.1065</v>
      </c>
      <c r="G256" s="1">
        <v>1.6500000000000001E-2</v>
      </c>
      <c r="H256" s="1">
        <v>7.5999999999999998E-2</v>
      </c>
      <c r="I256" s="1">
        <v>0.18</v>
      </c>
      <c r="J256" s="1">
        <v>0.04</v>
      </c>
      <c r="K256" s="1">
        <v>0.14000000000000001</v>
      </c>
      <c r="L256" s="1">
        <v>1.4999999999999999E-2</v>
      </c>
      <c r="M256" s="2" t="s">
        <v>175</v>
      </c>
      <c r="N256" s="105">
        <v>19000</v>
      </c>
      <c r="O256" s="119"/>
      <c r="P256" s="119"/>
      <c r="Q256" s="119"/>
      <c r="R256" s="119"/>
      <c r="S256" s="119"/>
      <c r="T256" s="119"/>
      <c r="U256" s="119"/>
      <c r="V256" s="119">
        <v>2.77</v>
      </c>
      <c r="W256" s="119"/>
      <c r="X256" s="119">
        <f t="shared" si="290"/>
        <v>2.77</v>
      </c>
      <c r="Y256" s="118">
        <f t="shared" si="291"/>
        <v>2.77</v>
      </c>
      <c r="Z256" s="109">
        <f t="shared" si="302"/>
        <v>52630</v>
      </c>
      <c r="AA256" s="109">
        <f>'CALCULO GERAL'!$G$10</f>
        <v>6300</v>
      </c>
      <c r="AB256" s="109">
        <f t="shared" si="293"/>
        <v>58930</v>
      </c>
      <c r="AC256" s="109">
        <f>AB256*'CALCULO GERAL'!$C$11</f>
        <v>295769.67</v>
      </c>
      <c r="AD256" s="109">
        <f t="shared" si="294"/>
        <v>76900.114199999996</v>
      </c>
      <c r="AE256" s="109">
        <f t="shared" si="295"/>
        <v>0</v>
      </c>
      <c r="AF256" s="109">
        <f t="shared" si="296"/>
        <v>6211.1630699999996</v>
      </c>
      <c r="AG256" s="109">
        <f t="shared" si="297"/>
        <v>31499.469854999996</v>
      </c>
      <c r="AH256" s="109">
        <v>154.22999999999999</v>
      </c>
      <c r="AI256" s="109">
        <f>((AA256*'CALCULO GERAL'!$C$11))*0.08+20</f>
        <v>2549.576</v>
      </c>
      <c r="AJ256" s="109">
        <v>1010</v>
      </c>
      <c r="AK256" s="109">
        <v>2500</v>
      </c>
      <c r="AL256" s="109">
        <f>(AA256*('CALCULO GERAL'!$C$11*1.02))-(AA256*'CALCULO GERAL'!$C$11)</f>
        <v>632.39400000000387</v>
      </c>
      <c r="AM256" s="109">
        <v>1800</v>
      </c>
      <c r="AN256" s="109">
        <v>2600</v>
      </c>
      <c r="AO256" s="109">
        <v>9400</v>
      </c>
      <c r="AP256" s="109">
        <v>1000</v>
      </c>
      <c r="AQ256" s="109">
        <v>0</v>
      </c>
      <c r="AR256" s="109">
        <v>0</v>
      </c>
      <c r="AS256" s="109"/>
      <c r="AT256" s="109">
        <f t="shared" si="264"/>
        <v>432026.61712499999</v>
      </c>
      <c r="AU256" s="111">
        <f t="shared" si="265"/>
        <v>22.738243006578948</v>
      </c>
      <c r="AV256" s="109">
        <f>IFERROR((BS256*'CALCULO GERAL'!$E$11)/N256,0)</f>
        <v>0.54104820000000009</v>
      </c>
      <c r="AW256" s="109">
        <f>AU256/'CALCULO GERAL'!$C$11</f>
        <v>4.5304329560826755</v>
      </c>
      <c r="AX256" s="109">
        <f>BP256-BB256-BD256*'CALCULO GERAL'!$C$11</f>
        <v>26.646623849999997</v>
      </c>
      <c r="AY256" s="109">
        <f t="shared" si="266"/>
        <v>0.439669293525</v>
      </c>
      <c r="AZ256" s="109">
        <f t="shared" si="267"/>
        <v>2.0251434125999999</v>
      </c>
      <c r="BA256" s="109">
        <f t="shared" si="268"/>
        <v>27.052409999999998</v>
      </c>
      <c r="BB256" s="109">
        <f t="shared" si="269"/>
        <v>0.40578614999999996</v>
      </c>
      <c r="BC256" s="109">
        <f t="shared" si="270"/>
        <v>27.052409999999998</v>
      </c>
      <c r="BD256" s="109">
        <f t="shared" si="271"/>
        <v>0</v>
      </c>
      <c r="BE256" s="109">
        <f t="shared" si="272"/>
        <v>41119.663200000003</v>
      </c>
      <c r="BF256" s="109">
        <f t="shared" si="273"/>
        <v>61679.494799999993</v>
      </c>
      <c r="BG256" s="109">
        <f t="shared" si="274"/>
        <v>0.29216602799999997</v>
      </c>
      <c r="BH256" s="109">
        <f t="shared" si="275"/>
        <v>0.32462891999999999</v>
      </c>
      <c r="BI256" s="109">
        <f t="shared" si="276"/>
        <v>0</v>
      </c>
      <c r="BJ256" s="109">
        <f t="shared" si="277"/>
        <v>4.028442004125</v>
      </c>
      <c r="BK256" s="109">
        <f t="shared" si="278"/>
        <v>26.766685010703949</v>
      </c>
      <c r="BL256" s="148">
        <v>0.85499999999999998</v>
      </c>
      <c r="BM256" s="112">
        <f>ROUND((AW256/BL256)+((AW256*BL256)*'CALCULO GERAL'!$E$11)/BL256,2)</f>
        <v>5.39</v>
      </c>
      <c r="BN256" s="186">
        <f t="shared" si="279"/>
        <v>5.39</v>
      </c>
      <c r="BO256" s="186">
        <f t="shared" si="280"/>
        <v>6.3150000000000004</v>
      </c>
      <c r="BP256" s="109">
        <f>BM256*'CALCULO GERAL'!$C$11</f>
        <v>27.052409999999998</v>
      </c>
      <c r="BQ256" s="109">
        <f>BO256*'CALCULO GERAL'!$C$11</f>
        <v>31.694985000000003</v>
      </c>
      <c r="BR256" s="186">
        <f>BN256*'CALCULO GERAL'!$C$11</f>
        <v>27.052409999999998</v>
      </c>
      <c r="BS256" s="109">
        <f t="shared" si="281"/>
        <v>513995.79</v>
      </c>
      <c r="BT256" s="109">
        <f t="shared" si="222"/>
        <v>81969.172874999989</v>
      </c>
      <c r="BU256" s="109">
        <f t="shared" si="282"/>
        <v>513995.79</v>
      </c>
      <c r="BV256" s="109">
        <f t="shared" si="283"/>
        <v>508567.01520337502</v>
      </c>
      <c r="BW256" s="109">
        <f t="shared" si="284"/>
        <v>5428.774796624959</v>
      </c>
      <c r="BX256" s="114">
        <f t="shared" si="285"/>
        <v>1.0561905179466468E-2</v>
      </c>
      <c r="BY256" s="152">
        <f t="shared" si="298"/>
        <v>0.86</v>
      </c>
      <c r="CA256" s="55"/>
      <c r="CB256" s="113"/>
      <c r="CC256" s="113"/>
      <c r="CE256" s="152">
        <f t="shared" si="299"/>
        <v>0</v>
      </c>
      <c r="CF256" s="152">
        <f t="shared" si="300"/>
        <v>1</v>
      </c>
      <c r="CG256" s="152">
        <f t="shared" si="301"/>
        <v>1</v>
      </c>
      <c r="CH256" s="34"/>
      <c r="CJ256" s="11"/>
      <c r="CK256" s="11"/>
    </row>
    <row r="257" spans="1:89" s="152" customFormat="1" x14ac:dyDescent="0.2">
      <c r="A257" s="5" t="s">
        <v>391</v>
      </c>
      <c r="B257" s="187" t="s">
        <v>383</v>
      </c>
      <c r="C257" s="8">
        <v>0.26</v>
      </c>
      <c r="D257" s="8">
        <v>0</v>
      </c>
      <c r="E257" s="7">
        <v>2.1000000000000001E-2</v>
      </c>
      <c r="F257" s="7">
        <v>0.1065</v>
      </c>
      <c r="G257" s="1">
        <v>1.6500000000000001E-2</v>
      </c>
      <c r="H257" s="1">
        <v>7.5999999999999998E-2</v>
      </c>
      <c r="I257" s="1">
        <v>0.18</v>
      </c>
      <c r="J257" s="1">
        <v>0.04</v>
      </c>
      <c r="K257" s="1">
        <v>0.14000000000000001</v>
      </c>
      <c r="L257" s="1">
        <v>1.4999999999999999E-2</v>
      </c>
      <c r="M257" s="2" t="s">
        <v>175</v>
      </c>
      <c r="N257" s="105">
        <v>13000</v>
      </c>
      <c r="O257" s="119"/>
      <c r="P257" s="119"/>
      <c r="Q257" s="119"/>
      <c r="R257" s="119"/>
      <c r="S257" s="119"/>
      <c r="T257" s="119"/>
      <c r="U257" s="119">
        <v>1.9</v>
      </c>
      <c r="V257" s="119">
        <v>1.7</v>
      </c>
      <c r="W257" s="119">
        <v>1.87</v>
      </c>
      <c r="X257" s="119">
        <f t="shared" si="290"/>
        <v>1.7</v>
      </c>
      <c r="Y257" s="118">
        <f t="shared" si="291"/>
        <v>1.8233333333333333</v>
      </c>
      <c r="Z257" s="109">
        <f t="shared" si="302"/>
        <v>23703.333333333332</v>
      </c>
      <c r="AA257" s="109">
        <f>'CALCULO GERAL'!$G$10</f>
        <v>6300</v>
      </c>
      <c r="AB257" s="109">
        <f t="shared" si="293"/>
        <v>30003.333333333332</v>
      </c>
      <c r="AC257" s="109">
        <f>AB257*'CALCULO GERAL'!$C$11</f>
        <v>150586.73000000001</v>
      </c>
      <c r="AD257" s="109">
        <f t="shared" si="294"/>
        <v>39152.549800000001</v>
      </c>
      <c r="AE257" s="109">
        <f t="shared" si="295"/>
        <v>0</v>
      </c>
      <c r="AF257" s="109">
        <f t="shared" si="296"/>
        <v>3162.3213300000002</v>
      </c>
      <c r="AG257" s="109">
        <f t="shared" si="297"/>
        <v>16037.486745</v>
      </c>
      <c r="AH257" s="109">
        <v>154.22999999999999</v>
      </c>
      <c r="AI257" s="109">
        <f>((AA257*'CALCULO GERAL'!$C$11))*0.08+20</f>
        <v>2549.576</v>
      </c>
      <c r="AJ257" s="109">
        <v>1010</v>
      </c>
      <c r="AK257" s="109">
        <v>2500</v>
      </c>
      <c r="AL257" s="109">
        <f>(AA257*('CALCULO GERAL'!$C$11*1.02))-(AA257*'CALCULO GERAL'!$C$11)</f>
        <v>632.39400000000387</v>
      </c>
      <c r="AM257" s="109">
        <v>1800</v>
      </c>
      <c r="AN257" s="109">
        <v>2600</v>
      </c>
      <c r="AO257" s="109">
        <v>9400</v>
      </c>
      <c r="AP257" s="109">
        <v>1000</v>
      </c>
      <c r="AQ257" s="109">
        <v>0</v>
      </c>
      <c r="AR257" s="109">
        <v>0</v>
      </c>
      <c r="AS257" s="109"/>
      <c r="AT257" s="109">
        <f t="shared" si="264"/>
        <v>230585.28787500004</v>
      </c>
      <c r="AU257" s="111">
        <f t="shared" si="265"/>
        <v>17.737329836538464</v>
      </c>
      <c r="AV257" s="109">
        <f>IFERROR((BS257*'CALCULO GERAL'!$E$11)/N257,0)</f>
        <v>0.45070620000000006</v>
      </c>
      <c r="AW257" s="109">
        <f>AU257/'CALCULO GERAL'!$C$11</f>
        <v>3.5340366281208335</v>
      </c>
      <c r="AX257" s="109">
        <f>BP257-BB257-BD257*'CALCULO GERAL'!$C$11</f>
        <v>22.197280350000003</v>
      </c>
      <c r="AY257" s="109">
        <f t="shared" si="266"/>
        <v>0.36625512577500008</v>
      </c>
      <c r="AZ257" s="109">
        <f t="shared" si="267"/>
        <v>1.6869933066000002</v>
      </c>
      <c r="BA257" s="109">
        <f t="shared" si="268"/>
        <v>22.535310000000003</v>
      </c>
      <c r="BB257" s="109">
        <f t="shared" si="269"/>
        <v>0.33802965000000001</v>
      </c>
      <c r="BC257" s="109">
        <f t="shared" si="270"/>
        <v>22.535310000000003</v>
      </c>
      <c r="BD257" s="109">
        <f t="shared" si="271"/>
        <v>0</v>
      </c>
      <c r="BE257" s="109">
        <f t="shared" si="272"/>
        <v>23436.722400000002</v>
      </c>
      <c r="BF257" s="109">
        <f t="shared" si="273"/>
        <v>35155.083600000005</v>
      </c>
      <c r="BG257" s="109">
        <f t="shared" si="274"/>
        <v>0.24338134800000003</v>
      </c>
      <c r="BH257" s="109">
        <f t="shared" si="275"/>
        <v>0.27042372000000003</v>
      </c>
      <c r="BI257" s="109">
        <f t="shared" si="276"/>
        <v>0</v>
      </c>
      <c r="BJ257" s="109">
        <f t="shared" si="277"/>
        <v>3.3557893503750007</v>
      </c>
      <c r="BK257" s="109">
        <f t="shared" si="278"/>
        <v>21.093119186913466</v>
      </c>
      <c r="BL257" s="148">
        <v>0.8</v>
      </c>
      <c r="BM257" s="112">
        <f>ROUND((AW257/BL257)+((AW257*BL257)*'CALCULO GERAL'!$E$11)/BL257,2)</f>
        <v>4.49</v>
      </c>
      <c r="BN257" s="186">
        <f t="shared" si="279"/>
        <v>4.49</v>
      </c>
      <c r="BO257" s="186">
        <f t="shared" si="280"/>
        <v>5.2610000000000001</v>
      </c>
      <c r="BP257" s="109">
        <f>BM257*'CALCULO GERAL'!$C$11</f>
        <v>22.535310000000003</v>
      </c>
      <c r="BQ257" s="109">
        <f>BO257*'CALCULO GERAL'!$C$11</f>
        <v>26.404959000000002</v>
      </c>
      <c r="BR257" s="186">
        <f>BN257*'CALCULO GERAL'!$C$11</f>
        <v>22.535310000000003</v>
      </c>
      <c r="BS257" s="109">
        <f t="shared" si="281"/>
        <v>292959.03000000003</v>
      </c>
      <c r="BT257" s="109">
        <f t="shared" si="222"/>
        <v>62373.74212499999</v>
      </c>
      <c r="BU257" s="109">
        <f t="shared" si="282"/>
        <v>292959.03000000003</v>
      </c>
      <c r="BV257" s="109">
        <f t="shared" si="283"/>
        <v>274210.54942987504</v>
      </c>
      <c r="BW257" s="109">
        <f t="shared" si="284"/>
        <v>18748.480570124986</v>
      </c>
      <c r="BX257" s="114">
        <f t="shared" si="285"/>
        <v>6.3996936944135108E-2</v>
      </c>
      <c r="BY257" s="152">
        <f t="shared" si="298"/>
        <v>0.8</v>
      </c>
      <c r="CA257" s="55"/>
      <c r="CB257" s="113"/>
      <c r="CC257" s="113"/>
      <c r="CE257" s="152">
        <f t="shared" si="299"/>
        <v>0</v>
      </c>
      <c r="CF257" s="152">
        <f t="shared" si="300"/>
        <v>1</v>
      </c>
      <c r="CG257" s="152">
        <f t="shared" si="301"/>
        <v>1</v>
      </c>
      <c r="CH257" s="34"/>
      <c r="CJ257" s="11"/>
      <c r="CK257" s="11"/>
    </row>
    <row r="258" spans="1:89" s="152" customFormat="1" x14ac:dyDescent="0.2">
      <c r="A258" s="5" t="s">
        <v>392</v>
      </c>
      <c r="B258" s="187" t="s">
        <v>383</v>
      </c>
      <c r="C258" s="8">
        <v>0.26</v>
      </c>
      <c r="D258" s="8">
        <v>0</v>
      </c>
      <c r="E258" s="7">
        <v>2.1000000000000001E-2</v>
      </c>
      <c r="F258" s="7">
        <v>0.1065</v>
      </c>
      <c r="G258" s="1">
        <v>1.6500000000000001E-2</v>
      </c>
      <c r="H258" s="1">
        <v>7.5999999999999998E-2</v>
      </c>
      <c r="I258" s="1">
        <v>0.18</v>
      </c>
      <c r="J258" s="1">
        <v>0.04</v>
      </c>
      <c r="K258" s="1">
        <v>0.14000000000000001</v>
      </c>
      <c r="L258" s="1">
        <v>1.4999999999999999E-2</v>
      </c>
      <c r="M258" s="2" t="s">
        <v>175</v>
      </c>
      <c r="N258" s="105">
        <v>13000</v>
      </c>
      <c r="O258" s="119"/>
      <c r="P258" s="119"/>
      <c r="Q258" s="119"/>
      <c r="R258" s="119"/>
      <c r="S258" s="119"/>
      <c r="T258" s="119"/>
      <c r="U258" s="119">
        <v>2.2999999999999998</v>
      </c>
      <c r="V258" s="119">
        <v>2.25</v>
      </c>
      <c r="W258" s="119">
        <v>2.27</v>
      </c>
      <c r="X258" s="119">
        <f t="shared" si="290"/>
        <v>2.25</v>
      </c>
      <c r="Y258" s="118">
        <f t="shared" si="291"/>
        <v>2.2733333333333334</v>
      </c>
      <c r="Z258" s="109">
        <f t="shared" si="302"/>
        <v>29553.333333333336</v>
      </c>
      <c r="AA258" s="109">
        <f>'CALCULO GERAL'!$G$10</f>
        <v>6300</v>
      </c>
      <c r="AB258" s="109">
        <f t="shared" si="293"/>
        <v>35853.333333333336</v>
      </c>
      <c r="AC258" s="109">
        <f>AB258*'CALCULO GERAL'!$C$11</f>
        <v>179947.88</v>
      </c>
      <c r="AD258" s="109">
        <f t="shared" si="294"/>
        <v>46786.448800000006</v>
      </c>
      <c r="AE258" s="109">
        <f t="shared" si="295"/>
        <v>0</v>
      </c>
      <c r="AF258" s="109">
        <f t="shared" si="296"/>
        <v>3778.9054800000004</v>
      </c>
      <c r="AG258" s="109">
        <f t="shared" si="297"/>
        <v>19164.449219999999</v>
      </c>
      <c r="AH258" s="109">
        <v>154.22999999999999</v>
      </c>
      <c r="AI258" s="109">
        <f>((AA258*'CALCULO GERAL'!$C$11))*0.08+20</f>
        <v>2549.576</v>
      </c>
      <c r="AJ258" s="109">
        <v>1010</v>
      </c>
      <c r="AK258" s="109">
        <v>2500</v>
      </c>
      <c r="AL258" s="109">
        <f>(AA258*('CALCULO GERAL'!$C$11*1.02))-(AA258*'CALCULO GERAL'!$C$11)</f>
        <v>632.39400000000387</v>
      </c>
      <c r="AM258" s="109">
        <v>1800</v>
      </c>
      <c r="AN258" s="109">
        <v>2600</v>
      </c>
      <c r="AO258" s="109">
        <v>9400</v>
      </c>
      <c r="AP258" s="109">
        <v>1000</v>
      </c>
      <c r="AQ258" s="109">
        <v>0</v>
      </c>
      <c r="AR258" s="109">
        <v>0</v>
      </c>
      <c r="AS258" s="109"/>
      <c r="AT258" s="109">
        <f t="shared" si="264"/>
        <v>271323.8835</v>
      </c>
      <c r="AU258" s="111">
        <f t="shared" si="265"/>
        <v>20.871067961538461</v>
      </c>
      <c r="AV258" s="109">
        <f>IFERROR((BS258*'CALCULO GERAL'!$E$11)/N258,0)</f>
        <v>0.516957</v>
      </c>
      <c r="AW258" s="109">
        <f>AU258/'CALCULO GERAL'!$C$11</f>
        <v>4.1584116281208328</v>
      </c>
      <c r="AX258" s="109">
        <f>BP258-BB258-BD258*'CALCULO GERAL'!$C$11</f>
        <v>25.460132250000001</v>
      </c>
      <c r="AY258" s="109">
        <f t="shared" si="266"/>
        <v>0.42009218212500005</v>
      </c>
      <c r="AZ258" s="109">
        <f t="shared" si="267"/>
        <v>1.9349700510000001</v>
      </c>
      <c r="BA258" s="109">
        <f t="shared" si="268"/>
        <v>25.847850000000001</v>
      </c>
      <c r="BB258" s="109">
        <f t="shared" si="269"/>
        <v>0.38771775000000003</v>
      </c>
      <c r="BC258" s="109">
        <f t="shared" si="270"/>
        <v>25.847850000000001</v>
      </c>
      <c r="BD258" s="109">
        <f t="shared" si="271"/>
        <v>0</v>
      </c>
      <c r="BE258" s="109">
        <f t="shared" si="272"/>
        <v>26881.763999999999</v>
      </c>
      <c r="BF258" s="109">
        <f t="shared" si="273"/>
        <v>40322.646000000001</v>
      </c>
      <c r="BG258" s="109">
        <f t="shared" si="274"/>
        <v>0.27915677999999999</v>
      </c>
      <c r="BH258" s="109">
        <f t="shared" si="275"/>
        <v>0.31017419999999996</v>
      </c>
      <c r="BI258" s="109">
        <f t="shared" si="276"/>
        <v>0</v>
      </c>
      <c r="BJ258" s="109">
        <f t="shared" si="277"/>
        <v>3.8490679631250004</v>
      </c>
      <c r="BK258" s="109">
        <f t="shared" si="278"/>
        <v>24.720135924663463</v>
      </c>
      <c r="BL258" s="148">
        <v>0.82</v>
      </c>
      <c r="BM258" s="112">
        <f>ROUND((AW258/BL258)+((AW258*BL258)*'CALCULO GERAL'!$E$11)/BL258,2)</f>
        <v>5.15</v>
      </c>
      <c r="BN258" s="186">
        <f t="shared" si="279"/>
        <v>5.15</v>
      </c>
      <c r="BO258" s="186">
        <f t="shared" si="280"/>
        <v>6.0339999999999998</v>
      </c>
      <c r="BP258" s="109">
        <f>BM258*'CALCULO GERAL'!$C$11</f>
        <v>25.847850000000001</v>
      </c>
      <c r="BQ258" s="109">
        <f>BO258*'CALCULO GERAL'!$C$11</f>
        <v>30.284645999999999</v>
      </c>
      <c r="BR258" s="186">
        <f>BN258*'CALCULO GERAL'!$C$11</f>
        <v>25.847850000000001</v>
      </c>
      <c r="BS258" s="109">
        <f t="shared" si="281"/>
        <v>336022.05</v>
      </c>
      <c r="BT258" s="109">
        <f t="shared" si="222"/>
        <v>64698.166499999992</v>
      </c>
      <c r="BU258" s="109">
        <f t="shared" si="282"/>
        <v>336022.05</v>
      </c>
      <c r="BV258" s="109">
        <f t="shared" si="283"/>
        <v>321361.767020625</v>
      </c>
      <c r="BW258" s="109">
        <f t="shared" si="284"/>
        <v>14660.282979374984</v>
      </c>
      <c r="BX258" s="114">
        <f t="shared" si="285"/>
        <v>4.3628931432847885E-2</v>
      </c>
      <c r="BY258" s="152">
        <f t="shared" si="298"/>
        <v>0.82</v>
      </c>
      <c r="CA258" s="55"/>
      <c r="CB258" s="113"/>
      <c r="CC258" s="113"/>
      <c r="CE258" s="152">
        <f t="shared" si="299"/>
        <v>0</v>
      </c>
      <c r="CF258" s="152">
        <f t="shared" si="300"/>
        <v>1</v>
      </c>
      <c r="CG258" s="152">
        <f t="shared" si="301"/>
        <v>1</v>
      </c>
      <c r="CH258" s="34"/>
      <c r="CJ258" s="11"/>
      <c r="CK258" s="11"/>
    </row>
    <row r="259" spans="1:89" s="152" customFormat="1" x14ac:dyDescent="0.2">
      <c r="A259" s="5" t="s">
        <v>393</v>
      </c>
      <c r="B259" s="187" t="s">
        <v>383</v>
      </c>
      <c r="C259" s="8">
        <v>0.26</v>
      </c>
      <c r="D259" s="8">
        <v>0</v>
      </c>
      <c r="E259" s="7">
        <v>2.1000000000000001E-2</v>
      </c>
      <c r="F259" s="7">
        <v>0.1065</v>
      </c>
      <c r="G259" s="1">
        <v>1.6500000000000001E-2</v>
      </c>
      <c r="H259" s="1">
        <v>7.5999999999999998E-2</v>
      </c>
      <c r="I259" s="1">
        <v>0.18</v>
      </c>
      <c r="J259" s="1">
        <v>0.04</v>
      </c>
      <c r="K259" s="1">
        <v>0.14000000000000001</v>
      </c>
      <c r="L259" s="1">
        <v>1.4999999999999999E-2</v>
      </c>
      <c r="M259" s="2" t="s">
        <v>175</v>
      </c>
      <c r="N259" s="105">
        <v>14000</v>
      </c>
      <c r="O259" s="119"/>
      <c r="P259" s="119"/>
      <c r="Q259" s="119"/>
      <c r="R259" s="119"/>
      <c r="S259" s="119"/>
      <c r="T259" s="119"/>
      <c r="U259" s="119"/>
      <c r="V259" s="119">
        <v>2.35</v>
      </c>
      <c r="W259" s="119"/>
      <c r="X259" s="119">
        <f t="shared" si="290"/>
        <v>2.35</v>
      </c>
      <c r="Y259" s="118">
        <f t="shared" si="291"/>
        <v>2.35</v>
      </c>
      <c r="Z259" s="109">
        <f t="shared" si="302"/>
        <v>32900</v>
      </c>
      <c r="AA259" s="109">
        <f>'CALCULO GERAL'!$G$10</f>
        <v>6300</v>
      </c>
      <c r="AB259" s="109">
        <f t="shared" si="293"/>
        <v>39200</v>
      </c>
      <c r="AC259" s="109">
        <f>AB259*'CALCULO GERAL'!$C$11</f>
        <v>196744.80000000002</v>
      </c>
      <c r="AD259" s="109">
        <f t="shared" si="294"/>
        <v>51153.648000000008</v>
      </c>
      <c r="AE259" s="109">
        <f t="shared" si="295"/>
        <v>0</v>
      </c>
      <c r="AF259" s="109">
        <f t="shared" si="296"/>
        <v>4131.640800000001</v>
      </c>
      <c r="AG259" s="109">
        <f t="shared" si="297"/>
        <v>20953.321200000002</v>
      </c>
      <c r="AH259" s="109">
        <v>154.22999999999999</v>
      </c>
      <c r="AI259" s="109">
        <f>((AA259*'CALCULO GERAL'!$C$11))*0.08+20</f>
        <v>2549.576</v>
      </c>
      <c r="AJ259" s="109">
        <v>1010</v>
      </c>
      <c r="AK259" s="109">
        <v>2500</v>
      </c>
      <c r="AL259" s="109">
        <f>(AA259*('CALCULO GERAL'!$C$11*1.02))-(AA259*'CALCULO GERAL'!$C$11)</f>
        <v>632.39400000000387</v>
      </c>
      <c r="AM259" s="109">
        <v>1800</v>
      </c>
      <c r="AN259" s="109">
        <v>2600</v>
      </c>
      <c r="AO259" s="109">
        <v>9400</v>
      </c>
      <c r="AP259" s="109">
        <v>1000</v>
      </c>
      <c r="AQ259" s="109">
        <v>0</v>
      </c>
      <c r="AR259" s="109">
        <v>0</v>
      </c>
      <c r="AS259" s="109"/>
      <c r="AT259" s="109">
        <f t="shared" si="264"/>
        <v>294629.61000000004</v>
      </c>
      <c r="AU259" s="111">
        <f t="shared" si="265"/>
        <v>21.044972142857144</v>
      </c>
      <c r="AV259" s="109">
        <f>IFERROR((BS259*'CALCULO GERAL'!$E$11)/N259,0)</f>
        <v>0.5159532</v>
      </c>
      <c r="AW259" s="109">
        <f>AU259/'CALCULO GERAL'!$C$11</f>
        <v>4.1930607975407739</v>
      </c>
      <c r="AX259" s="109">
        <f>BP259-BB259-BD259*'CALCULO GERAL'!$C$11</f>
        <v>25.410695100000002</v>
      </c>
      <c r="AY259" s="109">
        <f t="shared" si="266"/>
        <v>0.41927646915000005</v>
      </c>
      <c r="AZ259" s="109">
        <f t="shared" si="267"/>
        <v>1.9312128276</v>
      </c>
      <c r="BA259" s="109">
        <f t="shared" si="268"/>
        <v>25.79766</v>
      </c>
      <c r="BB259" s="109">
        <f t="shared" si="269"/>
        <v>0.3869649</v>
      </c>
      <c r="BC259" s="109">
        <f t="shared" si="270"/>
        <v>25.79766</v>
      </c>
      <c r="BD259" s="109">
        <f t="shared" si="271"/>
        <v>0</v>
      </c>
      <c r="BE259" s="109">
        <f t="shared" si="272"/>
        <v>28893.379199999999</v>
      </c>
      <c r="BF259" s="109">
        <f t="shared" si="273"/>
        <v>43340.068799999994</v>
      </c>
      <c r="BG259" s="109">
        <f t="shared" si="274"/>
        <v>0.27861472799999992</v>
      </c>
      <c r="BH259" s="109">
        <f t="shared" si="275"/>
        <v>0.30957192</v>
      </c>
      <c r="BI259" s="109">
        <f t="shared" si="276"/>
        <v>0</v>
      </c>
      <c r="BJ259" s="109">
        <f t="shared" si="277"/>
        <v>3.8415940447499999</v>
      </c>
      <c r="BK259" s="109">
        <f t="shared" si="278"/>
        <v>24.886566187607144</v>
      </c>
      <c r="BL259" s="148">
        <v>0.83</v>
      </c>
      <c r="BM259" s="112">
        <f>ROUND((AW259/BL259)+((AW259*BL259)*'CALCULO GERAL'!$E$11)/BL259,2)</f>
        <v>5.14</v>
      </c>
      <c r="BN259" s="186">
        <f t="shared" si="279"/>
        <v>5.14</v>
      </c>
      <c r="BO259" s="186">
        <f t="shared" si="280"/>
        <v>6.0220000000000002</v>
      </c>
      <c r="BP259" s="109">
        <f>BM259*'CALCULO GERAL'!$C$11</f>
        <v>25.79766</v>
      </c>
      <c r="BQ259" s="109">
        <f>BO259*'CALCULO GERAL'!$C$11</f>
        <v>30.224418000000004</v>
      </c>
      <c r="BR259" s="186">
        <f>BN259*'CALCULO GERAL'!$C$11</f>
        <v>25.79766</v>
      </c>
      <c r="BS259" s="109">
        <f t="shared" si="281"/>
        <v>361167.24</v>
      </c>
      <c r="BT259" s="109">
        <f t="shared" si="222"/>
        <v>66537.629999999946</v>
      </c>
      <c r="BU259" s="109">
        <f t="shared" si="282"/>
        <v>361167.24</v>
      </c>
      <c r="BV259" s="109">
        <f t="shared" si="283"/>
        <v>348411.92662650003</v>
      </c>
      <c r="BW259" s="109">
        <f t="shared" si="284"/>
        <v>12755.313373499957</v>
      </c>
      <c r="BX259" s="114">
        <f t="shared" si="285"/>
        <v>3.5316916820861043E-2</v>
      </c>
      <c r="BY259" s="152">
        <f t="shared" si="298"/>
        <v>0.83</v>
      </c>
      <c r="CA259" s="55"/>
      <c r="CB259" s="113"/>
      <c r="CC259" s="113"/>
      <c r="CE259" s="152">
        <f t="shared" si="299"/>
        <v>0</v>
      </c>
      <c r="CF259" s="152">
        <f t="shared" si="300"/>
        <v>1</v>
      </c>
      <c r="CG259" s="152">
        <f t="shared" si="301"/>
        <v>1</v>
      </c>
      <c r="CH259" s="34"/>
      <c r="CJ259" s="11"/>
      <c r="CK259" s="11"/>
    </row>
    <row r="260" spans="1:89" s="152" customFormat="1" x14ac:dyDescent="0.2">
      <c r="A260" s="5" t="s">
        <v>394</v>
      </c>
      <c r="B260" s="187" t="s">
        <v>383</v>
      </c>
      <c r="C260" s="8">
        <v>0.26</v>
      </c>
      <c r="D260" s="8">
        <v>0</v>
      </c>
      <c r="E260" s="7">
        <v>2.1000000000000001E-2</v>
      </c>
      <c r="F260" s="7">
        <v>0.1065</v>
      </c>
      <c r="G260" s="1">
        <v>1.6500000000000001E-2</v>
      </c>
      <c r="H260" s="1">
        <v>7.5999999999999998E-2</v>
      </c>
      <c r="I260" s="1">
        <v>0.18</v>
      </c>
      <c r="J260" s="1">
        <v>0.04</v>
      </c>
      <c r="K260" s="1">
        <v>0.14000000000000001</v>
      </c>
      <c r="L260" s="1">
        <v>1.4999999999999999E-2</v>
      </c>
      <c r="M260" s="2" t="s">
        <v>175</v>
      </c>
      <c r="N260" s="105">
        <v>14000</v>
      </c>
      <c r="O260" s="119"/>
      <c r="P260" s="119"/>
      <c r="Q260" s="119"/>
      <c r="R260" s="119"/>
      <c r="S260" s="119"/>
      <c r="T260" s="119"/>
      <c r="U260" s="119"/>
      <c r="V260" s="119">
        <v>2.62</v>
      </c>
      <c r="W260" s="119"/>
      <c r="X260" s="119">
        <f t="shared" si="290"/>
        <v>2.62</v>
      </c>
      <c r="Y260" s="118">
        <f t="shared" si="291"/>
        <v>2.62</v>
      </c>
      <c r="Z260" s="109">
        <f t="shared" si="302"/>
        <v>36680</v>
      </c>
      <c r="AA260" s="109">
        <f>'CALCULO GERAL'!$G$10</f>
        <v>6300</v>
      </c>
      <c r="AB260" s="109">
        <f t="shared" si="293"/>
        <v>42980</v>
      </c>
      <c r="AC260" s="109">
        <f>AB260*'CALCULO GERAL'!$C$11</f>
        <v>215716.62</v>
      </c>
      <c r="AD260" s="109">
        <f t="shared" si="294"/>
        <v>56086.321199999998</v>
      </c>
      <c r="AE260" s="109">
        <f t="shared" si="295"/>
        <v>0</v>
      </c>
      <c r="AF260" s="109">
        <f t="shared" si="296"/>
        <v>4530.0490200000004</v>
      </c>
      <c r="AG260" s="109">
        <f t="shared" si="297"/>
        <v>22973.820029999999</v>
      </c>
      <c r="AH260" s="109">
        <v>154.22999999999999</v>
      </c>
      <c r="AI260" s="109">
        <f>((AA260*'CALCULO GERAL'!$C$11))*0.08+20</f>
        <v>2549.576</v>
      </c>
      <c r="AJ260" s="109">
        <v>1010</v>
      </c>
      <c r="AK260" s="109">
        <v>2500</v>
      </c>
      <c r="AL260" s="109">
        <f>(AA260*('CALCULO GERAL'!$C$11*1.02))-(AA260*'CALCULO GERAL'!$C$11)</f>
        <v>632.39400000000387</v>
      </c>
      <c r="AM260" s="109">
        <v>1800</v>
      </c>
      <c r="AN260" s="109">
        <v>2600</v>
      </c>
      <c r="AO260" s="109">
        <v>9400</v>
      </c>
      <c r="AP260" s="109">
        <v>1000</v>
      </c>
      <c r="AQ260" s="109">
        <v>0</v>
      </c>
      <c r="AR260" s="109">
        <v>0</v>
      </c>
      <c r="AS260" s="109"/>
      <c r="AT260" s="109">
        <f t="shared" si="264"/>
        <v>320953.01024999999</v>
      </c>
      <c r="AU260" s="111">
        <f t="shared" si="265"/>
        <v>22.925215017857141</v>
      </c>
      <c r="AV260" s="109">
        <f>IFERROR((BS260*'CALCULO GERAL'!$E$11)/N260,0)</f>
        <v>0.56112419999999996</v>
      </c>
      <c r="AW260" s="109">
        <f>AU260/'CALCULO GERAL'!$C$11</f>
        <v>4.567685797540773</v>
      </c>
      <c r="AX260" s="109">
        <f>BP260-BB260-BD260*'CALCULO GERAL'!$C$11</f>
        <v>27.63536685</v>
      </c>
      <c r="AY260" s="109">
        <f t="shared" si="266"/>
        <v>0.45598355302500004</v>
      </c>
      <c r="AZ260" s="109">
        <f t="shared" si="267"/>
        <v>2.1002878805999998</v>
      </c>
      <c r="BA260" s="109">
        <f t="shared" si="268"/>
        <v>28.05621</v>
      </c>
      <c r="BB260" s="109">
        <f t="shared" si="269"/>
        <v>0.42084315</v>
      </c>
      <c r="BC260" s="109">
        <f t="shared" si="270"/>
        <v>28.05621</v>
      </c>
      <c r="BD260" s="109">
        <f t="shared" si="271"/>
        <v>0</v>
      </c>
      <c r="BE260" s="109">
        <f t="shared" si="272"/>
        <v>31422.9552</v>
      </c>
      <c r="BF260" s="109">
        <f t="shared" si="273"/>
        <v>47134.432799999995</v>
      </c>
      <c r="BG260" s="109">
        <f t="shared" si="274"/>
        <v>0.30300706799999994</v>
      </c>
      <c r="BH260" s="109">
        <f t="shared" si="275"/>
        <v>0.33667451999999998</v>
      </c>
      <c r="BI260" s="109">
        <f t="shared" si="276"/>
        <v>0</v>
      </c>
      <c r="BJ260" s="109">
        <f t="shared" si="277"/>
        <v>4.1779203716249995</v>
      </c>
      <c r="BK260" s="109">
        <f t="shared" si="278"/>
        <v>27.103135389482141</v>
      </c>
      <c r="BL260" s="148">
        <v>0.83</v>
      </c>
      <c r="BM260" s="112">
        <f>ROUND((AW260/BL260)+((AW260*BL260)*'CALCULO GERAL'!$E$11)/BL260,2)</f>
        <v>5.59</v>
      </c>
      <c r="BN260" s="186">
        <f t="shared" si="279"/>
        <v>5.59</v>
      </c>
      <c r="BO260" s="186">
        <f t="shared" si="280"/>
        <v>6.55</v>
      </c>
      <c r="BP260" s="109">
        <f>BM260*'CALCULO GERAL'!$C$11</f>
        <v>28.05621</v>
      </c>
      <c r="BQ260" s="109">
        <f>BO260*'CALCULO GERAL'!$C$11</f>
        <v>32.874450000000003</v>
      </c>
      <c r="BR260" s="186">
        <f>BN260*'CALCULO GERAL'!$C$11</f>
        <v>28.05621</v>
      </c>
      <c r="BS260" s="109">
        <f t="shared" si="281"/>
        <v>392786.94</v>
      </c>
      <c r="BT260" s="109">
        <f t="shared" ref="BT260:BT323" si="303">BS260-AT260</f>
        <v>71833.92975000001</v>
      </c>
      <c r="BU260" s="109">
        <f t="shared" si="282"/>
        <v>392786.94</v>
      </c>
      <c r="BV260" s="109">
        <f t="shared" si="283"/>
        <v>379443.89545274997</v>
      </c>
      <c r="BW260" s="109">
        <f t="shared" si="284"/>
        <v>13343.044547250029</v>
      </c>
      <c r="BX260" s="114">
        <f t="shared" si="285"/>
        <v>3.3970183803081713E-2</v>
      </c>
      <c r="BY260" s="152">
        <f t="shared" si="298"/>
        <v>0.83</v>
      </c>
      <c r="CA260" s="55"/>
      <c r="CB260" s="113"/>
      <c r="CC260" s="113"/>
      <c r="CE260" s="152">
        <f t="shared" si="299"/>
        <v>0</v>
      </c>
      <c r="CF260" s="152">
        <f t="shared" si="300"/>
        <v>1</v>
      </c>
      <c r="CG260" s="152">
        <f t="shared" si="301"/>
        <v>1</v>
      </c>
      <c r="CH260" s="34"/>
      <c r="CJ260" s="11"/>
      <c r="CK260" s="11"/>
    </row>
    <row r="261" spans="1:89" s="152" customFormat="1" x14ac:dyDescent="0.2">
      <c r="A261" s="229" t="s">
        <v>395</v>
      </c>
      <c r="B261" s="250" t="s">
        <v>383</v>
      </c>
      <c r="C261" s="251">
        <v>0.26</v>
      </c>
      <c r="D261" s="251">
        <v>0</v>
      </c>
      <c r="E261" s="252">
        <v>2.1000000000000001E-2</v>
      </c>
      <c r="F261" s="252">
        <v>0.1065</v>
      </c>
      <c r="G261" s="1">
        <v>1.6500000000000001E-2</v>
      </c>
      <c r="H261" s="1">
        <v>7.5999999999999998E-2</v>
      </c>
      <c r="I261" s="253">
        <v>0.18</v>
      </c>
      <c r="J261" s="253">
        <v>0.04</v>
      </c>
      <c r="K261" s="253">
        <v>0.14000000000000001</v>
      </c>
      <c r="L261" s="253">
        <v>1.4999999999999999E-2</v>
      </c>
      <c r="M261" s="254" t="s">
        <v>175</v>
      </c>
      <c r="N261" s="255">
        <v>60000</v>
      </c>
      <c r="O261" s="227"/>
      <c r="P261" s="227"/>
      <c r="Q261" s="227"/>
      <c r="R261" s="227"/>
      <c r="S261" s="227">
        <v>0.88</v>
      </c>
      <c r="T261" s="227">
        <v>0.9</v>
      </c>
      <c r="U261" s="227"/>
      <c r="V261" s="227">
        <v>1.08</v>
      </c>
      <c r="W261" s="227">
        <v>0.85</v>
      </c>
      <c r="X261" s="119">
        <f t="shared" si="290"/>
        <v>0.85</v>
      </c>
      <c r="Y261" s="118">
        <f t="shared" si="291"/>
        <v>0.9275000000000001</v>
      </c>
      <c r="Z261" s="109">
        <f t="shared" si="302"/>
        <v>55650.000000000007</v>
      </c>
      <c r="AA261" s="109">
        <f>'CALCULO GERAL'!$G$10</f>
        <v>6300</v>
      </c>
      <c r="AB261" s="109">
        <f t="shared" si="293"/>
        <v>61950.000000000007</v>
      </c>
      <c r="AC261" s="109">
        <f>AB261*'CALCULO GERAL'!$C$11</f>
        <v>310927.05000000005</v>
      </c>
      <c r="AD261" s="109">
        <f t="shared" si="294"/>
        <v>80841.03300000001</v>
      </c>
      <c r="AE261" s="109">
        <f t="shared" si="295"/>
        <v>0</v>
      </c>
      <c r="AF261" s="109">
        <f t="shared" si="296"/>
        <v>6529.4680500000013</v>
      </c>
      <c r="AG261" s="109">
        <f t="shared" si="297"/>
        <v>33113.730825000006</v>
      </c>
      <c r="AH261" s="109">
        <v>154.22999999999999</v>
      </c>
      <c r="AI261" s="109">
        <f>((AA261*'CALCULO GERAL'!$C$11))*0.08+20</f>
        <v>2549.576</v>
      </c>
      <c r="AJ261" s="109">
        <v>1010</v>
      </c>
      <c r="AK261" s="109">
        <v>2500</v>
      </c>
      <c r="AL261" s="109">
        <f>(AA261*('CALCULO GERAL'!$C$11*1.02))-(AA261*'CALCULO GERAL'!$C$11)</f>
        <v>632.39400000000387</v>
      </c>
      <c r="AM261" s="109">
        <v>1800</v>
      </c>
      <c r="AN261" s="109">
        <v>2600</v>
      </c>
      <c r="AO261" s="109">
        <v>9400</v>
      </c>
      <c r="AP261" s="109">
        <v>1000</v>
      </c>
      <c r="AQ261" s="109">
        <v>0</v>
      </c>
      <c r="AR261" s="109">
        <v>0</v>
      </c>
      <c r="AS261" s="109"/>
      <c r="AT261" s="109">
        <f t="shared" si="264"/>
        <v>453057.48187500011</v>
      </c>
      <c r="AU261" s="111">
        <f t="shared" si="265"/>
        <v>7.5509580312500022</v>
      </c>
      <c r="AV261" s="109">
        <f>IFERROR((BS261*'CALCULO GERAL'!$E$11)/N261,0)</f>
        <v>0.18068400000000001</v>
      </c>
      <c r="AW261" s="109">
        <f>AU261/'CALCULO GERAL'!$C$11</f>
        <v>1.5044746027595142</v>
      </c>
      <c r="AX261" s="109">
        <f>BP261-BB261-BD261*'CALCULO GERAL'!$C$11</f>
        <v>8.8986870000000007</v>
      </c>
      <c r="AY261" s="109">
        <f t="shared" si="266"/>
        <v>0.14682833550000002</v>
      </c>
      <c r="AZ261" s="109">
        <f t="shared" si="267"/>
        <v>0.67630021200000001</v>
      </c>
      <c r="BA261" s="109">
        <f t="shared" si="268"/>
        <v>9.0342000000000002</v>
      </c>
      <c r="BB261" s="109">
        <f t="shared" si="269"/>
        <v>0.13551299999999999</v>
      </c>
      <c r="BC261" s="109">
        <f t="shared" si="270"/>
        <v>9.0342000000000002</v>
      </c>
      <c r="BD261" s="109">
        <f t="shared" si="271"/>
        <v>0</v>
      </c>
      <c r="BE261" s="109">
        <f t="shared" si="272"/>
        <v>43364.160000000003</v>
      </c>
      <c r="BF261" s="109">
        <f t="shared" si="273"/>
        <v>65046.239999999998</v>
      </c>
      <c r="BG261" s="109">
        <f t="shared" si="274"/>
        <v>9.7569359999999994E-2</v>
      </c>
      <c r="BH261" s="109">
        <f t="shared" si="275"/>
        <v>0.10841040000000002</v>
      </c>
      <c r="BI261" s="109">
        <f t="shared" si="276"/>
        <v>0</v>
      </c>
      <c r="BJ261" s="109">
        <f t="shared" si="277"/>
        <v>1.3453053075000003</v>
      </c>
      <c r="BK261" s="109">
        <f t="shared" si="278"/>
        <v>8.8962633387500034</v>
      </c>
      <c r="BL261" s="148">
        <v>0.85</v>
      </c>
      <c r="BM261" s="112">
        <f>ROUND((AW261/BL261)+((AW261*BL261)*'CALCULO GERAL'!$E$11)/BL261,2)</f>
        <v>1.8</v>
      </c>
      <c r="BN261" s="186">
        <f t="shared" si="279"/>
        <v>1.8</v>
      </c>
      <c r="BO261" s="186">
        <f t="shared" si="280"/>
        <v>2.109</v>
      </c>
      <c r="BP261" s="109">
        <f>BM261*'CALCULO GERAL'!$C$11</f>
        <v>9.0342000000000002</v>
      </c>
      <c r="BQ261" s="109">
        <f>BO261*'CALCULO GERAL'!$C$11</f>
        <v>10.585071000000001</v>
      </c>
      <c r="BR261" s="186">
        <f>BN261*'CALCULO GERAL'!$C$11</f>
        <v>9.0342000000000002</v>
      </c>
      <c r="BS261" s="109">
        <f t="shared" si="281"/>
        <v>542052</v>
      </c>
      <c r="BT261" s="109">
        <f t="shared" si="303"/>
        <v>88994.518124999886</v>
      </c>
      <c r="BU261" s="109">
        <f t="shared" si="282"/>
        <v>542052</v>
      </c>
      <c r="BV261" s="109">
        <f t="shared" si="283"/>
        <v>533775.80032500019</v>
      </c>
      <c r="BW261" s="109">
        <f t="shared" si="284"/>
        <v>8276.199674999807</v>
      </c>
      <c r="BX261" s="114">
        <f t="shared" si="285"/>
        <v>1.5268276244714173E-2</v>
      </c>
      <c r="BY261" s="152">
        <f t="shared" si="298"/>
        <v>0.85</v>
      </c>
      <c r="CA261" s="55"/>
      <c r="CB261" s="113"/>
      <c r="CC261" s="113"/>
      <c r="CE261" s="152">
        <f t="shared" si="299"/>
        <v>0</v>
      </c>
      <c r="CF261" s="152">
        <f t="shared" si="300"/>
        <v>1</v>
      </c>
      <c r="CG261" s="152">
        <f t="shared" si="301"/>
        <v>1</v>
      </c>
      <c r="CH261" s="34"/>
      <c r="CJ261" s="11"/>
      <c r="CK261" s="11"/>
    </row>
    <row r="262" spans="1:89" s="152" customFormat="1" x14ac:dyDescent="0.2">
      <c r="A262" s="229" t="s">
        <v>396</v>
      </c>
      <c r="B262" s="250" t="s">
        <v>383</v>
      </c>
      <c r="C262" s="251">
        <v>0.26</v>
      </c>
      <c r="D262" s="251">
        <v>0</v>
      </c>
      <c r="E262" s="252">
        <v>2.1000000000000001E-2</v>
      </c>
      <c r="F262" s="252">
        <v>0.1065</v>
      </c>
      <c r="G262" s="1">
        <v>1.6500000000000001E-2</v>
      </c>
      <c r="H262" s="1">
        <v>7.5999999999999998E-2</v>
      </c>
      <c r="I262" s="253">
        <v>0.18</v>
      </c>
      <c r="J262" s="253">
        <v>0.04</v>
      </c>
      <c r="K262" s="253">
        <v>0.14000000000000001</v>
      </c>
      <c r="L262" s="253">
        <v>1.4999999999999999E-2</v>
      </c>
      <c r="M262" s="254" t="s">
        <v>175</v>
      </c>
      <c r="N262" s="255">
        <v>58000</v>
      </c>
      <c r="O262" s="227"/>
      <c r="P262" s="227"/>
      <c r="Q262" s="227"/>
      <c r="R262" s="227"/>
      <c r="S262" s="227">
        <v>0.95</v>
      </c>
      <c r="T262" s="227">
        <v>1.02</v>
      </c>
      <c r="U262" s="227"/>
      <c r="V262" s="227">
        <v>0.91</v>
      </c>
      <c r="W262" s="227">
        <v>0.82</v>
      </c>
      <c r="X262" s="119">
        <f t="shared" si="290"/>
        <v>0.82</v>
      </c>
      <c r="Y262" s="118">
        <f t="shared" si="291"/>
        <v>0.92499999999999993</v>
      </c>
      <c r="Z262" s="109">
        <f t="shared" si="302"/>
        <v>53649.999999999993</v>
      </c>
      <c r="AA262" s="109">
        <f>'CALCULO GERAL'!$G$10</f>
        <v>6300</v>
      </c>
      <c r="AB262" s="109">
        <f t="shared" si="293"/>
        <v>59949.999999999993</v>
      </c>
      <c r="AC262" s="109">
        <f>AB262*'CALCULO GERAL'!$C$11</f>
        <v>300889.05</v>
      </c>
      <c r="AD262" s="109">
        <f t="shared" si="294"/>
        <v>78231.153000000006</v>
      </c>
      <c r="AE262" s="109">
        <f t="shared" si="295"/>
        <v>0</v>
      </c>
      <c r="AF262" s="109">
        <f t="shared" si="296"/>
        <v>6318.6700499999997</v>
      </c>
      <c r="AG262" s="109">
        <f t="shared" si="297"/>
        <v>32044.683824999996</v>
      </c>
      <c r="AH262" s="109">
        <v>154.22999999999999</v>
      </c>
      <c r="AI262" s="109">
        <f>((AA262*'CALCULO GERAL'!$C$11))*0.08+20</f>
        <v>2549.576</v>
      </c>
      <c r="AJ262" s="109">
        <v>1010</v>
      </c>
      <c r="AK262" s="109">
        <v>2500</v>
      </c>
      <c r="AL262" s="109">
        <f>(AA262*('CALCULO GERAL'!$C$11*1.02))-(AA262*'CALCULO GERAL'!$C$11)</f>
        <v>632.39400000000387</v>
      </c>
      <c r="AM262" s="109">
        <v>1800</v>
      </c>
      <c r="AN262" s="109">
        <v>2600</v>
      </c>
      <c r="AO262" s="109">
        <v>9400</v>
      </c>
      <c r="AP262" s="109">
        <v>1000</v>
      </c>
      <c r="AQ262" s="109">
        <v>0</v>
      </c>
      <c r="AR262" s="109">
        <v>0</v>
      </c>
      <c r="AS262" s="109"/>
      <c r="AT262" s="109">
        <f t="shared" si="264"/>
        <v>439129.75687500002</v>
      </c>
      <c r="AU262" s="111">
        <f t="shared" si="265"/>
        <v>7.5712027047413795</v>
      </c>
      <c r="AV262" s="109">
        <f>IFERROR((BS262*'CALCULO GERAL'!$E$11)/N262,0)</f>
        <v>0.18068400000000001</v>
      </c>
      <c r="AW262" s="109">
        <f>AU262/'CALCULO GERAL'!$C$11</f>
        <v>1.5085082097512212</v>
      </c>
      <c r="AX262" s="109">
        <f>BP262-BB262-BD262*'CALCULO GERAL'!$C$11</f>
        <v>8.8986870000000007</v>
      </c>
      <c r="AY262" s="109">
        <f t="shared" si="266"/>
        <v>0.14682833550000002</v>
      </c>
      <c r="AZ262" s="109">
        <f t="shared" si="267"/>
        <v>0.67630021200000001</v>
      </c>
      <c r="BA262" s="109">
        <f t="shared" si="268"/>
        <v>9.0342000000000002</v>
      </c>
      <c r="BB262" s="109">
        <f t="shared" si="269"/>
        <v>0.13551299999999999</v>
      </c>
      <c r="BC262" s="109">
        <f t="shared" si="270"/>
        <v>9.0342000000000002</v>
      </c>
      <c r="BD262" s="109">
        <f t="shared" si="271"/>
        <v>0</v>
      </c>
      <c r="BE262" s="109">
        <f t="shared" si="272"/>
        <v>41918.688000000002</v>
      </c>
      <c r="BF262" s="109">
        <f t="shared" si="273"/>
        <v>62878.031999999999</v>
      </c>
      <c r="BG262" s="109">
        <f t="shared" si="274"/>
        <v>9.7569359999999994E-2</v>
      </c>
      <c r="BH262" s="109">
        <f t="shared" si="275"/>
        <v>0.1084104</v>
      </c>
      <c r="BI262" s="109">
        <f t="shared" si="276"/>
        <v>0</v>
      </c>
      <c r="BJ262" s="109">
        <f t="shared" si="277"/>
        <v>1.3453053075000001</v>
      </c>
      <c r="BK262" s="109">
        <f t="shared" si="278"/>
        <v>8.9165080122413798</v>
      </c>
      <c r="BL262" s="148">
        <v>0.85</v>
      </c>
      <c r="BM262" s="112">
        <f>ROUND((AW262/BL262)+((AW262*BL262)*'CALCULO GERAL'!$E$11)/BL262,2)</f>
        <v>1.8</v>
      </c>
      <c r="BN262" s="186">
        <f t="shared" si="279"/>
        <v>1.8</v>
      </c>
      <c r="BO262" s="186">
        <f t="shared" si="280"/>
        <v>2.109</v>
      </c>
      <c r="BP262" s="109">
        <f>BM262*'CALCULO GERAL'!$C$11</f>
        <v>9.0342000000000002</v>
      </c>
      <c r="BQ262" s="109">
        <f>BO262*'CALCULO GERAL'!$C$11</f>
        <v>10.585071000000001</v>
      </c>
      <c r="BR262" s="186">
        <f>BN262*'CALCULO GERAL'!$C$11</f>
        <v>9.0342000000000002</v>
      </c>
      <c r="BS262" s="109">
        <f t="shared" si="281"/>
        <v>523983.60000000003</v>
      </c>
      <c r="BT262" s="109">
        <f t="shared" si="303"/>
        <v>84853.843125000014</v>
      </c>
      <c r="BU262" s="109">
        <f t="shared" si="282"/>
        <v>523983.60000000003</v>
      </c>
      <c r="BV262" s="109">
        <f t="shared" si="283"/>
        <v>517157.46471000003</v>
      </c>
      <c r="BW262" s="109">
        <f t="shared" si="284"/>
        <v>6826.1352900000056</v>
      </c>
      <c r="BX262" s="114">
        <f t="shared" si="285"/>
        <v>1.3027383471543776E-2</v>
      </c>
      <c r="BY262" s="152">
        <f t="shared" si="298"/>
        <v>0.85</v>
      </c>
      <c r="CA262" s="55"/>
      <c r="CB262" s="113"/>
      <c r="CC262" s="113"/>
      <c r="CE262" s="152">
        <f t="shared" si="299"/>
        <v>0</v>
      </c>
      <c r="CF262" s="152">
        <f t="shared" si="300"/>
        <v>1</v>
      </c>
      <c r="CG262" s="152">
        <f t="shared" si="301"/>
        <v>1</v>
      </c>
      <c r="CH262" s="34"/>
      <c r="CJ262" s="11"/>
      <c r="CK262" s="11"/>
    </row>
    <row r="263" spans="1:89" s="152" customFormat="1" x14ac:dyDescent="0.2">
      <c r="A263" s="229" t="s">
        <v>397</v>
      </c>
      <c r="B263" s="250" t="s">
        <v>383</v>
      </c>
      <c r="C263" s="251">
        <v>0.26</v>
      </c>
      <c r="D263" s="251">
        <v>0</v>
      </c>
      <c r="E263" s="252">
        <v>2.1000000000000001E-2</v>
      </c>
      <c r="F263" s="252">
        <v>0.1065</v>
      </c>
      <c r="G263" s="1">
        <v>1.6500000000000001E-2</v>
      </c>
      <c r="H263" s="1">
        <v>7.5999999999999998E-2</v>
      </c>
      <c r="I263" s="253">
        <v>0.18</v>
      </c>
      <c r="J263" s="253">
        <v>0.04</v>
      </c>
      <c r="K263" s="253">
        <v>0.14000000000000001</v>
      </c>
      <c r="L263" s="253">
        <v>1.4999999999999999E-2</v>
      </c>
      <c r="M263" s="254" t="s">
        <v>175</v>
      </c>
      <c r="N263" s="255">
        <v>80000</v>
      </c>
      <c r="O263" s="227"/>
      <c r="P263" s="227"/>
      <c r="Q263" s="227"/>
      <c r="R263" s="227"/>
      <c r="S263" s="227">
        <v>0.74</v>
      </c>
      <c r="T263" s="227">
        <v>0.76</v>
      </c>
      <c r="U263" s="227"/>
      <c r="V263" s="227">
        <v>0.76</v>
      </c>
      <c r="W263" s="227">
        <v>0.64500000000000002</v>
      </c>
      <c r="X263" s="119">
        <f t="shared" si="290"/>
        <v>0.64500000000000002</v>
      </c>
      <c r="Y263" s="118">
        <f t="shared" si="291"/>
        <v>0.72624999999999995</v>
      </c>
      <c r="Z263" s="109">
        <f t="shared" si="302"/>
        <v>58099.999999999993</v>
      </c>
      <c r="AA263" s="109">
        <f>'CALCULO GERAL'!$G$10</f>
        <v>6300</v>
      </c>
      <c r="AB263" s="109">
        <f t="shared" si="293"/>
        <v>64399.999999999993</v>
      </c>
      <c r="AC263" s="109">
        <f>AB263*'CALCULO GERAL'!$C$11</f>
        <v>323223.59999999998</v>
      </c>
      <c r="AD263" s="109">
        <f t="shared" si="294"/>
        <v>84038.135999999999</v>
      </c>
      <c r="AE263" s="109">
        <f t="shared" si="295"/>
        <v>0</v>
      </c>
      <c r="AF263" s="109">
        <f t="shared" si="296"/>
        <v>6787.6956</v>
      </c>
      <c r="AG263" s="109">
        <f t="shared" si="297"/>
        <v>34423.313399999999</v>
      </c>
      <c r="AH263" s="109">
        <v>154.22999999999999</v>
      </c>
      <c r="AI263" s="109">
        <f>((AA263*'CALCULO GERAL'!$C$11))*0.08+20</f>
        <v>2549.576</v>
      </c>
      <c r="AJ263" s="109">
        <v>1010</v>
      </c>
      <c r="AK263" s="109">
        <v>2500</v>
      </c>
      <c r="AL263" s="109">
        <f>(AA263*('CALCULO GERAL'!$C$11*1.02))-(AA263*'CALCULO GERAL'!$C$11)</f>
        <v>632.39400000000387</v>
      </c>
      <c r="AM263" s="109">
        <v>1800</v>
      </c>
      <c r="AN263" s="109">
        <v>2600</v>
      </c>
      <c r="AO263" s="109">
        <v>9400</v>
      </c>
      <c r="AP263" s="109">
        <v>1000</v>
      </c>
      <c r="AQ263" s="109">
        <v>0</v>
      </c>
      <c r="AR263" s="109">
        <v>0</v>
      </c>
      <c r="AS263" s="109"/>
      <c r="AT263" s="109">
        <f t="shared" si="264"/>
        <v>470118.94499999995</v>
      </c>
      <c r="AU263" s="111">
        <f t="shared" si="265"/>
        <v>5.8764868124999996</v>
      </c>
      <c r="AV263" s="109">
        <f>IFERROR((BS263*'CALCULO GERAL'!$E$11)/N263,0)</f>
        <v>0.13852439999999999</v>
      </c>
      <c r="AW263" s="109">
        <f>AU263/'CALCULO GERAL'!$C$11</f>
        <v>1.1708481395696353</v>
      </c>
      <c r="AX263" s="109">
        <f>BP263-BB263-BD263*'CALCULO GERAL'!$C$11</f>
        <v>6.8223266999999996</v>
      </c>
      <c r="AY263" s="109">
        <f t="shared" si="266"/>
        <v>0.11256839054999999</v>
      </c>
      <c r="AZ263" s="109">
        <f t="shared" si="267"/>
        <v>0.51849682919999995</v>
      </c>
      <c r="BA263" s="109">
        <f t="shared" si="268"/>
        <v>6.9262199999999998</v>
      </c>
      <c r="BB263" s="109">
        <f t="shared" si="269"/>
        <v>0.10389329999999999</v>
      </c>
      <c r="BC263" s="109">
        <f t="shared" si="270"/>
        <v>6.9262199999999998</v>
      </c>
      <c r="BD263" s="109">
        <f t="shared" si="271"/>
        <v>0</v>
      </c>
      <c r="BE263" s="109">
        <f t="shared" si="272"/>
        <v>44327.807999999997</v>
      </c>
      <c r="BF263" s="109">
        <f t="shared" si="273"/>
        <v>66491.712</v>
      </c>
      <c r="BG263" s="109">
        <f t="shared" si="274"/>
        <v>7.4803175999999999E-2</v>
      </c>
      <c r="BH263" s="109">
        <f t="shared" si="275"/>
        <v>8.3114640000000004E-2</v>
      </c>
      <c r="BI263" s="109">
        <f t="shared" si="276"/>
        <v>0</v>
      </c>
      <c r="BJ263" s="109">
        <f t="shared" si="277"/>
        <v>1.0314007357499999</v>
      </c>
      <c r="BK263" s="109">
        <f t="shared" si="278"/>
        <v>6.9078875482499997</v>
      </c>
      <c r="BL263" s="148">
        <v>0.86</v>
      </c>
      <c r="BM263" s="112">
        <f>ROUND((AW263/BL263)+((AW263*BL263)*'CALCULO GERAL'!$E$11)/BL263,2)</f>
        <v>1.38</v>
      </c>
      <c r="BN263" s="186">
        <f t="shared" si="279"/>
        <v>1.38</v>
      </c>
      <c r="BO263" s="186">
        <f t="shared" si="280"/>
        <v>1.617</v>
      </c>
      <c r="BP263" s="109">
        <f>BM263*'CALCULO GERAL'!$C$11</f>
        <v>6.9262199999999998</v>
      </c>
      <c r="BQ263" s="109">
        <f>BO263*'CALCULO GERAL'!$C$11</f>
        <v>8.1157230000000009</v>
      </c>
      <c r="BR263" s="186">
        <f>BN263*'CALCULO GERAL'!$C$11</f>
        <v>6.9262199999999998</v>
      </c>
      <c r="BS263" s="109">
        <f t="shared" si="281"/>
        <v>554097.6</v>
      </c>
      <c r="BT263" s="109">
        <f t="shared" si="303"/>
        <v>83978.655000000028</v>
      </c>
      <c r="BU263" s="109">
        <f t="shared" si="282"/>
        <v>554097.6</v>
      </c>
      <c r="BV263" s="109">
        <f t="shared" si="283"/>
        <v>552631.00385999994</v>
      </c>
      <c r="BW263" s="109">
        <f t="shared" si="284"/>
        <v>1466.5961400000378</v>
      </c>
      <c r="BX263" s="114">
        <f t="shared" si="285"/>
        <v>2.6468191524381948E-3</v>
      </c>
      <c r="BY263" s="152">
        <f t="shared" si="298"/>
        <v>0.86</v>
      </c>
      <c r="CA263" s="55"/>
      <c r="CB263" s="113"/>
      <c r="CC263" s="113"/>
      <c r="CE263" s="152">
        <f t="shared" si="299"/>
        <v>0</v>
      </c>
      <c r="CF263" s="152">
        <f t="shared" si="300"/>
        <v>1</v>
      </c>
      <c r="CG263" s="152">
        <f t="shared" si="301"/>
        <v>1</v>
      </c>
      <c r="CH263" s="34"/>
      <c r="CJ263" s="11"/>
      <c r="CK263" s="11"/>
    </row>
    <row r="264" spans="1:89" s="152" customFormat="1" x14ac:dyDescent="0.2">
      <c r="A264" s="5" t="s">
        <v>398</v>
      </c>
      <c r="B264" s="187" t="s">
        <v>399</v>
      </c>
      <c r="C264" s="8">
        <v>0.26</v>
      </c>
      <c r="D264" s="8">
        <v>0</v>
      </c>
      <c r="E264" s="7">
        <v>2.1000000000000001E-2</v>
      </c>
      <c r="F264" s="7">
        <v>0.1065</v>
      </c>
      <c r="G264" s="1">
        <v>1.6500000000000001E-2</v>
      </c>
      <c r="H264" s="1">
        <v>7.5999999999999998E-2</v>
      </c>
      <c r="I264" s="1">
        <v>0.18</v>
      </c>
      <c r="J264" s="1">
        <v>0.04</v>
      </c>
      <c r="K264" s="1">
        <v>0.14000000000000001</v>
      </c>
      <c r="L264" s="1">
        <v>1.4999999999999999E-2</v>
      </c>
      <c r="M264" s="2" t="s">
        <v>175</v>
      </c>
      <c r="N264" s="105">
        <v>180000</v>
      </c>
      <c r="O264" s="119"/>
      <c r="P264" s="119"/>
      <c r="Q264" s="119"/>
      <c r="R264" s="119"/>
      <c r="S264" s="119"/>
      <c r="T264" s="119"/>
      <c r="U264" s="119">
        <v>0.505</v>
      </c>
      <c r="V264" s="119"/>
      <c r="W264" s="119"/>
      <c r="X264" s="119">
        <f t="shared" si="290"/>
        <v>0.505</v>
      </c>
      <c r="Y264" s="118">
        <f t="shared" si="291"/>
        <v>0.505</v>
      </c>
      <c r="Z264" s="109">
        <f t="shared" si="302"/>
        <v>90900</v>
      </c>
      <c r="AA264" s="109">
        <f>'CALCULO GERAL'!$G$10</f>
        <v>6300</v>
      </c>
      <c r="AB264" s="109">
        <f t="shared" si="293"/>
        <v>97200</v>
      </c>
      <c r="AC264" s="109">
        <f>AB264*'CALCULO GERAL'!$C$11</f>
        <v>487846.8</v>
      </c>
      <c r="AD264" s="109">
        <f t="shared" si="294"/>
        <v>126840.16800000001</v>
      </c>
      <c r="AE264" s="109">
        <f t="shared" si="295"/>
        <v>0</v>
      </c>
      <c r="AF264" s="109">
        <f t="shared" si="296"/>
        <v>10244.782800000001</v>
      </c>
      <c r="AG264" s="109">
        <f t="shared" si="297"/>
        <v>51955.684199999996</v>
      </c>
      <c r="AH264" s="109">
        <v>154.22999999999999</v>
      </c>
      <c r="AI264" s="109">
        <f>((AA264*'CALCULO GERAL'!$C$11))*0.08+20</f>
        <v>2549.576</v>
      </c>
      <c r="AJ264" s="109">
        <v>1010</v>
      </c>
      <c r="AK264" s="109">
        <v>2500</v>
      </c>
      <c r="AL264" s="109">
        <f>(AA264*('CALCULO GERAL'!$C$11*1.02))-(AA264*'CALCULO GERAL'!$C$11)</f>
        <v>632.39400000000387</v>
      </c>
      <c r="AM264" s="109">
        <v>1800</v>
      </c>
      <c r="AN264" s="109">
        <v>2600</v>
      </c>
      <c r="AO264" s="109">
        <v>9400</v>
      </c>
      <c r="AP264" s="109">
        <v>1000</v>
      </c>
      <c r="AQ264" s="109">
        <v>0</v>
      </c>
      <c r="AR264" s="109">
        <v>0</v>
      </c>
      <c r="AS264" s="109"/>
      <c r="AT264" s="109">
        <f t="shared" si="264"/>
        <v>698533.63500000001</v>
      </c>
      <c r="AU264" s="111">
        <f t="shared" si="265"/>
        <v>3.8807424166666666</v>
      </c>
      <c r="AV264" s="109">
        <f>IFERROR((BS264*'CALCULO GERAL'!$E$11)/N264,0)</f>
        <v>9.1345799999999991E-2</v>
      </c>
      <c r="AW264" s="109">
        <f>AU264/'CALCULO GERAL'!$C$11</f>
        <v>0.77321028425317129</v>
      </c>
      <c r="AX264" s="109">
        <f>BP264-BB264-BD264*'CALCULO GERAL'!$C$11</f>
        <v>4.4987806499999996</v>
      </c>
      <c r="AY264" s="109">
        <f t="shared" si="266"/>
        <v>7.4229880725000003E-2</v>
      </c>
      <c r="AZ264" s="109">
        <f t="shared" si="267"/>
        <v>0.34190732939999996</v>
      </c>
      <c r="BA264" s="109">
        <f t="shared" si="268"/>
        <v>4.5672899999999998</v>
      </c>
      <c r="BB264" s="109">
        <f t="shared" si="269"/>
        <v>6.8509349999999997E-2</v>
      </c>
      <c r="BC264" s="109">
        <f t="shared" si="270"/>
        <v>4.5672899999999998</v>
      </c>
      <c r="BD264" s="109">
        <f t="shared" si="271"/>
        <v>0</v>
      </c>
      <c r="BE264" s="109">
        <f t="shared" si="272"/>
        <v>65768.975999999995</v>
      </c>
      <c r="BF264" s="109">
        <f t="shared" si="273"/>
        <v>98653.463999999993</v>
      </c>
      <c r="BG264" s="109">
        <f t="shared" si="274"/>
        <v>4.9326731999999991E-2</v>
      </c>
      <c r="BH264" s="109">
        <f t="shared" si="275"/>
        <v>5.4807479999999992E-2</v>
      </c>
      <c r="BI264" s="109">
        <f t="shared" si="276"/>
        <v>-3.2049922222222209E-3</v>
      </c>
      <c r="BJ264" s="109">
        <f t="shared" si="277"/>
        <v>0.67692157990277779</v>
      </c>
      <c r="BK264" s="109">
        <f t="shared" si="278"/>
        <v>4.5576639965694445</v>
      </c>
      <c r="BL264" s="148">
        <v>0.86499999999999999</v>
      </c>
      <c r="BM264" s="112">
        <f>ROUND((AW264/BL264)+((AW264*BL264)*'CALCULO GERAL'!$E$11)/BL264,2)</f>
        <v>0.91</v>
      </c>
      <c r="BN264" s="186">
        <f t="shared" si="279"/>
        <v>0.91</v>
      </c>
      <c r="BO264" s="186">
        <f t="shared" si="280"/>
        <v>1.0660000000000001</v>
      </c>
      <c r="BP264" s="109">
        <f>BM264*'CALCULO GERAL'!$C$11</f>
        <v>4.5672899999999998</v>
      </c>
      <c r="BQ264" s="109">
        <f>BO264*'CALCULO GERAL'!$C$11</f>
        <v>5.3502540000000005</v>
      </c>
      <c r="BR264" s="186">
        <f>BN264*'CALCULO GERAL'!$C$11</f>
        <v>4.5672899999999998</v>
      </c>
      <c r="BS264" s="109">
        <f t="shared" si="281"/>
        <v>822112.2</v>
      </c>
      <c r="BT264" s="109">
        <f t="shared" si="303"/>
        <v>123578.56499999994</v>
      </c>
      <c r="BU264" s="109">
        <f t="shared" si="282"/>
        <v>822112.2</v>
      </c>
      <c r="BV264" s="109">
        <f t="shared" si="283"/>
        <v>820379.51938249997</v>
      </c>
      <c r="BW264" s="109">
        <f t="shared" si="284"/>
        <v>1732.6806174999801</v>
      </c>
      <c r="BX264" s="114">
        <f t="shared" si="285"/>
        <v>2.1075962836945858E-3</v>
      </c>
      <c r="BY264" s="152">
        <f t="shared" si="298"/>
        <v>0.87</v>
      </c>
      <c r="CA264" s="55"/>
      <c r="CB264" s="113"/>
      <c r="CC264" s="113"/>
      <c r="CE264" s="152">
        <f t="shared" si="299"/>
        <v>0</v>
      </c>
      <c r="CF264" s="152">
        <f t="shared" si="300"/>
        <v>1</v>
      </c>
      <c r="CG264" s="152">
        <f t="shared" si="301"/>
        <v>1</v>
      </c>
      <c r="CH264" s="34"/>
      <c r="CJ264" s="11"/>
      <c r="CK264" s="11"/>
    </row>
    <row r="265" spans="1:89" s="152" customFormat="1" x14ac:dyDescent="0.2">
      <c r="A265" s="5" t="s">
        <v>400</v>
      </c>
      <c r="B265" s="187" t="s">
        <v>399</v>
      </c>
      <c r="C265" s="8">
        <v>0.26</v>
      </c>
      <c r="D265" s="8">
        <v>0</v>
      </c>
      <c r="E265" s="7">
        <v>2.1000000000000001E-2</v>
      </c>
      <c r="F265" s="7">
        <v>0.1065</v>
      </c>
      <c r="G265" s="1">
        <v>1.6500000000000001E-2</v>
      </c>
      <c r="H265" s="1">
        <v>7.5999999999999998E-2</v>
      </c>
      <c r="I265" s="1">
        <v>0.18</v>
      </c>
      <c r="J265" s="1">
        <v>0.04</v>
      </c>
      <c r="K265" s="1">
        <v>0.14000000000000001</v>
      </c>
      <c r="L265" s="1">
        <v>1.4999999999999999E-2</v>
      </c>
      <c r="M265" s="2" t="s">
        <v>175</v>
      </c>
      <c r="N265" s="105">
        <v>180000</v>
      </c>
      <c r="O265" s="119"/>
      <c r="P265" s="119"/>
      <c r="Q265" s="119"/>
      <c r="R265" s="119"/>
      <c r="S265" s="119"/>
      <c r="T265" s="119"/>
      <c r="U265" s="119">
        <v>0.48</v>
      </c>
      <c r="V265" s="119"/>
      <c r="W265" s="119"/>
      <c r="X265" s="119">
        <f t="shared" si="290"/>
        <v>0.48</v>
      </c>
      <c r="Y265" s="118">
        <f t="shared" si="291"/>
        <v>0.48</v>
      </c>
      <c r="Z265" s="109">
        <f t="shared" si="302"/>
        <v>86400</v>
      </c>
      <c r="AA265" s="109">
        <f>'CALCULO GERAL'!$G$10</f>
        <v>6300</v>
      </c>
      <c r="AB265" s="109">
        <f t="shared" si="293"/>
        <v>92700</v>
      </c>
      <c r="AC265" s="109">
        <f>AB265*'CALCULO GERAL'!$C$11</f>
        <v>465261.3</v>
      </c>
      <c r="AD265" s="109">
        <f t="shared" si="294"/>
        <v>120967.93799999999</v>
      </c>
      <c r="AE265" s="109">
        <f t="shared" si="295"/>
        <v>0</v>
      </c>
      <c r="AF265" s="109">
        <f t="shared" si="296"/>
        <v>9770.4873000000007</v>
      </c>
      <c r="AG265" s="109">
        <f t="shared" si="297"/>
        <v>49550.328450000001</v>
      </c>
      <c r="AH265" s="109">
        <v>154.22999999999999</v>
      </c>
      <c r="AI265" s="109">
        <f>((AA265*'CALCULO GERAL'!$C$11))*0.08+20</f>
        <v>2549.576</v>
      </c>
      <c r="AJ265" s="109">
        <v>1010</v>
      </c>
      <c r="AK265" s="109">
        <v>2500</v>
      </c>
      <c r="AL265" s="109">
        <f>(AA265*('CALCULO GERAL'!$C$11*1.02))-(AA265*'CALCULO GERAL'!$C$11)</f>
        <v>632.39400000000387</v>
      </c>
      <c r="AM265" s="109">
        <v>1800</v>
      </c>
      <c r="AN265" s="109">
        <v>2600</v>
      </c>
      <c r="AO265" s="109">
        <v>9400</v>
      </c>
      <c r="AP265" s="109">
        <v>1000</v>
      </c>
      <c r="AQ265" s="109">
        <v>0</v>
      </c>
      <c r="AR265" s="109">
        <v>0</v>
      </c>
      <c r="AS265" s="109"/>
      <c r="AT265" s="109">
        <f t="shared" si="264"/>
        <v>667196.25375000003</v>
      </c>
      <c r="AU265" s="111">
        <f t="shared" si="265"/>
        <v>3.7066458541666667</v>
      </c>
      <c r="AV265" s="109">
        <f>IFERROR((BS265*'CALCULO GERAL'!$E$11)/N265,0)</f>
        <v>8.7330600000000008E-2</v>
      </c>
      <c r="AW265" s="109">
        <f>AU265/'CALCULO GERAL'!$C$11</f>
        <v>0.7385227842531713</v>
      </c>
      <c r="AX265" s="109">
        <f>BP265-BB265-BD265*'CALCULO GERAL'!$C$11</f>
        <v>4.3010320499999999</v>
      </c>
      <c r="AY265" s="109">
        <f t="shared" si="266"/>
        <v>7.0967028825E-2</v>
      </c>
      <c r="AZ265" s="109">
        <f t="shared" si="267"/>
        <v>0.32687843579999998</v>
      </c>
      <c r="BA265" s="109">
        <f t="shared" si="268"/>
        <v>4.36653</v>
      </c>
      <c r="BB265" s="109">
        <f t="shared" si="269"/>
        <v>6.5497949999999999E-2</v>
      </c>
      <c r="BC265" s="109">
        <f t="shared" si="270"/>
        <v>4.36653</v>
      </c>
      <c r="BD265" s="109">
        <f t="shared" si="271"/>
        <v>0</v>
      </c>
      <c r="BE265" s="109">
        <f t="shared" si="272"/>
        <v>62878.032000000007</v>
      </c>
      <c r="BF265" s="109">
        <f t="shared" si="273"/>
        <v>94317.047999999995</v>
      </c>
      <c r="BG265" s="109">
        <f t="shared" si="274"/>
        <v>4.7158523999999993E-2</v>
      </c>
      <c r="BH265" s="109">
        <f t="shared" si="275"/>
        <v>5.2398360000000005E-2</v>
      </c>
      <c r="BI265" s="109">
        <f t="shared" si="276"/>
        <v>-1.5989122222222272E-3</v>
      </c>
      <c r="BJ265" s="109">
        <f t="shared" si="277"/>
        <v>0.64863198640277775</v>
      </c>
      <c r="BK265" s="109">
        <f t="shared" si="278"/>
        <v>4.3552778405694443</v>
      </c>
      <c r="BL265" s="148">
        <v>0.86499999999999999</v>
      </c>
      <c r="BM265" s="112">
        <f>ROUND((AW265/BL265)+((AW265*BL265)*'CALCULO GERAL'!$E$11)/BL265,2)</f>
        <v>0.87</v>
      </c>
      <c r="BN265" s="186">
        <f t="shared" si="279"/>
        <v>0.87</v>
      </c>
      <c r="BO265" s="186">
        <f t="shared" si="280"/>
        <v>1.0189999999999999</v>
      </c>
      <c r="BP265" s="109">
        <f>BM265*'CALCULO GERAL'!$C$11</f>
        <v>4.36653</v>
      </c>
      <c r="BQ265" s="109">
        <f>BO265*'CALCULO GERAL'!$C$11</f>
        <v>5.1143609999999997</v>
      </c>
      <c r="BR265" s="186">
        <f>BN265*'CALCULO GERAL'!$C$11</f>
        <v>4.36653</v>
      </c>
      <c r="BS265" s="109">
        <f t="shared" si="281"/>
        <v>785975.4</v>
      </c>
      <c r="BT265" s="109">
        <f t="shared" si="303"/>
        <v>118779.14624999999</v>
      </c>
      <c r="BU265" s="109">
        <f t="shared" si="282"/>
        <v>785975.4</v>
      </c>
      <c r="BV265" s="109">
        <f t="shared" si="283"/>
        <v>783950.01130250003</v>
      </c>
      <c r="BW265" s="109">
        <f t="shared" si="284"/>
        <v>2025.3886974999914</v>
      </c>
      <c r="BX265" s="114">
        <f t="shared" si="285"/>
        <v>2.5769110553587192E-3</v>
      </c>
      <c r="BY265" s="152">
        <f t="shared" si="298"/>
        <v>0.87</v>
      </c>
      <c r="CA265" s="55"/>
      <c r="CB265" s="113"/>
      <c r="CC265" s="113"/>
      <c r="CE265" s="152">
        <f t="shared" si="299"/>
        <v>0</v>
      </c>
      <c r="CF265" s="152">
        <f t="shared" si="300"/>
        <v>1</v>
      </c>
      <c r="CG265" s="152">
        <f t="shared" si="301"/>
        <v>1</v>
      </c>
      <c r="CH265" s="34"/>
      <c r="CJ265" s="11"/>
      <c r="CK265" s="11"/>
    </row>
    <row r="266" spans="1:89" s="152" customFormat="1" x14ac:dyDescent="0.2">
      <c r="A266" s="5" t="s">
        <v>401</v>
      </c>
      <c r="B266" s="187" t="s">
        <v>399</v>
      </c>
      <c r="C266" s="8">
        <v>0.26</v>
      </c>
      <c r="D266" s="8">
        <v>0</v>
      </c>
      <c r="E266" s="7">
        <v>2.1000000000000001E-2</v>
      </c>
      <c r="F266" s="7">
        <v>0.1065</v>
      </c>
      <c r="G266" s="1">
        <v>1.6500000000000001E-2</v>
      </c>
      <c r="H266" s="1">
        <v>7.5999999999999998E-2</v>
      </c>
      <c r="I266" s="1">
        <v>0.18</v>
      </c>
      <c r="J266" s="1">
        <v>0.04</v>
      </c>
      <c r="K266" s="1">
        <v>0.14000000000000001</v>
      </c>
      <c r="L266" s="1">
        <v>1.4999999999999999E-2</v>
      </c>
      <c r="M266" s="2" t="s">
        <v>175</v>
      </c>
      <c r="N266" s="105">
        <v>70000</v>
      </c>
      <c r="O266" s="119"/>
      <c r="P266" s="119"/>
      <c r="Q266" s="119"/>
      <c r="R266" s="119"/>
      <c r="S266" s="119"/>
      <c r="T266" s="119"/>
      <c r="U266" s="119"/>
      <c r="V266" s="119">
        <v>0.93</v>
      </c>
      <c r="W266" s="119"/>
      <c r="X266" s="119">
        <f t="shared" si="290"/>
        <v>0.93</v>
      </c>
      <c r="Y266" s="118">
        <f t="shared" si="291"/>
        <v>0.93</v>
      </c>
      <c r="Z266" s="109">
        <f t="shared" si="302"/>
        <v>65100</v>
      </c>
      <c r="AA266" s="109">
        <f>'CALCULO GERAL'!$G$10</f>
        <v>6300</v>
      </c>
      <c r="AB266" s="109">
        <f t="shared" si="293"/>
        <v>71400</v>
      </c>
      <c r="AC266" s="109">
        <f>AB266*'CALCULO GERAL'!$C$11</f>
        <v>358356.60000000003</v>
      </c>
      <c r="AD266" s="109">
        <f t="shared" si="294"/>
        <v>93172.716000000015</v>
      </c>
      <c r="AE266" s="109">
        <f t="shared" si="295"/>
        <v>0</v>
      </c>
      <c r="AF266" s="109">
        <f t="shared" si="296"/>
        <v>7525.4886000000015</v>
      </c>
      <c r="AG266" s="109">
        <f t="shared" si="297"/>
        <v>38164.977900000005</v>
      </c>
      <c r="AH266" s="109">
        <v>154.22999999999999</v>
      </c>
      <c r="AI266" s="109">
        <f>((AA266*'CALCULO GERAL'!$C$11))*0.08+20</f>
        <v>2549.576</v>
      </c>
      <c r="AJ266" s="109">
        <v>1010</v>
      </c>
      <c r="AK266" s="109">
        <v>2500</v>
      </c>
      <c r="AL266" s="109">
        <f>(AA266*('CALCULO GERAL'!$C$11*1.02))-(AA266*'CALCULO GERAL'!$C$11)</f>
        <v>632.39400000000387</v>
      </c>
      <c r="AM266" s="109">
        <v>1800</v>
      </c>
      <c r="AN266" s="109">
        <v>2600</v>
      </c>
      <c r="AO266" s="109">
        <v>9400</v>
      </c>
      <c r="AP266" s="109">
        <v>1000</v>
      </c>
      <c r="AQ266" s="109">
        <v>0</v>
      </c>
      <c r="AR266" s="109">
        <v>0</v>
      </c>
      <c r="AS266" s="109"/>
      <c r="AT266" s="109">
        <f t="shared" si="264"/>
        <v>518865.98250000004</v>
      </c>
      <c r="AU266" s="111">
        <f t="shared" si="265"/>
        <v>7.412371178571429</v>
      </c>
      <c r="AV266" s="109">
        <f>IFERROR((BS266*'CALCULO GERAL'!$E$11)/N266,0)</f>
        <v>0.17365739999999996</v>
      </c>
      <c r="AW266" s="109">
        <f>AU266/'CALCULO GERAL'!$C$11</f>
        <v>1.4768621595081548</v>
      </c>
      <c r="AX266" s="109">
        <f>BP266-BB266-BD266*'CALCULO GERAL'!$C$11</f>
        <v>8.5526269499999987</v>
      </c>
      <c r="AY266" s="109">
        <f t="shared" si="266"/>
        <v>0.14111834467499998</v>
      </c>
      <c r="AZ266" s="109">
        <f t="shared" si="267"/>
        <v>0.64999964819999989</v>
      </c>
      <c r="BA266" s="109">
        <f t="shared" si="268"/>
        <v>8.6828699999999994</v>
      </c>
      <c r="BB266" s="109">
        <f t="shared" si="269"/>
        <v>0.13024305</v>
      </c>
      <c r="BC266" s="109">
        <f t="shared" si="270"/>
        <v>8.6828699999999994</v>
      </c>
      <c r="BD266" s="109">
        <f t="shared" si="271"/>
        <v>0</v>
      </c>
      <c r="BE266" s="109">
        <f t="shared" si="272"/>
        <v>48624.071999999993</v>
      </c>
      <c r="BF266" s="109">
        <f t="shared" si="273"/>
        <v>72936.107999999993</v>
      </c>
      <c r="BG266" s="109">
        <f t="shared" si="274"/>
        <v>9.3774995999999985E-2</v>
      </c>
      <c r="BH266" s="109">
        <f t="shared" si="275"/>
        <v>0.10419443999999999</v>
      </c>
      <c r="BI266" s="109">
        <f t="shared" si="276"/>
        <v>0</v>
      </c>
      <c r="BJ266" s="109">
        <f t="shared" si="277"/>
        <v>1.2929878788749998</v>
      </c>
      <c r="BK266" s="109">
        <f t="shared" si="278"/>
        <v>8.7053590574464295</v>
      </c>
      <c r="BL266" s="148">
        <v>0.87</v>
      </c>
      <c r="BM266" s="112">
        <f>ROUND((AW266/BL266)+((AW266*BL266)*'CALCULO GERAL'!$E$11)/BL266,2)</f>
        <v>1.73</v>
      </c>
      <c r="BN266" s="186">
        <f t="shared" si="279"/>
        <v>1.73</v>
      </c>
      <c r="BO266" s="186">
        <f t="shared" si="280"/>
        <v>2.0270000000000001</v>
      </c>
      <c r="BP266" s="109">
        <f>BM266*'CALCULO GERAL'!$C$11</f>
        <v>8.6828699999999994</v>
      </c>
      <c r="BQ266" s="109">
        <f>BO266*'CALCULO GERAL'!$C$11</f>
        <v>10.173513000000002</v>
      </c>
      <c r="BR266" s="186">
        <f>BN266*'CALCULO GERAL'!$C$11</f>
        <v>8.6828699999999994</v>
      </c>
      <c r="BS266" s="109">
        <f t="shared" si="281"/>
        <v>607800.89999999991</v>
      </c>
      <c r="BT266" s="109">
        <f t="shared" si="303"/>
        <v>88934.917499999865</v>
      </c>
      <c r="BU266" s="109">
        <f t="shared" si="282"/>
        <v>607800.89999999991</v>
      </c>
      <c r="BV266" s="109">
        <f t="shared" si="283"/>
        <v>609375.13402125007</v>
      </c>
      <c r="BW266" s="109">
        <f t="shared" si="284"/>
        <v>-1574.2340212501585</v>
      </c>
      <c r="BX266" s="114">
        <f t="shared" si="285"/>
        <v>-2.5900488486446118E-3</v>
      </c>
      <c r="BY266" s="152">
        <f t="shared" si="298"/>
        <v>0.87</v>
      </c>
      <c r="CA266" s="55"/>
      <c r="CB266" s="113"/>
      <c r="CC266" s="113"/>
      <c r="CE266" s="152">
        <f t="shared" si="299"/>
        <v>0</v>
      </c>
      <c r="CF266" s="152">
        <f t="shared" si="300"/>
        <v>1</v>
      </c>
      <c r="CG266" s="152">
        <f t="shared" si="301"/>
        <v>1</v>
      </c>
      <c r="CH266" s="34"/>
      <c r="CJ266" s="11"/>
      <c r="CK266" s="11"/>
    </row>
    <row r="267" spans="1:89" s="152" customFormat="1" x14ac:dyDescent="0.2">
      <c r="A267" s="5" t="s">
        <v>402</v>
      </c>
      <c r="B267" s="187" t="s">
        <v>399</v>
      </c>
      <c r="C267" s="8">
        <v>0.26</v>
      </c>
      <c r="D267" s="8">
        <v>0</v>
      </c>
      <c r="E267" s="7">
        <v>2.1000000000000001E-2</v>
      </c>
      <c r="F267" s="7">
        <v>0.1065</v>
      </c>
      <c r="G267" s="1">
        <v>1.6500000000000001E-2</v>
      </c>
      <c r="H267" s="1">
        <v>7.5999999999999998E-2</v>
      </c>
      <c r="I267" s="1">
        <v>0.18</v>
      </c>
      <c r="J267" s="1">
        <v>0.04</v>
      </c>
      <c r="K267" s="1">
        <v>0.14000000000000001</v>
      </c>
      <c r="L267" s="1">
        <v>1.4999999999999999E-2</v>
      </c>
      <c r="M267" s="2" t="s">
        <v>175</v>
      </c>
      <c r="N267" s="105">
        <v>70000</v>
      </c>
      <c r="O267" s="119"/>
      <c r="P267" s="119"/>
      <c r="Q267" s="119"/>
      <c r="R267" s="119"/>
      <c r="S267" s="119"/>
      <c r="T267" s="119"/>
      <c r="U267" s="119"/>
      <c r="V267" s="119">
        <v>1.02</v>
      </c>
      <c r="W267" s="119"/>
      <c r="X267" s="119">
        <f t="shared" si="290"/>
        <v>1.02</v>
      </c>
      <c r="Y267" s="118">
        <f t="shared" si="291"/>
        <v>1.02</v>
      </c>
      <c r="Z267" s="109">
        <f t="shared" si="302"/>
        <v>71400</v>
      </c>
      <c r="AA267" s="109">
        <f>'CALCULO GERAL'!$G$10</f>
        <v>6300</v>
      </c>
      <c r="AB267" s="109">
        <f t="shared" si="293"/>
        <v>77700</v>
      </c>
      <c r="AC267" s="109">
        <f>AB267*'CALCULO GERAL'!$C$11</f>
        <v>389976.3</v>
      </c>
      <c r="AD267" s="109">
        <f t="shared" si="294"/>
        <v>101393.838</v>
      </c>
      <c r="AE267" s="109">
        <f t="shared" si="295"/>
        <v>0</v>
      </c>
      <c r="AF267" s="109">
        <f t="shared" si="296"/>
        <v>8189.5023000000001</v>
      </c>
      <c r="AG267" s="109">
        <f t="shared" si="297"/>
        <v>41532.47595</v>
      </c>
      <c r="AH267" s="109">
        <v>154.22999999999999</v>
      </c>
      <c r="AI267" s="109">
        <f>((AA267*'CALCULO GERAL'!$C$11))*0.08+20</f>
        <v>2549.576</v>
      </c>
      <c r="AJ267" s="109">
        <v>1010</v>
      </c>
      <c r="AK267" s="109">
        <v>2500</v>
      </c>
      <c r="AL267" s="109">
        <f>(AA267*('CALCULO GERAL'!$C$11*1.02))-(AA267*'CALCULO GERAL'!$C$11)</f>
        <v>632.39400000000387</v>
      </c>
      <c r="AM267" s="109">
        <v>1800</v>
      </c>
      <c r="AN267" s="109">
        <v>2600</v>
      </c>
      <c r="AO267" s="109">
        <v>9400</v>
      </c>
      <c r="AP267" s="109">
        <v>1000</v>
      </c>
      <c r="AQ267" s="109">
        <v>0</v>
      </c>
      <c r="AR267" s="109">
        <v>0</v>
      </c>
      <c r="AS267" s="109"/>
      <c r="AT267" s="109">
        <f t="shared" si="264"/>
        <v>562738.31624999992</v>
      </c>
      <c r="AU267" s="111">
        <f t="shared" si="265"/>
        <v>8.0391188035714265</v>
      </c>
      <c r="AV267" s="109">
        <f>IFERROR((BS267*'CALCULO GERAL'!$E$11)/N267,0)</f>
        <v>0.18771060000000003</v>
      </c>
      <c r="AW267" s="109">
        <f>AU267/'CALCULO GERAL'!$C$11</f>
        <v>1.6017371595081542</v>
      </c>
      <c r="AX267" s="109">
        <f>BP267-BB267-BD267*'CALCULO GERAL'!$C$11</f>
        <v>9.2447470500000009</v>
      </c>
      <c r="AY267" s="109">
        <f t="shared" si="266"/>
        <v>0.15253832632500003</v>
      </c>
      <c r="AZ267" s="109">
        <f t="shared" si="267"/>
        <v>0.70260077580000002</v>
      </c>
      <c r="BA267" s="109">
        <f t="shared" si="268"/>
        <v>9.385530000000001</v>
      </c>
      <c r="BB267" s="109">
        <f t="shared" si="269"/>
        <v>0.14078295000000002</v>
      </c>
      <c r="BC267" s="109">
        <f t="shared" si="270"/>
        <v>9.385530000000001</v>
      </c>
      <c r="BD267" s="109">
        <f t="shared" si="271"/>
        <v>0</v>
      </c>
      <c r="BE267" s="109">
        <f t="shared" si="272"/>
        <v>52558.968000000008</v>
      </c>
      <c r="BF267" s="109">
        <f t="shared" si="273"/>
        <v>78838.452000000005</v>
      </c>
      <c r="BG267" s="109">
        <f t="shared" si="274"/>
        <v>0.101363724</v>
      </c>
      <c r="BH267" s="109">
        <f t="shared" si="275"/>
        <v>0.11262636000000001</v>
      </c>
      <c r="BI267" s="109">
        <f t="shared" si="276"/>
        <v>0</v>
      </c>
      <c r="BJ267" s="109">
        <f t="shared" si="277"/>
        <v>1.397622736125</v>
      </c>
      <c r="BK267" s="109">
        <f t="shared" si="278"/>
        <v>9.4367415396964258</v>
      </c>
      <c r="BL267" s="148">
        <v>0.87</v>
      </c>
      <c r="BM267" s="112">
        <f>ROUND((AW267/BL267)+((AW267*BL267)*'CALCULO GERAL'!$E$11)/BL267,2)</f>
        <v>1.87</v>
      </c>
      <c r="BN267" s="186">
        <f t="shared" si="279"/>
        <v>1.87</v>
      </c>
      <c r="BO267" s="186">
        <f t="shared" si="280"/>
        <v>2.1909999999999998</v>
      </c>
      <c r="BP267" s="109">
        <f>BM267*'CALCULO GERAL'!$C$11</f>
        <v>9.385530000000001</v>
      </c>
      <c r="BQ267" s="109">
        <f>BO267*'CALCULO GERAL'!$C$11</f>
        <v>10.996628999999999</v>
      </c>
      <c r="BR267" s="186">
        <f>BN267*'CALCULO GERAL'!$C$11</f>
        <v>9.385530000000001</v>
      </c>
      <c r="BS267" s="109">
        <f t="shared" si="281"/>
        <v>656987.10000000009</v>
      </c>
      <c r="BT267" s="109">
        <f t="shared" si="303"/>
        <v>94248.783750000177</v>
      </c>
      <c r="BU267" s="109">
        <f t="shared" si="282"/>
        <v>656987.10000000009</v>
      </c>
      <c r="BV267" s="109">
        <f t="shared" si="283"/>
        <v>660571.90777874982</v>
      </c>
      <c r="BW267" s="109">
        <f t="shared" si="284"/>
        <v>-3584.8077787497314</v>
      </c>
      <c r="BX267" s="114">
        <f t="shared" si="285"/>
        <v>-5.456435565857733E-3</v>
      </c>
      <c r="BY267" s="152">
        <f t="shared" si="298"/>
        <v>0.87</v>
      </c>
      <c r="CA267" s="55"/>
      <c r="CB267" s="113"/>
      <c r="CC267" s="113"/>
      <c r="CE267" s="152">
        <f t="shared" si="299"/>
        <v>0</v>
      </c>
      <c r="CF267" s="152">
        <f t="shared" si="300"/>
        <v>1</v>
      </c>
      <c r="CG267" s="152">
        <f t="shared" si="301"/>
        <v>1</v>
      </c>
      <c r="CH267" s="34"/>
      <c r="CJ267" s="11"/>
      <c r="CK267" s="11"/>
    </row>
    <row r="268" spans="1:89" s="152" customFormat="1" x14ac:dyDescent="0.2">
      <c r="A268" s="5" t="s">
        <v>403</v>
      </c>
      <c r="B268" s="187" t="s">
        <v>297</v>
      </c>
      <c r="C268" s="8">
        <v>0.26</v>
      </c>
      <c r="D268" s="8">
        <v>0</v>
      </c>
      <c r="E268" s="7">
        <v>2.1000000000000001E-2</v>
      </c>
      <c r="F268" s="7">
        <v>0.1065</v>
      </c>
      <c r="G268" s="1">
        <v>1.6500000000000001E-2</v>
      </c>
      <c r="H268" s="1">
        <v>7.5999999999999998E-2</v>
      </c>
      <c r="I268" s="1">
        <v>0.18</v>
      </c>
      <c r="J268" s="1">
        <v>0.04</v>
      </c>
      <c r="K268" s="1">
        <v>0.14000000000000001</v>
      </c>
      <c r="L268" s="1">
        <v>1.4999999999999999E-2</v>
      </c>
      <c r="M268" s="2" t="s">
        <v>175</v>
      </c>
      <c r="N268" s="105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>
        <f t="shared" si="290"/>
        <v>0</v>
      </c>
      <c r="Y268" s="118" t="e">
        <f t="shared" si="291"/>
        <v>#DIV/0!</v>
      </c>
      <c r="Z268" s="109" t="e">
        <f t="shared" si="302"/>
        <v>#DIV/0!</v>
      </c>
      <c r="AA268" s="109">
        <f>'CALCULO GERAL'!$G$10</f>
        <v>6300</v>
      </c>
      <c r="AB268" s="109" t="e">
        <f t="shared" si="293"/>
        <v>#DIV/0!</v>
      </c>
      <c r="AC268" s="109" t="e">
        <f>AB268*'CALCULO GERAL'!$C$11</f>
        <v>#DIV/0!</v>
      </c>
      <c r="AD268" s="109" t="e">
        <f t="shared" si="294"/>
        <v>#DIV/0!</v>
      </c>
      <c r="AE268" s="109" t="e">
        <f t="shared" si="295"/>
        <v>#DIV/0!</v>
      </c>
      <c r="AF268" s="109" t="e">
        <f t="shared" si="296"/>
        <v>#DIV/0!</v>
      </c>
      <c r="AG268" s="109" t="e">
        <f t="shared" si="297"/>
        <v>#DIV/0!</v>
      </c>
      <c r="AH268" s="109">
        <v>154.22999999999999</v>
      </c>
      <c r="AI268" s="109">
        <f>((AA268*'CALCULO GERAL'!$C$11))*0.08+20</f>
        <v>2549.576</v>
      </c>
      <c r="AJ268" s="109">
        <v>1010</v>
      </c>
      <c r="AK268" s="109">
        <v>2500</v>
      </c>
      <c r="AL268" s="109">
        <f>(AA268*('CALCULO GERAL'!$C$11*1.02))-(AA268*'CALCULO GERAL'!$C$11)</f>
        <v>632.39400000000387</v>
      </c>
      <c r="AM268" s="109">
        <v>1800</v>
      </c>
      <c r="AN268" s="109">
        <v>2600</v>
      </c>
      <c r="AO268" s="109">
        <v>9400</v>
      </c>
      <c r="AP268" s="109">
        <v>1000</v>
      </c>
      <c r="AQ268" s="109">
        <v>0</v>
      </c>
      <c r="AR268" s="109">
        <v>0</v>
      </c>
      <c r="AS268" s="109"/>
      <c r="AT268" s="109" t="e">
        <f t="shared" si="264"/>
        <v>#DIV/0!</v>
      </c>
      <c r="AU268" s="111">
        <f t="shared" si="265"/>
        <v>0</v>
      </c>
      <c r="AV268" s="109">
        <f>IFERROR((BS268*'CALCULO GERAL'!$E$11)/N268,0)</f>
        <v>0</v>
      </c>
      <c r="AW268" s="109">
        <f>AU268/'CALCULO GERAL'!$C$11</f>
        <v>0</v>
      </c>
      <c r="AX268" s="109" t="e">
        <f>BP268-BB268-BD268*'CALCULO GERAL'!$C$11</f>
        <v>#DIV/0!</v>
      </c>
      <c r="AY268" s="109" t="e">
        <f t="shared" si="266"/>
        <v>#DIV/0!</v>
      </c>
      <c r="AZ268" s="109" t="e">
        <f t="shared" si="267"/>
        <v>#DIV/0!</v>
      </c>
      <c r="BA268" s="109" t="e">
        <f t="shared" si="268"/>
        <v>#DIV/0!</v>
      </c>
      <c r="BB268" s="109" t="e">
        <f t="shared" si="269"/>
        <v>#DIV/0!</v>
      </c>
      <c r="BC268" s="109" t="e">
        <f t="shared" si="270"/>
        <v>#DIV/0!</v>
      </c>
      <c r="BD268" s="109" t="e">
        <f t="shared" si="271"/>
        <v>#DIV/0!</v>
      </c>
      <c r="BE268" s="109" t="e">
        <f t="shared" si="272"/>
        <v>#DIV/0!</v>
      </c>
      <c r="BF268" s="109" t="e">
        <f t="shared" si="273"/>
        <v>#DIV/0!</v>
      </c>
      <c r="BG268" s="109" t="e">
        <f t="shared" si="274"/>
        <v>#DIV/0!</v>
      </c>
      <c r="BH268" s="109" t="e">
        <f t="shared" si="275"/>
        <v>#DIV/0!</v>
      </c>
      <c r="BI268" s="109" t="e">
        <f t="shared" si="276"/>
        <v>#DIV/0!</v>
      </c>
      <c r="BJ268" s="109" t="e">
        <f t="shared" si="277"/>
        <v>#DIV/0!</v>
      </c>
      <c r="BK268" s="109" t="e">
        <f t="shared" si="278"/>
        <v>#DIV/0!</v>
      </c>
      <c r="BL268" s="148" t="e">
        <v>#DIV/0!</v>
      </c>
      <c r="BM268" s="112" t="e">
        <f>ROUND((AW268/BL268)+((AW268*BL268)*'CALCULO GERAL'!$E$11)/BL268,2)</f>
        <v>#DIV/0!</v>
      </c>
      <c r="BN268" s="186" t="e">
        <f t="shared" si="279"/>
        <v>#DIV/0!</v>
      </c>
      <c r="BO268" s="186" t="e">
        <f t="shared" si="280"/>
        <v>#DIV/0!</v>
      </c>
      <c r="BP268" s="109" t="e">
        <f>BM268*'CALCULO GERAL'!$C$11</f>
        <v>#DIV/0!</v>
      </c>
      <c r="BQ268" s="109" t="e">
        <f>BO268*'CALCULO GERAL'!$C$11</f>
        <v>#DIV/0!</v>
      </c>
      <c r="BR268" s="186" t="e">
        <f>BN268*'CALCULO GERAL'!$C$11</f>
        <v>#DIV/0!</v>
      </c>
      <c r="BS268" s="109" t="e">
        <f t="shared" si="281"/>
        <v>#DIV/0!</v>
      </c>
      <c r="BT268" s="109" t="e">
        <f t="shared" si="303"/>
        <v>#DIV/0!</v>
      </c>
      <c r="BU268" s="109" t="e">
        <f t="shared" si="282"/>
        <v>#DIV/0!</v>
      </c>
      <c r="BV268" s="109" t="e">
        <f t="shared" si="283"/>
        <v>#DIV/0!</v>
      </c>
      <c r="BW268" s="109" t="e">
        <f t="shared" si="284"/>
        <v>#DIV/0!</v>
      </c>
      <c r="BX268" s="114" t="e">
        <f t="shared" si="285"/>
        <v>#DIV/0!</v>
      </c>
      <c r="BY268" s="152" t="e">
        <f t="shared" si="298"/>
        <v>#DIV/0!</v>
      </c>
      <c r="CA268" s="55"/>
      <c r="CB268" s="113"/>
      <c r="CC268" s="113"/>
      <c r="CE268" s="152" t="e">
        <f t="shared" si="299"/>
        <v>#DIV/0!</v>
      </c>
      <c r="CF268" s="152" t="e">
        <f t="shared" si="300"/>
        <v>#DIV/0!</v>
      </c>
      <c r="CG268" s="152" t="e">
        <f t="shared" si="301"/>
        <v>#DIV/0!</v>
      </c>
      <c r="CH268" s="34"/>
      <c r="CJ268" s="11"/>
      <c r="CK268" s="11"/>
    </row>
    <row r="269" spans="1:89" s="152" customFormat="1" x14ac:dyDescent="0.2">
      <c r="A269" s="5" t="s">
        <v>404</v>
      </c>
      <c r="B269" s="187" t="s">
        <v>405</v>
      </c>
      <c r="C269" s="8">
        <v>0.26</v>
      </c>
      <c r="D269" s="8">
        <v>0</v>
      </c>
      <c r="E269" s="7">
        <v>2.1000000000000001E-2</v>
      </c>
      <c r="F269" s="7">
        <v>0.1065</v>
      </c>
      <c r="G269" s="1">
        <v>1.6500000000000001E-2</v>
      </c>
      <c r="H269" s="1">
        <v>7.5999999999999998E-2</v>
      </c>
      <c r="I269" s="1">
        <v>0.18</v>
      </c>
      <c r="J269" s="1">
        <v>0.04</v>
      </c>
      <c r="K269" s="1">
        <v>0.14000000000000001</v>
      </c>
      <c r="L269" s="1">
        <v>1.4999999999999999E-2</v>
      </c>
      <c r="M269" s="2" t="s">
        <v>175</v>
      </c>
      <c r="N269" s="105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>
        <f t="shared" si="290"/>
        <v>0</v>
      </c>
      <c r="Y269" s="118" t="e">
        <f t="shared" si="291"/>
        <v>#DIV/0!</v>
      </c>
      <c r="Z269" s="109" t="e">
        <f t="shared" si="302"/>
        <v>#DIV/0!</v>
      </c>
      <c r="AA269" s="109">
        <f>'CALCULO GERAL'!$G$10</f>
        <v>6300</v>
      </c>
      <c r="AB269" s="109" t="e">
        <f t="shared" si="293"/>
        <v>#DIV/0!</v>
      </c>
      <c r="AC269" s="109" t="e">
        <f>AB269*'CALCULO GERAL'!$C$11</f>
        <v>#DIV/0!</v>
      </c>
      <c r="AD269" s="109" t="e">
        <f t="shared" si="294"/>
        <v>#DIV/0!</v>
      </c>
      <c r="AE269" s="109" t="e">
        <f t="shared" si="295"/>
        <v>#DIV/0!</v>
      </c>
      <c r="AF269" s="109" t="e">
        <f t="shared" si="296"/>
        <v>#DIV/0!</v>
      </c>
      <c r="AG269" s="109" t="e">
        <f t="shared" si="297"/>
        <v>#DIV/0!</v>
      </c>
      <c r="AH269" s="109">
        <v>154.22999999999999</v>
      </c>
      <c r="AI269" s="109">
        <f>((AA269*'CALCULO GERAL'!$C$11))*0.08+20</f>
        <v>2549.576</v>
      </c>
      <c r="AJ269" s="109">
        <v>1010</v>
      </c>
      <c r="AK269" s="109">
        <v>2500</v>
      </c>
      <c r="AL269" s="109">
        <f>(AA269*('CALCULO GERAL'!$C$11*1.02))-(AA269*'CALCULO GERAL'!$C$11)</f>
        <v>632.39400000000387</v>
      </c>
      <c r="AM269" s="109">
        <v>1800</v>
      </c>
      <c r="AN269" s="109">
        <v>2600</v>
      </c>
      <c r="AO269" s="109">
        <v>9400</v>
      </c>
      <c r="AP269" s="109">
        <v>1000</v>
      </c>
      <c r="AQ269" s="109">
        <v>0</v>
      </c>
      <c r="AR269" s="109">
        <v>0</v>
      </c>
      <c r="AS269" s="109"/>
      <c r="AT269" s="109" t="e">
        <f t="shared" si="264"/>
        <v>#DIV/0!</v>
      </c>
      <c r="AU269" s="111">
        <f t="shared" si="265"/>
        <v>0</v>
      </c>
      <c r="AV269" s="109">
        <f>IFERROR((BS269*'CALCULO GERAL'!$E$11)/N269,0)</f>
        <v>0</v>
      </c>
      <c r="AW269" s="109">
        <f>AU269/'CALCULO GERAL'!$C$11</f>
        <v>0</v>
      </c>
      <c r="AX269" s="109" t="e">
        <f>BP269-BB269-BD269*'CALCULO GERAL'!$C$11</f>
        <v>#DIV/0!</v>
      </c>
      <c r="AY269" s="109" t="e">
        <f t="shared" si="266"/>
        <v>#DIV/0!</v>
      </c>
      <c r="AZ269" s="109" t="e">
        <f t="shared" si="267"/>
        <v>#DIV/0!</v>
      </c>
      <c r="BA269" s="109" t="e">
        <f t="shared" si="268"/>
        <v>#DIV/0!</v>
      </c>
      <c r="BB269" s="109" t="e">
        <f t="shared" si="269"/>
        <v>#DIV/0!</v>
      </c>
      <c r="BC269" s="109" t="e">
        <f t="shared" si="270"/>
        <v>#DIV/0!</v>
      </c>
      <c r="BD269" s="109" t="e">
        <f t="shared" si="271"/>
        <v>#DIV/0!</v>
      </c>
      <c r="BE269" s="109" t="e">
        <f t="shared" si="272"/>
        <v>#DIV/0!</v>
      </c>
      <c r="BF269" s="109" t="e">
        <f t="shared" si="273"/>
        <v>#DIV/0!</v>
      </c>
      <c r="BG269" s="109" t="e">
        <f t="shared" si="274"/>
        <v>#DIV/0!</v>
      </c>
      <c r="BH269" s="109" t="e">
        <f t="shared" si="275"/>
        <v>#DIV/0!</v>
      </c>
      <c r="BI269" s="109" t="e">
        <f t="shared" si="276"/>
        <v>#DIV/0!</v>
      </c>
      <c r="BJ269" s="109" t="e">
        <f t="shared" si="277"/>
        <v>#DIV/0!</v>
      </c>
      <c r="BK269" s="109" t="e">
        <f t="shared" si="278"/>
        <v>#DIV/0!</v>
      </c>
      <c r="BL269" s="148" t="e">
        <v>#DIV/0!</v>
      </c>
      <c r="BM269" s="112" t="e">
        <f>ROUND((AW269/BL269)+((AW269*BL269)*'CALCULO GERAL'!$E$11)/BL269,2)</f>
        <v>#DIV/0!</v>
      </c>
      <c r="BN269" s="186" t="e">
        <f t="shared" si="279"/>
        <v>#DIV/0!</v>
      </c>
      <c r="BO269" s="186" t="e">
        <f t="shared" si="280"/>
        <v>#DIV/0!</v>
      </c>
      <c r="BP269" s="109" t="e">
        <f>BM269*'CALCULO GERAL'!$C$11</f>
        <v>#DIV/0!</v>
      </c>
      <c r="BQ269" s="109" t="e">
        <f>BO269*'CALCULO GERAL'!$C$11</f>
        <v>#DIV/0!</v>
      </c>
      <c r="BR269" s="186" t="e">
        <f>BN269*'CALCULO GERAL'!$C$11</f>
        <v>#DIV/0!</v>
      </c>
      <c r="BS269" s="109" t="e">
        <f t="shared" si="281"/>
        <v>#DIV/0!</v>
      </c>
      <c r="BT269" s="109" t="e">
        <f t="shared" si="303"/>
        <v>#DIV/0!</v>
      </c>
      <c r="BU269" s="109" t="e">
        <f t="shared" si="282"/>
        <v>#DIV/0!</v>
      </c>
      <c r="BV269" s="109" t="e">
        <f t="shared" si="283"/>
        <v>#DIV/0!</v>
      </c>
      <c r="BW269" s="109" t="e">
        <f t="shared" si="284"/>
        <v>#DIV/0!</v>
      </c>
      <c r="BX269" s="114" t="e">
        <f t="shared" si="285"/>
        <v>#DIV/0!</v>
      </c>
      <c r="BY269" s="152" t="e">
        <f t="shared" si="298"/>
        <v>#DIV/0!</v>
      </c>
      <c r="CA269" s="55"/>
      <c r="CB269" s="113"/>
      <c r="CC269" s="113"/>
      <c r="CE269" s="152" t="e">
        <f t="shared" si="299"/>
        <v>#DIV/0!</v>
      </c>
      <c r="CF269" s="152" t="e">
        <f t="shared" si="300"/>
        <v>#DIV/0!</v>
      </c>
      <c r="CG269" s="152" t="e">
        <f t="shared" si="301"/>
        <v>#DIV/0!</v>
      </c>
      <c r="CH269" s="34"/>
      <c r="CJ269" s="11"/>
      <c r="CK269" s="11"/>
    </row>
    <row r="270" spans="1:89" s="152" customFormat="1" x14ac:dyDescent="0.2">
      <c r="A270" s="499" t="s">
        <v>609</v>
      </c>
      <c r="B270" s="500" t="s">
        <v>260</v>
      </c>
      <c r="C270" s="501">
        <v>0.25</v>
      </c>
      <c r="D270" s="502">
        <v>0</v>
      </c>
      <c r="E270" s="503">
        <v>2.1000000000000001E-2</v>
      </c>
      <c r="F270" s="503">
        <v>9.6500000000000002E-2</v>
      </c>
      <c r="G270" s="1">
        <v>1.6500000000000001E-2</v>
      </c>
      <c r="H270" s="1">
        <v>7.5999999999999998E-2</v>
      </c>
      <c r="I270" s="504">
        <v>0.18</v>
      </c>
      <c r="J270" s="504">
        <v>0.04</v>
      </c>
      <c r="K270" s="504">
        <v>0.14000000000000001</v>
      </c>
      <c r="L270" s="504">
        <v>1.4999999999999999E-2</v>
      </c>
      <c r="M270" s="505" t="s">
        <v>175</v>
      </c>
      <c r="N270" s="506">
        <v>2000</v>
      </c>
      <c r="O270" s="119"/>
      <c r="P270" s="119"/>
      <c r="Q270" s="119"/>
      <c r="R270" s="119"/>
      <c r="S270" s="119"/>
      <c r="T270" s="119"/>
      <c r="U270" s="119"/>
      <c r="V270" s="119">
        <v>13.1</v>
      </c>
      <c r="W270" s="119"/>
      <c r="X270" s="119">
        <f t="shared" si="198"/>
        <v>13.1</v>
      </c>
      <c r="Y270" s="118">
        <f t="shared" si="199"/>
        <v>13.1</v>
      </c>
      <c r="Z270" s="109">
        <f t="shared" si="197"/>
        <v>26200</v>
      </c>
      <c r="AA270" s="109">
        <f>'CALCULO GERAL'!$G$10</f>
        <v>6300</v>
      </c>
      <c r="AB270" s="109">
        <f t="shared" si="200"/>
        <v>32500</v>
      </c>
      <c r="AC270" s="109">
        <f>AB270*'CALCULO GERAL'!$C$11</f>
        <v>163117.5</v>
      </c>
      <c r="AD270" s="109">
        <f t="shared" si="201"/>
        <v>40779.375</v>
      </c>
      <c r="AE270" s="109">
        <f t="shared" si="202"/>
        <v>0</v>
      </c>
      <c r="AF270" s="109">
        <f t="shared" si="203"/>
        <v>3425.4675000000002</v>
      </c>
      <c r="AG270" s="109">
        <f t="shared" si="204"/>
        <v>15740.838750000001</v>
      </c>
      <c r="AH270" s="109">
        <v>154.22999999999999</v>
      </c>
      <c r="AI270" s="109">
        <f>((AA270*'CALCULO GERAL'!$C$11))*0.08+20</f>
        <v>2549.576</v>
      </c>
      <c r="AJ270" s="109">
        <v>1010</v>
      </c>
      <c r="AK270" s="109">
        <v>2500</v>
      </c>
      <c r="AL270" s="109">
        <f>(AA270*('CALCULO GERAL'!$C$11*1.02))-(AA270*'CALCULO GERAL'!$C$11)</f>
        <v>632.39400000000387</v>
      </c>
      <c r="AM270" s="109">
        <v>1800</v>
      </c>
      <c r="AN270" s="109">
        <v>2600</v>
      </c>
      <c r="AO270" s="109">
        <v>9400</v>
      </c>
      <c r="AP270" s="109">
        <v>1000</v>
      </c>
      <c r="AQ270" s="109">
        <v>0</v>
      </c>
      <c r="AR270" s="109">
        <v>0</v>
      </c>
      <c r="AS270" s="109"/>
      <c r="AT270" s="109">
        <f t="shared" si="188"/>
        <v>244709.38125000001</v>
      </c>
      <c r="AU270" s="111">
        <f t="shared" si="205"/>
        <v>122.354690625</v>
      </c>
      <c r="AV270" s="109">
        <f>IFERROR((BS270*'CALCULO GERAL'!$E$11)/N270,0)</f>
        <v>2.8939553999999998</v>
      </c>
      <c r="AW270" s="109">
        <f>AU270/'CALCULO GERAL'!$C$11</f>
        <v>24.378300582785414</v>
      </c>
      <c r="AX270" s="109">
        <f>BP270-BB270-BD270*'CALCULO GERAL'!$C$11</f>
        <v>142.52730345000001</v>
      </c>
      <c r="AY270" s="109">
        <f t="shared" si="206"/>
        <v>2.3517005069250003</v>
      </c>
      <c r="AZ270" s="109">
        <f t="shared" si="207"/>
        <v>10.832075062199999</v>
      </c>
      <c r="BA270" s="109">
        <f t="shared" si="208"/>
        <v>144.69776999999999</v>
      </c>
      <c r="BB270" s="109">
        <f t="shared" si="209"/>
        <v>2.17046655</v>
      </c>
      <c r="BC270" s="109">
        <f t="shared" si="210"/>
        <v>144.69776999999999</v>
      </c>
      <c r="BD270" s="109">
        <f t="shared" si="211"/>
        <v>0</v>
      </c>
      <c r="BE270" s="109">
        <f t="shared" si="212"/>
        <v>23151.643199999999</v>
      </c>
      <c r="BF270" s="109">
        <f t="shared" si="213"/>
        <v>34727.464799999994</v>
      </c>
      <c r="BG270" s="109">
        <f t="shared" si="214"/>
        <v>1.5627359159999996</v>
      </c>
      <c r="BH270" s="109">
        <f t="shared" si="215"/>
        <v>1.7363732399999998</v>
      </c>
      <c r="BI270" s="109">
        <f t="shared" si="216"/>
        <v>0</v>
      </c>
      <c r="BJ270" s="109">
        <f t="shared" si="217"/>
        <v>21.547306675125</v>
      </c>
      <c r="BK270" s="109">
        <f t="shared" si="218"/>
        <v>143.901997300125</v>
      </c>
      <c r="BL270" s="148">
        <v>0.86</v>
      </c>
      <c r="BM270" s="112">
        <f>ROUND((AW270/BL270)+((AW270*BL270)*'CALCULO GERAL'!$E$11)/BL270,2)</f>
        <v>28.83</v>
      </c>
      <c r="BN270" s="186">
        <f t="shared" si="189"/>
        <v>28.83</v>
      </c>
      <c r="BO270" s="186">
        <f t="shared" si="190"/>
        <v>33.779000000000003</v>
      </c>
      <c r="BP270" s="109">
        <f>BM270*'CALCULO GERAL'!$C$11</f>
        <v>144.69776999999999</v>
      </c>
      <c r="BQ270" s="109">
        <f>BO270*'CALCULO GERAL'!$C$11</f>
        <v>169.53680100000003</v>
      </c>
      <c r="BR270" s="186">
        <f>BN270*'CALCULO GERAL'!$C$11</f>
        <v>144.69776999999999</v>
      </c>
      <c r="BS270" s="109">
        <f t="shared" si="219"/>
        <v>289395.53999999998</v>
      </c>
      <c r="BT270" s="109">
        <f t="shared" si="303"/>
        <v>44686.158749999973</v>
      </c>
      <c r="BU270" s="109">
        <f t="shared" si="220"/>
        <v>289395.53999999998</v>
      </c>
      <c r="BV270" s="109">
        <f t="shared" si="194"/>
        <v>287803.99460025004</v>
      </c>
      <c r="BW270" s="109">
        <f t="shared" si="191"/>
        <v>1591.5453997499426</v>
      </c>
      <c r="BX270" s="114">
        <f t="shared" si="221"/>
        <v>5.4995505450773112E-3</v>
      </c>
      <c r="BY270" s="152">
        <f t="shared" si="195"/>
        <v>0.86</v>
      </c>
      <c r="CA270" s="55"/>
      <c r="CB270" s="113"/>
      <c r="CC270" s="113"/>
      <c r="CE270" s="152">
        <f t="shared" si="196"/>
        <v>0</v>
      </c>
      <c r="CF270" s="152">
        <f t="shared" si="192"/>
        <v>1</v>
      </c>
      <c r="CG270" s="152">
        <f t="shared" si="193"/>
        <v>1</v>
      </c>
      <c r="CH270" s="34"/>
      <c r="CJ270" s="11"/>
      <c r="CK270" s="11"/>
    </row>
    <row r="271" spans="1:89" s="152" customFormat="1" x14ac:dyDescent="0.2">
      <c r="A271" s="507" t="s">
        <v>610</v>
      </c>
      <c r="B271" s="508" t="s">
        <v>260</v>
      </c>
      <c r="C271" s="509">
        <v>0.25</v>
      </c>
      <c r="D271" s="510">
        <v>0</v>
      </c>
      <c r="E271" s="511">
        <v>2.1000000000000001E-2</v>
      </c>
      <c r="F271" s="511">
        <v>9.6500000000000002E-2</v>
      </c>
      <c r="G271" s="1">
        <v>1.6500000000000001E-2</v>
      </c>
      <c r="H271" s="1">
        <v>7.5999999999999998E-2</v>
      </c>
      <c r="I271" s="512">
        <v>0.18</v>
      </c>
      <c r="J271" s="512">
        <v>0.04</v>
      </c>
      <c r="K271" s="512">
        <v>0.14000000000000001</v>
      </c>
      <c r="L271" s="512">
        <v>1.4999999999999999E-2</v>
      </c>
      <c r="M271" s="513" t="s">
        <v>175</v>
      </c>
      <c r="N271" s="514">
        <v>1250</v>
      </c>
      <c r="O271" s="119"/>
      <c r="P271" s="119"/>
      <c r="Q271" s="119"/>
      <c r="R271" s="119"/>
      <c r="S271" s="119"/>
      <c r="T271" s="119"/>
      <c r="U271" s="119"/>
      <c r="V271" s="119">
        <v>39</v>
      </c>
      <c r="W271" s="119"/>
      <c r="X271" s="119">
        <f t="shared" si="198"/>
        <v>39</v>
      </c>
      <c r="Y271" s="118">
        <f t="shared" si="199"/>
        <v>39</v>
      </c>
      <c r="Z271" s="109">
        <f t="shared" si="197"/>
        <v>48750</v>
      </c>
      <c r="AA271" s="109">
        <f>'CALCULO GERAL'!$G$10</f>
        <v>6300</v>
      </c>
      <c r="AB271" s="109">
        <f t="shared" si="200"/>
        <v>55050</v>
      </c>
      <c r="AC271" s="109">
        <f>AB271*'CALCULO GERAL'!$C$11</f>
        <v>276295.95</v>
      </c>
      <c r="AD271" s="109">
        <f t="shared" si="201"/>
        <v>69073.987500000003</v>
      </c>
      <c r="AE271" s="109">
        <f t="shared" si="202"/>
        <v>0</v>
      </c>
      <c r="AF271" s="109">
        <f t="shared" si="203"/>
        <v>5802.2149500000005</v>
      </c>
      <c r="AG271" s="109">
        <f t="shared" si="204"/>
        <v>26662.559175000002</v>
      </c>
      <c r="AH271" s="109">
        <v>154.22999999999999</v>
      </c>
      <c r="AI271" s="109">
        <f>((AA271*'CALCULO GERAL'!$C$11))*0.08+20</f>
        <v>2549.576</v>
      </c>
      <c r="AJ271" s="109">
        <v>1010</v>
      </c>
      <c r="AK271" s="109">
        <v>2500</v>
      </c>
      <c r="AL271" s="109">
        <f>(AA271*('CALCULO GERAL'!$C$11*1.02))-(AA271*'CALCULO GERAL'!$C$11)</f>
        <v>632.39400000000387</v>
      </c>
      <c r="AM271" s="109">
        <v>1800</v>
      </c>
      <c r="AN271" s="109">
        <v>2600</v>
      </c>
      <c r="AO271" s="109">
        <v>9400</v>
      </c>
      <c r="AP271" s="109">
        <v>1000</v>
      </c>
      <c r="AQ271" s="109">
        <v>0</v>
      </c>
      <c r="AR271" s="109">
        <v>0</v>
      </c>
      <c r="AS271" s="109"/>
      <c r="AT271" s="109">
        <f t="shared" si="188"/>
        <v>399480.91162500001</v>
      </c>
      <c r="AU271" s="111">
        <f t="shared" si="205"/>
        <v>319.58472929999999</v>
      </c>
      <c r="AV271" s="109">
        <f>IFERROR((BS271*'CALCULO GERAL'!$E$11)/N271,0)</f>
        <v>7.5596178000000016</v>
      </c>
      <c r="AW271" s="109">
        <f>AU271/'CALCULO GERAL'!$C$11</f>
        <v>63.674980932456663</v>
      </c>
      <c r="AX271" s="109">
        <f>BP271-BB271-BD271*'CALCULO GERAL'!$C$11</f>
        <v>372.31117665000005</v>
      </c>
      <c r="AY271" s="109">
        <f t="shared" si="206"/>
        <v>6.1431344147250009</v>
      </c>
      <c r="AZ271" s="109">
        <f t="shared" si="207"/>
        <v>28.295649425400004</v>
      </c>
      <c r="BA271" s="109">
        <f t="shared" si="208"/>
        <v>377.98089000000004</v>
      </c>
      <c r="BB271" s="109">
        <f t="shared" si="209"/>
        <v>5.6697133500000003</v>
      </c>
      <c r="BC271" s="109">
        <f t="shared" si="210"/>
        <v>377.98089000000004</v>
      </c>
      <c r="BD271" s="109">
        <f t="shared" si="211"/>
        <v>0</v>
      </c>
      <c r="BE271" s="109">
        <f t="shared" si="212"/>
        <v>37798.089000000007</v>
      </c>
      <c r="BF271" s="109">
        <f t="shared" si="213"/>
        <v>56697.133500000004</v>
      </c>
      <c r="BG271" s="109">
        <f t="shared" si="214"/>
        <v>4.0821936120000002</v>
      </c>
      <c r="BH271" s="109">
        <f t="shared" si="215"/>
        <v>4.5357706800000006</v>
      </c>
      <c r="BI271" s="109">
        <f t="shared" si="216"/>
        <v>0</v>
      </c>
      <c r="BJ271" s="109">
        <f t="shared" si="217"/>
        <v>56.286079282125002</v>
      </c>
      <c r="BK271" s="109">
        <f t="shared" si="218"/>
        <v>375.87080858212499</v>
      </c>
      <c r="BL271" s="148">
        <v>0.86</v>
      </c>
      <c r="BM271" s="112">
        <f>ROUND((AW271/BL271)+((AW271*BL271)*'CALCULO GERAL'!$E$11)/BL271,2)</f>
        <v>75.31</v>
      </c>
      <c r="BN271" s="186">
        <f t="shared" si="189"/>
        <v>75.31</v>
      </c>
      <c r="BO271" s="186">
        <f t="shared" si="190"/>
        <v>88.238</v>
      </c>
      <c r="BP271" s="109">
        <f>BM271*'CALCULO GERAL'!$C$11</f>
        <v>377.98089000000004</v>
      </c>
      <c r="BQ271" s="109">
        <f>BO271*'CALCULO GERAL'!$C$11</f>
        <v>442.86652200000003</v>
      </c>
      <c r="BR271" s="186">
        <f>BN271*'CALCULO GERAL'!$C$11</f>
        <v>377.98089000000004</v>
      </c>
      <c r="BS271" s="109">
        <f t="shared" si="219"/>
        <v>472476.11250000005</v>
      </c>
      <c r="BT271" s="109">
        <f t="shared" si="303"/>
        <v>72995.200875000039</v>
      </c>
      <c r="BU271" s="109">
        <f t="shared" si="220"/>
        <v>472476.11250000005</v>
      </c>
      <c r="BV271" s="109">
        <f t="shared" si="194"/>
        <v>469838.51072765625</v>
      </c>
      <c r="BW271" s="109">
        <f t="shared" si="191"/>
        <v>2637.6017723437981</v>
      </c>
      <c r="BX271" s="114">
        <f t="shared" si="221"/>
        <v>5.5825082000178321E-3</v>
      </c>
      <c r="BY271" s="152">
        <f t="shared" si="195"/>
        <v>0.86</v>
      </c>
      <c r="CA271" s="55"/>
      <c r="CB271" s="113"/>
      <c r="CC271" s="113"/>
      <c r="CE271" s="152">
        <f t="shared" si="196"/>
        <v>0</v>
      </c>
      <c r="CF271" s="152">
        <f t="shared" si="192"/>
        <v>1</v>
      </c>
      <c r="CG271" s="152">
        <f t="shared" si="193"/>
        <v>1</v>
      </c>
      <c r="CH271" s="34"/>
      <c r="CJ271" s="11"/>
      <c r="CK271" s="11"/>
    </row>
    <row r="272" spans="1:89" s="152" customFormat="1" x14ac:dyDescent="0.2">
      <c r="A272" s="507" t="s">
        <v>611</v>
      </c>
      <c r="B272" s="508" t="s">
        <v>612</v>
      </c>
      <c r="C272" s="509">
        <v>0.13</v>
      </c>
      <c r="D272" s="510">
        <v>0.1</v>
      </c>
      <c r="E272" s="511">
        <v>2.1000000000000001E-2</v>
      </c>
      <c r="F272" s="511">
        <v>9.6500000000000002E-2</v>
      </c>
      <c r="G272" s="1">
        <v>1.6500000000000001E-2</v>
      </c>
      <c r="H272" s="1">
        <v>7.5999999999999998E-2</v>
      </c>
      <c r="I272" s="512">
        <v>0.18</v>
      </c>
      <c r="J272" s="512">
        <v>0.04</v>
      </c>
      <c r="K272" s="512">
        <v>0.14000000000000001</v>
      </c>
      <c r="L272" s="512">
        <v>1.4999999999999999E-2</v>
      </c>
      <c r="M272" s="513" t="s">
        <v>175</v>
      </c>
      <c r="N272" s="514">
        <v>3650</v>
      </c>
      <c r="O272" s="119"/>
      <c r="P272" s="119"/>
      <c r="Q272" s="119"/>
      <c r="R272" s="119"/>
      <c r="S272" s="119"/>
      <c r="T272" s="119"/>
      <c r="U272" s="119"/>
      <c r="V272" s="119">
        <v>7.5</v>
      </c>
      <c r="W272" s="119"/>
      <c r="X272" s="119">
        <f t="shared" si="198"/>
        <v>7.5</v>
      </c>
      <c r="Y272" s="118">
        <f t="shared" si="199"/>
        <v>7.5</v>
      </c>
      <c r="Z272" s="109">
        <f t="shared" si="197"/>
        <v>27375</v>
      </c>
      <c r="AA272" s="109">
        <f>'CALCULO GERAL'!$G$10</f>
        <v>6300</v>
      </c>
      <c r="AB272" s="109">
        <f t="shared" si="200"/>
        <v>33675</v>
      </c>
      <c r="AC272" s="109">
        <f>AB272*'CALCULO GERAL'!$C$11</f>
        <v>169014.82500000001</v>
      </c>
      <c r="AD272" s="109">
        <f t="shared" si="201"/>
        <v>21971.927250000001</v>
      </c>
      <c r="AE272" s="109">
        <f t="shared" si="202"/>
        <v>19098.675225000003</v>
      </c>
      <c r="AF272" s="109">
        <f t="shared" si="203"/>
        <v>3549.3113250000006</v>
      </c>
      <c r="AG272" s="109">
        <f t="shared" si="204"/>
        <v>16309.930612500002</v>
      </c>
      <c r="AH272" s="109">
        <v>154.22999999999999</v>
      </c>
      <c r="AI272" s="109">
        <f>((AA272*'CALCULO GERAL'!$C$11))*0.08+20</f>
        <v>2549.576</v>
      </c>
      <c r="AJ272" s="109">
        <v>1010</v>
      </c>
      <c r="AK272" s="109">
        <v>2500</v>
      </c>
      <c r="AL272" s="109">
        <f>(AA272*('CALCULO GERAL'!$C$11*1.02))-(AA272*'CALCULO GERAL'!$C$11)</f>
        <v>632.39400000000387</v>
      </c>
      <c r="AM272" s="109">
        <v>1800</v>
      </c>
      <c r="AN272" s="109">
        <v>2600</v>
      </c>
      <c r="AO272" s="109">
        <v>9400</v>
      </c>
      <c r="AP272" s="109">
        <v>1000</v>
      </c>
      <c r="AQ272" s="109">
        <v>0</v>
      </c>
      <c r="AR272" s="109">
        <v>0</v>
      </c>
      <c r="AS272" s="109"/>
      <c r="AT272" s="109">
        <f t="shared" si="188"/>
        <v>251590.86941250003</v>
      </c>
      <c r="AU272" s="111">
        <f t="shared" si="205"/>
        <v>68.929005318493154</v>
      </c>
      <c r="AV272" s="109">
        <f>IFERROR((BS272*'CALCULO GERAL'!$E$11)/N272,0)</f>
        <v>1.6121027999999997</v>
      </c>
      <c r="AW272" s="109">
        <f>AU272/'CALCULO GERAL'!$C$11</f>
        <v>13.733613333033105</v>
      </c>
      <c r="AX272" s="109">
        <f>BP272-BB272-BD272*'CALCULO GERAL'!$C$11</f>
        <v>42.72805194</v>
      </c>
      <c r="AY272" s="109">
        <f t="shared" si="206"/>
        <v>0.70501285701000005</v>
      </c>
      <c r="AZ272" s="109">
        <f t="shared" si="207"/>
        <v>3.2473319474399998</v>
      </c>
      <c r="BA272" s="109">
        <f t="shared" si="208"/>
        <v>73.2774</v>
      </c>
      <c r="BB272" s="109">
        <f t="shared" si="209"/>
        <v>1.0991610000000001</v>
      </c>
      <c r="BC272" s="109">
        <f t="shared" si="210"/>
        <v>73.277399999999986</v>
      </c>
      <c r="BD272" s="109">
        <f t="shared" si="211"/>
        <v>7.3277399999999986</v>
      </c>
      <c r="BE272" s="109">
        <f t="shared" si="212"/>
        <v>23536.700879999997</v>
      </c>
      <c r="BF272" s="109">
        <f t="shared" si="213"/>
        <v>35305.051319999991</v>
      </c>
      <c r="BG272" s="109">
        <f t="shared" si="214"/>
        <v>0.87053551199999968</v>
      </c>
      <c r="BH272" s="109">
        <f t="shared" si="215"/>
        <v>0.96726167999999979</v>
      </c>
      <c r="BI272" s="109">
        <f t="shared" si="216"/>
        <v>0</v>
      </c>
      <c r="BJ272" s="109">
        <f t="shared" si="217"/>
        <v>15.82914579645</v>
      </c>
      <c r="BK272" s="109">
        <f t="shared" si="218"/>
        <v>84.758151114943161</v>
      </c>
      <c r="BL272" s="148">
        <v>0.87</v>
      </c>
      <c r="BM272" s="112">
        <f>ROUND((AW272/BL272)+((AW272*BL272)*'CALCULO GERAL'!$E$11)/BL272,2)</f>
        <v>16.059999999999999</v>
      </c>
      <c r="BN272" s="186">
        <f t="shared" si="189"/>
        <v>16.059999999999999</v>
      </c>
      <c r="BO272" s="186">
        <f t="shared" si="190"/>
        <v>18.817</v>
      </c>
      <c r="BP272" s="109">
        <f>BM272*'CALCULO GERAL'!$C$11</f>
        <v>80.605139999999992</v>
      </c>
      <c r="BQ272" s="109">
        <f>BO272*'CALCULO GERAL'!$C$11</f>
        <v>94.442523000000008</v>
      </c>
      <c r="BR272" s="186">
        <f>BN272*'CALCULO GERAL'!$C$11</f>
        <v>80.605139999999992</v>
      </c>
      <c r="BS272" s="109">
        <f t="shared" si="219"/>
        <v>294208.76099999994</v>
      </c>
      <c r="BT272" s="109">
        <f t="shared" si="303"/>
        <v>42617.891587499907</v>
      </c>
      <c r="BU272" s="109">
        <f t="shared" si="220"/>
        <v>294208.76099999994</v>
      </c>
      <c r="BV272" s="109">
        <f t="shared" si="194"/>
        <v>309367.25156954251</v>
      </c>
      <c r="BW272" s="109">
        <f t="shared" si="191"/>
        <v>-15158.49056954257</v>
      </c>
      <c r="BX272" s="114">
        <f t="shared" si="221"/>
        <v>-5.1522906789110104E-2</v>
      </c>
      <c r="BY272" s="152">
        <f t="shared" si="195"/>
        <v>0.87</v>
      </c>
      <c r="CA272" s="55"/>
      <c r="CB272" s="113"/>
      <c r="CC272" s="113"/>
      <c r="CE272" s="152">
        <f t="shared" si="196"/>
        <v>0</v>
      </c>
      <c r="CF272" s="152">
        <f t="shared" si="192"/>
        <v>1</v>
      </c>
      <c r="CG272" s="152">
        <f t="shared" si="193"/>
        <v>1</v>
      </c>
      <c r="CH272" s="34"/>
      <c r="CJ272" s="11"/>
      <c r="CK272" s="11"/>
    </row>
    <row r="273" spans="1:89" s="152" customFormat="1" x14ac:dyDescent="0.2">
      <c r="A273" s="507" t="s">
        <v>613</v>
      </c>
      <c r="B273" s="508" t="s">
        <v>612</v>
      </c>
      <c r="C273" s="509">
        <v>0.13</v>
      </c>
      <c r="D273" s="510">
        <v>0.1</v>
      </c>
      <c r="E273" s="511">
        <v>2.1000000000000001E-2</v>
      </c>
      <c r="F273" s="511">
        <v>9.6500000000000002E-2</v>
      </c>
      <c r="G273" s="1">
        <v>1.6500000000000001E-2</v>
      </c>
      <c r="H273" s="1">
        <v>7.5999999999999998E-2</v>
      </c>
      <c r="I273" s="512">
        <v>0.18</v>
      </c>
      <c r="J273" s="512">
        <v>0.04</v>
      </c>
      <c r="K273" s="512">
        <v>0.14000000000000001</v>
      </c>
      <c r="L273" s="512">
        <v>1.4999999999999999E-2</v>
      </c>
      <c r="M273" s="513" t="s">
        <v>175</v>
      </c>
      <c r="N273" s="514">
        <v>3650</v>
      </c>
      <c r="O273" s="119"/>
      <c r="P273" s="119"/>
      <c r="Q273" s="119"/>
      <c r="R273" s="119"/>
      <c r="S273" s="119"/>
      <c r="T273" s="119"/>
      <c r="U273" s="119"/>
      <c r="V273" s="119">
        <v>7.25</v>
      </c>
      <c r="W273" s="119">
        <f>V273*1.01</f>
        <v>7.3224999999999998</v>
      </c>
      <c r="X273" s="119">
        <f t="shared" si="198"/>
        <v>7.25</v>
      </c>
      <c r="Y273" s="118">
        <f t="shared" si="199"/>
        <v>7.2862499999999999</v>
      </c>
      <c r="Z273" s="109">
        <f t="shared" si="197"/>
        <v>26462.5</v>
      </c>
      <c r="AA273" s="109">
        <f>'CALCULO GERAL'!$G$10</f>
        <v>6300</v>
      </c>
      <c r="AB273" s="109">
        <f t="shared" si="200"/>
        <v>32762.5</v>
      </c>
      <c r="AC273" s="109">
        <f>AB273*'CALCULO GERAL'!$C$11</f>
        <v>164434.98750000002</v>
      </c>
      <c r="AD273" s="109">
        <f t="shared" si="201"/>
        <v>21376.548375000002</v>
      </c>
      <c r="AE273" s="109">
        <f t="shared" si="202"/>
        <v>18581.153587500005</v>
      </c>
      <c r="AF273" s="109">
        <f t="shared" si="203"/>
        <v>3453.1347375000005</v>
      </c>
      <c r="AG273" s="109">
        <f t="shared" si="204"/>
        <v>15867.976293750002</v>
      </c>
      <c r="AH273" s="109">
        <v>154.22999999999999</v>
      </c>
      <c r="AI273" s="109">
        <f>((AA273*'CALCULO GERAL'!$C$11))*0.08+20</f>
        <v>2549.576</v>
      </c>
      <c r="AJ273" s="109">
        <v>1010</v>
      </c>
      <c r="AK273" s="109">
        <v>2500</v>
      </c>
      <c r="AL273" s="109">
        <f>(AA273*('CALCULO GERAL'!$C$11*1.02))-(AA273*'CALCULO GERAL'!$C$11)</f>
        <v>632.39400000000387</v>
      </c>
      <c r="AM273" s="109">
        <v>1800</v>
      </c>
      <c r="AN273" s="109">
        <v>2600</v>
      </c>
      <c r="AO273" s="109">
        <v>9400</v>
      </c>
      <c r="AP273" s="109">
        <v>1000</v>
      </c>
      <c r="AQ273" s="109">
        <v>0</v>
      </c>
      <c r="AR273" s="109">
        <v>0</v>
      </c>
      <c r="AS273" s="109"/>
      <c r="AT273" s="109">
        <f t="shared" si="188"/>
        <v>245360.00049375003</v>
      </c>
      <c r="AU273" s="111">
        <f t="shared" si="205"/>
        <v>67.221917943493153</v>
      </c>
      <c r="AV273" s="109">
        <f>IFERROR((BS273*'CALCULO GERAL'!$E$11)/N273,0)</f>
        <v>1.5719508</v>
      </c>
      <c r="AW273" s="109">
        <f>AU273/'CALCULO GERAL'!$C$11</f>
        <v>13.393488333033105</v>
      </c>
      <c r="AX273" s="109">
        <f>BP273-BB273-BD273*'CALCULO GERAL'!$C$11</f>
        <v>41.663841430909102</v>
      </c>
      <c r="AY273" s="109">
        <f t="shared" si="206"/>
        <v>0.68745338361000019</v>
      </c>
      <c r="AZ273" s="109">
        <f t="shared" si="207"/>
        <v>3.1664519487490916</v>
      </c>
      <c r="BA273" s="109">
        <f t="shared" si="208"/>
        <v>71.452309090909097</v>
      </c>
      <c r="BB273" s="109">
        <f t="shared" si="209"/>
        <v>1.0717846363636365</v>
      </c>
      <c r="BC273" s="109">
        <f t="shared" si="210"/>
        <v>71.452309090909097</v>
      </c>
      <c r="BD273" s="109">
        <f t="shared" si="211"/>
        <v>7.1452309090909099</v>
      </c>
      <c r="BE273" s="109">
        <f t="shared" si="212"/>
        <v>22950.481680000001</v>
      </c>
      <c r="BF273" s="109">
        <f t="shared" si="213"/>
        <v>34425.722520000003</v>
      </c>
      <c r="BG273" s="109">
        <f t="shared" si="214"/>
        <v>0.84885343199999996</v>
      </c>
      <c r="BH273" s="109">
        <f t="shared" si="215"/>
        <v>0.94317048000000003</v>
      </c>
      <c r="BI273" s="109">
        <f t="shared" si="216"/>
        <v>0</v>
      </c>
      <c r="BJ273" s="109">
        <f t="shared" si="217"/>
        <v>15.434895589813639</v>
      </c>
      <c r="BK273" s="109">
        <f t="shared" si="218"/>
        <v>82.656813533306789</v>
      </c>
      <c r="BL273" s="148">
        <v>0.87</v>
      </c>
      <c r="BM273" s="112">
        <f>ROUND((AW273/BL273)+((AW273*BL273)*'CALCULO GERAL'!$E$11)/BL273,2)</f>
        <v>15.66</v>
      </c>
      <c r="BN273" s="186">
        <f t="shared" si="189"/>
        <v>15.66</v>
      </c>
      <c r="BO273" s="186">
        <f t="shared" si="190"/>
        <v>18.347999999999999</v>
      </c>
      <c r="BP273" s="109">
        <f>BM273*'CALCULO GERAL'!$C$11</f>
        <v>78.597540000000009</v>
      </c>
      <c r="BQ273" s="109">
        <f>BO273*'CALCULO GERAL'!$C$11</f>
        <v>92.088611999999998</v>
      </c>
      <c r="BR273" s="186">
        <f>BN273*'CALCULO GERAL'!$C$11</f>
        <v>78.597540000000009</v>
      </c>
      <c r="BS273" s="109">
        <f t="shared" si="219"/>
        <v>286881.02100000001</v>
      </c>
      <c r="BT273" s="109">
        <f t="shared" si="303"/>
        <v>41521.020506249974</v>
      </c>
      <c r="BU273" s="109">
        <f t="shared" si="220"/>
        <v>286881.02100000001</v>
      </c>
      <c r="BV273" s="109">
        <f t="shared" si="194"/>
        <v>301697.36939656979</v>
      </c>
      <c r="BW273" s="109">
        <f t="shared" si="191"/>
        <v>-14816.348396569781</v>
      </c>
      <c r="BX273" s="114">
        <f t="shared" si="221"/>
        <v>-5.1646317853036992E-2</v>
      </c>
      <c r="BY273" s="152">
        <f t="shared" si="195"/>
        <v>0.87</v>
      </c>
      <c r="CA273" s="55"/>
      <c r="CB273" s="113"/>
      <c r="CC273" s="113"/>
      <c r="CE273" s="152">
        <f t="shared" si="196"/>
        <v>0</v>
      </c>
      <c r="CF273" s="152">
        <f t="shared" si="192"/>
        <v>1</v>
      </c>
      <c r="CG273" s="152">
        <f t="shared" si="193"/>
        <v>1</v>
      </c>
      <c r="CH273" s="34"/>
      <c r="CJ273" s="11"/>
      <c r="CK273" s="11"/>
    </row>
    <row r="274" spans="1:89" s="152" customFormat="1" x14ac:dyDescent="0.2">
      <c r="A274" s="507" t="s">
        <v>614</v>
      </c>
      <c r="B274" s="508" t="s">
        <v>612</v>
      </c>
      <c r="C274" s="509">
        <v>0.13</v>
      </c>
      <c r="D274" s="510">
        <v>0.1</v>
      </c>
      <c r="E274" s="511">
        <v>2.1000000000000001E-2</v>
      </c>
      <c r="F274" s="511">
        <v>9.6500000000000002E-2</v>
      </c>
      <c r="G274" s="1">
        <v>1.6500000000000001E-2</v>
      </c>
      <c r="H274" s="1">
        <v>7.5999999999999998E-2</v>
      </c>
      <c r="I274" s="512">
        <v>0.18</v>
      </c>
      <c r="J274" s="512">
        <v>0.04</v>
      </c>
      <c r="K274" s="512">
        <v>0.14000000000000001</v>
      </c>
      <c r="L274" s="512">
        <v>1.4999999999999999E-2</v>
      </c>
      <c r="M274" s="513" t="s">
        <v>175</v>
      </c>
      <c r="N274" s="514">
        <v>3650</v>
      </c>
      <c r="O274" s="119"/>
      <c r="P274" s="119"/>
      <c r="Q274" s="119"/>
      <c r="R274" s="119"/>
      <c r="S274" s="119"/>
      <c r="T274" s="119"/>
      <c r="U274" s="119"/>
      <c r="V274" s="119">
        <v>7.28</v>
      </c>
      <c r="W274" s="119">
        <f>V274*1.01</f>
        <v>7.3528000000000002</v>
      </c>
      <c r="X274" s="119">
        <f t="shared" si="198"/>
        <v>7.28</v>
      </c>
      <c r="Y274" s="118">
        <f t="shared" si="199"/>
        <v>7.3163999999999998</v>
      </c>
      <c r="Z274" s="109">
        <f t="shared" si="197"/>
        <v>26572</v>
      </c>
      <c r="AA274" s="109">
        <f>'CALCULO GERAL'!$G$10</f>
        <v>6300</v>
      </c>
      <c r="AB274" s="109">
        <f t="shared" si="200"/>
        <v>32872</v>
      </c>
      <c r="AC274" s="109">
        <f>AB274*'CALCULO GERAL'!$C$11</f>
        <v>164984.568</v>
      </c>
      <c r="AD274" s="109">
        <f t="shared" si="201"/>
        <v>21447.993839999999</v>
      </c>
      <c r="AE274" s="109">
        <f t="shared" si="202"/>
        <v>18643.256184000002</v>
      </c>
      <c r="AF274" s="109">
        <f t="shared" si="203"/>
        <v>3464.6759280000001</v>
      </c>
      <c r="AG274" s="109">
        <f t="shared" si="204"/>
        <v>15921.010812</v>
      </c>
      <c r="AH274" s="109">
        <v>154.22999999999999</v>
      </c>
      <c r="AI274" s="109">
        <f>((AA274*'CALCULO GERAL'!$C$11))*0.08+20</f>
        <v>2549.576</v>
      </c>
      <c r="AJ274" s="109">
        <v>1010</v>
      </c>
      <c r="AK274" s="109">
        <v>2500</v>
      </c>
      <c r="AL274" s="109">
        <f>(AA274*('CALCULO GERAL'!$C$11*1.02))-(AA274*'CALCULO GERAL'!$C$11)</f>
        <v>632.39400000000387</v>
      </c>
      <c r="AM274" s="109">
        <v>1800</v>
      </c>
      <c r="AN274" s="109">
        <v>2600</v>
      </c>
      <c r="AO274" s="109">
        <v>9400</v>
      </c>
      <c r="AP274" s="109">
        <v>1000</v>
      </c>
      <c r="AQ274" s="109">
        <v>0</v>
      </c>
      <c r="AR274" s="109">
        <v>0</v>
      </c>
      <c r="AS274" s="109"/>
      <c r="AT274" s="109">
        <f t="shared" si="188"/>
        <v>246107.70476400002</v>
      </c>
      <c r="AU274" s="111">
        <f t="shared" si="205"/>
        <v>67.426768428493162</v>
      </c>
      <c r="AV274" s="109">
        <f>IFERROR((BS274*'CALCULO GERAL'!$E$11)/N274,0)</f>
        <v>1.5950382000000003</v>
      </c>
      <c r="AW274" s="109">
        <f>AU274/'CALCULO GERAL'!$C$11</f>
        <v>13.434303333033107</v>
      </c>
      <c r="AX274" s="109">
        <f>BP274-BB274-BD274*'CALCULO GERAL'!$C$11</f>
        <v>42.275762473636362</v>
      </c>
      <c r="AY274" s="109">
        <f t="shared" si="206"/>
        <v>0.69755008081500003</v>
      </c>
      <c r="AZ274" s="109">
        <f t="shared" si="207"/>
        <v>3.2129579479963635</v>
      </c>
      <c r="BA274" s="109">
        <f t="shared" si="208"/>
        <v>72.501736363636368</v>
      </c>
      <c r="BB274" s="109">
        <f t="shared" si="209"/>
        <v>1.0875260454545455</v>
      </c>
      <c r="BC274" s="109">
        <f t="shared" si="210"/>
        <v>72.501736363636368</v>
      </c>
      <c r="BD274" s="109">
        <f t="shared" si="211"/>
        <v>7.2501736363636375</v>
      </c>
      <c r="BE274" s="109">
        <f t="shared" si="212"/>
        <v>23287.557720000004</v>
      </c>
      <c r="BF274" s="109">
        <f t="shared" si="213"/>
        <v>34931.336580000003</v>
      </c>
      <c r="BG274" s="109">
        <f t="shared" si="214"/>
        <v>0.86132062799999998</v>
      </c>
      <c r="BH274" s="109">
        <f t="shared" si="215"/>
        <v>0.95702292000000022</v>
      </c>
      <c r="BI274" s="109">
        <f t="shared" si="216"/>
        <v>0</v>
      </c>
      <c r="BJ274" s="109">
        <f t="shared" si="217"/>
        <v>15.661589458629548</v>
      </c>
      <c r="BK274" s="109">
        <f t="shared" si="218"/>
        <v>83.088357887122712</v>
      </c>
      <c r="BL274" s="148">
        <v>0.86</v>
      </c>
      <c r="BM274" s="112">
        <f>ROUND((AW274/BL274)+((AW274*BL274)*'CALCULO GERAL'!$E$11)/BL274,2)</f>
        <v>15.89</v>
      </c>
      <c r="BN274" s="186">
        <f t="shared" si="189"/>
        <v>15.89</v>
      </c>
      <c r="BO274" s="186">
        <f t="shared" si="190"/>
        <v>18.617999999999999</v>
      </c>
      <c r="BP274" s="109">
        <f>BM274*'CALCULO GERAL'!$C$11</f>
        <v>79.751910000000009</v>
      </c>
      <c r="BQ274" s="109">
        <f>BO274*'CALCULO GERAL'!$C$11</f>
        <v>93.443742</v>
      </c>
      <c r="BR274" s="186">
        <f>BN274*'CALCULO GERAL'!$C$11</f>
        <v>79.751910000000009</v>
      </c>
      <c r="BS274" s="109">
        <f t="shared" si="219"/>
        <v>291094.47150000004</v>
      </c>
      <c r="BT274" s="109">
        <f t="shared" si="303"/>
        <v>44986.76673600002</v>
      </c>
      <c r="BU274" s="109">
        <f t="shared" si="220"/>
        <v>291094.47150000004</v>
      </c>
      <c r="BV274" s="109">
        <f t="shared" si="194"/>
        <v>303272.50628799788</v>
      </c>
      <c r="BW274" s="109">
        <f t="shared" si="191"/>
        <v>-12178.034787997836</v>
      </c>
      <c r="BX274" s="114">
        <f t="shared" si="221"/>
        <v>-4.183533519288371E-2</v>
      </c>
      <c r="BY274" s="152">
        <f t="shared" si="195"/>
        <v>0.86</v>
      </c>
      <c r="CA274" s="55"/>
      <c r="CB274" s="113"/>
      <c r="CC274" s="113"/>
      <c r="CE274" s="152">
        <f t="shared" si="196"/>
        <v>0</v>
      </c>
      <c r="CF274" s="152">
        <f t="shared" si="192"/>
        <v>1</v>
      </c>
      <c r="CG274" s="152">
        <f t="shared" si="193"/>
        <v>1</v>
      </c>
      <c r="CH274" s="34"/>
      <c r="CJ274" s="11"/>
      <c r="CK274" s="11"/>
    </row>
    <row r="275" spans="1:89" s="152" customFormat="1" x14ac:dyDescent="0.2">
      <c r="A275" s="507" t="s">
        <v>615</v>
      </c>
      <c r="B275" s="508" t="s">
        <v>266</v>
      </c>
      <c r="C275" s="509">
        <v>0.13</v>
      </c>
      <c r="D275" s="510">
        <v>0.04</v>
      </c>
      <c r="E275" s="511">
        <v>2.1000000000000001E-2</v>
      </c>
      <c r="F275" s="511">
        <v>9.6500000000000002E-2</v>
      </c>
      <c r="G275" s="1">
        <v>1.6500000000000001E-2</v>
      </c>
      <c r="H275" s="1">
        <v>7.5999999999999998E-2</v>
      </c>
      <c r="I275" s="512">
        <v>0.18</v>
      </c>
      <c r="J275" s="512">
        <v>0.04</v>
      </c>
      <c r="K275" s="512">
        <v>0.14000000000000001</v>
      </c>
      <c r="L275" s="512">
        <v>1.4999999999999999E-2</v>
      </c>
      <c r="M275" s="513" t="s">
        <v>175</v>
      </c>
      <c r="N275" s="514">
        <v>25000</v>
      </c>
      <c r="O275" s="119"/>
      <c r="P275" s="119"/>
      <c r="Q275" s="119"/>
      <c r="R275" s="119"/>
      <c r="S275" s="119"/>
      <c r="T275" s="119"/>
      <c r="U275" s="119"/>
      <c r="V275" s="119">
        <v>7.35</v>
      </c>
      <c r="W275" s="119">
        <f>V275*1.01</f>
        <v>7.4234999999999998</v>
      </c>
      <c r="X275" s="119">
        <f t="shared" si="198"/>
        <v>7.35</v>
      </c>
      <c r="Y275" s="118">
        <f t="shared" si="199"/>
        <v>7.3867499999999993</v>
      </c>
      <c r="Z275" s="109">
        <f t="shared" si="197"/>
        <v>183750</v>
      </c>
      <c r="AA275" s="109">
        <f>'CALCULO GERAL'!$G$10</f>
        <v>6300</v>
      </c>
      <c r="AB275" s="109">
        <f t="shared" si="200"/>
        <v>190050</v>
      </c>
      <c r="AC275" s="109">
        <f>AB275*'CALCULO GERAL'!$C$11</f>
        <v>953860.95000000007</v>
      </c>
      <c r="AD275" s="109">
        <f t="shared" si="201"/>
        <v>124001.92350000002</v>
      </c>
      <c r="AE275" s="109">
        <f t="shared" si="202"/>
        <v>43114.514940000001</v>
      </c>
      <c r="AF275" s="109">
        <f t="shared" si="203"/>
        <v>20031.079950000003</v>
      </c>
      <c r="AG275" s="109">
        <f t="shared" si="204"/>
        <v>92047.581675000009</v>
      </c>
      <c r="AH275" s="109">
        <v>154.22999999999999</v>
      </c>
      <c r="AI275" s="109">
        <f>((AA275*'CALCULO GERAL'!$C$11))*0.08+20</f>
        <v>2549.576</v>
      </c>
      <c r="AJ275" s="109">
        <v>1010</v>
      </c>
      <c r="AK275" s="109">
        <v>2500</v>
      </c>
      <c r="AL275" s="109">
        <f>(AA275*('CALCULO GERAL'!$C$11*1.02))-(AA275*'CALCULO GERAL'!$C$11)</f>
        <v>632.39400000000387</v>
      </c>
      <c r="AM275" s="109">
        <v>1800</v>
      </c>
      <c r="AN275" s="109">
        <v>2600</v>
      </c>
      <c r="AO275" s="109">
        <v>9400</v>
      </c>
      <c r="AP275" s="109">
        <v>1000</v>
      </c>
      <c r="AQ275" s="109">
        <v>0</v>
      </c>
      <c r="AR275" s="109">
        <v>0</v>
      </c>
      <c r="AS275" s="109"/>
      <c r="AT275" s="109">
        <f t="shared" si="188"/>
        <v>1254702.2500649998</v>
      </c>
      <c r="AU275" s="111">
        <f t="shared" si="205"/>
        <v>50.188090002599992</v>
      </c>
      <c r="AV275" s="109">
        <f>IFERROR((BS275*'CALCULO GERAL'!$E$11)/N275,0)</f>
        <v>1.1874954000000002</v>
      </c>
      <c r="AW275" s="109">
        <f>AU275/'CALCULO GERAL'!$C$11</f>
        <v>9.9996194466228321</v>
      </c>
      <c r="AX275" s="109">
        <f>BP275-BB275-BD275*'CALCULO GERAL'!$C$11</f>
        <v>47.056788870000005</v>
      </c>
      <c r="AY275" s="109">
        <f t="shared" si="206"/>
        <v>0.77643701635500018</v>
      </c>
      <c r="AZ275" s="109">
        <f t="shared" si="207"/>
        <v>3.5763159541200005</v>
      </c>
      <c r="BA275" s="109">
        <f t="shared" si="208"/>
        <v>57.091125000000005</v>
      </c>
      <c r="BB275" s="109">
        <f t="shared" si="209"/>
        <v>0.85636687500000008</v>
      </c>
      <c r="BC275" s="109">
        <f t="shared" si="210"/>
        <v>57.091125000000005</v>
      </c>
      <c r="BD275" s="109">
        <f t="shared" si="211"/>
        <v>2.2836450000000004</v>
      </c>
      <c r="BE275" s="109">
        <f t="shared" si="212"/>
        <v>118749.54000000002</v>
      </c>
      <c r="BF275" s="109">
        <f t="shared" si="213"/>
        <v>178124.31000000003</v>
      </c>
      <c r="BG275" s="109">
        <f t="shared" si="214"/>
        <v>0.64124751600000007</v>
      </c>
      <c r="BH275" s="109">
        <f t="shared" si="215"/>
        <v>0.71249724000000014</v>
      </c>
      <c r="BI275" s="109">
        <f t="shared" si="216"/>
        <v>-0.2349982000000001</v>
      </c>
      <c r="BJ275" s="109">
        <f t="shared" si="217"/>
        <v>9.7990068014750005</v>
      </c>
      <c r="BK275" s="109">
        <f t="shared" si="218"/>
        <v>59.987096804074994</v>
      </c>
      <c r="BL275" s="148">
        <v>0.86</v>
      </c>
      <c r="BM275" s="112">
        <f>ROUND((AW275/BL275)+((AW275*BL275)*'CALCULO GERAL'!$E$11)/BL275,2)</f>
        <v>11.83</v>
      </c>
      <c r="BN275" s="186">
        <f t="shared" si="189"/>
        <v>11.83</v>
      </c>
      <c r="BO275" s="186">
        <f t="shared" si="190"/>
        <v>13.861000000000001</v>
      </c>
      <c r="BP275" s="109">
        <f>BM275*'CALCULO GERAL'!$C$11</f>
        <v>59.374770000000005</v>
      </c>
      <c r="BQ275" s="109">
        <f>BO275*'CALCULO GERAL'!$C$11</f>
        <v>69.568359000000001</v>
      </c>
      <c r="BR275" s="186">
        <f>BN275*'CALCULO GERAL'!$C$11</f>
        <v>59.374770000000005</v>
      </c>
      <c r="BS275" s="109">
        <f t="shared" si="219"/>
        <v>1484369.2500000002</v>
      </c>
      <c r="BT275" s="109">
        <f t="shared" si="303"/>
        <v>229666.99993500044</v>
      </c>
      <c r="BU275" s="109">
        <f t="shared" si="220"/>
        <v>1484369.2500000002</v>
      </c>
      <c r="BV275" s="109">
        <f t="shared" si="194"/>
        <v>1499677.420101875</v>
      </c>
      <c r="BW275" s="109">
        <f t="shared" si="191"/>
        <v>-15308.170101874741</v>
      </c>
      <c r="BX275" s="114">
        <f t="shared" si="221"/>
        <v>-1.0312912438650113E-2</v>
      </c>
      <c r="BY275" s="152">
        <f t="shared" si="195"/>
        <v>0.86</v>
      </c>
      <c r="CA275" s="55"/>
      <c r="CB275" s="113"/>
      <c r="CC275" s="113"/>
      <c r="CE275" s="152">
        <f t="shared" si="196"/>
        <v>0</v>
      </c>
      <c r="CF275" s="152">
        <f t="shared" si="192"/>
        <v>1</v>
      </c>
      <c r="CG275" s="152">
        <f t="shared" si="193"/>
        <v>1</v>
      </c>
      <c r="CH275" s="34"/>
      <c r="CJ275" s="11"/>
      <c r="CK275" s="11"/>
    </row>
    <row r="276" spans="1:89" s="152" customFormat="1" x14ac:dyDescent="0.2">
      <c r="A276" s="507" t="s">
        <v>616</v>
      </c>
      <c r="B276" s="508" t="s">
        <v>266</v>
      </c>
      <c r="C276" s="509">
        <v>0.13</v>
      </c>
      <c r="D276" s="510">
        <v>0.04</v>
      </c>
      <c r="E276" s="511">
        <v>2.1000000000000001E-2</v>
      </c>
      <c r="F276" s="511">
        <v>9.6500000000000002E-2</v>
      </c>
      <c r="G276" s="1">
        <v>1.6500000000000001E-2</v>
      </c>
      <c r="H276" s="1">
        <v>7.5999999999999998E-2</v>
      </c>
      <c r="I276" s="512">
        <v>0.18</v>
      </c>
      <c r="J276" s="512">
        <v>0.04</v>
      </c>
      <c r="K276" s="512">
        <v>0.14000000000000001</v>
      </c>
      <c r="L276" s="512">
        <v>1.4999999999999999E-2</v>
      </c>
      <c r="M276" s="513" t="s">
        <v>175</v>
      </c>
      <c r="N276" s="514">
        <v>25000</v>
      </c>
      <c r="O276" s="119"/>
      <c r="P276" s="119"/>
      <c r="Q276" s="119"/>
      <c r="R276" s="119"/>
      <c r="S276" s="119"/>
      <c r="T276" s="119"/>
      <c r="U276" s="119"/>
      <c r="V276" s="119">
        <v>0.69599999999999995</v>
      </c>
      <c r="W276" s="119"/>
      <c r="X276" s="119">
        <f t="shared" si="198"/>
        <v>0.69599999999999995</v>
      </c>
      <c r="Y276" s="118">
        <f t="shared" si="199"/>
        <v>0.69599999999999995</v>
      </c>
      <c r="Z276" s="109">
        <f t="shared" si="197"/>
        <v>17400</v>
      </c>
      <c r="AA276" s="109">
        <f>'CALCULO GERAL'!$G$10</f>
        <v>6300</v>
      </c>
      <c r="AB276" s="109">
        <f t="shared" si="200"/>
        <v>23700</v>
      </c>
      <c r="AC276" s="109">
        <f>AB276*'CALCULO GERAL'!$C$11</f>
        <v>118950.3</v>
      </c>
      <c r="AD276" s="109">
        <f t="shared" si="201"/>
        <v>15463.539000000001</v>
      </c>
      <c r="AE276" s="109">
        <f t="shared" si="202"/>
        <v>5376.5535600000003</v>
      </c>
      <c r="AF276" s="109">
        <f t="shared" si="203"/>
        <v>2497.9563000000003</v>
      </c>
      <c r="AG276" s="109">
        <f t="shared" si="204"/>
        <v>11478.703950000001</v>
      </c>
      <c r="AH276" s="109">
        <v>154.22999999999999</v>
      </c>
      <c r="AI276" s="109">
        <f>((AA276*'CALCULO GERAL'!$C$11))*0.08+20</f>
        <v>2549.576</v>
      </c>
      <c r="AJ276" s="109">
        <v>1010</v>
      </c>
      <c r="AK276" s="109">
        <v>2500</v>
      </c>
      <c r="AL276" s="109">
        <f>(AA276*('CALCULO GERAL'!$C$11*1.02))-(AA276*'CALCULO GERAL'!$C$11)</f>
        <v>632.39400000000387</v>
      </c>
      <c r="AM276" s="109">
        <v>1800</v>
      </c>
      <c r="AN276" s="109">
        <v>2600</v>
      </c>
      <c r="AO276" s="109">
        <v>9400</v>
      </c>
      <c r="AP276" s="109">
        <v>1000</v>
      </c>
      <c r="AQ276" s="109">
        <v>0</v>
      </c>
      <c r="AR276" s="109">
        <v>0</v>
      </c>
      <c r="AS276" s="109"/>
      <c r="AT276" s="109">
        <f t="shared" si="188"/>
        <v>175413.25281000001</v>
      </c>
      <c r="AU276" s="111">
        <f t="shared" si="205"/>
        <v>7.0165301123999999</v>
      </c>
      <c r="AV276" s="109">
        <f>IFERROR((BS276*'CALCULO GERAL'!$E$11)/N276,0)</f>
        <v>0.165627</v>
      </c>
      <c r="AW276" s="109">
        <f>AU276/'CALCULO GERAL'!$C$11</f>
        <v>1.3979936466228331</v>
      </c>
      <c r="AX276" s="109">
        <f>BP276-BB276-BD276*'CALCULO GERAL'!$C$11</f>
        <v>6.5632883884615376</v>
      </c>
      <c r="AY276" s="109">
        <f t="shared" si="206"/>
        <v>0.10829425840961537</v>
      </c>
      <c r="AZ276" s="109">
        <f t="shared" si="207"/>
        <v>0.49880991752307685</v>
      </c>
      <c r="BA276" s="109">
        <f t="shared" si="208"/>
        <v>7.9628365384615378</v>
      </c>
      <c r="BB276" s="109">
        <f t="shared" si="209"/>
        <v>0.11944254807692306</v>
      </c>
      <c r="BC276" s="109">
        <f t="shared" si="210"/>
        <v>7.9628365384615378</v>
      </c>
      <c r="BD276" s="109">
        <f t="shared" si="211"/>
        <v>0.3185134615384615</v>
      </c>
      <c r="BE276" s="109">
        <f t="shared" si="212"/>
        <v>16562.7</v>
      </c>
      <c r="BF276" s="109">
        <f t="shared" si="213"/>
        <v>24844.05</v>
      </c>
      <c r="BG276" s="109">
        <f t="shared" si="214"/>
        <v>8.9438580000000004E-2</v>
      </c>
      <c r="BH276" s="109">
        <f t="shared" si="215"/>
        <v>9.9376200000000012E-2</v>
      </c>
      <c r="BI276" s="109">
        <f t="shared" si="216"/>
        <v>0</v>
      </c>
      <c r="BJ276" s="109">
        <f t="shared" si="217"/>
        <v>1.3995019655480767</v>
      </c>
      <c r="BK276" s="109">
        <f t="shared" si="218"/>
        <v>8.416032077948076</v>
      </c>
      <c r="BL276" s="148">
        <v>0.86</v>
      </c>
      <c r="BM276" s="112">
        <f>ROUND((AW276/BL276)+((AW276*BL276)*'CALCULO GERAL'!$E$11)/BL276,2)</f>
        <v>1.65</v>
      </c>
      <c r="BN276" s="186">
        <f t="shared" si="189"/>
        <v>1.65</v>
      </c>
      <c r="BO276" s="186">
        <f t="shared" si="190"/>
        <v>1.9330000000000001</v>
      </c>
      <c r="BP276" s="109">
        <f>BM276*'CALCULO GERAL'!$C$11</f>
        <v>8.2813499999999998</v>
      </c>
      <c r="BQ276" s="109">
        <f>BO276*'CALCULO GERAL'!$C$11</f>
        <v>9.701727</v>
      </c>
      <c r="BR276" s="186">
        <f>BN276*'CALCULO GERAL'!$C$11</f>
        <v>8.2813499999999998</v>
      </c>
      <c r="BS276" s="109">
        <f t="shared" si="219"/>
        <v>207033.75</v>
      </c>
      <c r="BT276" s="109">
        <f t="shared" si="303"/>
        <v>31620.497189999995</v>
      </c>
      <c r="BU276" s="109">
        <f t="shared" si="220"/>
        <v>207033.75</v>
      </c>
      <c r="BV276" s="109">
        <f t="shared" si="194"/>
        <v>210400.8019487019</v>
      </c>
      <c r="BW276" s="109">
        <f t="shared" si="191"/>
        <v>-3367.0519487019046</v>
      </c>
      <c r="BX276" s="114">
        <f t="shared" si="221"/>
        <v>-1.6263299818034038E-2</v>
      </c>
      <c r="BY276" s="152">
        <f t="shared" si="195"/>
        <v>0.86</v>
      </c>
      <c r="CA276" s="55"/>
      <c r="CB276" s="113"/>
      <c r="CC276" s="113"/>
      <c r="CE276" s="152">
        <f t="shared" si="196"/>
        <v>0</v>
      </c>
      <c r="CF276" s="152">
        <f t="shared" si="192"/>
        <v>1</v>
      </c>
      <c r="CG276" s="152">
        <f t="shared" si="193"/>
        <v>1</v>
      </c>
      <c r="CH276" s="34"/>
      <c r="CJ276" s="11"/>
      <c r="CK276" s="11"/>
    </row>
    <row r="277" spans="1:89" s="152" customFormat="1" x14ac:dyDescent="0.2">
      <c r="A277" s="507" t="s">
        <v>617</v>
      </c>
      <c r="B277" s="508" t="s">
        <v>266</v>
      </c>
      <c r="C277" s="509">
        <v>0.13</v>
      </c>
      <c r="D277" s="510">
        <v>0.04</v>
      </c>
      <c r="E277" s="511">
        <v>2.1000000000000001E-2</v>
      </c>
      <c r="F277" s="511">
        <v>9.6500000000000002E-2</v>
      </c>
      <c r="G277" s="1">
        <v>1.6500000000000001E-2</v>
      </c>
      <c r="H277" s="1">
        <v>7.5999999999999998E-2</v>
      </c>
      <c r="I277" s="512">
        <v>0.18</v>
      </c>
      <c r="J277" s="512">
        <v>0.04</v>
      </c>
      <c r="K277" s="512">
        <v>0.14000000000000001</v>
      </c>
      <c r="L277" s="512">
        <v>1.4999999999999999E-2</v>
      </c>
      <c r="M277" s="513" t="s">
        <v>175</v>
      </c>
      <c r="N277" s="514">
        <v>25000</v>
      </c>
      <c r="O277" s="119"/>
      <c r="P277" s="119"/>
      <c r="Q277" s="119"/>
      <c r="R277" s="119"/>
      <c r="S277" s="119"/>
      <c r="T277" s="119"/>
      <c r="U277" s="119"/>
      <c r="V277" s="119">
        <v>0.68500000000000005</v>
      </c>
      <c r="W277" s="119"/>
      <c r="X277" s="119">
        <f t="shared" si="198"/>
        <v>0.68500000000000005</v>
      </c>
      <c r="Y277" s="118">
        <f t="shared" si="199"/>
        <v>0.68500000000000005</v>
      </c>
      <c r="Z277" s="109">
        <f t="shared" si="197"/>
        <v>17125</v>
      </c>
      <c r="AA277" s="109">
        <f>'CALCULO GERAL'!$G$10</f>
        <v>6300</v>
      </c>
      <c r="AB277" s="109">
        <f t="shared" si="200"/>
        <v>23425</v>
      </c>
      <c r="AC277" s="109">
        <f>AB277*'CALCULO GERAL'!$C$11</f>
        <v>117570.075</v>
      </c>
      <c r="AD277" s="109">
        <f t="shared" si="201"/>
        <v>15284.10975</v>
      </c>
      <c r="AE277" s="109">
        <f t="shared" si="202"/>
        <v>5314.1673899999996</v>
      </c>
      <c r="AF277" s="109">
        <f t="shared" si="203"/>
        <v>2468.971575</v>
      </c>
      <c r="AG277" s="109">
        <f t="shared" si="204"/>
        <v>11345.512237499999</v>
      </c>
      <c r="AH277" s="109">
        <v>154.22999999999999</v>
      </c>
      <c r="AI277" s="109">
        <f>((AA277*'CALCULO GERAL'!$C$11))*0.08+20</f>
        <v>2549.576</v>
      </c>
      <c r="AJ277" s="109">
        <v>1010</v>
      </c>
      <c r="AK277" s="109">
        <v>2500</v>
      </c>
      <c r="AL277" s="109">
        <f>(AA277*('CALCULO GERAL'!$C$11*1.02))-(AA277*'CALCULO GERAL'!$C$11)</f>
        <v>632.39400000000387</v>
      </c>
      <c r="AM277" s="109">
        <v>1800</v>
      </c>
      <c r="AN277" s="109">
        <v>2600</v>
      </c>
      <c r="AO277" s="109">
        <v>9400</v>
      </c>
      <c r="AP277" s="109">
        <v>1000</v>
      </c>
      <c r="AQ277" s="109">
        <v>0</v>
      </c>
      <c r="AR277" s="109">
        <v>0</v>
      </c>
      <c r="AS277" s="109"/>
      <c r="AT277" s="109">
        <f t="shared" si="188"/>
        <v>173629.03595249998</v>
      </c>
      <c r="AU277" s="111">
        <f t="shared" si="205"/>
        <v>6.9451614380999995</v>
      </c>
      <c r="AV277" s="109">
        <f>IFERROR((BS277*'CALCULO GERAL'!$E$11)/N277,0)</f>
        <v>0.16261560000000003</v>
      </c>
      <c r="AW277" s="109">
        <f>AU277/'CALCULO GERAL'!$C$11</f>
        <v>1.3837739466228332</v>
      </c>
      <c r="AX277" s="109">
        <f>BP277-BB277-BD277*'CALCULO GERAL'!$C$11</f>
        <v>6.4439558723076935</v>
      </c>
      <c r="AY277" s="109">
        <f t="shared" si="206"/>
        <v>0.10632527189307694</v>
      </c>
      <c r="AZ277" s="109">
        <f t="shared" si="207"/>
        <v>0.48974064629538472</v>
      </c>
      <c r="BA277" s="109">
        <f t="shared" si="208"/>
        <v>7.8180576923076934</v>
      </c>
      <c r="BB277" s="109">
        <f t="shared" si="209"/>
        <v>0.1172708653846154</v>
      </c>
      <c r="BC277" s="109">
        <f t="shared" si="210"/>
        <v>7.8180576923076934</v>
      </c>
      <c r="BD277" s="109">
        <f t="shared" si="211"/>
        <v>0.31272230769230774</v>
      </c>
      <c r="BE277" s="109">
        <f t="shared" si="212"/>
        <v>16261.560000000003</v>
      </c>
      <c r="BF277" s="109">
        <f t="shared" si="213"/>
        <v>24392.340000000004</v>
      </c>
      <c r="BG277" s="109">
        <f t="shared" si="214"/>
        <v>8.7812424000000014E-2</v>
      </c>
      <c r="BH277" s="109">
        <f t="shared" si="215"/>
        <v>9.7569360000000022E-2</v>
      </c>
      <c r="BI277" s="109">
        <f t="shared" si="216"/>
        <v>0</v>
      </c>
      <c r="BJ277" s="109">
        <f t="shared" si="217"/>
        <v>1.374056475265385</v>
      </c>
      <c r="BK277" s="109">
        <f t="shared" si="218"/>
        <v>8.3192179133653852</v>
      </c>
      <c r="BL277" s="148">
        <v>0.87</v>
      </c>
      <c r="BM277" s="112">
        <f>ROUND((AW277/BL277)+((AW277*BL277)*'CALCULO GERAL'!$E$11)/BL277,2)</f>
        <v>1.62</v>
      </c>
      <c r="BN277" s="186">
        <f t="shared" si="189"/>
        <v>1.62</v>
      </c>
      <c r="BO277" s="186">
        <f t="shared" si="190"/>
        <v>1.8979999999999999</v>
      </c>
      <c r="BP277" s="109">
        <f>BM277*'CALCULO GERAL'!$C$11</f>
        <v>8.1307800000000015</v>
      </c>
      <c r="BQ277" s="109">
        <f>BO277*'CALCULO GERAL'!$C$11</f>
        <v>9.5260619999999996</v>
      </c>
      <c r="BR277" s="186">
        <f>BN277*'CALCULO GERAL'!$C$11</f>
        <v>8.1307800000000015</v>
      </c>
      <c r="BS277" s="109">
        <f t="shared" si="219"/>
        <v>203269.50000000003</v>
      </c>
      <c r="BT277" s="109">
        <f t="shared" si="303"/>
        <v>29640.464047500049</v>
      </c>
      <c r="BU277" s="109">
        <f t="shared" si="220"/>
        <v>203269.50000000003</v>
      </c>
      <c r="BV277" s="109">
        <f t="shared" si="194"/>
        <v>207980.44783413463</v>
      </c>
      <c r="BW277" s="109">
        <f t="shared" si="191"/>
        <v>-4710.9478341345966</v>
      </c>
      <c r="BX277" s="114">
        <f t="shared" si="221"/>
        <v>-2.3175871609536089E-2</v>
      </c>
      <c r="BY277" s="152">
        <f t="shared" si="195"/>
        <v>0.87</v>
      </c>
      <c r="CA277" s="55"/>
      <c r="CB277" s="113"/>
      <c r="CC277" s="113"/>
      <c r="CE277" s="152">
        <f t="shared" si="196"/>
        <v>0</v>
      </c>
      <c r="CF277" s="152">
        <f t="shared" si="192"/>
        <v>1</v>
      </c>
      <c r="CG277" s="152">
        <f t="shared" si="193"/>
        <v>1</v>
      </c>
      <c r="CH277" s="34"/>
      <c r="CJ277" s="11"/>
      <c r="CK277" s="11"/>
    </row>
    <row r="278" spans="1:89" s="152" customFormat="1" x14ac:dyDescent="0.2">
      <c r="A278" s="507" t="s">
        <v>618</v>
      </c>
      <c r="B278" s="508" t="s">
        <v>266</v>
      </c>
      <c r="C278" s="509">
        <v>0.13</v>
      </c>
      <c r="D278" s="510">
        <v>0.04</v>
      </c>
      <c r="E278" s="511">
        <v>2.1000000000000001E-2</v>
      </c>
      <c r="F278" s="511">
        <v>9.6500000000000002E-2</v>
      </c>
      <c r="G278" s="1">
        <v>1.6500000000000001E-2</v>
      </c>
      <c r="H278" s="1">
        <v>7.5999999999999998E-2</v>
      </c>
      <c r="I278" s="512">
        <v>0.18</v>
      </c>
      <c r="J278" s="512">
        <v>0.04</v>
      </c>
      <c r="K278" s="512">
        <v>0.14000000000000001</v>
      </c>
      <c r="L278" s="512">
        <v>1.4999999999999999E-2</v>
      </c>
      <c r="M278" s="513" t="s">
        <v>175</v>
      </c>
      <c r="N278" s="514">
        <v>25000</v>
      </c>
      <c r="O278" s="119"/>
      <c r="P278" s="119"/>
      <c r="Q278" s="119"/>
      <c r="R278" s="119"/>
      <c r="S278" s="119"/>
      <c r="T278" s="119"/>
      <c r="U278" s="119"/>
      <c r="V278" s="119">
        <v>0.68500000000000005</v>
      </c>
      <c r="W278" s="119"/>
      <c r="X278" s="119">
        <f t="shared" si="198"/>
        <v>0.68500000000000005</v>
      </c>
      <c r="Y278" s="118">
        <f t="shared" si="199"/>
        <v>0.68500000000000005</v>
      </c>
      <c r="Z278" s="109">
        <f t="shared" si="197"/>
        <v>17125</v>
      </c>
      <c r="AA278" s="109">
        <f>'CALCULO GERAL'!$G$10</f>
        <v>6300</v>
      </c>
      <c r="AB278" s="109">
        <f t="shared" si="200"/>
        <v>23425</v>
      </c>
      <c r="AC278" s="109">
        <f>AB278*'CALCULO GERAL'!$C$11</f>
        <v>117570.075</v>
      </c>
      <c r="AD278" s="109">
        <f t="shared" si="201"/>
        <v>15284.10975</v>
      </c>
      <c r="AE278" s="109">
        <f t="shared" si="202"/>
        <v>5314.1673899999996</v>
      </c>
      <c r="AF278" s="109">
        <f t="shared" si="203"/>
        <v>2468.971575</v>
      </c>
      <c r="AG278" s="109">
        <f t="shared" si="204"/>
        <v>11345.512237499999</v>
      </c>
      <c r="AH278" s="109">
        <v>154.22999999999999</v>
      </c>
      <c r="AI278" s="109">
        <f>((AA278*'CALCULO GERAL'!$C$11))*0.08+20</f>
        <v>2549.576</v>
      </c>
      <c r="AJ278" s="109">
        <v>1010</v>
      </c>
      <c r="AK278" s="109">
        <v>2500</v>
      </c>
      <c r="AL278" s="109">
        <f>(AA278*('CALCULO GERAL'!$C$11*1.02))-(AA278*'CALCULO GERAL'!$C$11)</f>
        <v>632.39400000000387</v>
      </c>
      <c r="AM278" s="109">
        <v>1800</v>
      </c>
      <c r="AN278" s="109">
        <v>2600</v>
      </c>
      <c r="AO278" s="109">
        <v>9400</v>
      </c>
      <c r="AP278" s="109">
        <v>1000</v>
      </c>
      <c r="AQ278" s="109">
        <v>0</v>
      </c>
      <c r="AR278" s="109">
        <v>0</v>
      </c>
      <c r="AS278" s="109"/>
      <c r="AT278" s="109">
        <f t="shared" si="188"/>
        <v>173629.03595249998</v>
      </c>
      <c r="AU278" s="111">
        <f t="shared" si="205"/>
        <v>6.9451614380999995</v>
      </c>
      <c r="AV278" s="109">
        <f>IFERROR((BS278*'CALCULO GERAL'!$E$11)/N278,0)</f>
        <v>0.1646232</v>
      </c>
      <c r="AW278" s="109">
        <f>AU278/'CALCULO GERAL'!$C$11</f>
        <v>1.3837739466228332</v>
      </c>
      <c r="AX278" s="109">
        <f>BP278-BB278-BD278*'CALCULO GERAL'!$C$11</f>
        <v>6.5235108830769226</v>
      </c>
      <c r="AY278" s="109">
        <f t="shared" si="206"/>
        <v>0.10763792957076923</v>
      </c>
      <c r="AZ278" s="109">
        <f t="shared" si="207"/>
        <v>0.49578682711384608</v>
      </c>
      <c r="BA278" s="109">
        <f t="shared" si="208"/>
        <v>7.9145769230769218</v>
      </c>
      <c r="BB278" s="109">
        <f t="shared" si="209"/>
        <v>0.11871865384615382</v>
      </c>
      <c r="BC278" s="109">
        <f t="shared" si="210"/>
        <v>7.9145769230769218</v>
      </c>
      <c r="BD278" s="109">
        <f t="shared" si="211"/>
        <v>0.31658307692307686</v>
      </c>
      <c r="BE278" s="109">
        <f t="shared" si="212"/>
        <v>16462.32</v>
      </c>
      <c r="BF278" s="109">
        <f t="shared" si="213"/>
        <v>24693.479999999996</v>
      </c>
      <c r="BG278" s="109">
        <f t="shared" si="214"/>
        <v>8.8896527999999975E-2</v>
      </c>
      <c r="BH278" s="109">
        <f t="shared" si="215"/>
        <v>9.8773920000000001E-2</v>
      </c>
      <c r="BI278" s="109">
        <f t="shared" si="216"/>
        <v>0</v>
      </c>
      <c r="BJ278" s="109">
        <f t="shared" si="217"/>
        <v>1.3910201354538461</v>
      </c>
      <c r="BK278" s="109">
        <f t="shared" si="218"/>
        <v>8.336181573553846</v>
      </c>
      <c r="BL278" s="148">
        <v>0.86</v>
      </c>
      <c r="BM278" s="112">
        <f>ROUND((AW278/BL278)+((AW278*BL278)*'CALCULO GERAL'!$E$11)/BL278,2)</f>
        <v>1.64</v>
      </c>
      <c r="BN278" s="186">
        <f t="shared" si="189"/>
        <v>1.64</v>
      </c>
      <c r="BO278" s="186">
        <f t="shared" si="190"/>
        <v>1.9219999999999999</v>
      </c>
      <c r="BP278" s="109">
        <f>BM278*'CALCULO GERAL'!$C$11</f>
        <v>8.2311599999999991</v>
      </c>
      <c r="BQ278" s="109">
        <f>BO278*'CALCULO GERAL'!$C$11</f>
        <v>9.6465180000000004</v>
      </c>
      <c r="BR278" s="186">
        <f>BN278*'CALCULO GERAL'!$C$11</f>
        <v>8.2311599999999991</v>
      </c>
      <c r="BS278" s="109">
        <f t="shared" si="219"/>
        <v>205778.99999999997</v>
      </c>
      <c r="BT278" s="109">
        <f t="shared" si="303"/>
        <v>32149.964047499991</v>
      </c>
      <c r="BU278" s="109">
        <f t="shared" si="220"/>
        <v>205778.99999999997</v>
      </c>
      <c r="BV278" s="109">
        <f t="shared" si="194"/>
        <v>208404.53933884614</v>
      </c>
      <c r="BW278" s="109">
        <f t="shared" si="191"/>
        <v>-2625.5393388461671</v>
      </c>
      <c r="BX278" s="114">
        <f t="shared" si="221"/>
        <v>-1.27590246762117E-2</v>
      </c>
      <c r="BY278" s="152">
        <f t="shared" si="195"/>
        <v>0.86</v>
      </c>
      <c r="CA278" s="55"/>
      <c r="CB278" s="113"/>
      <c r="CC278" s="113"/>
      <c r="CE278" s="152">
        <f t="shared" si="196"/>
        <v>0</v>
      </c>
      <c r="CF278" s="152">
        <f t="shared" si="192"/>
        <v>1</v>
      </c>
      <c r="CG278" s="152">
        <f t="shared" si="193"/>
        <v>1</v>
      </c>
      <c r="CH278" s="34"/>
      <c r="CJ278" s="11"/>
      <c r="CK278" s="11"/>
    </row>
    <row r="279" spans="1:89" s="152" customFormat="1" x14ac:dyDescent="0.2">
      <c r="A279" s="507" t="s">
        <v>619</v>
      </c>
      <c r="B279" s="508" t="s">
        <v>266</v>
      </c>
      <c r="C279" s="509">
        <v>0.13</v>
      </c>
      <c r="D279" s="510">
        <v>0.04</v>
      </c>
      <c r="E279" s="511">
        <v>2.1000000000000001E-2</v>
      </c>
      <c r="F279" s="511">
        <v>9.6500000000000002E-2</v>
      </c>
      <c r="G279" s="1">
        <v>1.6500000000000001E-2</v>
      </c>
      <c r="H279" s="1">
        <v>7.5999999999999998E-2</v>
      </c>
      <c r="I279" s="512">
        <v>0.18</v>
      </c>
      <c r="J279" s="512">
        <v>0.04</v>
      </c>
      <c r="K279" s="512">
        <v>0.14000000000000001</v>
      </c>
      <c r="L279" s="512">
        <v>1.4999999999999999E-2</v>
      </c>
      <c r="M279" s="513" t="s">
        <v>175</v>
      </c>
      <c r="N279" s="514">
        <v>25000</v>
      </c>
      <c r="O279" s="119"/>
      <c r="P279" s="119"/>
      <c r="Q279" s="119"/>
      <c r="R279" s="119"/>
      <c r="S279" s="119"/>
      <c r="T279" s="119"/>
      <c r="U279" s="119"/>
      <c r="V279" s="119">
        <v>0.68200000000000005</v>
      </c>
      <c r="W279" s="119"/>
      <c r="X279" s="119">
        <f t="shared" si="198"/>
        <v>0.68200000000000005</v>
      </c>
      <c r="Y279" s="118">
        <f t="shared" si="199"/>
        <v>0.68200000000000005</v>
      </c>
      <c r="Z279" s="109">
        <f t="shared" si="197"/>
        <v>17050</v>
      </c>
      <c r="AA279" s="109">
        <f>'CALCULO GERAL'!$G$10</f>
        <v>6300</v>
      </c>
      <c r="AB279" s="109">
        <f t="shared" si="200"/>
        <v>23350</v>
      </c>
      <c r="AC279" s="109">
        <f>AB279*'CALCULO GERAL'!$C$11</f>
        <v>117193.65000000001</v>
      </c>
      <c r="AD279" s="109">
        <f t="shared" si="201"/>
        <v>15235.174500000001</v>
      </c>
      <c r="AE279" s="109">
        <f t="shared" si="202"/>
        <v>5297.1529800000008</v>
      </c>
      <c r="AF279" s="109">
        <f t="shared" si="203"/>
        <v>2461.0666500000002</v>
      </c>
      <c r="AG279" s="109">
        <f t="shared" si="204"/>
        <v>11309.187225000001</v>
      </c>
      <c r="AH279" s="109">
        <v>154.22999999999999</v>
      </c>
      <c r="AI279" s="109">
        <f>((AA279*'CALCULO GERAL'!$C$11))*0.08+20</f>
        <v>2549.576</v>
      </c>
      <c r="AJ279" s="109">
        <v>1010</v>
      </c>
      <c r="AK279" s="109">
        <v>2500</v>
      </c>
      <c r="AL279" s="109">
        <f>(AA279*('CALCULO GERAL'!$C$11*1.02))-(AA279*'CALCULO GERAL'!$C$11)</f>
        <v>632.39400000000387</v>
      </c>
      <c r="AM279" s="109">
        <v>1800</v>
      </c>
      <c r="AN279" s="109">
        <v>2600</v>
      </c>
      <c r="AO279" s="109">
        <v>9400</v>
      </c>
      <c r="AP279" s="109">
        <v>1000</v>
      </c>
      <c r="AQ279" s="109">
        <v>0</v>
      </c>
      <c r="AR279" s="109">
        <v>0</v>
      </c>
      <c r="AS279" s="109"/>
      <c r="AT279" s="109">
        <f t="shared" si="188"/>
        <v>173142.43135500004</v>
      </c>
      <c r="AU279" s="111">
        <f t="shared" si="205"/>
        <v>6.925697254200001</v>
      </c>
      <c r="AV279" s="109">
        <f>IFERROR((BS279*'CALCULO GERAL'!$E$11)/N279,0)</f>
        <v>0.1636194</v>
      </c>
      <c r="AW279" s="109">
        <f>AU279/'CALCULO GERAL'!$C$11</f>
        <v>1.3798958466228335</v>
      </c>
      <c r="AX279" s="109">
        <f>BP279-BB279-BD279*'CALCULO GERAL'!$C$11</f>
        <v>6.4837333776923067</v>
      </c>
      <c r="AY279" s="109">
        <f t="shared" si="206"/>
        <v>0.10698160073192306</v>
      </c>
      <c r="AZ279" s="109">
        <f t="shared" si="207"/>
        <v>0.49276373670461532</v>
      </c>
      <c r="BA279" s="109">
        <f t="shared" si="208"/>
        <v>7.8663173076923076</v>
      </c>
      <c r="BB279" s="109">
        <f t="shared" si="209"/>
        <v>0.11799475961538461</v>
      </c>
      <c r="BC279" s="109">
        <f t="shared" si="210"/>
        <v>7.8663173076923076</v>
      </c>
      <c r="BD279" s="109">
        <f t="shared" si="211"/>
        <v>0.31465269230769233</v>
      </c>
      <c r="BE279" s="109">
        <f t="shared" si="212"/>
        <v>16361.94</v>
      </c>
      <c r="BF279" s="109">
        <f t="shared" si="213"/>
        <v>24542.91</v>
      </c>
      <c r="BG279" s="109">
        <f t="shared" si="214"/>
        <v>8.8354476000000001E-2</v>
      </c>
      <c r="BH279" s="109">
        <f t="shared" si="215"/>
        <v>9.8171640000000004E-2</v>
      </c>
      <c r="BI279" s="109">
        <f t="shared" si="216"/>
        <v>0</v>
      </c>
      <c r="BJ279" s="109">
        <f t="shared" si="217"/>
        <v>1.3825383053596152</v>
      </c>
      <c r="BK279" s="109">
        <f t="shared" si="218"/>
        <v>8.3082355595596162</v>
      </c>
      <c r="BL279" s="148">
        <v>0.86</v>
      </c>
      <c r="BM279" s="112">
        <f>ROUND((AW279/BL279)+((AW279*BL279)*'CALCULO GERAL'!$E$11)/BL279,2)</f>
        <v>1.63</v>
      </c>
      <c r="BN279" s="186">
        <f t="shared" si="189"/>
        <v>1.63</v>
      </c>
      <c r="BO279" s="186">
        <f t="shared" si="190"/>
        <v>1.91</v>
      </c>
      <c r="BP279" s="109">
        <f>BM279*'CALCULO GERAL'!$C$11</f>
        <v>8.1809700000000003</v>
      </c>
      <c r="BQ279" s="109">
        <f>BO279*'CALCULO GERAL'!$C$11</f>
        <v>9.58629</v>
      </c>
      <c r="BR279" s="186">
        <f>BN279*'CALCULO GERAL'!$C$11</f>
        <v>8.1809700000000003</v>
      </c>
      <c r="BS279" s="109">
        <f t="shared" si="219"/>
        <v>204524.25</v>
      </c>
      <c r="BT279" s="109">
        <f t="shared" si="303"/>
        <v>31381.818644999963</v>
      </c>
      <c r="BU279" s="109">
        <f t="shared" si="220"/>
        <v>204524.25</v>
      </c>
      <c r="BV279" s="109">
        <f t="shared" si="194"/>
        <v>207705.88898899039</v>
      </c>
      <c r="BW279" s="109">
        <f t="shared" si="191"/>
        <v>-3181.6389889903949</v>
      </c>
      <c r="BX279" s="114">
        <f t="shared" si="221"/>
        <v>-1.5556292170685847E-2</v>
      </c>
      <c r="BY279" s="152">
        <f t="shared" si="195"/>
        <v>0.86</v>
      </c>
      <c r="CA279" s="55"/>
      <c r="CB279" s="113"/>
      <c r="CC279" s="113"/>
      <c r="CE279" s="152">
        <f t="shared" si="196"/>
        <v>0</v>
      </c>
      <c r="CF279" s="152">
        <f t="shared" si="192"/>
        <v>1</v>
      </c>
      <c r="CG279" s="152">
        <f t="shared" si="193"/>
        <v>1</v>
      </c>
      <c r="CH279" s="34"/>
      <c r="CJ279" s="11"/>
      <c r="CK279" s="11"/>
    </row>
    <row r="280" spans="1:89" s="152" customFormat="1" x14ac:dyDescent="0.2">
      <c r="A280" s="507" t="s">
        <v>620</v>
      </c>
      <c r="B280" s="508" t="s">
        <v>266</v>
      </c>
      <c r="C280" s="509">
        <v>0.13</v>
      </c>
      <c r="D280" s="510">
        <v>0.04</v>
      </c>
      <c r="E280" s="511">
        <v>2.1000000000000001E-2</v>
      </c>
      <c r="F280" s="511">
        <v>9.6500000000000002E-2</v>
      </c>
      <c r="G280" s="1">
        <v>1.6500000000000001E-2</v>
      </c>
      <c r="H280" s="1">
        <v>7.5999999999999998E-2</v>
      </c>
      <c r="I280" s="512">
        <v>0.18</v>
      </c>
      <c r="J280" s="512">
        <v>0.04</v>
      </c>
      <c r="K280" s="512">
        <v>0.14000000000000001</v>
      </c>
      <c r="L280" s="512">
        <v>1.4999999999999999E-2</v>
      </c>
      <c r="M280" s="513" t="s">
        <v>175</v>
      </c>
      <c r="N280" s="514">
        <v>25000</v>
      </c>
      <c r="O280" s="119"/>
      <c r="P280" s="119"/>
      <c r="Q280" s="119"/>
      <c r="R280" s="119"/>
      <c r="S280" s="119"/>
      <c r="T280" s="119"/>
      <c r="U280" s="119"/>
      <c r="V280" s="119">
        <v>0.622</v>
      </c>
      <c r="W280" s="119"/>
      <c r="X280" s="119">
        <f t="shared" si="198"/>
        <v>0.622</v>
      </c>
      <c r="Y280" s="118">
        <f t="shared" si="199"/>
        <v>0.622</v>
      </c>
      <c r="Z280" s="109">
        <f t="shared" si="197"/>
        <v>15550</v>
      </c>
      <c r="AA280" s="109">
        <f>'CALCULO GERAL'!$G$10</f>
        <v>6300</v>
      </c>
      <c r="AB280" s="109">
        <f t="shared" si="200"/>
        <v>21850</v>
      </c>
      <c r="AC280" s="109">
        <f>AB280*'CALCULO GERAL'!$C$11</f>
        <v>109665.15000000001</v>
      </c>
      <c r="AD280" s="109">
        <f t="shared" si="201"/>
        <v>14256.469500000001</v>
      </c>
      <c r="AE280" s="109">
        <f t="shared" si="202"/>
        <v>4956.8647800000008</v>
      </c>
      <c r="AF280" s="109">
        <f t="shared" si="203"/>
        <v>2302.9681500000002</v>
      </c>
      <c r="AG280" s="109">
        <f t="shared" si="204"/>
        <v>10582.686975000001</v>
      </c>
      <c r="AH280" s="109">
        <v>154.22999999999999</v>
      </c>
      <c r="AI280" s="109">
        <f>((AA280*'CALCULO GERAL'!$C$11))*0.08+20</f>
        <v>2549.576</v>
      </c>
      <c r="AJ280" s="109">
        <v>1010</v>
      </c>
      <c r="AK280" s="109">
        <v>2500</v>
      </c>
      <c r="AL280" s="109">
        <f>(AA280*('CALCULO GERAL'!$C$11*1.02))-(AA280*'CALCULO GERAL'!$C$11)</f>
        <v>632.39400000000387</v>
      </c>
      <c r="AM280" s="109">
        <v>1800</v>
      </c>
      <c r="AN280" s="109">
        <v>2600</v>
      </c>
      <c r="AO280" s="109">
        <v>9400</v>
      </c>
      <c r="AP280" s="109">
        <v>1000</v>
      </c>
      <c r="AQ280" s="109">
        <v>0</v>
      </c>
      <c r="AR280" s="109">
        <v>0</v>
      </c>
      <c r="AS280" s="109"/>
      <c r="AT280" s="109">
        <f t="shared" si="188"/>
        <v>163410.33940500001</v>
      </c>
      <c r="AU280" s="111">
        <f t="shared" si="205"/>
        <v>6.5364135762000002</v>
      </c>
      <c r="AV280" s="109">
        <f>IFERROR((BS280*'CALCULO GERAL'!$E$11)/N280,0)</f>
        <v>0.15257760000000001</v>
      </c>
      <c r="AW280" s="109">
        <f>AU280/'CALCULO GERAL'!$C$11</f>
        <v>1.3023338466228331</v>
      </c>
      <c r="AX280" s="109">
        <f>BP280-BB280-BD280*'CALCULO GERAL'!$C$11</f>
        <v>6.0461808184615391</v>
      </c>
      <c r="AY280" s="109">
        <f t="shared" si="206"/>
        <v>9.9761983504615404E-2</v>
      </c>
      <c r="AZ280" s="109">
        <f t="shared" si="207"/>
        <v>0.45950974220307694</v>
      </c>
      <c r="BA280" s="109">
        <f t="shared" si="208"/>
        <v>7.3354615384615389</v>
      </c>
      <c r="BB280" s="109">
        <f t="shared" si="209"/>
        <v>0.11003192307692308</v>
      </c>
      <c r="BC280" s="109">
        <f t="shared" si="210"/>
        <v>7.3354615384615389</v>
      </c>
      <c r="BD280" s="109">
        <f t="shared" si="211"/>
        <v>0.29341846153846157</v>
      </c>
      <c r="BE280" s="109">
        <f t="shared" si="212"/>
        <v>15257.76</v>
      </c>
      <c r="BF280" s="109">
        <f t="shared" si="213"/>
        <v>22886.639999999999</v>
      </c>
      <c r="BG280" s="109">
        <f t="shared" si="214"/>
        <v>8.2391904000000002E-2</v>
      </c>
      <c r="BH280" s="109">
        <f t="shared" si="215"/>
        <v>9.1546559999999985E-2</v>
      </c>
      <c r="BI280" s="109">
        <f t="shared" si="216"/>
        <v>0</v>
      </c>
      <c r="BJ280" s="109">
        <f t="shared" si="217"/>
        <v>1.2892381743230772</v>
      </c>
      <c r="BK280" s="109">
        <f t="shared" si="218"/>
        <v>7.8256517505230772</v>
      </c>
      <c r="BL280" s="148">
        <v>0.87</v>
      </c>
      <c r="BM280" s="112">
        <f>ROUND((AW280/BL280)+((AW280*BL280)*'CALCULO GERAL'!$E$11)/BL280,2)</f>
        <v>1.52</v>
      </c>
      <c r="BN280" s="186">
        <f t="shared" si="189"/>
        <v>1.52</v>
      </c>
      <c r="BO280" s="186">
        <f t="shared" si="190"/>
        <v>1.7809999999999999</v>
      </c>
      <c r="BP280" s="109">
        <f>BM280*'CALCULO GERAL'!$C$11</f>
        <v>7.6288800000000005</v>
      </c>
      <c r="BQ280" s="109">
        <f>BO280*'CALCULO GERAL'!$C$11</f>
        <v>8.9388389999999998</v>
      </c>
      <c r="BR280" s="186">
        <f>BN280*'CALCULO GERAL'!$C$11</f>
        <v>7.6288800000000005</v>
      </c>
      <c r="BS280" s="109">
        <f t="shared" si="219"/>
        <v>190722</v>
      </c>
      <c r="BT280" s="109">
        <f t="shared" si="303"/>
        <v>27311.660594999994</v>
      </c>
      <c r="BU280" s="109">
        <f t="shared" si="220"/>
        <v>190722</v>
      </c>
      <c r="BV280" s="109">
        <f t="shared" si="194"/>
        <v>195641.29376307692</v>
      </c>
      <c r="BW280" s="109">
        <f t="shared" si="191"/>
        <v>-4919.2937630769156</v>
      </c>
      <c r="BX280" s="114">
        <f t="shared" si="221"/>
        <v>-2.5793006381418588E-2</v>
      </c>
      <c r="BY280" s="152">
        <f t="shared" si="195"/>
        <v>0.87</v>
      </c>
      <c r="CA280" s="55"/>
      <c r="CB280" s="113"/>
      <c r="CC280" s="113"/>
      <c r="CE280" s="152">
        <f t="shared" si="196"/>
        <v>0</v>
      </c>
      <c r="CF280" s="152">
        <f t="shared" si="192"/>
        <v>1</v>
      </c>
      <c r="CG280" s="152">
        <f t="shared" si="193"/>
        <v>1</v>
      </c>
      <c r="CH280" s="34"/>
      <c r="CJ280" s="11"/>
      <c r="CK280" s="11"/>
    </row>
    <row r="281" spans="1:89" s="152" customFormat="1" x14ac:dyDescent="0.2">
      <c r="A281" s="507" t="s">
        <v>621</v>
      </c>
      <c r="B281" s="508" t="s">
        <v>266</v>
      </c>
      <c r="C281" s="509">
        <v>0.13</v>
      </c>
      <c r="D281" s="510">
        <v>0.04</v>
      </c>
      <c r="E281" s="511">
        <v>2.1000000000000001E-2</v>
      </c>
      <c r="F281" s="511">
        <v>9.6500000000000002E-2</v>
      </c>
      <c r="G281" s="1">
        <v>1.6500000000000001E-2</v>
      </c>
      <c r="H281" s="1">
        <v>7.5999999999999998E-2</v>
      </c>
      <c r="I281" s="512">
        <v>0.18</v>
      </c>
      <c r="J281" s="512">
        <v>0.04</v>
      </c>
      <c r="K281" s="512">
        <v>0.14000000000000001</v>
      </c>
      <c r="L281" s="512">
        <v>1.4999999999999999E-2</v>
      </c>
      <c r="M281" s="513" t="s">
        <v>175</v>
      </c>
      <c r="N281" s="514">
        <v>25000</v>
      </c>
      <c r="O281" s="119"/>
      <c r="P281" s="119"/>
      <c r="Q281" s="119"/>
      <c r="R281" s="119"/>
      <c r="S281" s="119"/>
      <c r="T281" s="119"/>
      <c r="U281" s="119"/>
      <c r="V281" s="119">
        <v>0.61499999999999999</v>
      </c>
      <c r="W281" s="119"/>
      <c r="X281" s="119">
        <f t="shared" si="198"/>
        <v>0.61499999999999999</v>
      </c>
      <c r="Y281" s="118">
        <f t="shared" si="199"/>
        <v>0.61499999999999999</v>
      </c>
      <c r="Z281" s="109">
        <f t="shared" si="197"/>
        <v>15375</v>
      </c>
      <c r="AA281" s="109">
        <f>'CALCULO GERAL'!$G$10</f>
        <v>6300</v>
      </c>
      <c r="AB281" s="109">
        <f t="shared" si="200"/>
        <v>21675</v>
      </c>
      <c r="AC281" s="109">
        <f>AB281*'CALCULO GERAL'!$C$11</f>
        <v>108786.825</v>
      </c>
      <c r="AD281" s="109">
        <f t="shared" si="201"/>
        <v>14142.287249999999</v>
      </c>
      <c r="AE281" s="109">
        <f t="shared" si="202"/>
        <v>4917.1644900000001</v>
      </c>
      <c r="AF281" s="109">
        <f t="shared" si="203"/>
        <v>2284.5233250000001</v>
      </c>
      <c r="AG281" s="109">
        <f t="shared" si="204"/>
        <v>10497.9286125</v>
      </c>
      <c r="AH281" s="109">
        <v>154.22999999999999</v>
      </c>
      <c r="AI281" s="109">
        <f>((AA281*'CALCULO GERAL'!$C$11))*0.08+20</f>
        <v>2549.576</v>
      </c>
      <c r="AJ281" s="109">
        <v>1010</v>
      </c>
      <c r="AK281" s="109">
        <v>2500</v>
      </c>
      <c r="AL281" s="109">
        <f>(AA281*('CALCULO GERAL'!$C$11*1.02))-(AA281*'CALCULO GERAL'!$C$11)</f>
        <v>632.39400000000387</v>
      </c>
      <c r="AM281" s="109">
        <v>1800</v>
      </c>
      <c r="AN281" s="109">
        <v>2600</v>
      </c>
      <c r="AO281" s="109">
        <v>9400</v>
      </c>
      <c r="AP281" s="109">
        <v>1000</v>
      </c>
      <c r="AQ281" s="109">
        <v>0</v>
      </c>
      <c r="AR281" s="109">
        <v>0</v>
      </c>
      <c r="AS281" s="109"/>
      <c r="AT281" s="109">
        <f t="shared" si="188"/>
        <v>162274.92867749999</v>
      </c>
      <c r="AU281" s="111">
        <f t="shared" si="205"/>
        <v>6.4909971470999999</v>
      </c>
      <c r="AV281" s="109">
        <f>IFERROR((BS281*'CALCULO GERAL'!$E$11)/N281,0)</f>
        <v>0.15358140000000001</v>
      </c>
      <c r="AW281" s="109">
        <f>AU281/'CALCULO GERAL'!$C$11</f>
        <v>1.2932849466228331</v>
      </c>
      <c r="AX281" s="109">
        <f>BP281-BB281-BD281*'CALCULO GERAL'!$C$11</f>
        <v>6.085958323846155</v>
      </c>
      <c r="AY281" s="109">
        <f t="shared" si="206"/>
        <v>0.10041831234346156</v>
      </c>
      <c r="AZ281" s="109">
        <f t="shared" si="207"/>
        <v>0.46253283261230776</v>
      </c>
      <c r="BA281" s="109">
        <f t="shared" si="208"/>
        <v>7.383721153846154</v>
      </c>
      <c r="BB281" s="109">
        <f t="shared" si="209"/>
        <v>0.11075581730769231</v>
      </c>
      <c r="BC281" s="109">
        <f t="shared" si="210"/>
        <v>7.383721153846154</v>
      </c>
      <c r="BD281" s="109">
        <f t="shared" si="211"/>
        <v>0.29534884615384616</v>
      </c>
      <c r="BE281" s="109">
        <f t="shared" si="212"/>
        <v>15358.14</v>
      </c>
      <c r="BF281" s="109">
        <f t="shared" si="213"/>
        <v>23037.21</v>
      </c>
      <c r="BG281" s="109">
        <f t="shared" si="214"/>
        <v>8.2933956000000003E-2</v>
      </c>
      <c r="BH281" s="109">
        <f t="shared" si="215"/>
        <v>9.2148839999999996E-2</v>
      </c>
      <c r="BI281" s="109">
        <f t="shared" si="216"/>
        <v>0</v>
      </c>
      <c r="BJ281" s="109">
        <f t="shared" si="217"/>
        <v>1.2977200044173078</v>
      </c>
      <c r="BK281" s="109">
        <f t="shared" si="218"/>
        <v>7.7887171515173073</v>
      </c>
      <c r="BL281" s="148">
        <v>0.86</v>
      </c>
      <c r="BM281" s="112">
        <f>ROUND((AW281/BL281)+((AW281*BL281)*'CALCULO GERAL'!$E$11)/BL281,2)</f>
        <v>1.53</v>
      </c>
      <c r="BN281" s="186">
        <f t="shared" si="189"/>
        <v>1.53</v>
      </c>
      <c r="BO281" s="186">
        <f t="shared" si="190"/>
        <v>1.7929999999999999</v>
      </c>
      <c r="BP281" s="109">
        <f>BM281*'CALCULO GERAL'!$C$11</f>
        <v>7.6790700000000003</v>
      </c>
      <c r="BQ281" s="109">
        <f>BO281*'CALCULO GERAL'!$C$11</f>
        <v>8.9990670000000001</v>
      </c>
      <c r="BR281" s="186">
        <f>BN281*'CALCULO GERAL'!$C$11</f>
        <v>7.6790700000000003</v>
      </c>
      <c r="BS281" s="109">
        <f t="shared" si="219"/>
        <v>191976.75</v>
      </c>
      <c r="BT281" s="109">
        <f t="shared" si="303"/>
        <v>29701.821322500007</v>
      </c>
      <c r="BU281" s="109">
        <f t="shared" si="220"/>
        <v>191976.75</v>
      </c>
      <c r="BV281" s="109">
        <f t="shared" si="194"/>
        <v>194717.92878793267</v>
      </c>
      <c r="BW281" s="109">
        <f t="shared" si="191"/>
        <v>-2741.178787932673</v>
      </c>
      <c r="BX281" s="114">
        <f t="shared" si="221"/>
        <v>-1.427870191537607E-2</v>
      </c>
      <c r="BY281" s="152">
        <f t="shared" si="195"/>
        <v>0.86</v>
      </c>
      <c r="CA281" s="55"/>
      <c r="CB281" s="113"/>
      <c r="CC281" s="113"/>
      <c r="CE281" s="152">
        <f t="shared" si="196"/>
        <v>0</v>
      </c>
      <c r="CF281" s="152">
        <f t="shared" si="192"/>
        <v>1</v>
      </c>
      <c r="CG281" s="152">
        <f t="shared" si="193"/>
        <v>1</v>
      </c>
      <c r="CH281" s="34"/>
      <c r="CJ281" s="11"/>
      <c r="CK281" s="11"/>
    </row>
    <row r="282" spans="1:89" s="152" customFormat="1" x14ac:dyDescent="0.2">
      <c r="A282" s="507" t="s">
        <v>622</v>
      </c>
      <c r="B282" s="508" t="s">
        <v>266</v>
      </c>
      <c r="C282" s="509">
        <v>0.13</v>
      </c>
      <c r="D282" s="510">
        <v>0.04</v>
      </c>
      <c r="E282" s="511">
        <v>2.1000000000000001E-2</v>
      </c>
      <c r="F282" s="511">
        <v>9.6500000000000002E-2</v>
      </c>
      <c r="G282" s="1">
        <v>1.6500000000000001E-2</v>
      </c>
      <c r="H282" s="1">
        <v>7.5999999999999998E-2</v>
      </c>
      <c r="I282" s="512">
        <v>0.18</v>
      </c>
      <c r="J282" s="512">
        <v>0.04</v>
      </c>
      <c r="K282" s="512">
        <v>0.14000000000000001</v>
      </c>
      <c r="L282" s="512">
        <v>1.4999999999999999E-2</v>
      </c>
      <c r="M282" s="513" t="s">
        <v>175</v>
      </c>
      <c r="N282" s="514">
        <v>25000</v>
      </c>
      <c r="O282" s="119"/>
      <c r="P282" s="119"/>
      <c r="Q282" s="119"/>
      <c r="R282" s="119"/>
      <c r="S282" s="119"/>
      <c r="T282" s="119"/>
      <c r="U282" s="119"/>
      <c r="V282" s="119">
        <v>0.61199999999999999</v>
      </c>
      <c r="W282" s="119"/>
      <c r="X282" s="119">
        <f t="shared" si="198"/>
        <v>0.61199999999999999</v>
      </c>
      <c r="Y282" s="118">
        <f t="shared" si="199"/>
        <v>0.61199999999999999</v>
      </c>
      <c r="Z282" s="109">
        <f t="shared" si="197"/>
        <v>15300</v>
      </c>
      <c r="AA282" s="109">
        <f>'CALCULO GERAL'!$G$10</f>
        <v>6300</v>
      </c>
      <c r="AB282" s="109">
        <f t="shared" si="200"/>
        <v>21600</v>
      </c>
      <c r="AC282" s="109">
        <f>AB282*'CALCULO GERAL'!$C$11</f>
        <v>108410.40000000001</v>
      </c>
      <c r="AD282" s="109">
        <f t="shared" si="201"/>
        <v>14093.352000000001</v>
      </c>
      <c r="AE282" s="109">
        <f t="shared" si="202"/>
        <v>4900.1500800000003</v>
      </c>
      <c r="AF282" s="109">
        <f t="shared" si="203"/>
        <v>2276.6184000000003</v>
      </c>
      <c r="AG282" s="109">
        <f t="shared" si="204"/>
        <v>10461.6036</v>
      </c>
      <c r="AH282" s="109">
        <v>154.22999999999999</v>
      </c>
      <c r="AI282" s="109">
        <f>((AA282*'CALCULO GERAL'!$C$11))*0.08+20</f>
        <v>2549.576</v>
      </c>
      <c r="AJ282" s="109">
        <v>1010</v>
      </c>
      <c r="AK282" s="109">
        <v>2500</v>
      </c>
      <c r="AL282" s="109">
        <f>(AA282*('CALCULO GERAL'!$C$11*1.02))-(AA282*'CALCULO GERAL'!$C$11)</f>
        <v>632.39400000000387</v>
      </c>
      <c r="AM282" s="109">
        <v>1800</v>
      </c>
      <c r="AN282" s="109">
        <v>2600</v>
      </c>
      <c r="AO282" s="109">
        <v>9400</v>
      </c>
      <c r="AP282" s="109">
        <v>1000</v>
      </c>
      <c r="AQ282" s="109">
        <v>0</v>
      </c>
      <c r="AR282" s="109">
        <v>0</v>
      </c>
      <c r="AS282" s="109"/>
      <c r="AT282" s="109">
        <f t="shared" ref="AT282:AT329" si="304">SUM(AC282:AS282)</f>
        <v>161788.32408000002</v>
      </c>
      <c r="AU282" s="111">
        <f t="shared" si="205"/>
        <v>6.4715329632000005</v>
      </c>
      <c r="AV282" s="109">
        <f>IFERROR((BS282*'CALCULO GERAL'!$E$11)/N282,0)</f>
        <v>0.15358140000000001</v>
      </c>
      <c r="AW282" s="109">
        <f>AU282/'CALCULO GERAL'!$C$11</f>
        <v>1.2894068466228332</v>
      </c>
      <c r="AX282" s="109">
        <f>BP282-BB282-BD282*'CALCULO GERAL'!$C$11</f>
        <v>6.085958323846155</v>
      </c>
      <c r="AY282" s="109">
        <f t="shared" si="206"/>
        <v>0.10041831234346156</v>
      </c>
      <c r="AZ282" s="109">
        <f t="shared" si="207"/>
        <v>0.46253283261230776</v>
      </c>
      <c r="BA282" s="109">
        <f t="shared" si="208"/>
        <v>7.383721153846154</v>
      </c>
      <c r="BB282" s="109">
        <f t="shared" si="209"/>
        <v>0.11075581730769231</v>
      </c>
      <c r="BC282" s="109">
        <f t="shared" si="210"/>
        <v>7.383721153846154</v>
      </c>
      <c r="BD282" s="109">
        <f t="shared" si="211"/>
        <v>0.29534884615384616</v>
      </c>
      <c r="BE282" s="109">
        <f t="shared" si="212"/>
        <v>15358.14</v>
      </c>
      <c r="BF282" s="109">
        <f t="shared" si="213"/>
        <v>23037.21</v>
      </c>
      <c r="BG282" s="109">
        <f t="shared" si="214"/>
        <v>8.2933956000000003E-2</v>
      </c>
      <c r="BH282" s="109">
        <f t="shared" si="215"/>
        <v>9.2148839999999996E-2</v>
      </c>
      <c r="BI282" s="109">
        <f t="shared" si="216"/>
        <v>0</v>
      </c>
      <c r="BJ282" s="109">
        <f t="shared" si="217"/>
        <v>1.2977200044173078</v>
      </c>
      <c r="BK282" s="109">
        <f t="shared" si="218"/>
        <v>7.7692529676173088</v>
      </c>
      <c r="BL282" s="148">
        <v>0.86</v>
      </c>
      <c r="BM282" s="112">
        <f>ROUND((AW282/BL282)+((AW282*BL282)*'CALCULO GERAL'!$E$11)/BL282,2)</f>
        <v>1.53</v>
      </c>
      <c r="BN282" s="186">
        <f t="shared" ref="BN282:BN329" si="305">BM282</f>
        <v>1.53</v>
      </c>
      <c r="BO282" s="186">
        <f t="shared" ref="BO282:BO329" si="306">ROUND(FV(0.02,8,,BN282)*-1,3)</f>
        <v>1.7929999999999999</v>
      </c>
      <c r="BP282" s="109">
        <f>BM282*'CALCULO GERAL'!$C$11</f>
        <v>7.6790700000000003</v>
      </c>
      <c r="BQ282" s="109">
        <f>BO282*'CALCULO GERAL'!$C$11</f>
        <v>8.9990670000000001</v>
      </c>
      <c r="BR282" s="186">
        <f>BN282*'CALCULO GERAL'!$C$11</f>
        <v>7.6790700000000003</v>
      </c>
      <c r="BS282" s="109">
        <f t="shared" si="219"/>
        <v>191976.75</v>
      </c>
      <c r="BT282" s="109">
        <f t="shared" si="303"/>
        <v>30188.42591999998</v>
      </c>
      <c r="BU282" s="109">
        <f t="shared" si="220"/>
        <v>191976.75</v>
      </c>
      <c r="BV282" s="109">
        <f t="shared" si="194"/>
        <v>194231.32419043273</v>
      </c>
      <c r="BW282" s="109">
        <f t="shared" ref="BW282:BW329" si="307">BS282-BV282</f>
        <v>-2254.5741904327297</v>
      </c>
      <c r="BX282" s="114">
        <f t="shared" si="221"/>
        <v>-1.1743996033023424E-2</v>
      </c>
      <c r="BY282" s="152">
        <f t="shared" si="195"/>
        <v>0.86</v>
      </c>
      <c r="CA282" s="55"/>
      <c r="CB282" s="113"/>
      <c r="CC282" s="113"/>
      <c r="CE282" s="152">
        <f t="shared" si="196"/>
        <v>0</v>
      </c>
      <c r="CF282" s="152">
        <f t="shared" ref="CF282:CF329" si="308">100%-CE282</f>
        <v>1</v>
      </c>
      <c r="CG282" s="152">
        <f t="shared" ref="CG282:CG329" si="309">AVERAGE(CF282,CD282)</f>
        <v>1</v>
      </c>
      <c r="CH282" s="34"/>
      <c r="CJ282" s="11"/>
      <c r="CK282" s="11"/>
    </row>
    <row r="283" spans="1:89" s="152" customFormat="1" x14ac:dyDescent="0.2">
      <c r="A283" s="507" t="s">
        <v>623</v>
      </c>
      <c r="B283" s="508" t="s">
        <v>266</v>
      </c>
      <c r="C283" s="509">
        <v>0.13</v>
      </c>
      <c r="D283" s="510">
        <v>0.04</v>
      </c>
      <c r="E283" s="511">
        <v>2.1000000000000001E-2</v>
      </c>
      <c r="F283" s="511">
        <v>9.6500000000000002E-2</v>
      </c>
      <c r="G283" s="1">
        <v>1.6500000000000001E-2</v>
      </c>
      <c r="H283" s="1">
        <v>7.5999999999999998E-2</v>
      </c>
      <c r="I283" s="512">
        <v>0.18</v>
      </c>
      <c r="J283" s="512">
        <v>0.04</v>
      </c>
      <c r="K283" s="512">
        <v>0.14000000000000001</v>
      </c>
      <c r="L283" s="512">
        <v>1.4999999999999999E-2</v>
      </c>
      <c r="M283" s="513" t="s">
        <v>175</v>
      </c>
      <c r="N283" s="514">
        <v>25000</v>
      </c>
      <c r="O283" s="119"/>
      <c r="P283" s="119"/>
      <c r="Q283" s="119"/>
      <c r="R283" s="119"/>
      <c r="S283" s="119"/>
      <c r="T283" s="119"/>
      <c r="U283" s="119"/>
      <c r="V283" s="119">
        <v>0.69399999999999995</v>
      </c>
      <c r="W283" s="119"/>
      <c r="X283" s="119">
        <f t="shared" si="198"/>
        <v>0.69399999999999995</v>
      </c>
      <c r="Y283" s="118">
        <f t="shared" si="199"/>
        <v>0.69399999999999995</v>
      </c>
      <c r="Z283" s="109">
        <f t="shared" si="197"/>
        <v>17350</v>
      </c>
      <c r="AA283" s="109">
        <f>'CALCULO GERAL'!$G$10</f>
        <v>6300</v>
      </c>
      <c r="AB283" s="109">
        <f t="shared" si="200"/>
        <v>23650</v>
      </c>
      <c r="AC283" s="109">
        <f>AB283*'CALCULO GERAL'!$C$11</f>
        <v>118699.35</v>
      </c>
      <c r="AD283" s="109">
        <f t="shared" si="201"/>
        <v>15430.915500000001</v>
      </c>
      <c r="AE283" s="109">
        <f t="shared" si="202"/>
        <v>5365.2106200000007</v>
      </c>
      <c r="AF283" s="109">
        <f t="shared" si="203"/>
        <v>2492.6863500000004</v>
      </c>
      <c r="AG283" s="109">
        <f t="shared" si="204"/>
        <v>11454.487275000001</v>
      </c>
      <c r="AH283" s="109">
        <v>154.22999999999999</v>
      </c>
      <c r="AI283" s="109">
        <f>((AA283*'CALCULO GERAL'!$C$11))*0.08+20</f>
        <v>2549.576</v>
      </c>
      <c r="AJ283" s="109">
        <v>1010</v>
      </c>
      <c r="AK283" s="109">
        <v>2500</v>
      </c>
      <c r="AL283" s="109">
        <f>(AA283*('CALCULO GERAL'!$C$11*1.02))-(AA283*'CALCULO GERAL'!$C$11)</f>
        <v>632.39400000000387</v>
      </c>
      <c r="AM283" s="109">
        <v>1800</v>
      </c>
      <c r="AN283" s="109">
        <v>2600</v>
      </c>
      <c r="AO283" s="109">
        <v>9400</v>
      </c>
      <c r="AP283" s="109">
        <v>1000</v>
      </c>
      <c r="AQ283" s="109">
        <v>0</v>
      </c>
      <c r="AR283" s="109">
        <v>0</v>
      </c>
      <c r="AS283" s="109"/>
      <c r="AT283" s="109">
        <f t="shared" si="304"/>
        <v>175088.84974500001</v>
      </c>
      <c r="AU283" s="111">
        <f t="shared" si="205"/>
        <v>7.0035539898000003</v>
      </c>
      <c r="AV283" s="109">
        <f>IFERROR((BS283*'CALCULO GERAL'!$E$11)/N283,0)</f>
        <v>0.1636194</v>
      </c>
      <c r="AW283" s="109">
        <f>AU283/'CALCULO GERAL'!$C$11</f>
        <v>1.3954082466228332</v>
      </c>
      <c r="AX283" s="109">
        <f>BP283-BB283-BD283*'CALCULO GERAL'!$C$11</f>
        <v>6.4837333776923067</v>
      </c>
      <c r="AY283" s="109">
        <f t="shared" si="206"/>
        <v>0.10698160073192306</v>
      </c>
      <c r="AZ283" s="109">
        <f t="shared" si="207"/>
        <v>0.49276373670461532</v>
      </c>
      <c r="BA283" s="109">
        <f t="shared" si="208"/>
        <v>7.8663173076923076</v>
      </c>
      <c r="BB283" s="109">
        <f t="shared" si="209"/>
        <v>0.11799475961538461</v>
      </c>
      <c r="BC283" s="109">
        <f t="shared" si="210"/>
        <v>7.8663173076923076</v>
      </c>
      <c r="BD283" s="109">
        <f t="shared" si="211"/>
        <v>0.31465269230769233</v>
      </c>
      <c r="BE283" s="109">
        <f t="shared" si="212"/>
        <v>16361.94</v>
      </c>
      <c r="BF283" s="109">
        <f t="shared" si="213"/>
        <v>24542.91</v>
      </c>
      <c r="BG283" s="109">
        <f t="shared" si="214"/>
        <v>8.8354476000000001E-2</v>
      </c>
      <c r="BH283" s="109">
        <f t="shared" si="215"/>
        <v>9.8171640000000004E-2</v>
      </c>
      <c r="BI283" s="109">
        <f t="shared" si="216"/>
        <v>0</v>
      </c>
      <c r="BJ283" s="109">
        <f t="shared" si="217"/>
        <v>1.3825383053596152</v>
      </c>
      <c r="BK283" s="109">
        <f t="shared" si="218"/>
        <v>8.3860922951596155</v>
      </c>
      <c r="BL283" s="148">
        <v>0.87</v>
      </c>
      <c r="BM283" s="112">
        <f>ROUND((AW283/BL283)+((AW283*BL283)*'CALCULO GERAL'!$E$11)/BL283,2)</f>
        <v>1.63</v>
      </c>
      <c r="BN283" s="186">
        <f t="shared" si="305"/>
        <v>1.63</v>
      </c>
      <c r="BO283" s="186">
        <f t="shared" si="306"/>
        <v>1.91</v>
      </c>
      <c r="BP283" s="109">
        <f>BM283*'CALCULO GERAL'!$C$11</f>
        <v>8.1809700000000003</v>
      </c>
      <c r="BQ283" s="109">
        <f>BO283*'CALCULO GERAL'!$C$11</f>
        <v>9.58629</v>
      </c>
      <c r="BR283" s="186">
        <f>BN283*'CALCULO GERAL'!$C$11</f>
        <v>8.1809700000000003</v>
      </c>
      <c r="BS283" s="109">
        <f t="shared" si="219"/>
        <v>204524.25</v>
      </c>
      <c r="BT283" s="109">
        <f t="shared" si="303"/>
        <v>29435.400254999986</v>
      </c>
      <c r="BU283" s="109">
        <f t="shared" si="220"/>
        <v>204524.25</v>
      </c>
      <c r="BV283" s="109">
        <f t="shared" ref="BV283:BV329" si="310">BK283*N283</f>
        <v>209652.3073789904</v>
      </c>
      <c r="BW283" s="109">
        <f t="shared" si="307"/>
        <v>-5128.057378990401</v>
      </c>
      <c r="BX283" s="114">
        <f t="shared" si="221"/>
        <v>-2.5073101986636797E-2</v>
      </c>
      <c r="BY283" s="152">
        <f t="shared" si="195"/>
        <v>0.87</v>
      </c>
      <c r="CA283" s="55"/>
      <c r="CB283" s="113"/>
      <c r="CC283" s="113"/>
      <c r="CE283" s="152">
        <f t="shared" si="196"/>
        <v>0</v>
      </c>
      <c r="CF283" s="152">
        <f t="shared" si="308"/>
        <v>1</v>
      </c>
      <c r="CG283" s="152">
        <f t="shared" si="309"/>
        <v>1</v>
      </c>
      <c r="CH283" s="34"/>
      <c r="CJ283" s="11"/>
      <c r="CK283" s="11"/>
    </row>
    <row r="284" spans="1:89" s="152" customFormat="1" x14ac:dyDescent="0.2">
      <c r="A284" s="507" t="s">
        <v>624</v>
      </c>
      <c r="B284" s="508" t="s">
        <v>266</v>
      </c>
      <c r="C284" s="509">
        <v>0.13</v>
      </c>
      <c r="D284" s="510">
        <v>0.04</v>
      </c>
      <c r="E284" s="511">
        <v>2.1000000000000001E-2</v>
      </c>
      <c r="F284" s="511">
        <v>9.6500000000000002E-2</v>
      </c>
      <c r="G284" s="1">
        <v>1.6500000000000001E-2</v>
      </c>
      <c r="H284" s="1">
        <v>7.5999999999999998E-2</v>
      </c>
      <c r="I284" s="512">
        <v>0.18</v>
      </c>
      <c r="J284" s="512">
        <v>0.04</v>
      </c>
      <c r="K284" s="512">
        <v>0.14000000000000001</v>
      </c>
      <c r="L284" s="512">
        <v>1.4999999999999999E-2</v>
      </c>
      <c r="M284" s="513" t="s">
        <v>175</v>
      </c>
      <c r="N284" s="514">
        <v>25000</v>
      </c>
      <c r="O284" s="119"/>
      <c r="P284" s="119"/>
      <c r="Q284" s="119"/>
      <c r="R284" s="119"/>
      <c r="S284" s="119"/>
      <c r="T284" s="119"/>
      <c r="U284" s="119"/>
      <c r="V284" s="119">
        <v>0.67300000000000004</v>
      </c>
      <c r="W284" s="119"/>
      <c r="X284" s="119">
        <f>MIN(O284:W284)</f>
        <v>0.67300000000000004</v>
      </c>
      <c r="Y284" s="118">
        <f>AVERAGE(O284:W284)</f>
        <v>0.67300000000000004</v>
      </c>
      <c r="Z284" s="109">
        <f>X284*N284</f>
        <v>16825</v>
      </c>
      <c r="AA284" s="109">
        <f>'CALCULO GERAL'!$G$10</f>
        <v>6300</v>
      </c>
      <c r="AB284" s="109">
        <f>Z284+AA284</f>
        <v>23125</v>
      </c>
      <c r="AC284" s="109">
        <f>AB284*'CALCULO GERAL'!$C$11</f>
        <v>116064.375</v>
      </c>
      <c r="AD284" s="109">
        <f>AC284*C284</f>
        <v>15088.36875</v>
      </c>
      <c r="AE284" s="109">
        <f>(AC284+AD284)*D284</f>
        <v>5246.1097499999996</v>
      </c>
      <c r="AF284" s="109">
        <f>AC284*E284</f>
        <v>2437.3518750000003</v>
      </c>
      <c r="AG284" s="109">
        <f>AC284*F284</f>
        <v>11200.212187500001</v>
      </c>
      <c r="AH284" s="109">
        <v>154.22999999999999</v>
      </c>
      <c r="AI284" s="109">
        <f>((AA284*'CALCULO GERAL'!$C$11))*0.08+20</f>
        <v>2549.576</v>
      </c>
      <c r="AJ284" s="109">
        <v>1010</v>
      </c>
      <c r="AK284" s="109">
        <v>2500</v>
      </c>
      <c r="AL284" s="109">
        <f>(AA284*('CALCULO GERAL'!$C$11*1.02))-(AA284*'CALCULO GERAL'!$C$11)</f>
        <v>632.39400000000387</v>
      </c>
      <c r="AM284" s="109">
        <v>1800</v>
      </c>
      <c r="AN284" s="109">
        <v>2600</v>
      </c>
      <c r="AO284" s="109">
        <v>9400</v>
      </c>
      <c r="AP284" s="109">
        <v>1000</v>
      </c>
      <c r="AQ284" s="109">
        <v>0</v>
      </c>
      <c r="AR284" s="109">
        <v>0</v>
      </c>
      <c r="AS284" s="109"/>
      <c r="AT284" s="109">
        <f>SUM(AC284:AS284)</f>
        <v>171682.6175625</v>
      </c>
      <c r="AU284" s="111">
        <f>IFERROR((AT284/N284),0)</f>
        <v>6.8673047025000002</v>
      </c>
      <c r="AV284" s="109">
        <f>IFERROR((BS284*'CALCULO GERAL'!$E$11)/N284,0)</f>
        <v>0.160608</v>
      </c>
      <c r="AW284" s="109">
        <f>AU284/'CALCULO GERAL'!$C$11</f>
        <v>1.3682615466228332</v>
      </c>
      <c r="AX284" s="109">
        <f>BP284-BB284-BD284*'CALCULO GERAL'!$C$11</f>
        <v>6.3644008615384617</v>
      </c>
      <c r="AY284" s="109">
        <f>AX284*G284</f>
        <v>0.10501261421538462</v>
      </c>
      <c r="AZ284" s="109">
        <f>AX284*H284</f>
        <v>0.48369446547692307</v>
      </c>
      <c r="BA284" s="109">
        <f>BP284-BD284</f>
        <v>7.7215384615384615</v>
      </c>
      <c r="BB284" s="109">
        <f>BA284*L284</f>
        <v>0.11582307692307692</v>
      </c>
      <c r="BC284" s="109">
        <f>BP284/(1+D284)</f>
        <v>7.7215384615384615</v>
      </c>
      <c r="BD284" s="109">
        <f>BC284*D284</f>
        <v>0.30886153846153847</v>
      </c>
      <c r="BE284" s="109">
        <f>BU284*0.08</f>
        <v>16060.800000000001</v>
      </c>
      <c r="BF284" s="109">
        <f>BU284*0.12</f>
        <v>24091.200000000001</v>
      </c>
      <c r="BG284" s="109">
        <f>(BF284*0.09)/N284</f>
        <v>8.6728319999999998E-2</v>
      </c>
      <c r="BH284" s="109">
        <f>(BE284*0.15)/N284</f>
        <v>9.63648E-2</v>
      </c>
      <c r="BI284" s="109">
        <f>IF(BE284&gt;=$BY$1,($BY$1-BE284)*0.1,IF(BE284&lt;=$BY$1,($BY$1*0)))/N284</f>
        <v>0</v>
      </c>
      <c r="BJ284" s="109">
        <f>(AY284+AZ284+BB284+AV284+BD284+BG284+BH284+BI284)</f>
        <v>1.357092815076923</v>
      </c>
      <c r="BK284" s="109">
        <f>BJ284+AU284</f>
        <v>8.2243975175769233</v>
      </c>
      <c r="BL284" s="148">
        <v>0.87</v>
      </c>
      <c r="BM284" s="112">
        <f>ROUND((AW284/BL284)+((AW284*BL284)*'CALCULO GERAL'!$E$11)/BL284,2)</f>
        <v>1.6</v>
      </c>
      <c r="BN284" s="186">
        <f>BM284</f>
        <v>1.6</v>
      </c>
      <c r="BO284" s="186">
        <f>ROUND(FV(0.02,8,,BN284)*-1,3)</f>
        <v>1.875</v>
      </c>
      <c r="BP284" s="109">
        <f>BM284*'CALCULO GERAL'!$C$11</f>
        <v>8.0304000000000002</v>
      </c>
      <c r="BQ284" s="109">
        <f>BO284*'CALCULO GERAL'!$C$11</f>
        <v>9.4106249999999996</v>
      </c>
      <c r="BR284" s="186">
        <f>BN284*'CALCULO GERAL'!$C$11</f>
        <v>8.0304000000000002</v>
      </c>
      <c r="BS284" s="109">
        <f>BP284*N284</f>
        <v>200760</v>
      </c>
      <c r="BT284" s="109">
        <f t="shared" si="303"/>
        <v>29077.382437499997</v>
      </c>
      <c r="BU284" s="109">
        <f>BR284*N284</f>
        <v>200760</v>
      </c>
      <c r="BV284" s="109">
        <f>BK284*N284</f>
        <v>205609.93793942308</v>
      </c>
      <c r="BW284" s="109">
        <f>BS284-BV284</f>
        <v>-4849.9379394230782</v>
      </c>
      <c r="BX284" s="114">
        <f>(((BK284*N284)-BS284)/BS284*-1)</f>
        <v>-2.4157889716193856E-2</v>
      </c>
      <c r="BY284" s="152">
        <f>ROUND(BL284,2)</f>
        <v>0.87</v>
      </c>
      <c r="CA284" s="55"/>
      <c r="CB284" s="113"/>
      <c r="CC284" s="113"/>
      <c r="CE284" s="152">
        <f>CC284/BY284</f>
        <v>0</v>
      </c>
      <c r="CF284" s="152">
        <f>100%-CE284</f>
        <v>1</v>
      </c>
      <c r="CG284" s="152">
        <f>AVERAGE(CF284,CD284)</f>
        <v>1</v>
      </c>
      <c r="CH284" s="34"/>
      <c r="CJ284" s="11"/>
      <c r="CK284" s="11"/>
    </row>
    <row r="285" spans="1:89" s="152" customFormat="1" x14ac:dyDescent="0.2">
      <c r="A285" s="507" t="s">
        <v>625</v>
      </c>
      <c r="B285" s="508" t="s">
        <v>266</v>
      </c>
      <c r="C285" s="509">
        <v>0.13</v>
      </c>
      <c r="D285" s="510">
        <v>0.04</v>
      </c>
      <c r="E285" s="511">
        <v>2.1000000000000001E-2</v>
      </c>
      <c r="F285" s="511">
        <v>9.6500000000000002E-2</v>
      </c>
      <c r="G285" s="1">
        <v>1.6500000000000001E-2</v>
      </c>
      <c r="H285" s="1">
        <v>7.5999999999999998E-2</v>
      </c>
      <c r="I285" s="512">
        <v>0.18</v>
      </c>
      <c r="J285" s="512">
        <v>0.04</v>
      </c>
      <c r="K285" s="512">
        <v>0.14000000000000001</v>
      </c>
      <c r="L285" s="512">
        <v>1.4999999999999999E-2</v>
      </c>
      <c r="M285" s="513" t="s">
        <v>175</v>
      </c>
      <c r="N285" s="514">
        <v>25000</v>
      </c>
      <c r="O285" s="119"/>
      <c r="P285" s="119"/>
      <c r="Q285" s="119"/>
      <c r="R285" s="119"/>
      <c r="S285" s="119"/>
      <c r="T285" s="119"/>
      <c r="U285" s="119"/>
      <c r="V285" s="119">
        <v>0.67300000000000004</v>
      </c>
      <c r="W285" s="119"/>
      <c r="X285" s="119">
        <f>MIN(O285:W285)</f>
        <v>0.67300000000000004</v>
      </c>
      <c r="Y285" s="118">
        <f t="shared" si="199"/>
        <v>0.67300000000000004</v>
      </c>
      <c r="Z285" s="109">
        <f t="shared" si="197"/>
        <v>16825</v>
      </c>
      <c r="AA285" s="109">
        <f>'CALCULO GERAL'!$G$10</f>
        <v>6300</v>
      </c>
      <c r="AB285" s="109">
        <f t="shared" si="200"/>
        <v>23125</v>
      </c>
      <c r="AC285" s="109">
        <f>AB285*'CALCULO GERAL'!$C$11</f>
        <v>116064.375</v>
      </c>
      <c r="AD285" s="109">
        <f t="shared" si="201"/>
        <v>15088.36875</v>
      </c>
      <c r="AE285" s="109">
        <f t="shared" si="202"/>
        <v>5246.1097499999996</v>
      </c>
      <c r="AF285" s="109">
        <f t="shared" si="203"/>
        <v>2437.3518750000003</v>
      </c>
      <c r="AG285" s="109">
        <f t="shared" si="204"/>
        <v>11200.212187500001</v>
      </c>
      <c r="AH285" s="109">
        <v>154.22999999999999</v>
      </c>
      <c r="AI285" s="109">
        <f>((AA285*'CALCULO GERAL'!$C$11))*0.08+20</f>
        <v>2549.576</v>
      </c>
      <c r="AJ285" s="109">
        <v>1010</v>
      </c>
      <c r="AK285" s="109">
        <v>2500</v>
      </c>
      <c r="AL285" s="109">
        <f>(AA285*('CALCULO GERAL'!$C$11*1.02))-(AA285*'CALCULO GERAL'!$C$11)</f>
        <v>632.39400000000387</v>
      </c>
      <c r="AM285" s="109">
        <v>1800</v>
      </c>
      <c r="AN285" s="109">
        <v>2600</v>
      </c>
      <c r="AO285" s="109">
        <v>9400</v>
      </c>
      <c r="AP285" s="109">
        <v>1000</v>
      </c>
      <c r="AQ285" s="109">
        <v>0</v>
      </c>
      <c r="AR285" s="109">
        <v>0</v>
      </c>
      <c r="AS285" s="109"/>
      <c r="AT285" s="109">
        <f t="shared" si="304"/>
        <v>171682.6175625</v>
      </c>
      <c r="AU285" s="111">
        <f t="shared" si="205"/>
        <v>6.8673047025000002</v>
      </c>
      <c r="AV285" s="109">
        <f>IFERROR((BS285*'CALCULO GERAL'!$E$11)/N285,0)</f>
        <v>0.160608</v>
      </c>
      <c r="AW285" s="109">
        <f>AU285/'CALCULO GERAL'!$C$11</f>
        <v>1.3682615466228332</v>
      </c>
      <c r="AX285" s="109">
        <f>BP285-BB285-BD285*'CALCULO GERAL'!$C$11</f>
        <v>6.3644008615384617</v>
      </c>
      <c r="AY285" s="109">
        <f t="shared" si="206"/>
        <v>0.10501261421538462</v>
      </c>
      <c r="AZ285" s="109">
        <f t="shared" si="207"/>
        <v>0.48369446547692307</v>
      </c>
      <c r="BA285" s="109">
        <f t="shared" si="208"/>
        <v>7.7215384615384615</v>
      </c>
      <c r="BB285" s="109">
        <f t="shared" si="209"/>
        <v>0.11582307692307692</v>
      </c>
      <c r="BC285" s="109">
        <f t="shared" si="210"/>
        <v>7.7215384615384615</v>
      </c>
      <c r="BD285" s="109">
        <f t="shared" si="211"/>
        <v>0.30886153846153847</v>
      </c>
      <c r="BE285" s="109">
        <f t="shared" si="212"/>
        <v>16060.800000000001</v>
      </c>
      <c r="BF285" s="109">
        <f t="shared" si="213"/>
        <v>24091.200000000001</v>
      </c>
      <c r="BG285" s="109">
        <f t="shared" si="214"/>
        <v>8.6728319999999998E-2</v>
      </c>
      <c r="BH285" s="109">
        <f t="shared" si="215"/>
        <v>9.63648E-2</v>
      </c>
      <c r="BI285" s="109">
        <f t="shared" si="216"/>
        <v>0</v>
      </c>
      <c r="BJ285" s="109">
        <f t="shared" si="217"/>
        <v>1.357092815076923</v>
      </c>
      <c r="BK285" s="109">
        <f t="shared" si="218"/>
        <v>8.2243975175769233</v>
      </c>
      <c r="BL285" s="148">
        <v>0.87</v>
      </c>
      <c r="BM285" s="112">
        <f>ROUND((AW285/BL285)+((AW285*BL285)*'CALCULO GERAL'!$E$11)/BL285,2)</f>
        <v>1.6</v>
      </c>
      <c r="BN285" s="186">
        <f t="shared" si="305"/>
        <v>1.6</v>
      </c>
      <c r="BO285" s="186">
        <f t="shared" si="306"/>
        <v>1.875</v>
      </c>
      <c r="BP285" s="109">
        <f>BM285*'CALCULO GERAL'!$C$11</f>
        <v>8.0304000000000002</v>
      </c>
      <c r="BQ285" s="109">
        <f>BO285*'CALCULO GERAL'!$C$11</f>
        <v>9.4106249999999996</v>
      </c>
      <c r="BR285" s="186">
        <f>BN285*'CALCULO GERAL'!$C$11</f>
        <v>8.0304000000000002</v>
      </c>
      <c r="BS285" s="109">
        <f t="shared" si="219"/>
        <v>200760</v>
      </c>
      <c r="BT285" s="109">
        <f t="shared" si="303"/>
        <v>29077.382437499997</v>
      </c>
      <c r="BU285" s="109">
        <f t="shared" si="220"/>
        <v>200760</v>
      </c>
      <c r="BV285" s="109">
        <f t="shared" si="310"/>
        <v>205609.93793942308</v>
      </c>
      <c r="BW285" s="109">
        <f t="shared" si="307"/>
        <v>-4849.9379394230782</v>
      </c>
      <c r="BX285" s="114">
        <f t="shared" si="221"/>
        <v>-2.4157889716193856E-2</v>
      </c>
      <c r="BY285" s="152">
        <f t="shared" si="195"/>
        <v>0.87</v>
      </c>
      <c r="CA285" s="55"/>
      <c r="CB285" s="113"/>
      <c r="CC285" s="113"/>
      <c r="CE285" s="152">
        <f t="shared" si="196"/>
        <v>0</v>
      </c>
      <c r="CF285" s="152">
        <f t="shared" si="308"/>
        <v>1</v>
      </c>
      <c r="CG285" s="152">
        <f t="shared" si="309"/>
        <v>1</v>
      </c>
      <c r="CH285" s="34"/>
      <c r="CJ285" s="11"/>
      <c r="CK285" s="11"/>
    </row>
    <row r="286" spans="1:89" s="152" customFormat="1" x14ac:dyDescent="0.2">
      <c r="A286" s="507" t="s">
        <v>626</v>
      </c>
      <c r="B286" s="508" t="s">
        <v>266</v>
      </c>
      <c r="C286" s="509">
        <v>0.13</v>
      </c>
      <c r="D286" s="510">
        <v>0.04</v>
      </c>
      <c r="E286" s="511">
        <v>2.1000000000000001E-2</v>
      </c>
      <c r="F286" s="511">
        <v>9.6500000000000002E-2</v>
      </c>
      <c r="G286" s="1">
        <v>1.6500000000000001E-2</v>
      </c>
      <c r="H286" s="1">
        <v>7.5999999999999998E-2</v>
      </c>
      <c r="I286" s="512">
        <v>0.18</v>
      </c>
      <c r="J286" s="512">
        <v>0.04</v>
      </c>
      <c r="K286" s="512">
        <v>0.14000000000000001</v>
      </c>
      <c r="L286" s="512">
        <v>1.4999999999999999E-2</v>
      </c>
      <c r="M286" s="513" t="s">
        <v>175</v>
      </c>
      <c r="N286" s="514">
        <v>25000</v>
      </c>
      <c r="O286" s="119"/>
      <c r="P286" s="119"/>
      <c r="Q286" s="119"/>
      <c r="R286" s="119"/>
      <c r="S286" s="119"/>
      <c r="T286" s="119"/>
      <c r="U286" s="119"/>
      <c r="V286" s="119">
        <v>0.879</v>
      </c>
      <c r="W286" s="119"/>
      <c r="X286" s="119">
        <f t="shared" si="198"/>
        <v>0.879</v>
      </c>
      <c r="Y286" s="118">
        <f t="shared" si="199"/>
        <v>0.879</v>
      </c>
      <c r="Z286" s="109">
        <f t="shared" si="197"/>
        <v>21975</v>
      </c>
      <c r="AA286" s="109">
        <f>'CALCULO GERAL'!$G$10</f>
        <v>6300</v>
      </c>
      <c r="AB286" s="109">
        <f t="shared" si="200"/>
        <v>28275</v>
      </c>
      <c r="AC286" s="109">
        <f>AB286*'CALCULO GERAL'!$C$11</f>
        <v>141912.22500000001</v>
      </c>
      <c r="AD286" s="109">
        <f t="shared" si="201"/>
        <v>18448.589250000001</v>
      </c>
      <c r="AE286" s="109">
        <f t="shared" si="202"/>
        <v>6414.4325699999999</v>
      </c>
      <c r="AF286" s="109">
        <f t="shared" si="203"/>
        <v>2980.1567250000003</v>
      </c>
      <c r="AG286" s="109">
        <f t="shared" si="204"/>
        <v>13694.529712500002</v>
      </c>
      <c r="AH286" s="109">
        <v>154.22999999999999</v>
      </c>
      <c r="AI286" s="109">
        <f>((AA286*'CALCULO GERAL'!$C$11))*0.08+20</f>
        <v>2549.576</v>
      </c>
      <c r="AJ286" s="109">
        <v>1010</v>
      </c>
      <c r="AK286" s="109">
        <v>2500</v>
      </c>
      <c r="AL286" s="109">
        <f>(AA286*('CALCULO GERAL'!$C$11*1.02))-(AA286*'CALCULO GERAL'!$C$11)</f>
        <v>632.39400000000387</v>
      </c>
      <c r="AM286" s="109">
        <v>1800</v>
      </c>
      <c r="AN286" s="109">
        <v>2600</v>
      </c>
      <c r="AO286" s="109">
        <v>9400</v>
      </c>
      <c r="AP286" s="109">
        <v>1000</v>
      </c>
      <c r="AQ286" s="109">
        <v>0</v>
      </c>
      <c r="AR286" s="109">
        <v>0</v>
      </c>
      <c r="AS286" s="109"/>
      <c r="AT286" s="109">
        <f t="shared" si="304"/>
        <v>205096.13325750001</v>
      </c>
      <c r="AU286" s="111">
        <f t="shared" si="205"/>
        <v>8.2038453303000001</v>
      </c>
      <c r="AV286" s="109">
        <f>IFERROR((BS286*'CALCULO GERAL'!$E$11)/N286,0)</f>
        <v>0.19172580000000003</v>
      </c>
      <c r="AW286" s="109">
        <f>AU286/'CALCULO GERAL'!$C$11</f>
        <v>1.6345577466228332</v>
      </c>
      <c r="AX286" s="109">
        <f>BP286-BB286-BD286*'CALCULO GERAL'!$C$11</f>
        <v>7.5975035284615373</v>
      </c>
      <c r="AY286" s="109">
        <f t="shared" si="206"/>
        <v>0.12535880821961537</v>
      </c>
      <c r="AZ286" s="109">
        <f t="shared" si="207"/>
        <v>0.57741026816307683</v>
      </c>
      <c r="BA286" s="109">
        <f t="shared" si="208"/>
        <v>9.2175865384615392</v>
      </c>
      <c r="BB286" s="109">
        <f t="shared" si="209"/>
        <v>0.13826379807692307</v>
      </c>
      <c r="BC286" s="109">
        <f t="shared" si="210"/>
        <v>9.2175865384615374</v>
      </c>
      <c r="BD286" s="109">
        <f t="shared" si="211"/>
        <v>0.36870346153846151</v>
      </c>
      <c r="BE286" s="109">
        <f t="shared" si="212"/>
        <v>19172.580000000002</v>
      </c>
      <c r="BF286" s="109">
        <f t="shared" si="213"/>
        <v>28758.87</v>
      </c>
      <c r="BG286" s="109">
        <f t="shared" si="214"/>
        <v>0.10353193199999999</v>
      </c>
      <c r="BH286" s="109">
        <f t="shared" si="215"/>
        <v>0.11503548000000001</v>
      </c>
      <c r="BI286" s="109">
        <f t="shared" si="216"/>
        <v>0</v>
      </c>
      <c r="BJ286" s="109">
        <f t="shared" si="217"/>
        <v>1.6200295479980764</v>
      </c>
      <c r="BK286" s="109">
        <f t="shared" si="218"/>
        <v>9.823874878298076</v>
      </c>
      <c r="BL286" s="148">
        <v>0.87</v>
      </c>
      <c r="BM286" s="112">
        <f>ROUND((AW286/BL286)+((AW286*BL286)*'CALCULO GERAL'!$E$11)/BL286,2)</f>
        <v>1.91</v>
      </c>
      <c r="BN286" s="186">
        <f t="shared" si="305"/>
        <v>1.91</v>
      </c>
      <c r="BO286" s="186">
        <f t="shared" si="306"/>
        <v>2.238</v>
      </c>
      <c r="BP286" s="109">
        <f>BM286*'CALCULO GERAL'!$C$11</f>
        <v>9.58629</v>
      </c>
      <c r="BQ286" s="109">
        <f>BO286*'CALCULO GERAL'!$C$11</f>
        <v>11.232521999999999</v>
      </c>
      <c r="BR286" s="186">
        <f>BN286*'CALCULO GERAL'!$C$11</f>
        <v>9.58629</v>
      </c>
      <c r="BS286" s="109">
        <f t="shared" si="219"/>
        <v>239657.25</v>
      </c>
      <c r="BT286" s="109">
        <f t="shared" si="303"/>
        <v>34561.116742499988</v>
      </c>
      <c r="BU286" s="109">
        <f t="shared" si="220"/>
        <v>239657.25</v>
      </c>
      <c r="BV286" s="109">
        <f t="shared" si="310"/>
        <v>245596.87195745189</v>
      </c>
      <c r="BW286" s="109">
        <f t="shared" si="307"/>
        <v>-5939.6219574518909</v>
      </c>
      <c r="BX286" s="114">
        <f t="shared" si="221"/>
        <v>-2.4783819214531967E-2</v>
      </c>
      <c r="BY286" s="152">
        <f t="shared" si="195"/>
        <v>0.87</v>
      </c>
      <c r="CA286" s="55"/>
      <c r="CB286" s="113"/>
      <c r="CC286" s="113"/>
      <c r="CE286" s="152">
        <f t="shared" si="196"/>
        <v>0</v>
      </c>
      <c r="CF286" s="152">
        <f t="shared" si="308"/>
        <v>1</v>
      </c>
      <c r="CG286" s="152">
        <f t="shared" si="309"/>
        <v>1</v>
      </c>
      <c r="CH286" s="34"/>
      <c r="CJ286" s="11"/>
      <c r="CK286" s="11"/>
    </row>
    <row r="287" spans="1:89" s="152" customFormat="1" x14ac:dyDescent="0.2">
      <c r="A287" s="507" t="s">
        <v>627</v>
      </c>
      <c r="B287" s="508" t="s">
        <v>266</v>
      </c>
      <c r="C287" s="509">
        <v>0.13</v>
      </c>
      <c r="D287" s="510">
        <v>0.04</v>
      </c>
      <c r="E287" s="511">
        <v>2.1000000000000001E-2</v>
      </c>
      <c r="F287" s="511">
        <v>9.6500000000000002E-2</v>
      </c>
      <c r="G287" s="1">
        <v>1.6500000000000001E-2</v>
      </c>
      <c r="H287" s="1">
        <v>7.5999999999999998E-2</v>
      </c>
      <c r="I287" s="512">
        <v>0.18</v>
      </c>
      <c r="J287" s="512">
        <v>0.04</v>
      </c>
      <c r="K287" s="512">
        <v>0.14000000000000001</v>
      </c>
      <c r="L287" s="512">
        <v>1.4999999999999999E-2</v>
      </c>
      <c r="M287" s="513" t="s">
        <v>175</v>
      </c>
      <c r="N287" s="514">
        <v>25000</v>
      </c>
      <c r="O287" s="119"/>
      <c r="P287" s="119"/>
      <c r="Q287" s="119"/>
      <c r="R287" s="119"/>
      <c r="S287" s="119"/>
      <c r="T287" s="119"/>
      <c r="U287" s="119"/>
      <c r="V287" s="119">
        <v>0.77100000000000002</v>
      </c>
      <c r="W287" s="119"/>
      <c r="X287" s="119">
        <f t="shared" si="198"/>
        <v>0.77100000000000002</v>
      </c>
      <c r="Y287" s="118">
        <f t="shared" si="199"/>
        <v>0.77100000000000002</v>
      </c>
      <c r="Z287" s="109">
        <f t="shared" si="197"/>
        <v>19275</v>
      </c>
      <c r="AA287" s="109">
        <f>'CALCULO GERAL'!$G$10</f>
        <v>6300</v>
      </c>
      <c r="AB287" s="109">
        <f t="shared" si="200"/>
        <v>25575</v>
      </c>
      <c r="AC287" s="109">
        <f>AB287*'CALCULO GERAL'!$C$11</f>
        <v>128360.925</v>
      </c>
      <c r="AD287" s="109">
        <f t="shared" si="201"/>
        <v>16686.920249999999</v>
      </c>
      <c r="AE287" s="109">
        <f t="shared" si="202"/>
        <v>5801.9138100000009</v>
      </c>
      <c r="AF287" s="109">
        <f t="shared" si="203"/>
        <v>2695.5794250000004</v>
      </c>
      <c r="AG287" s="109">
        <f t="shared" si="204"/>
        <v>12386.829262500001</v>
      </c>
      <c r="AH287" s="109">
        <v>154.22999999999999</v>
      </c>
      <c r="AI287" s="109">
        <f>((AA287*'CALCULO GERAL'!$C$11))*0.08+20</f>
        <v>2549.576</v>
      </c>
      <c r="AJ287" s="109">
        <v>1010</v>
      </c>
      <c r="AK287" s="109">
        <v>2500</v>
      </c>
      <c r="AL287" s="109">
        <f>(AA287*('CALCULO GERAL'!$C$11*1.02))-(AA287*'CALCULO GERAL'!$C$11)</f>
        <v>632.39400000000387</v>
      </c>
      <c r="AM287" s="109">
        <v>1800</v>
      </c>
      <c r="AN287" s="109">
        <v>2600</v>
      </c>
      <c r="AO287" s="109">
        <v>9400</v>
      </c>
      <c r="AP287" s="109">
        <v>1000</v>
      </c>
      <c r="AQ287" s="109">
        <v>0</v>
      </c>
      <c r="AR287" s="109">
        <v>0</v>
      </c>
      <c r="AS287" s="109"/>
      <c r="AT287" s="109">
        <f t="shared" si="304"/>
        <v>187578.36774750001</v>
      </c>
      <c r="AU287" s="111">
        <f t="shared" si="205"/>
        <v>7.5031347099000003</v>
      </c>
      <c r="AV287" s="109">
        <f>IFERROR((BS287*'CALCULO GERAL'!$E$11)/N287,0)</f>
        <v>0.17566500000000004</v>
      </c>
      <c r="AW287" s="109">
        <f>AU287/'CALCULO GERAL'!$C$11</f>
        <v>1.4949461466228333</v>
      </c>
      <c r="AX287" s="109">
        <f>BP287-BB287-BD287*'CALCULO GERAL'!$C$11</f>
        <v>6.961063442307692</v>
      </c>
      <c r="AY287" s="109">
        <f t="shared" si="206"/>
        <v>0.11485754679807693</v>
      </c>
      <c r="AZ287" s="109">
        <f t="shared" si="207"/>
        <v>0.52904082161538457</v>
      </c>
      <c r="BA287" s="109">
        <f t="shared" si="208"/>
        <v>8.4454326923076923</v>
      </c>
      <c r="BB287" s="109">
        <f t="shared" si="209"/>
        <v>0.12668149038461538</v>
      </c>
      <c r="BC287" s="109">
        <f t="shared" si="210"/>
        <v>8.4454326923076923</v>
      </c>
      <c r="BD287" s="109">
        <f t="shared" si="211"/>
        <v>0.33781730769230772</v>
      </c>
      <c r="BE287" s="109">
        <f t="shared" si="212"/>
        <v>17566.500000000004</v>
      </c>
      <c r="BF287" s="109">
        <f t="shared" si="213"/>
        <v>26349.750000000004</v>
      </c>
      <c r="BG287" s="109">
        <f t="shared" si="214"/>
        <v>9.4859100000000016E-2</v>
      </c>
      <c r="BH287" s="109">
        <f t="shared" si="215"/>
        <v>0.10539900000000002</v>
      </c>
      <c r="BI287" s="109">
        <f t="shared" si="216"/>
        <v>0</v>
      </c>
      <c r="BJ287" s="109">
        <f t="shared" si="217"/>
        <v>1.4843202664903847</v>
      </c>
      <c r="BK287" s="109">
        <f t="shared" si="218"/>
        <v>8.987454976390385</v>
      </c>
      <c r="BL287" s="148">
        <v>0.87</v>
      </c>
      <c r="BM287" s="112">
        <f>ROUND((AW287/BL287)+((AW287*BL287)*'CALCULO GERAL'!$E$11)/BL287,2)</f>
        <v>1.75</v>
      </c>
      <c r="BN287" s="186">
        <f t="shared" si="305"/>
        <v>1.75</v>
      </c>
      <c r="BO287" s="186">
        <f t="shared" si="306"/>
        <v>2.0499999999999998</v>
      </c>
      <c r="BP287" s="109">
        <f>BM287*'CALCULO GERAL'!$C$11</f>
        <v>8.7832500000000007</v>
      </c>
      <c r="BQ287" s="109">
        <f>BO287*'CALCULO GERAL'!$C$11</f>
        <v>10.28895</v>
      </c>
      <c r="BR287" s="186">
        <f>BN287*'CALCULO GERAL'!$C$11</f>
        <v>8.7832500000000007</v>
      </c>
      <c r="BS287" s="109">
        <f t="shared" si="219"/>
        <v>219581.25000000003</v>
      </c>
      <c r="BT287" s="109">
        <f t="shared" si="303"/>
        <v>32002.882252500014</v>
      </c>
      <c r="BU287" s="109">
        <f t="shared" si="220"/>
        <v>219581.25000000003</v>
      </c>
      <c r="BV287" s="109">
        <f t="shared" si="310"/>
        <v>224686.37440975962</v>
      </c>
      <c r="BW287" s="109">
        <f t="shared" si="307"/>
        <v>-5105.1244097595918</v>
      </c>
      <c r="BX287" s="114">
        <f t="shared" si="221"/>
        <v>-2.3249364004256243E-2</v>
      </c>
      <c r="BY287" s="152">
        <f t="shared" si="195"/>
        <v>0.87</v>
      </c>
      <c r="CA287" s="55"/>
      <c r="CB287" s="113"/>
      <c r="CC287" s="113"/>
      <c r="CE287" s="152">
        <f t="shared" si="196"/>
        <v>0</v>
      </c>
      <c r="CF287" s="152">
        <f t="shared" si="308"/>
        <v>1</v>
      </c>
      <c r="CG287" s="152">
        <f t="shared" si="309"/>
        <v>1</v>
      </c>
      <c r="CH287" s="34"/>
      <c r="CJ287" s="11"/>
      <c r="CK287" s="11"/>
    </row>
    <row r="288" spans="1:89" s="152" customFormat="1" x14ac:dyDescent="0.2">
      <c r="A288" s="507" t="s">
        <v>628</v>
      </c>
      <c r="B288" s="508" t="s">
        <v>266</v>
      </c>
      <c r="C288" s="509">
        <v>0.13</v>
      </c>
      <c r="D288" s="510">
        <v>0.04</v>
      </c>
      <c r="E288" s="511">
        <v>2.1000000000000001E-2</v>
      </c>
      <c r="F288" s="511">
        <v>9.6500000000000002E-2</v>
      </c>
      <c r="G288" s="1">
        <v>1.6500000000000001E-2</v>
      </c>
      <c r="H288" s="1">
        <v>7.5999999999999998E-2</v>
      </c>
      <c r="I288" s="512">
        <v>0.18</v>
      </c>
      <c r="J288" s="512">
        <v>0.04</v>
      </c>
      <c r="K288" s="512">
        <v>0.14000000000000001</v>
      </c>
      <c r="L288" s="512">
        <v>1.4999999999999999E-2</v>
      </c>
      <c r="M288" s="513" t="s">
        <v>175</v>
      </c>
      <c r="N288" s="514">
        <v>25000</v>
      </c>
      <c r="O288" s="119"/>
      <c r="P288" s="119"/>
      <c r="Q288" s="119"/>
      <c r="R288" s="119"/>
      <c r="S288" s="119"/>
      <c r="T288" s="119"/>
      <c r="U288" s="119"/>
      <c r="V288" s="119">
        <v>0.745</v>
      </c>
      <c r="W288" s="119"/>
      <c r="X288" s="119">
        <f t="shared" si="198"/>
        <v>0.745</v>
      </c>
      <c r="Y288" s="118">
        <f t="shared" si="199"/>
        <v>0.745</v>
      </c>
      <c r="Z288" s="109">
        <f t="shared" si="197"/>
        <v>18625</v>
      </c>
      <c r="AA288" s="109">
        <f>'CALCULO GERAL'!$G$10</f>
        <v>6300</v>
      </c>
      <c r="AB288" s="109">
        <f t="shared" si="200"/>
        <v>24925</v>
      </c>
      <c r="AC288" s="109">
        <f>AB288*'CALCULO GERAL'!$C$11</f>
        <v>125098.575</v>
      </c>
      <c r="AD288" s="109">
        <f t="shared" si="201"/>
        <v>16262.81475</v>
      </c>
      <c r="AE288" s="109">
        <f t="shared" si="202"/>
        <v>5654.4555900000005</v>
      </c>
      <c r="AF288" s="109">
        <f t="shared" si="203"/>
        <v>2627.0700750000001</v>
      </c>
      <c r="AG288" s="109">
        <f t="shared" si="204"/>
        <v>12072.0124875</v>
      </c>
      <c r="AH288" s="109">
        <v>154.22999999999999</v>
      </c>
      <c r="AI288" s="109">
        <f>((AA288*'CALCULO GERAL'!$C$11))*0.08+20</f>
        <v>2549.576</v>
      </c>
      <c r="AJ288" s="109">
        <v>1010</v>
      </c>
      <c r="AK288" s="109">
        <v>2500</v>
      </c>
      <c r="AL288" s="109">
        <f>(AA288*('CALCULO GERAL'!$C$11*1.02))-(AA288*'CALCULO GERAL'!$C$11)</f>
        <v>632.39400000000387</v>
      </c>
      <c r="AM288" s="109">
        <v>1800</v>
      </c>
      <c r="AN288" s="109">
        <v>2600</v>
      </c>
      <c r="AO288" s="109">
        <v>9400</v>
      </c>
      <c r="AP288" s="109">
        <v>1000</v>
      </c>
      <c r="AQ288" s="109">
        <v>0</v>
      </c>
      <c r="AR288" s="109">
        <v>0</v>
      </c>
      <c r="AS288" s="109"/>
      <c r="AT288" s="109">
        <f t="shared" si="304"/>
        <v>183361.12790250001</v>
      </c>
      <c r="AU288" s="111">
        <f t="shared" si="205"/>
        <v>7.3344451161000004</v>
      </c>
      <c r="AV288" s="109">
        <f>IFERROR((BS288*'CALCULO GERAL'!$E$11)/N288,0)</f>
        <v>0.17365740000000002</v>
      </c>
      <c r="AW288" s="109">
        <f>AU288/'CALCULO GERAL'!$C$11</f>
        <v>1.4613359466228333</v>
      </c>
      <c r="AX288" s="109">
        <f>BP288-BB288-BD288*'CALCULO GERAL'!$C$11</f>
        <v>6.8815084315384603</v>
      </c>
      <c r="AY288" s="109">
        <f t="shared" si="206"/>
        <v>0.1135448891203846</v>
      </c>
      <c r="AZ288" s="109">
        <f t="shared" si="207"/>
        <v>0.52299464079692293</v>
      </c>
      <c r="BA288" s="109">
        <f t="shared" si="208"/>
        <v>8.3489134615384604</v>
      </c>
      <c r="BB288" s="109">
        <f t="shared" si="209"/>
        <v>0.1252337019230769</v>
      </c>
      <c r="BC288" s="109">
        <f t="shared" si="210"/>
        <v>8.3489134615384604</v>
      </c>
      <c r="BD288" s="109">
        <f t="shared" si="211"/>
        <v>0.33395653846153844</v>
      </c>
      <c r="BE288" s="109">
        <f t="shared" si="212"/>
        <v>17365.740000000002</v>
      </c>
      <c r="BF288" s="109">
        <f t="shared" si="213"/>
        <v>26048.61</v>
      </c>
      <c r="BG288" s="109">
        <f t="shared" si="214"/>
        <v>9.3774995999999985E-2</v>
      </c>
      <c r="BH288" s="109">
        <f t="shared" si="215"/>
        <v>0.10419444000000001</v>
      </c>
      <c r="BI288" s="109">
        <f t="shared" si="216"/>
        <v>0</v>
      </c>
      <c r="BJ288" s="109">
        <f t="shared" si="217"/>
        <v>1.467356606301923</v>
      </c>
      <c r="BK288" s="109">
        <f t="shared" si="218"/>
        <v>8.8018017224019225</v>
      </c>
      <c r="BL288" s="148">
        <v>0.86</v>
      </c>
      <c r="BM288" s="112">
        <f>ROUND((AW288/BL288)+((AW288*BL288)*'CALCULO GERAL'!$E$11)/BL288,2)</f>
        <v>1.73</v>
      </c>
      <c r="BN288" s="186">
        <f t="shared" si="305"/>
        <v>1.73</v>
      </c>
      <c r="BO288" s="186">
        <f t="shared" si="306"/>
        <v>2.0270000000000001</v>
      </c>
      <c r="BP288" s="109">
        <f>BM288*'CALCULO GERAL'!$C$11</f>
        <v>8.6828699999999994</v>
      </c>
      <c r="BQ288" s="109">
        <f>BO288*'CALCULO GERAL'!$C$11</f>
        <v>10.173513000000002</v>
      </c>
      <c r="BR288" s="186">
        <f>BN288*'CALCULO GERAL'!$C$11</f>
        <v>8.6828699999999994</v>
      </c>
      <c r="BS288" s="109">
        <f t="shared" si="219"/>
        <v>217071.75</v>
      </c>
      <c r="BT288" s="109">
        <f t="shared" si="303"/>
        <v>33710.622097499989</v>
      </c>
      <c r="BU288" s="109">
        <f t="shared" si="220"/>
        <v>217071.75</v>
      </c>
      <c r="BV288" s="109">
        <f t="shared" si="310"/>
        <v>220045.04306004808</v>
      </c>
      <c r="BW288" s="109">
        <f t="shared" si="307"/>
        <v>-2973.2930600480759</v>
      </c>
      <c r="BX288" s="114">
        <f t="shared" si="221"/>
        <v>-1.3697282396479854E-2</v>
      </c>
      <c r="BY288" s="152">
        <f t="shared" si="195"/>
        <v>0.86</v>
      </c>
      <c r="CA288" s="55"/>
      <c r="CB288" s="113"/>
      <c r="CC288" s="113"/>
      <c r="CE288" s="152">
        <f t="shared" si="196"/>
        <v>0</v>
      </c>
      <c r="CF288" s="152">
        <f t="shared" si="308"/>
        <v>1</v>
      </c>
      <c r="CG288" s="152">
        <f t="shared" si="309"/>
        <v>1</v>
      </c>
      <c r="CH288" s="34"/>
      <c r="CJ288" s="11"/>
      <c r="CK288" s="11"/>
    </row>
    <row r="289" spans="1:89" s="152" customFormat="1" x14ac:dyDescent="0.2">
      <c r="A289" s="507" t="s">
        <v>629</v>
      </c>
      <c r="B289" s="508" t="s">
        <v>266</v>
      </c>
      <c r="C289" s="509">
        <v>0.13</v>
      </c>
      <c r="D289" s="510">
        <v>0.04</v>
      </c>
      <c r="E289" s="511">
        <v>2.1000000000000001E-2</v>
      </c>
      <c r="F289" s="511">
        <v>9.6500000000000002E-2</v>
      </c>
      <c r="G289" s="1">
        <v>1.6500000000000001E-2</v>
      </c>
      <c r="H289" s="1">
        <v>7.5999999999999998E-2</v>
      </c>
      <c r="I289" s="512">
        <v>0.18</v>
      </c>
      <c r="J289" s="512">
        <v>0.04</v>
      </c>
      <c r="K289" s="512">
        <v>0.14000000000000001</v>
      </c>
      <c r="L289" s="512">
        <v>1.4999999999999999E-2</v>
      </c>
      <c r="M289" s="513" t="s">
        <v>175</v>
      </c>
      <c r="N289" s="514">
        <v>25000</v>
      </c>
      <c r="O289" s="119"/>
      <c r="P289" s="119"/>
      <c r="Q289" s="119"/>
      <c r="R289" s="119"/>
      <c r="S289" s="119"/>
      <c r="T289" s="119"/>
      <c r="U289" s="119"/>
      <c r="V289" s="119">
        <v>1.095</v>
      </c>
      <c r="W289" s="119"/>
      <c r="X289" s="119">
        <f t="shared" si="198"/>
        <v>1.095</v>
      </c>
      <c r="Y289" s="118">
        <f t="shared" si="199"/>
        <v>1.095</v>
      </c>
      <c r="Z289" s="109">
        <f t="shared" si="197"/>
        <v>27375</v>
      </c>
      <c r="AA289" s="109">
        <f>'CALCULO GERAL'!$G$10</f>
        <v>6300</v>
      </c>
      <c r="AB289" s="109">
        <f t="shared" si="200"/>
        <v>33675</v>
      </c>
      <c r="AC289" s="109">
        <f>AB289*'CALCULO GERAL'!$C$11</f>
        <v>169014.82500000001</v>
      </c>
      <c r="AD289" s="109">
        <f t="shared" si="201"/>
        <v>21971.927250000001</v>
      </c>
      <c r="AE289" s="109">
        <f t="shared" si="202"/>
        <v>7639.4700900000007</v>
      </c>
      <c r="AF289" s="109">
        <f t="shared" si="203"/>
        <v>3549.3113250000006</v>
      </c>
      <c r="AG289" s="109">
        <f t="shared" si="204"/>
        <v>16309.930612500002</v>
      </c>
      <c r="AH289" s="109">
        <v>154.22999999999999</v>
      </c>
      <c r="AI289" s="109">
        <f>((AA289*'CALCULO GERAL'!$C$11))*0.08+20</f>
        <v>2549.576</v>
      </c>
      <c r="AJ289" s="109">
        <v>1010</v>
      </c>
      <c r="AK289" s="109">
        <v>2500</v>
      </c>
      <c r="AL289" s="109">
        <f>(AA289*('CALCULO GERAL'!$C$11*1.02))-(AA289*'CALCULO GERAL'!$C$11)</f>
        <v>632.39400000000387</v>
      </c>
      <c r="AM289" s="109">
        <v>1800</v>
      </c>
      <c r="AN289" s="109">
        <v>2600</v>
      </c>
      <c r="AO289" s="109">
        <v>9400</v>
      </c>
      <c r="AP289" s="109">
        <v>1000</v>
      </c>
      <c r="AQ289" s="109">
        <v>0</v>
      </c>
      <c r="AR289" s="109">
        <v>0</v>
      </c>
      <c r="AS289" s="109"/>
      <c r="AT289" s="109">
        <f t="shared" si="304"/>
        <v>240131.66427750001</v>
      </c>
      <c r="AU289" s="111">
        <f t="shared" si="205"/>
        <v>9.6052665710999996</v>
      </c>
      <c r="AV289" s="109">
        <f>IFERROR((BS289*'CALCULO GERAL'!$E$11)/N289,0)</f>
        <v>0.2248512</v>
      </c>
      <c r="AW289" s="109">
        <f>AU289/'CALCULO GERAL'!$C$11</f>
        <v>1.913780946622833</v>
      </c>
      <c r="AX289" s="109">
        <f>BP289-BB289-BD289*'CALCULO GERAL'!$C$11</f>
        <v>8.9101612061538464</v>
      </c>
      <c r="AY289" s="109">
        <f t="shared" si="206"/>
        <v>0.14701765990153848</v>
      </c>
      <c r="AZ289" s="109">
        <f t="shared" si="207"/>
        <v>0.67717225166769235</v>
      </c>
      <c r="BA289" s="109">
        <f t="shared" si="208"/>
        <v>10.810153846153847</v>
      </c>
      <c r="BB289" s="109">
        <f t="shared" si="209"/>
        <v>0.16215230769230771</v>
      </c>
      <c r="BC289" s="109">
        <f t="shared" si="210"/>
        <v>10.810153846153847</v>
      </c>
      <c r="BD289" s="109">
        <f t="shared" si="211"/>
        <v>0.43240615384615388</v>
      </c>
      <c r="BE289" s="109">
        <f t="shared" si="212"/>
        <v>22485.119999999999</v>
      </c>
      <c r="BF289" s="109">
        <f t="shared" si="213"/>
        <v>33727.68</v>
      </c>
      <c r="BG289" s="109">
        <f t="shared" si="214"/>
        <v>0.12141964799999999</v>
      </c>
      <c r="BH289" s="109">
        <f t="shared" si="215"/>
        <v>0.13491071999999998</v>
      </c>
      <c r="BI289" s="109">
        <f t="shared" si="216"/>
        <v>0</v>
      </c>
      <c r="BJ289" s="109">
        <f t="shared" si="217"/>
        <v>1.8999299411076924</v>
      </c>
      <c r="BK289" s="109">
        <f t="shared" si="218"/>
        <v>11.505196512207693</v>
      </c>
      <c r="BL289" s="148">
        <v>0.87</v>
      </c>
      <c r="BM289" s="112">
        <f>ROUND((AW289/BL289)+((AW289*BL289)*'CALCULO GERAL'!$E$11)/BL289,2)</f>
        <v>2.2400000000000002</v>
      </c>
      <c r="BN289" s="186">
        <f t="shared" si="305"/>
        <v>2.2400000000000002</v>
      </c>
      <c r="BO289" s="186">
        <f t="shared" si="306"/>
        <v>2.625</v>
      </c>
      <c r="BP289" s="109">
        <f>BM289*'CALCULO GERAL'!$C$11</f>
        <v>11.242560000000001</v>
      </c>
      <c r="BQ289" s="109">
        <f>BO289*'CALCULO GERAL'!$C$11</f>
        <v>13.174875</v>
      </c>
      <c r="BR289" s="186">
        <f>BN289*'CALCULO GERAL'!$C$11</f>
        <v>11.242560000000001</v>
      </c>
      <c r="BS289" s="109">
        <f t="shared" si="219"/>
        <v>281064</v>
      </c>
      <c r="BT289" s="109">
        <f t="shared" si="303"/>
        <v>40932.335722499993</v>
      </c>
      <c r="BU289" s="109">
        <f t="shared" si="220"/>
        <v>281064</v>
      </c>
      <c r="BV289" s="109">
        <f t="shared" si="310"/>
        <v>287629.91280519235</v>
      </c>
      <c r="BW289" s="109">
        <f t="shared" si="307"/>
        <v>-6565.9128051923472</v>
      </c>
      <c r="BX289" s="114">
        <f t="shared" si="221"/>
        <v>-2.3360917104973768E-2</v>
      </c>
      <c r="BY289" s="152">
        <f t="shared" si="195"/>
        <v>0.87</v>
      </c>
      <c r="CA289" s="55"/>
      <c r="CB289" s="113"/>
      <c r="CC289" s="113"/>
      <c r="CE289" s="152">
        <f t="shared" si="196"/>
        <v>0</v>
      </c>
      <c r="CF289" s="152">
        <f t="shared" si="308"/>
        <v>1</v>
      </c>
      <c r="CG289" s="152">
        <f t="shared" si="309"/>
        <v>1</v>
      </c>
      <c r="CH289" s="34"/>
      <c r="CJ289" s="11"/>
      <c r="CK289" s="11"/>
    </row>
    <row r="290" spans="1:89" s="152" customFormat="1" x14ac:dyDescent="0.2">
      <c r="A290" s="507" t="s">
        <v>630</v>
      </c>
      <c r="B290" s="508" t="s">
        <v>266</v>
      </c>
      <c r="C290" s="509">
        <v>0.13</v>
      </c>
      <c r="D290" s="510">
        <v>0.04</v>
      </c>
      <c r="E290" s="511">
        <v>2.1000000000000001E-2</v>
      </c>
      <c r="F290" s="511">
        <v>9.6500000000000002E-2</v>
      </c>
      <c r="G290" s="1">
        <v>1.6500000000000001E-2</v>
      </c>
      <c r="H290" s="1">
        <v>7.5999999999999998E-2</v>
      </c>
      <c r="I290" s="512">
        <v>0.18</v>
      </c>
      <c r="J290" s="512">
        <v>0.04</v>
      </c>
      <c r="K290" s="512">
        <v>0.14000000000000001</v>
      </c>
      <c r="L290" s="512">
        <v>1.4999999999999999E-2</v>
      </c>
      <c r="M290" s="513" t="s">
        <v>175</v>
      </c>
      <c r="N290" s="514">
        <v>25000</v>
      </c>
      <c r="O290" s="119"/>
      <c r="P290" s="119"/>
      <c r="Q290" s="119"/>
      <c r="R290" s="119"/>
      <c r="S290" s="119"/>
      <c r="T290" s="119"/>
      <c r="U290" s="119"/>
      <c r="V290" s="119">
        <v>1.038</v>
      </c>
      <c r="W290" s="119"/>
      <c r="X290" s="119">
        <f t="shared" si="198"/>
        <v>1.038</v>
      </c>
      <c r="Y290" s="118">
        <f t="shared" si="199"/>
        <v>1.038</v>
      </c>
      <c r="Z290" s="109">
        <f t="shared" si="197"/>
        <v>25950</v>
      </c>
      <c r="AA290" s="109">
        <f>'CALCULO GERAL'!$G$10</f>
        <v>6300</v>
      </c>
      <c r="AB290" s="109">
        <f t="shared" si="200"/>
        <v>32250</v>
      </c>
      <c r="AC290" s="109">
        <f>AB290*'CALCULO GERAL'!$C$11</f>
        <v>161862.75</v>
      </c>
      <c r="AD290" s="109">
        <f t="shared" si="201"/>
        <v>21042.157500000001</v>
      </c>
      <c r="AE290" s="109">
        <f t="shared" si="202"/>
        <v>7316.1963000000005</v>
      </c>
      <c r="AF290" s="109">
        <f t="shared" si="203"/>
        <v>3399.1177500000003</v>
      </c>
      <c r="AG290" s="109">
        <f t="shared" si="204"/>
        <v>15619.755375000001</v>
      </c>
      <c r="AH290" s="109">
        <v>154.22999999999999</v>
      </c>
      <c r="AI290" s="109">
        <f>((AA290*'CALCULO GERAL'!$C$11))*0.08+20</f>
        <v>2549.576</v>
      </c>
      <c r="AJ290" s="109">
        <v>1010</v>
      </c>
      <c r="AK290" s="109">
        <v>2500</v>
      </c>
      <c r="AL290" s="109">
        <f>(AA290*('CALCULO GERAL'!$C$11*1.02))-(AA290*'CALCULO GERAL'!$C$11)</f>
        <v>632.39400000000387</v>
      </c>
      <c r="AM290" s="109">
        <v>1800</v>
      </c>
      <c r="AN290" s="109">
        <v>2600</v>
      </c>
      <c r="AO290" s="109">
        <v>9400</v>
      </c>
      <c r="AP290" s="109">
        <v>1000</v>
      </c>
      <c r="AQ290" s="109">
        <v>0</v>
      </c>
      <c r="AR290" s="109">
        <v>0</v>
      </c>
      <c r="AS290" s="109"/>
      <c r="AT290" s="109">
        <f t="shared" si="304"/>
        <v>230886.17692500004</v>
      </c>
      <c r="AU290" s="111">
        <f t="shared" si="205"/>
        <v>9.2354470770000017</v>
      </c>
      <c r="AV290" s="109">
        <f>IFERROR((BS290*'CALCULO GERAL'!$E$11)/N290,0)</f>
        <v>0.21882840000000001</v>
      </c>
      <c r="AW290" s="109">
        <f>AU290/'CALCULO GERAL'!$C$11</f>
        <v>1.8400970466228335</v>
      </c>
      <c r="AX290" s="109">
        <f>BP290-BB290-BD290*'CALCULO GERAL'!$C$11</f>
        <v>8.6714961738461547</v>
      </c>
      <c r="AY290" s="109">
        <f t="shared" si="206"/>
        <v>0.14307968686846156</v>
      </c>
      <c r="AZ290" s="109">
        <f t="shared" si="207"/>
        <v>0.65903370921230775</v>
      </c>
      <c r="BA290" s="109">
        <f t="shared" si="208"/>
        <v>10.520596153846155</v>
      </c>
      <c r="BB290" s="109">
        <f t="shared" si="209"/>
        <v>0.15780894230769232</v>
      </c>
      <c r="BC290" s="109">
        <f t="shared" si="210"/>
        <v>10.520596153846155</v>
      </c>
      <c r="BD290" s="109">
        <f t="shared" si="211"/>
        <v>0.42082384615384621</v>
      </c>
      <c r="BE290" s="109">
        <f t="shared" si="212"/>
        <v>21882.84</v>
      </c>
      <c r="BF290" s="109">
        <f t="shared" si="213"/>
        <v>32824.26</v>
      </c>
      <c r="BG290" s="109">
        <f t="shared" si="214"/>
        <v>0.118167336</v>
      </c>
      <c r="BH290" s="109">
        <f t="shared" si="215"/>
        <v>0.13129704</v>
      </c>
      <c r="BI290" s="109">
        <f t="shared" si="216"/>
        <v>0</v>
      </c>
      <c r="BJ290" s="109">
        <f t="shared" si="217"/>
        <v>1.8490389605423079</v>
      </c>
      <c r="BK290" s="109">
        <f t="shared" si="218"/>
        <v>11.084486037542309</v>
      </c>
      <c r="BL290" s="148">
        <v>0.86</v>
      </c>
      <c r="BM290" s="112">
        <f>ROUND((AW290/BL290)+((AW290*BL290)*'CALCULO GERAL'!$E$11)/BL290,2)</f>
        <v>2.1800000000000002</v>
      </c>
      <c r="BN290" s="186">
        <f t="shared" si="305"/>
        <v>2.1800000000000002</v>
      </c>
      <c r="BO290" s="186">
        <f t="shared" si="306"/>
        <v>2.5539999999999998</v>
      </c>
      <c r="BP290" s="109">
        <f>BM290*'CALCULO GERAL'!$C$11</f>
        <v>10.941420000000001</v>
      </c>
      <c r="BQ290" s="109">
        <f>BO290*'CALCULO GERAL'!$C$11</f>
        <v>12.818526</v>
      </c>
      <c r="BR290" s="186">
        <f>BN290*'CALCULO GERAL'!$C$11</f>
        <v>10.941420000000001</v>
      </c>
      <c r="BS290" s="109">
        <f t="shared" si="219"/>
        <v>273535.5</v>
      </c>
      <c r="BT290" s="109">
        <f t="shared" si="303"/>
        <v>42649.323074999964</v>
      </c>
      <c r="BU290" s="109">
        <f t="shared" si="220"/>
        <v>273535.5</v>
      </c>
      <c r="BV290" s="109">
        <f t="shared" si="310"/>
        <v>277112.15093855769</v>
      </c>
      <c r="BW290" s="109">
        <f t="shared" si="307"/>
        <v>-3576.6509385576937</v>
      </c>
      <c r="BX290" s="114">
        <f t="shared" si="221"/>
        <v>-1.307563712409429E-2</v>
      </c>
      <c r="BY290" s="152">
        <f t="shared" si="195"/>
        <v>0.86</v>
      </c>
      <c r="CA290" s="55"/>
      <c r="CB290" s="113"/>
      <c r="CC290" s="113"/>
      <c r="CE290" s="152">
        <f t="shared" si="196"/>
        <v>0</v>
      </c>
      <c r="CF290" s="152">
        <f t="shared" si="308"/>
        <v>1</v>
      </c>
      <c r="CG290" s="152">
        <f t="shared" si="309"/>
        <v>1</v>
      </c>
      <c r="CH290" s="34"/>
      <c r="CJ290" s="11"/>
      <c r="CK290" s="11"/>
    </row>
    <row r="291" spans="1:89" s="152" customFormat="1" x14ac:dyDescent="0.2">
      <c r="A291" s="507" t="s">
        <v>631</v>
      </c>
      <c r="B291" s="508" t="s">
        <v>266</v>
      </c>
      <c r="C291" s="509">
        <v>0.13</v>
      </c>
      <c r="D291" s="510">
        <v>0.04</v>
      </c>
      <c r="E291" s="511">
        <v>2.1000000000000001E-2</v>
      </c>
      <c r="F291" s="511">
        <v>9.6500000000000002E-2</v>
      </c>
      <c r="G291" s="1">
        <v>1.6500000000000001E-2</v>
      </c>
      <c r="H291" s="1">
        <v>7.5999999999999998E-2</v>
      </c>
      <c r="I291" s="512">
        <v>0.18</v>
      </c>
      <c r="J291" s="512">
        <v>0.04</v>
      </c>
      <c r="K291" s="512">
        <v>0.14000000000000001</v>
      </c>
      <c r="L291" s="512">
        <v>1.4999999999999999E-2</v>
      </c>
      <c r="M291" s="513" t="s">
        <v>175</v>
      </c>
      <c r="N291" s="514">
        <v>25000</v>
      </c>
      <c r="O291" s="119"/>
      <c r="P291" s="119"/>
      <c r="Q291" s="119"/>
      <c r="R291" s="119"/>
      <c r="S291" s="119"/>
      <c r="T291" s="119"/>
      <c r="U291" s="119"/>
      <c r="V291" s="119">
        <v>0.998</v>
      </c>
      <c r="W291" s="119"/>
      <c r="X291" s="119">
        <f t="shared" si="198"/>
        <v>0.998</v>
      </c>
      <c r="Y291" s="118">
        <f t="shared" si="199"/>
        <v>0.998</v>
      </c>
      <c r="Z291" s="109">
        <f t="shared" si="197"/>
        <v>24950</v>
      </c>
      <c r="AA291" s="109">
        <f>'CALCULO GERAL'!$G$10</f>
        <v>6300</v>
      </c>
      <c r="AB291" s="109">
        <f t="shared" si="200"/>
        <v>31250</v>
      </c>
      <c r="AC291" s="109">
        <f>AB291*'CALCULO GERAL'!$C$11</f>
        <v>156843.75</v>
      </c>
      <c r="AD291" s="109">
        <f t="shared" si="201"/>
        <v>20389.6875</v>
      </c>
      <c r="AE291" s="109">
        <f t="shared" si="202"/>
        <v>7089.3375000000005</v>
      </c>
      <c r="AF291" s="109">
        <f t="shared" si="203"/>
        <v>3293.71875</v>
      </c>
      <c r="AG291" s="109">
        <f t="shared" si="204"/>
        <v>15135.421875</v>
      </c>
      <c r="AH291" s="109">
        <v>154.22999999999999</v>
      </c>
      <c r="AI291" s="109">
        <f>((AA291*'CALCULO GERAL'!$C$11))*0.08+20</f>
        <v>2549.576</v>
      </c>
      <c r="AJ291" s="109">
        <v>1010</v>
      </c>
      <c r="AK291" s="109">
        <v>2500</v>
      </c>
      <c r="AL291" s="109">
        <f>(AA291*('CALCULO GERAL'!$C$11*1.02))-(AA291*'CALCULO GERAL'!$C$11)</f>
        <v>632.39400000000387</v>
      </c>
      <c r="AM291" s="109">
        <v>1800</v>
      </c>
      <c r="AN291" s="109">
        <v>2600</v>
      </c>
      <c r="AO291" s="109">
        <v>9400</v>
      </c>
      <c r="AP291" s="109">
        <v>1000</v>
      </c>
      <c r="AQ291" s="109">
        <v>0</v>
      </c>
      <c r="AR291" s="109">
        <v>0</v>
      </c>
      <c r="AS291" s="109"/>
      <c r="AT291" s="109">
        <f t="shared" si="304"/>
        <v>224398.11562500001</v>
      </c>
      <c r="AU291" s="111">
        <f t="shared" si="205"/>
        <v>8.9759246250000011</v>
      </c>
      <c r="AV291" s="109">
        <f>IFERROR((BS291*'CALCULO GERAL'!$E$11)/N291,0)</f>
        <v>0.20979419999999996</v>
      </c>
      <c r="AW291" s="109">
        <f>AU291/'CALCULO GERAL'!$C$11</f>
        <v>1.7883890466228334</v>
      </c>
      <c r="AX291" s="109">
        <f>BP291-BB291-BD291*'CALCULO GERAL'!$C$11</f>
        <v>8.3134986253846144</v>
      </c>
      <c r="AY291" s="109">
        <f t="shared" si="206"/>
        <v>0.13717272731884614</v>
      </c>
      <c r="AZ291" s="109">
        <f t="shared" si="207"/>
        <v>0.63182589552923063</v>
      </c>
      <c r="BA291" s="109">
        <f t="shared" si="208"/>
        <v>10.086259615384614</v>
      </c>
      <c r="BB291" s="109">
        <f t="shared" si="209"/>
        <v>0.15129389423076922</v>
      </c>
      <c r="BC291" s="109">
        <f t="shared" si="210"/>
        <v>10.086259615384614</v>
      </c>
      <c r="BD291" s="109">
        <f t="shared" si="211"/>
        <v>0.40345038461538457</v>
      </c>
      <c r="BE291" s="109">
        <f t="shared" si="212"/>
        <v>20979.419999999995</v>
      </c>
      <c r="BF291" s="109">
        <f t="shared" si="213"/>
        <v>31469.12999999999</v>
      </c>
      <c r="BG291" s="109">
        <f t="shared" si="214"/>
        <v>0.11328886799999996</v>
      </c>
      <c r="BH291" s="109">
        <f t="shared" si="215"/>
        <v>0.12587651999999996</v>
      </c>
      <c r="BI291" s="109">
        <f t="shared" si="216"/>
        <v>0</v>
      </c>
      <c r="BJ291" s="109">
        <f t="shared" si="217"/>
        <v>1.7727024896942305</v>
      </c>
      <c r="BK291" s="109">
        <f t="shared" si="218"/>
        <v>10.748627114694232</v>
      </c>
      <c r="BL291" s="148">
        <v>0.87</v>
      </c>
      <c r="BM291" s="112">
        <f>ROUND((AW291/BL291)+((AW291*BL291)*'CALCULO GERAL'!$E$11)/BL291,2)</f>
        <v>2.09</v>
      </c>
      <c r="BN291" s="186">
        <f t="shared" si="305"/>
        <v>2.09</v>
      </c>
      <c r="BO291" s="186">
        <f t="shared" si="306"/>
        <v>2.4489999999999998</v>
      </c>
      <c r="BP291" s="109">
        <f>BM291*'CALCULO GERAL'!$C$11</f>
        <v>10.489709999999999</v>
      </c>
      <c r="BQ291" s="109">
        <f>BO291*'CALCULO GERAL'!$C$11</f>
        <v>12.291530999999999</v>
      </c>
      <c r="BR291" s="186">
        <f>BN291*'CALCULO GERAL'!$C$11</f>
        <v>10.489709999999999</v>
      </c>
      <c r="BS291" s="109">
        <f t="shared" si="219"/>
        <v>262242.74999999994</v>
      </c>
      <c r="BT291" s="109">
        <f t="shared" si="303"/>
        <v>37844.634374999936</v>
      </c>
      <c r="BU291" s="109">
        <f t="shared" si="220"/>
        <v>262242.74999999994</v>
      </c>
      <c r="BV291" s="109">
        <f t="shared" si="310"/>
        <v>268715.67786735581</v>
      </c>
      <c r="BW291" s="109">
        <f t="shared" si="307"/>
        <v>-6472.9278673558729</v>
      </c>
      <c r="BX291" s="114">
        <f t="shared" si="221"/>
        <v>-2.468296213091067E-2</v>
      </c>
      <c r="BY291" s="152">
        <f t="shared" ref="BY291:BY329" si="311">ROUND(BL291,2)</f>
        <v>0.87</v>
      </c>
      <c r="CA291" s="55"/>
      <c r="CB291" s="113"/>
      <c r="CC291" s="113"/>
      <c r="CE291" s="152">
        <f t="shared" ref="CE291:CE329" si="312">CC291/BY291</f>
        <v>0</v>
      </c>
      <c r="CF291" s="152">
        <f t="shared" si="308"/>
        <v>1</v>
      </c>
      <c r="CG291" s="152">
        <f t="shared" si="309"/>
        <v>1</v>
      </c>
      <c r="CH291" s="34"/>
      <c r="CJ291" s="11"/>
      <c r="CK291" s="11"/>
    </row>
    <row r="292" spans="1:89" s="152" customFormat="1" x14ac:dyDescent="0.2">
      <c r="A292" s="507" t="s">
        <v>632</v>
      </c>
      <c r="B292" s="508" t="s">
        <v>266</v>
      </c>
      <c r="C292" s="509">
        <v>0.13</v>
      </c>
      <c r="D292" s="510">
        <v>0.04</v>
      </c>
      <c r="E292" s="511">
        <v>2.1000000000000001E-2</v>
      </c>
      <c r="F292" s="511">
        <v>9.6500000000000002E-2</v>
      </c>
      <c r="G292" s="1">
        <v>1.6500000000000001E-2</v>
      </c>
      <c r="H292" s="1">
        <v>7.5999999999999998E-2</v>
      </c>
      <c r="I292" s="512">
        <v>0.18</v>
      </c>
      <c r="J292" s="512">
        <v>0.04</v>
      </c>
      <c r="K292" s="512">
        <v>0.14000000000000001</v>
      </c>
      <c r="L292" s="512">
        <v>1.4999999999999999E-2</v>
      </c>
      <c r="M292" s="513" t="s">
        <v>175</v>
      </c>
      <c r="N292" s="514">
        <v>25000</v>
      </c>
      <c r="O292" s="119"/>
      <c r="P292" s="119"/>
      <c r="Q292" s="119"/>
      <c r="R292" s="119"/>
      <c r="S292" s="119"/>
      <c r="T292" s="119"/>
      <c r="U292" s="119"/>
      <c r="V292" s="119">
        <v>1.1040000000000001</v>
      </c>
      <c r="W292" s="119"/>
      <c r="X292" s="119">
        <f t="shared" si="198"/>
        <v>1.1040000000000001</v>
      </c>
      <c r="Y292" s="118">
        <f t="shared" si="199"/>
        <v>1.1040000000000001</v>
      </c>
      <c r="Z292" s="109">
        <f t="shared" si="197"/>
        <v>27600.000000000004</v>
      </c>
      <c r="AA292" s="109">
        <f>'CALCULO GERAL'!$G$10</f>
        <v>6300</v>
      </c>
      <c r="AB292" s="109">
        <f t="shared" si="200"/>
        <v>33900</v>
      </c>
      <c r="AC292" s="109">
        <f>AB292*'CALCULO GERAL'!$C$11</f>
        <v>170144.1</v>
      </c>
      <c r="AD292" s="109">
        <f t="shared" si="201"/>
        <v>22118.733</v>
      </c>
      <c r="AE292" s="109">
        <f t="shared" si="202"/>
        <v>7690.5133200000009</v>
      </c>
      <c r="AF292" s="109">
        <f t="shared" si="203"/>
        <v>3573.0261000000005</v>
      </c>
      <c r="AG292" s="109">
        <f t="shared" si="204"/>
        <v>16418.905650000001</v>
      </c>
      <c r="AH292" s="109">
        <v>154.22999999999999</v>
      </c>
      <c r="AI292" s="109">
        <f>((AA292*'CALCULO GERAL'!$C$11))*0.08+20</f>
        <v>2549.576</v>
      </c>
      <c r="AJ292" s="109">
        <v>1010</v>
      </c>
      <c r="AK292" s="109">
        <v>2500</v>
      </c>
      <c r="AL292" s="109">
        <f>(AA292*('CALCULO GERAL'!$C$11*1.02))-(AA292*'CALCULO GERAL'!$C$11)</f>
        <v>632.39400000000387</v>
      </c>
      <c r="AM292" s="109">
        <v>1800</v>
      </c>
      <c r="AN292" s="109">
        <v>2600</v>
      </c>
      <c r="AO292" s="109">
        <v>9400</v>
      </c>
      <c r="AP292" s="109">
        <v>1000</v>
      </c>
      <c r="AQ292" s="109">
        <v>0</v>
      </c>
      <c r="AR292" s="109">
        <v>0</v>
      </c>
      <c r="AS292" s="109"/>
      <c r="AT292" s="109">
        <f t="shared" si="304"/>
        <v>241591.47807000001</v>
      </c>
      <c r="AU292" s="111">
        <f t="shared" si="205"/>
        <v>9.6636591228000004</v>
      </c>
      <c r="AV292" s="109">
        <f>IFERROR((BS292*'CALCULO GERAL'!$E$11)/N292,0)</f>
        <v>0.2288664</v>
      </c>
      <c r="AW292" s="109">
        <f>AU292/'CALCULO GERAL'!$C$11</f>
        <v>1.9254152466228334</v>
      </c>
      <c r="AX292" s="109">
        <f>BP292-BB292-BD292*'CALCULO GERAL'!$C$11</f>
        <v>9.0692712276923082</v>
      </c>
      <c r="AY292" s="109">
        <f t="shared" si="206"/>
        <v>0.14964297525692311</v>
      </c>
      <c r="AZ292" s="109">
        <f t="shared" si="207"/>
        <v>0.68926461330461541</v>
      </c>
      <c r="BA292" s="109">
        <f t="shared" si="208"/>
        <v>11.003192307692307</v>
      </c>
      <c r="BB292" s="109">
        <f t="shared" si="209"/>
        <v>0.16504788461538461</v>
      </c>
      <c r="BC292" s="109">
        <f t="shared" si="210"/>
        <v>11.003192307692307</v>
      </c>
      <c r="BD292" s="109">
        <f t="shared" si="211"/>
        <v>0.44012769230769233</v>
      </c>
      <c r="BE292" s="109">
        <f t="shared" si="212"/>
        <v>22886.639999999999</v>
      </c>
      <c r="BF292" s="109">
        <f t="shared" si="213"/>
        <v>34329.96</v>
      </c>
      <c r="BG292" s="109">
        <f t="shared" si="214"/>
        <v>0.123587856</v>
      </c>
      <c r="BH292" s="109">
        <f t="shared" si="215"/>
        <v>0.13731984</v>
      </c>
      <c r="BI292" s="109">
        <f t="shared" si="216"/>
        <v>0</v>
      </c>
      <c r="BJ292" s="109">
        <f t="shared" si="217"/>
        <v>1.9338572614846155</v>
      </c>
      <c r="BK292" s="109">
        <f t="shared" si="218"/>
        <v>11.597516384284615</v>
      </c>
      <c r="BL292" s="148">
        <v>0.86</v>
      </c>
      <c r="BM292" s="112">
        <f>ROUND((AW292/BL292)+((AW292*BL292)*'CALCULO GERAL'!$E$11)/BL292,2)</f>
        <v>2.2799999999999998</v>
      </c>
      <c r="BN292" s="186">
        <f t="shared" si="305"/>
        <v>2.2799999999999998</v>
      </c>
      <c r="BO292" s="186">
        <f t="shared" si="306"/>
        <v>2.6709999999999998</v>
      </c>
      <c r="BP292" s="109">
        <f>BM292*'CALCULO GERAL'!$C$11</f>
        <v>11.44332</v>
      </c>
      <c r="BQ292" s="109">
        <f>BO292*'CALCULO GERAL'!$C$11</f>
        <v>13.405749</v>
      </c>
      <c r="BR292" s="186">
        <f>BN292*'CALCULO GERAL'!$C$11</f>
        <v>11.44332</v>
      </c>
      <c r="BS292" s="109">
        <f t="shared" si="219"/>
        <v>286083</v>
      </c>
      <c r="BT292" s="109">
        <f t="shared" si="303"/>
        <v>44491.521929999988</v>
      </c>
      <c r="BU292" s="109">
        <f t="shared" si="220"/>
        <v>286083</v>
      </c>
      <c r="BV292" s="109">
        <f t="shared" si="310"/>
        <v>289937.90960711538</v>
      </c>
      <c r="BW292" s="109">
        <f t="shared" si="307"/>
        <v>-3854.9096071153763</v>
      </c>
      <c r="BX292" s="114">
        <f t="shared" si="221"/>
        <v>-1.3474794402727098E-2</v>
      </c>
      <c r="BY292" s="152">
        <f t="shared" si="311"/>
        <v>0.86</v>
      </c>
      <c r="CA292" s="55"/>
      <c r="CB292" s="113"/>
      <c r="CC292" s="113"/>
      <c r="CE292" s="152">
        <f t="shared" si="312"/>
        <v>0</v>
      </c>
      <c r="CF292" s="152">
        <f t="shared" si="308"/>
        <v>1</v>
      </c>
      <c r="CG292" s="152">
        <f t="shared" si="309"/>
        <v>1</v>
      </c>
      <c r="CH292" s="34"/>
      <c r="CJ292" s="11"/>
      <c r="CK292" s="11"/>
    </row>
    <row r="293" spans="1:89" s="152" customFormat="1" x14ac:dyDescent="0.2">
      <c r="A293" s="507" t="s">
        <v>633</v>
      </c>
      <c r="B293" s="508" t="s">
        <v>634</v>
      </c>
      <c r="C293" s="509">
        <v>0.14000000000000001</v>
      </c>
      <c r="D293" s="510">
        <v>0.03</v>
      </c>
      <c r="E293" s="511">
        <v>2.1000000000000001E-2</v>
      </c>
      <c r="F293" s="511">
        <v>9.6500000000000002E-2</v>
      </c>
      <c r="G293" s="1">
        <v>1.6500000000000001E-2</v>
      </c>
      <c r="H293" s="1">
        <v>7.5999999999999998E-2</v>
      </c>
      <c r="I293" s="512">
        <v>0.18</v>
      </c>
      <c r="J293" s="512">
        <v>0.04</v>
      </c>
      <c r="K293" s="512">
        <v>0.14000000000000001</v>
      </c>
      <c r="L293" s="512">
        <v>1.4999999999999999E-2</v>
      </c>
      <c r="M293" s="513" t="s">
        <v>175</v>
      </c>
      <c r="N293" s="514">
        <v>7000</v>
      </c>
      <c r="O293" s="119"/>
      <c r="P293" s="119"/>
      <c r="Q293" s="119"/>
      <c r="R293" s="119"/>
      <c r="S293" s="119"/>
      <c r="T293" s="119"/>
      <c r="U293" s="119"/>
      <c r="V293" s="119">
        <v>1.07</v>
      </c>
      <c r="W293" s="119"/>
      <c r="X293" s="119">
        <f t="shared" si="198"/>
        <v>1.07</v>
      </c>
      <c r="Y293" s="118">
        <f t="shared" si="199"/>
        <v>1.07</v>
      </c>
      <c r="Z293" s="109">
        <f t="shared" si="197"/>
        <v>7490</v>
      </c>
      <c r="AA293" s="109">
        <f>'CALCULO GERAL'!$G$10</f>
        <v>6300</v>
      </c>
      <c r="AB293" s="109">
        <f t="shared" si="200"/>
        <v>13790</v>
      </c>
      <c r="AC293" s="109">
        <f>AB293*'CALCULO GERAL'!$C$11</f>
        <v>69212.009999999995</v>
      </c>
      <c r="AD293" s="109">
        <f t="shared" si="201"/>
        <v>9689.6813999999995</v>
      </c>
      <c r="AE293" s="109">
        <f t="shared" si="202"/>
        <v>2367.0507419999999</v>
      </c>
      <c r="AF293" s="109">
        <f t="shared" si="203"/>
        <v>1453.4522099999999</v>
      </c>
      <c r="AG293" s="109">
        <f t="shared" si="204"/>
        <v>6678.9589649999998</v>
      </c>
      <c r="AH293" s="109">
        <v>154.22999999999999</v>
      </c>
      <c r="AI293" s="109">
        <f>((AA293*'CALCULO GERAL'!$C$11))*0.08+20</f>
        <v>2549.576</v>
      </c>
      <c r="AJ293" s="109">
        <v>1010</v>
      </c>
      <c r="AK293" s="109">
        <v>2500</v>
      </c>
      <c r="AL293" s="109">
        <f>(AA293*('CALCULO GERAL'!$C$11*1.02))-(AA293*'CALCULO GERAL'!$C$11)</f>
        <v>632.39400000000387</v>
      </c>
      <c r="AM293" s="109">
        <v>1800</v>
      </c>
      <c r="AN293" s="109">
        <v>2600</v>
      </c>
      <c r="AO293" s="109">
        <v>9400</v>
      </c>
      <c r="AP293" s="109">
        <v>1000</v>
      </c>
      <c r="AQ293" s="109">
        <v>0</v>
      </c>
      <c r="AR293" s="109">
        <v>0</v>
      </c>
      <c r="AS293" s="109"/>
      <c r="AT293" s="109">
        <f t="shared" si="304"/>
        <v>111047.353317</v>
      </c>
      <c r="AU293" s="111">
        <f t="shared" si="205"/>
        <v>15.863907616714286</v>
      </c>
      <c r="AV293" s="109">
        <f>IFERROR((BS293*'CALCULO GERAL'!$E$11)/N293,0)</f>
        <v>0.37542120000000001</v>
      </c>
      <c r="AW293" s="109">
        <f>AU293/'CALCULO GERAL'!$C$11</f>
        <v>3.1607705950815475</v>
      </c>
      <c r="AX293" s="109">
        <f>BP293-BB293-BD293*'CALCULO GERAL'!$C$11</f>
        <v>15.753657665825243</v>
      </c>
      <c r="AY293" s="109">
        <f t="shared" si="206"/>
        <v>0.25993535148611652</v>
      </c>
      <c r="AZ293" s="109">
        <f t="shared" si="207"/>
        <v>1.1972779826027184</v>
      </c>
      <c r="BA293" s="109">
        <f t="shared" si="208"/>
        <v>18.224330097087382</v>
      </c>
      <c r="BB293" s="109">
        <f t="shared" si="209"/>
        <v>0.27336495145631073</v>
      </c>
      <c r="BC293" s="109">
        <f t="shared" si="210"/>
        <v>18.224330097087382</v>
      </c>
      <c r="BD293" s="109">
        <f t="shared" si="211"/>
        <v>0.54672990291262147</v>
      </c>
      <c r="BE293" s="109">
        <f t="shared" si="212"/>
        <v>10511.793600000001</v>
      </c>
      <c r="BF293" s="109">
        <f t="shared" si="213"/>
        <v>15767.690400000001</v>
      </c>
      <c r="BG293" s="109">
        <f t="shared" si="214"/>
        <v>0.202727448</v>
      </c>
      <c r="BH293" s="109">
        <f t="shared" si="215"/>
        <v>0.22525272000000002</v>
      </c>
      <c r="BI293" s="109">
        <f t="shared" si="216"/>
        <v>0</v>
      </c>
      <c r="BJ293" s="109">
        <f t="shared" si="217"/>
        <v>3.0807095564577671</v>
      </c>
      <c r="BK293" s="109">
        <f t="shared" si="218"/>
        <v>18.944617173172052</v>
      </c>
      <c r="BL293" s="148">
        <v>0.86</v>
      </c>
      <c r="BM293" s="112">
        <f>ROUND((AW293/BL293)+((AW293*BL293)*'CALCULO GERAL'!$E$11)/BL293,2)</f>
        <v>3.74</v>
      </c>
      <c r="BN293" s="186">
        <f t="shared" si="305"/>
        <v>3.74</v>
      </c>
      <c r="BO293" s="186">
        <f t="shared" si="306"/>
        <v>4.3819999999999997</v>
      </c>
      <c r="BP293" s="109">
        <f>BM293*'CALCULO GERAL'!$C$11</f>
        <v>18.771060000000002</v>
      </c>
      <c r="BQ293" s="109">
        <f>BO293*'CALCULO GERAL'!$C$11</f>
        <v>21.993257999999997</v>
      </c>
      <c r="BR293" s="186">
        <f>BN293*'CALCULO GERAL'!$C$11</f>
        <v>18.771060000000002</v>
      </c>
      <c r="BS293" s="109">
        <f t="shared" si="219"/>
        <v>131397.42000000001</v>
      </c>
      <c r="BT293" s="109">
        <f t="shared" si="303"/>
        <v>20350.066683000012</v>
      </c>
      <c r="BU293" s="109">
        <f t="shared" si="220"/>
        <v>131397.42000000001</v>
      </c>
      <c r="BV293" s="109">
        <f t="shared" si="310"/>
        <v>132612.32021220436</v>
      </c>
      <c r="BW293" s="109">
        <f t="shared" si="307"/>
        <v>-1214.9002122043457</v>
      </c>
      <c r="BX293" s="114">
        <f t="shared" si="221"/>
        <v>-9.2459974648234772E-3</v>
      </c>
      <c r="BY293" s="152">
        <f t="shared" si="311"/>
        <v>0.86</v>
      </c>
      <c r="CA293" s="55"/>
      <c r="CB293" s="113"/>
      <c r="CC293" s="113"/>
      <c r="CE293" s="152">
        <f t="shared" si="312"/>
        <v>0</v>
      </c>
      <c r="CF293" s="152">
        <f t="shared" si="308"/>
        <v>1</v>
      </c>
      <c r="CG293" s="152">
        <f t="shared" si="309"/>
        <v>1</v>
      </c>
      <c r="CH293" s="34"/>
      <c r="CJ293" s="11"/>
      <c r="CK293" s="11"/>
    </row>
    <row r="294" spans="1:89" s="152" customFormat="1" x14ac:dyDescent="0.2">
      <c r="A294" s="507" t="s">
        <v>635</v>
      </c>
      <c r="B294" s="508" t="s">
        <v>634</v>
      </c>
      <c r="C294" s="509">
        <v>0.14000000000000001</v>
      </c>
      <c r="D294" s="510">
        <v>0.03</v>
      </c>
      <c r="E294" s="511">
        <v>2.1000000000000001E-2</v>
      </c>
      <c r="F294" s="511">
        <v>9.6500000000000002E-2</v>
      </c>
      <c r="G294" s="1">
        <v>1.6500000000000001E-2</v>
      </c>
      <c r="H294" s="1">
        <v>7.5999999999999998E-2</v>
      </c>
      <c r="I294" s="512">
        <v>0.18</v>
      </c>
      <c r="J294" s="512">
        <v>0.04</v>
      </c>
      <c r="K294" s="512">
        <v>0.14000000000000001</v>
      </c>
      <c r="L294" s="512">
        <v>1.4999999999999999E-2</v>
      </c>
      <c r="M294" s="513" t="s">
        <v>175</v>
      </c>
      <c r="N294" s="514">
        <v>7000</v>
      </c>
      <c r="O294" s="119"/>
      <c r="P294" s="119"/>
      <c r="Q294" s="119"/>
      <c r="R294" s="119"/>
      <c r="S294" s="119"/>
      <c r="T294" s="119"/>
      <c r="U294" s="119"/>
      <c r="V294" s="119">
        <v>2.88</v>
      </c>
      <c r="W294" s="119"/>
      <c r="X294" s="119">
        <f t="shared" si="198"/>
        <v>2.88</v>
      </c>
      <c r="Y294" s="118">
        <f>AVERAGE(O294:W294)</f>
        <v>2.88</v>
      </c>
      <c r="Z294" s="109">
        <f>X294*N294</f>
        <v>20160</v>
      </c>
      <c r="AA294" s="109">
        <f>'CALCULO GERAL'!$G$10</f>
        <v>6300</v>
      </c>
      <c r="AB294" s="109">
        <f>Z294+AA294</f>
        <v>26460</v>
      </c>
      <c r="AC294" s="109">
        <f>AB294*'CALCULO GERAL'!$C$11</f>
        <v>132802.74</v>
      </c>
      <c r="AD294" s="109">
        <f>AC294*C294</f>
        <v>18592.383600000001</v>
      </c>
      <c r="AE294" s="109">
        <f>(AC294+AD294)*D294</f>
        <v>4541.8537079999996</v>
      </c>
      <c r="AF294" s="109">
        <f>AC294*E294</f>
        <v>2788.85754</v>
      </c>
      <c r="AG294" s="109">
        <f>AC294*F294</f>
        <v>12815.464409999999</v>
      </c>
      <c r="AH294" s="109">
        <v>154.22999999999999</v>
      </c>
      <c r="AI294" s="109">
        <f>((AA294*'CALCULO GERAL'!$C$11))*0.08+20</f>
        <v>2549.576</v>
      </c>
      <c r="AJ294" s="109">
        <v>1010</v>
      </c>
      <c r="AK294" s="109">
        <v>2500</v>
      </c>
      <c r="AL294" s="109">
        <f>(AA294*('CALCULO GERAL'!$C$11*1.02))-(AA294*'CALCULO GERAL'!$C$11)</f>
        <v>632.39400000000387</v>
      </c>
      <c r="AM294" s="109">
        <v>1800</v>
      </c>
      <c r="AN294" s="109">
        <v>2600</v>
      </c>
      <c r="AO294" s="109">
        <v>9400</v>
      </c>
      <c r="AP294" s="109">
        <v>1000</v>
      </c>
      <c r="AQ294" s="109">
        <v>0</v>
      </c>
      <c r="AR294" s="109">
        <v>0</v>
      </c>
      <c r="AS294" s="109"/>
      <c r="AT294" s="109">
        <f t="shared" si="304"/>
        <v>193187.499258</v>
      </c>
      <c r="AU294" s="111">
        <f t="shared" si="205"/>
        <v>27.598214179714287</v>
      </c>
      <c r="AV294" s="109">
        <f>IFERROR((BS294*'CALCULO GERAL'!$E$11)/N294,0)</f>
        <v>0.65246999999999999</v>
      </c>
      <c r="AW294" s="109">
        <f>AU294/'CALCULO GERAL'!$C$11</f>
        <v>5.4987475950815474</v>
      </c>
      <c r="AX294" s="109">
        <f>BP294-BB294-BD294*'CALCULO GERAL'!$C$11</f>
        <v>27.379351558252431</v>
      </c>
      <c r="AY294" s="109">
        <f t="shared" si="206"/>
        <v>0.4517593007111651</v>
      </c>
      <c r="AZ294" s="109">
        <f t="shared" si="207"/>
        <v>2.0808307184271846</v>
      </c>
      <c r="BA294" s="109">
        <f t="shared" si="208"/>
        <v>31.673300970873786</v>
      </c>
      <c r="BB294" s="109">
        <f t="shared" si="209"/>
        <v>0.47509951456310678</v>
      </c>
      <c r="BC294" s="109">
        <f t="shared" si="210"/>
        <v>31.673300970873786</v>
      </c>
      <c r="BD294" s="109">
        <f t="shared" si="211"/>
        <v>0.95019902912621357</v>
      </c>
      <c r="BE294" s="109">
        <f t="shared" si="212"/>
        <v>18269.16</v>
      </c>
      <c r="BF294" s="109">
        <f t="shared" si="213"/>
        <v>27403.739999999998</v>
      </c>
      <c r="BG294" s="109">
        <f t="shared" si="214"/>
        <v>0.35233379999999997</v>
      </c>
      <c r="BH294" s="109">
        <f t="shared" si="215"/>
        <v>0.391482</v>
      </c>
      <c r="BI294" s="109">
        <f t="shared" si="216"/>
        <v>0</v>
      </c>
      <c r="BJ294" s="109">
        <f t="shared" si="217"/>
        <v>5.3541743628276706</v>
      </c>
      <c r="BK294" s="109">
        <f t="shared" si="218"/>
        <v>32.952388542541954</v>
      </c>
      <c r="BL294" s="148">
        <v>0.86</v>
      </c>
      <c r="BM294" s="112">
        <f>ROUND((AW294/BL294)+((AW294*BL294)*'CALCULO GERAL'!$E$11)/BL294,2)</f>
        <v>6.5</v>
      </c>
      <c r="BN294" s="186">
        <f t="shared" si="305"/>
        <v>6.5</v>
      </c>
      <c r="BO294" s="186">
        <f t="shared" si="306"/>
        <v>7.6159999999999997</v>
      </c>
      <c r="BP294" s="109">
        <f>BM294*'CALCULO GERAL'!$C$11</f>
        <v>32.6235</v>
      </c>
      <c r="BQ294" s="109">
        <f>BO294*'CALCULO GERAL'!$C$11</f>
        <v>38.224704000000003</v>
      </c>
      <c r="BR294" s="186">
        <f>BN294*'CALCULO GERAL'!$C$11</f>
        <v>32.6235</v>
      </c>
      <c r="BS294" s="109">
        <f t="shared" si="219"/>
        <v>228364.5</v>
      </c>
      <c r="BT294" s="109">
        <f t="shared" si="303"/>
        <v>35177.000742000004</v>
      </c>
      <c r="BU294" s="109">
        <f t="shared" si="220"/>
        <v>228364.5</v>
      </c>
      <c r="BV294" s="109">
        <f t="shared" si="310"/>
        <v>230666.71979779369</v>
      </c>
      <c r="BW294" s="109">
        <f t="shared" si="307"/>
        <v>-2302.2197977936885</v>
      </c>
      <c r="BX294" s="114">
        <f t="shared" si="221"/>
        <v>-1.0081338376996813E-2</v>
      </c>
      <c r="BY294" s="152">
        <f>ROUND(BL294,2)</f>
        <v>0.86</v>
      </c>
      <c r="CA294" s="55"/>
      <c r="CB294" s="113"/>
      <c r="CC294" s="113"/>
      <c r="CE294" s="152">
        <f>CC294/BY294</f>
        <v>0</v>
      </c>
      <c r="CF294" s="152">
        <f>100%-CE294</f>
        <v>1</v>
      </c>
      <c r="CG294" s="152">
        <f>AVERAGE(CF294,CD294)</f>
        <v>1</v>
      </c>
      <c r="CH294" s="34"/>
      <c r="CJ294" s="11"/>
      <c r="CK294" s="11"/>
    </row>
    <row r="295" spans="1:89" s="152" customFormat="1" x14ac:dyDescent="0.2">
      <c r="A295" s="507" t="s">
        <v>636</v>
      </c>
      <c r="B295" s="508" t="s">
        <v>634</v>
      </c>
      <c r="C295" s="509">
        <v>0.14000000000000001</v>
      </c>
      <c r="D295" s="510">
        <v>0.03</v>
      </c>
      <c r="E295" s="511">
        <v>2.1000000000000001E-2</v>
      </c>
      <c r="F295" s="511">
        <v>9.6500000000000002E-2</v>
      </c>
      <c r="G295" s="1">
        <v>1.6500000000000001E-2</v>
      </c>
      <c r="H295" s="1">
        <v>7.5999999999999998E-2</v>
      </c>
      <c r="I295" s="512">
        <v>0.18</v>
      </c>
      <c r="J295" s="512">
        <v>0.04</v>
      </c>
      <c r="K295" s="512">
        <v>0.14000000000000001</v>
      </c>
      <c r="L295" s="512">
        <v>1.4999999999999999E-2</v>
      </c>
      <c r="M295" s="513" t="s">
        <v>175</v>
      </c>
      <c r="N295" s="514">
        <v>7000</v>
      </c>
      <c r="O295" s="119"/>
      <c r="P295" s="119"/>
      <c r="Q295" s="119"/>
      <c r="R295" s="119"/>
      <c r="S295" s="119"/>
      <c r="T295" s="119"/>
      <c r="U295" s="119"/>
      <c r="V295" s="119">
        <v>2.66</v>
      </c>
      <c r="W295" s="119"/>
      <c r="X295" s="119">
        <f t="shared" si="198"/>
        <v>2.66</v>
      </c>
      <c r="Y295" s="118">
        <f>AVERAGE(O295:W295)</f>
        <v>2.66</v>
      </c>
      <c r="Z295" s="109">
        <f>X295*N295</f>
        <v>18620</v>
      </c>
      <c r="AA295" s="109">
        <f>'CALCULO GERAL'!$G$10</f>
        <v>6300</v>
      </c>
      <c r="AB295" s="109">
        <f>Z295+AA295</f>
        <v>24920</v>
      </c>
      <c r="AC295" s="109">
        <f>AB295*'CALCULO GERAL'!$C$11</f>
        <v>125073.48</v>
      </c>
      <c r="AD295" s="109">
        <f>AC295*C295</f>
        <v>17510.287200000002</v>
      </c>
      <c r="AE295" s="109">
        <f>(AC295+AD295)*D295</f>
        <v>4277.5130159999999</v>
      </c>
      <c r="AF295" s="109">
        <f>AC295*E295</f>
        <v>2626.5430799999999</v>
      </c>
      <c r="AG295" s="109">
        <f>AC295*F295</f>
        <v>12069.590819999999</v>
      </c>
      <c r="AH295" s="109">
        <v>154.22999999999999</v>
      </c>
      <c r="AI295" s="109">
        <f>((AA295*'CALCULO GERAL'!$C$11))*0.08+20</f>
        <v>2549.576</v>
      </c>
      <c r="AJ295" s="109">
        <v>1010</v>
      </c>
      <c r="AK295" s="109">
        <v>2500</v>
      </c>
      <c r="AL295" s="109">
        <f>(AA295*('CALCULO GERAL'!$C$11*1.02))-(AA295*'CALCULO GERAL'!$C$11)</f>
        <v>632.39400000000387</v>
      </c>
      <c r="AM295" s="109">
        <v>1800</v>
      </c>
      <c r="AN295" s="109">
        <v>2600</v>
      </c>
      <c r="AO295" s="109">
        <v>9400</v>
      </c>
      <c r="AP295" s="109">
        <v>1000</v>
      </c>
      <c r="AQ295" s="109">
        <v>0</v>
      </c>
      <c r="AR295" s="109">
        <v>0</v>
      </c>
      <c r="AS295" s="109"/>
      <c r="AT295" s="109">
        <f t="shared" si="304"/>
        <v>183203.61411600004</v>
      </c>
      <c r="AU295" s="111">
        <f t="shared" si="205"/>
        <v>26.171944873714292</v>
      </c>
      <c r="AV295" s="109">
        <f>IFERROR((BS295*'CALCULO GERAL'!$E$11)/N295,0)</f>
        <v>0.61934460000000013</v>
      </c>
      <c r="AW295" s="109">
        <f>AU295/'CALCULO GERAL'!$C$11</f>
        <v>5.2145735950815482</v>
      </c>
      <c r="AX295" s="109">
        <f>BP295-BB295-BD295*'CALCULO GERAL'!$C$11</f>
        <v>25.989322940679614</v>
      </c>
      <c r="AY295" s="109">
        <f t="shared" si="206"/>
        <v>0.42882382852121365</v>
      </c>
      <c r="AZ295" s="109">
        <f t="shared" si="207"/>
        <v>1.9751885434916505</v>
      </c>
      <c r="BA295" s="109">
        <f t="shared" si="208"/>
        <v>30.065271844660195</v>
      </c>
      <c r="BB295" s="109">
        <f t="shared" si="209"/>
        <v>0.45097907766990292</v>
      </c>
      <c r="BC295" s="109">
        <f t="shared" si="210"/>
        <v>30.065271844660195</v>
      </c>
      <c r="BD295" s="109">
        <f t="shared" si="211"/>
        <v>0.90195815533980583</v>
      </c>
      <c r="BE295" s="109">
        <f t="shared" si="212"/>
        <v>17341.648800000003</v>
      </c>
      <c r="BF295" s="109">
        <f t="shared" si="213"/>
        <v>26012.4732</v>
      </c>
      <c r="BG295" s="109">
        <f t="shared" si="214"/>
        <v>0.33444608399999998</v>
      </c>
      <c r="BH295" s="109">
        <f t="shared" si="215"/>
        <v>0.37160676000000004</v>
      </c>
      <c r="BI295" s="109">
        <f t="shared" si="216"/>
        <v>0</v>
      </c>
      <c r="BJ295" s="109">
        <f t="shared" si="217"/>
        <v>5.0823470490225722</v>
      </c>
      <c r="BK295" s="109">
        <f t="shared" si="218"/>
        <v>31.254291922736865</v>
      </c>
      <c r="BL295" s="148">
        <v>0.86</v>
      </c>
      <c r="BM295" s="112">
        <f>ROUND((AW295/BL295)+((AW295*BL295)*'CALCULO GERAL'!$E$11)/BL295,2)</f>
        <v>6.17</v>
      </c>
      <c r="BN295" s="186">
        <f t="shared" si="305"/>
        <v>6.17</v>
      </c>
      <c r="BO295" s="186">
        <f t="shared" si="306"/>
        <v>7.2290000000000001</v>
      </c>
      <c r="BP295" s="109">
        <f>BM295*'CALCULO GERAL'!$C$11</f>
        <v>30.967230000000001</v>
      </c>
      <c r="BQ295" s="109">
        <f>BO295*'CALCULO GERAL'!$C$11</f>
        <v>36.282350999999998</v>
      </c>
      <c r="BR295" s="186">
        <f>BN295*'CALCULO GERAL'!$C$11</f>
        <v>30.967230000000001</v>
      </c>
      <c r="BS295" s="109">
        <f t="shared" si="219"/>
        <v>216770.61000000002</v>
      </c>
      <c r="BT295" s="109">
        <f t="shared" si="303"/>
        <v>33566.995883999974</v>
      </c>
      <c r="BU295" s="109">
        <f t="shared" si="220"/>
        <v>216770.61000000002</v>
      </c>
      <c r="BV295" s="109">
        <f t="shared" si="310"/>
        <v>218780.04345915804</v>
      </c>
      <c r="BW295" s="109">
        <f t="shared" si="307"/>
        <v>-2009.4334591580264</v>
      </c>
      <c r="BX295" s="114">
        <f t="shared" si="221"/>
        <v>-9.2698611641035024E-3</v>
      </c>
      <c r="BY295" s="152">
        <f>ROUND(BL295,2)</f>
        <v>0.86</v>
      </c>
      <c r="CA295" s="55"/>
      <c r="CB295" s="113"/>
      <c r="CC295" s="113"/>
      <c r="CE295" s="152">
        <f>CC295/BY295</f>
        <v>0</v>
      </c>
      <c r="CF295" s="152">
        <f>100%-CE295</f>
        <v>1</v>
      </c>
      <c r="CG295" s="152">
        <f>AVERAGE(CF295,CD295)</f>
        <v>1</v>
      </c>
      <c r="CH295" s="34"/>
      <c r="CJ295" s="11"/>
      <c r="CK295" s="11"/>
    </row>
    <row r="296" spans="1:89" s="152" customFormat="1" x14ac:dyDescent="0.2">
      <c r="A296" s="507" t="s">
        <v>637</v>
      </c>
      <c r="B296" s="508" t="s">
        <v>634</v>
      </c>
      <c r="C296" s="509">
        <v>0.14000000000000001</v>
      </c>
      <c r="D296" s="510">
        <v>0.03</v>
      </c>
      <c r="E296" s="511">
        <v>2.1000000000000001E-2</v>
      </c>
      <c r="F296" s="511">
        <v>9.6500000000000002E-2</v>
      </c>
      <c r="G296" s="1">
        <v>1.6500000000000001E-2</v>
      </c>
      <c r="H296" s="1">
        <v>7.5999999999999998E-2</v>
      </c>
      <c r="I296" s="512">
        <v>0.18</v>
      </c>
      <c r="J296" s="512">
        <v>0.04</v>
      </c>
      <c r="K296" s="512">
        <v>0.14000000000000001</v>
      </c>
      <c r="L296" s="512">
        <v>1.4999999999999999E-2</v>
      </c>
      <c r="M296" s="513" t="s">
        <v>175</v>
      </c>
      <c r="N296" s="514">
        <v>7000</v>
      </c>
      <c r="O296" s="119"/>
      <c r="P296" s="119"/>
      <c r="Q296" s="119"/>
      <c r="R296" s="119"/>
      <c r="S296" s="119"/>
      <c r="T296" s="119"/>
      <c r="U296" s="119"/>
      <c r="V296" s="119">
        <v>2.68</v>
      </c>
      <c r="W296" s="119"/>
      <c r="X296" s="119">
        <f t="shared" si="198"/>
        <v>2.68</v>
      </c>
      <c r="Y296" s="118">
        <f>AVERAGE(O296:W296)</f>
        <v>2.68</v>
      </c>
      <c r="Z296" s="109">
        <f>X296*N296</f>
        <v>18760</v>
      </c>
      <c r="AA296" s="109">
        <f>'CALCULO GERAL'!$G$10</f>
        <v>6300</v>
      </c>
      <c r="AB296" s="109">
        <f>Z296+AA296</f>
        <v>25060</v>
      </c>
      <c r="AC296" s="109">
        <f>AB296*'CALCULO GERAL'!$C$11</f>
        <v>125776.14</v>
      </c>
      <c r="AD296" s="109">
        <f>AC296*C296</f>
        <v>17608.659600000003</v>
      </c>
      <c r="AE296" s="109">
        <f>(AC296+AD296)*D296</f>
        <v>4301.5439879999994</v>
      </c>
      <c r="AF296" s="109">
        <f>AC296*E296</f>
        <v>2641.2989400000001</v>
      </c>
      <c r="AG296" s="109">
        <f>AC296*F296</f>
        <v>12137.397510000001</v>
      </c>
      <c r="AH296" s="109">
        <v>154.22999999999999</v>
      </c>
      <c r="AI296" s="109">
        <f>((AA296*'CALCULO GERAL'!$C$11))*0.08+20</f>
        <v>2549.576</v>
      </c>
      <c r="AJ296" s="109">
        <v>1010</v>
      </c>
      <c r="AK296" s="109">
        <v>2500</v>
      </c>
      <c r="AL296" s="109">
        <f>(AA296*('CALCULO GERAL'!$C$11*1.02))-(AA296*'CALCULO GERAL'!$C$11)</f>
        <v>632.39400000000387</v>
      </c>
      <c r="AM296" s="109">
        <v>1800</v>
      </c>
      <c r="AN296" s="109">
        <v>2600</v>
      </c>
      <c r="AO296" s="109">
        <v>9400</v>
      </c>
      <c r="AP296" s="109">
        <v>1000</v>
      </c>
      <c r="AQ296" s="109">
        <v>0</v>
      </c>
      <c r="AR296" s="109">
        <v>0</v>
      </c>
      <c r="AS296" s="109"/>
      <c r="AT296" s="109">
        <f t="shared" si="304"/>
        <v>184111.24003800002</v>
      </c>
      <c r="AU296" s="111">
        <f t="shared" si="205"/>
        <v>26.301605719714289</v>
      </c>
      <c r="AV296" s="109">
        <f>IFERROR((BS296*'CALCULO GERAL'!$E$11)/N296,0)</f>
        <v>0.62235600000000002</v>
      </c>
      <c r="AW296" s="109">
        <f>AU296/'CALCULO GERAL'!$C$11</f>
        <v>5.2404075950815479</v>
      </c>
      <c r="AX296" s="109">
        <f>BP296-BB296-BD296*'CALCULO GERAL'!$C$11</f>
        <v>26.115689178640778</v>
      </c>
      <c r="AY296" s="109">
        <f t="shared" si="206"/>
        <v>0.43090887144757284</v>
      </c>
      <c r="AZ296" s="109">
        <f t="shared" si="207"/>
        <v>1.9847923775766991</v>
      </c>
      <c r="BA296" s="109">
        <f t="shared" si="208"/>
        <v>30.211456310679615</v>
      </c>
      <c r="BB296" s="109">
        <f t="shared" si="209"/>
        <v>0.45317184466019422</v>
      </c>
      <c r="BC296" s="109">
        <f t="shared" si="210"/>
        <v>30.211456310679612</v>
      </c>
      <c r="BD296" s="109">
        <f t="shared" si="211"/>
        <v>0.90634368932038833</v>
      </c>
      <c r="BE296" s="109">
        <f t="shared" si="212"/>
        <v>17425.968000000001</v>
      </c>
      <c r="BF296" s="109">
        <f t="shared" si="213"/>
        <v>26138.952000000001</v>
      </c>
      <c r="BG296" s="109">
        <f t="shared" si="214"/>
        <v>0.33607224000000002</v>
      </c>
      <c r="BH296" s="109">
        <f t="shared" si="215"/>
        <v>0.37341360000000001</v>
      </c>
      <c r="BI296" s="109">
        <f t="shared" si="216"/>
        <v>0</v>
      </c>
      <c r="BJ296" s="109">
        <f t="shared" si="217"/>
        <v>5.1070586230048542</v>
      </c>
      <c r="BK296" s="109">
        <f t="shared" si="218"/>
        <v>31.408664342719142</v>
      </c>
      <c r="BL296" s="148">
        <v>0.86</v>
      </c>
      <c r="BM296" s="112">
        <f>ROUND((AW296/BL296)+((AW296*BL296)*'CALCULO GERAL'!$E$11)/BL296,2)</f>
        <v>6.2</v>
      </c>
      <c r="BN296" s="186">
        <f t="shared" si="305"/>
        <v>6.2</v>
      </c>
      <c r="BO296" s="186">
        <f t="shared" si="306"/>
        <v>7.2640000000000002</v>
      </c>
      <c r="BP296" s="109">
        <f>BM296*'CALCULO GERAL'!$C$11</f>
        <v>31.117800000000003</v>
      </c>
      <c r="BQ296" s="109">
        <f>BO296*'CALCULO GERAL'!$C$11</f>
        <v>36.458016000000001</v>
      </c>
      <c r="BR296" s="186">
        <f>BN296*'CALCULO GERAL'!$C$11</f>
        <v>31.117800000000003</v>
      </c>
      <c r="BS296" s="109">
        <f t="shared" si="219"/>
        <v>217824.6</v>
      </c>
      <c r="BT296" s="109">
        <f t="shared" si="303"/>
        <v>33713.359961999988</v>
      </c>
      <c r="BU296" s="109">
        <f t="shared" si="220"/>
        <v>217824.6</v>
      </c>
      <c r="BV296" s="109">
        <f t="shared" si="310"/>
        <v>219860.650399034</v>
      </c>
      <c r="BW296" s="109">
        <f t="shared" si="307"/>
        <v>-2036.050399033993</v>
      </c>
      <c r="BX296" s="114">
        <f t="shared" si="221"/>
        <v>-9.3472013676783663E-3</v>
      </c>
      <c r="BY296" s="152">
        <f>ROUND(BL296,2)</f>
        <v>0.86</v>
      </c>
      <c r="CA296" s="55"/>
      <c r="CB296" s="113"/>
      <c r="CC296" s="113"/>
      <c r="CE296" s="152">
        <f>CC296/BY296</f>
        <v>0</v>
      </c>
      <c r="CF296" s="152">
        <f>100%-CE296</f>
        <v>1</v>
      </c>
      <c r="CG296" s="152">
        <f>AVERAGE(CF296,CD296)</f>
        <v>1</v>
      </c>
      <c r="CH296" s="34"/>
      <c r="CJ296" s="11"/>
      <c r="CK296" s="11"/>
    </row>
    <row r="297" spans="1:89" s="152" customFormat="1" x14ac:dyDescent="0.2">
      <c r="A297" s="507" t="s">
        <v>638</v>
      </c>
      <c r="B297" s="508" t="s">
        <v>639</v>
      </c>
      <c r="C297" s="509">
        <v>0.16</v>
      </c>
      <c r="D297" s="510">
        <v>0.04</v>
      </c>
      <c r="E297" s="511">
        <v>2.1000000000000001E-2</v>
      </c>
      <c r="F297" s="511">
        <v>9.6500000000000002E-2</v>
      </c>
      <c r="G297" s="1">
        <v>1.6500000000000001E-2</v>
      </c>
      <c r="H297" s="1">
        <v>7.5999999999999998E-2</v>
      </c>
      <c r="I297" s="512">
        <v>0.18</v>
      </c>
      <c r="J297" s="512">
        <v>0.04</v>
      </c>
      <c r="K297" s="512">
        <v>0.14000000000000001</v>
      </c>
      <c r="L297" s="512">
        <v>1.4999999999999999E-2</v>
      </c>
      <c r="M297" s="513" t="s">
        <v>175</v>
      </c>
      <c r="N297" s="514">
        <v>56000</v>
      </c>
      <c r="O297" s="119"/>
      <c r="P297" s="119"/>
      <c r="Q297" s="119"/>
      <c r="R297" s="119"/>
      <c r="S297" s="119"/>
      <c r="T297" s="119"/>
      <c r="U297" s="119"/>
      <c r="V297" s="119">
        <v>3.68</v>
      </c>
      <c r="W297" s="119"/>
      <c r="X297" s="119">
        <f t="shared" si="198"/>
        <v>3.68</v>
      </c>
      <c r="Y297" s="118">
        <f>AVERAGE(O297:W297)</f>
        <v>3.68</v>
      </c>
      <c r="Z297" s="109">
        <f>X297*N297</f>
        <v>206080</v>
      </c>
      <c r="AA297" s="109">
        <f>'CALCULO GERAL'!$G$10</f>
        <v>6300</v>
      </c>
      <c r="AB297" s="109">
        <f>Z297+AA297</f>
        <v>212380</v>
      </c>
      <c r="AC297" s="109">
        <f>AB297*'CALCULO GERAL'!$C$11</f>
        <v>1065935.22</v>
      </c>
      <c r="AD297" s="109">
        <f>AC297*C297</f>
        <v>170549.63519999999</v>
      </c>
      <c r="AE297" s="109">
        <f>(AC297+AD297)*D297</f>
        <v>49459.394207999998</v>
      </c>
      <c r="AF297" s="109">
        <f>AC297*E297</f>
        <v>22384.639620000002</v>
      </c>
      <c r="AG297" s="109">
        <f>AC297*F297</f>
        <v>102862.74873000001</v>
      </c>
      <c r="AH297" s="109">
        <v>154.22999999999999</v>
      </c>
      <c r="AI297" s="109">
        <f>((AA297*'CALCULO GERAL'!$C$11))*0.08+20</f>
        <v>2549.576</v>
      </c>
      <c r="AJ297" s="109">
        <v>1010</v>
      </c>
      <c r="AK297" s="109">
        <v>2500</v>
      </c>
      <c r="AL297" s="109">
        <f>(AA297*('CALCULO GERAL'!$C$11*1.02))-(AA297*'CALCULO GERAL'!$C$11)</f>
        <v>632.39400000000387</v>
      </c>
      <c r="AM297" s="109">
        <v>1800</v>
      </c>
      <c r="AN297" s="109">
        <v>2600</v>
      </c>
      <c r="AO297" s="109">
        <v>9400</v>
      </c>
      <c r="AP297" s="109">
        <v>1000</v>
      </c>
      <c r="AQ297" s="109">
        <v>0</v>
      </c>
      <c r="AR297" s="109">
        <v>0</v>
      </c>
      <c r="AS297" s="109"/>
      <c r="AT297" s="109">
        <f t="shared" si="304"/>
        <v>1432837.837758</v>
      </c>
      <c r="AU297" s="111">
        <f t="shared" si="205"/>
        <v>25.586389959964286</v>
      </c>
      <c r="AV297" s="109">
        <f>IFERROR((BS297*'CALCULO GERAL'!$E$11)/N297,0)</f>
        <v>0.60529140000000003</v>
      </c>
      <c r="AW297" s="109">
        <f>AU297/'CALCULO GERAL'!$C$11</f>
        <v>5.0979059493851935</v>
      </c>
      <c r="AX297" s="109">
        <f>BP297-BB297-BD297*'CALCULO GERAL'!$C$11</f>
        <v>23.98583574692308</v>
      </c>
      <c r="AY297" s="109">
        <f t="shared" si="206"/>
        <v>0.39576628982423084</v>
      </c>
      <c r="AZ297" s="109">
        <f t="shared" si="207"/>
        <v>1.8229235167661539</v>
      </c>
      <c r="BA297" s="109">
        <f t="shared" si="208"/>
        <v>29.100548076923079</v>
      </c>
      <c r="BB297" s="109">
        <f t="shared" si="209"/>
        <v>0.43650822115384619</v>
      </c>
      <c r="BC297" s="109">
        <f t="shared" si="210"/>
        <v>29.100548076923079</v>
      </c>
      <c r="BD297" s="109">
        <f t="shared" si="211"/>
        <v>1.1640219230769231</v>
      </c>
      <c r="BE297" s="109">
        <f t="shared" si="212"/>
        <v>135585.27360000001</v>
      </c>
      <c r="BF297" s="109">
        <f t="shared" si="213"/>
        <v>203377.91040000002</v>
      </c>
      <c r="BG297" s="109">
        <f t="shared" si="214"/>
        <v>0.32685735600000004</v>
      </c>
      <c r="BH297" s="109">
        <f t="shared" si="215"/>
        <v>0.36317484</v>
      </c>
      <c r="BI297" s="109">
        <f t="shared" si="216"/>
        <v>-0.13497372071428576</v>
      </c>
      <c r="BJ297" s="109">
        <f t="shared" si="217"/>
        <v>4.9795698261068679</v>
      </c>
      <c r="BK297" s="109">
        <f t="shared" si="218"/>
        <v>30.565959786071154</v>
      </c>
      <c r="BL297" s="148">
        <v>0.86</v>
      </c>
      <c r="BM297" s="112">
        <f>ROUND((AW297/BL297)+((AW297*BL297)*'CALCULO GERAL'!$E$11)/BL297,2)</f>
        <v>6.03</v>
      </c>
      <c r="BN297" s="186">
        <f t="shared" si="305"/>
        <v>6.03</v>
      </c>
      <c r="BO297" s="186">
        <f t="shared" si="306"/>
        <v>7.0650000000000004</v>
      </c>
      <c r="BP297" s="109">
        <f>BM297*'CALCULO GERAL'!$C$11</f>
        <v>30.264570000000003</v>
      </c>
      <c r="BQ297" s="109">
        <f>BO297*'CALCULO GERAL'!$C$11</f>
        <v>35.459235</v>
      </c>
      <c r="BR297" s="186">
        <f>BN297*'CALCULO GERAL'!$C$11</f>
        <v>30.264570000000003</v>
      </c>
      <c r="BS297" s="109">
        <f t="shared" si="219"/>
        <v>1694815.9200000002</v>
      </c>
      <c r="BT297" s="109">
        <f t="shared" si="303"/>
        <v>261978.08224200015</v>
      </c>
      <c r="BU297" s="109">
        <f t="shared" si="220"/>
        <v>1694815.9200000002</v>
      </c>
      <c r="BV297" s="109">
        <f t="shared" si="310"/>
        <v>1711693.7480199847</v>
      </c>
      <c r="BW297" s="109">
        <f t="shared" si="307"/>
        <v>-16877.828019984532</v>
      </c>
      <c r="BX297" s="114">
        <f t="shared" si="221"/>
        <v>-9.9585021717193516E-3</v>
      </c>
      <c r="BY297" s="152">
        <f>ROUND(BL297,2)</f>
        <v>0.86</v>
      </c>
      <c r="CA297" s="55"/>
      <c r="CB297" s="113"/>
      <c r="CC297" s="113"/>
      <c r="CE297" s="152">
        <f>CC297/BY297</f>
        <v>0</v>
      </c>
      <c r="CF297" s="152">
        <f>100%-CE297</f>
        <v>1</v>
      </c>
      <c r="CG297" s="152">
        <f>AVERAGE(CF297,CD297)</f>
        <v>1</v>
      </c>
      <c r="CH297" s="34"/>
      <c r="CJ297" s="11"/>
      <c r="CK297" s="11"/>
    </row>
    <row r="298" spans="1:89" s="152" customFormat="1" x14ac:dyDescent="0.2">
      <c r="A298" s="507" t="s">
        <v>640</v>
      </c>
      <c r="B298" s="508" t="s">
        <v>634</v>
      </c>
      <c r="C298" s="509">
        <v>0.14000000000000001</v>
      </c>
      <c r="D298" s="510">
        <v>0.03</v>
      </c>
      <c r="E298" s="511">
        <v>2.1000000000000001E-2</v>
      </c>
      <c r="F298" s="511">
        <v>9.6500000000000002E-2</v>
      </c>
      <c r="G298" s="1">
        <v>1.6500000000000001E-2</v>
      </c>
      <c r="H298" s="1">
        <v>7.5999999999999998E-2</v>
      </c>
      <c r="I298" s="512">
        <v>0.18</v>
      </c>
      <c r="J298" s="512">
        <v>0.04</v>
      </c>
      <c r="K298" s="512">
        <v>0.14000000000000001</v>
      </c>
      <c r="L298" s="512">
        <v>1.4999999999999999E-2</v>
      </c>
      <c r="M298" s="513" t="s">
        <v>175</v>
      </c>
      <c r="N298" s="514">
        <v>12000</v>
      </c>
      <c r="O298" s="119"/>
      <c r="P298" s="119"/>
      <c r="Q298" s="119"/>
      <c r="R298" s="119"/>
      <c r="S298" s="119"/>
      <c r="T298" s="119"/>
      <c r="U298" s="119"/>
      <c r="V298" s="119">
        <v>0.61</v>
      </c>
      <c r="W298" s="119"/>
      <c r="X298" s="119">
        <f t="shared" si="198"/>
        <v>0.61</v>
      </c>
      <c r="Y298" s="118">
        <f>AVERAGE(O298:W298)</f>
        <v>0.61</v>
      </c>
      <c r="Z298" s="109">
        <f>X298*N294</f>
        <v>4270</v>
      </c>
      <c r="AA298" s="109">
        <f>'CALCULO GERAL'!$G$10</f>
        <v>6300</v>
      </c>
      <c r="AB298" s="109">
        <f>Z298+AA298</f>
        <v>10570</v>
      </c>
      <c r="AC298" s="109">
        <f>AB298*'CALCULO GERAL'!$C$11</f>
        <v>53050.83</v>
      </c>
      <c r="AD298" s="109">
        <f>AC298*C298</f>
        <v>7427.1162000000013</v>
      </c>
      <c r="AE298" s="109">
        <f>(AC298+AD298)*D298</f>
        <v>1814.3383860000001</v>
      </c>
      <c r="AF298" s="109">
        <f>AC298*E298</f>
        <v>1114.0674300000001</v>
      </c>
      <c r="AG298" s="109">
        <f>AC298*F298</f>
        <v>5119.4050950000001</v>
      </c>
      <c r="AH298" s="109">
        <v>154.22999999999999</v>
      </c>
      <c r="AI298" s="109">
        <f>((AA298*'CALCULO GERAL'!$C$11))*0.08+20</f>
        <v>2549.576</v>
      </c>
      <c r="AJ298" s="109">
        <v>1010</v>
      </c>
      <c r="AK298" s="109">
        <v>2500</v>
      </c>
      <c r="AL298" s="109">
        <f>(AA298*('CALCULO GERAL'!$C$11*1.02))-(AA298*'CALCULO GERAL'!$C$11)</f>
        <v>632.39400000000387</v>
      </c>
      <c r="AM298" s="109">
        <v>1800</v>
      </c>
      <c r="AN298" s="109">
        <v>2600</v>
      </c>
      <c r="AO298" s="109">
        <v>9400</v>
      </c>
      <c r="AP298" s="109">
        <v>1000</v>
      </c>
      <c r="AQ298" s="109">
        <v>0</v>
      </c>
      <c r="AR298" s="109">
        <v>0</v>
      </c>
      <c r="AS298" s="109"/>
      <c r="AT298" s="109">
        <f t="shared" si="304"/>
        <v>90171.957111000011</v>
      </c>
      <c r="AU298" s="111">
        <f t="shared" si="205"/>
        <v>7.5143297592500007</v>
      </c>
      <c r="AV298" s="109">
        <f>IFERROR((BS298*'CALCULO GERAL'!$E$11)/N298,0)</f>
        <v>0.17767259999999999</v>
      </c>
      <c r="AW298" s="109">
        <f>AU298/'CALCULO GERAL'!$C$11</f>
        <v>1.4971766804642359</v>
      </c>
      <c r="AX298" s="109">
        <f>BP298-BB298-BD298*'CALCULO GERAL'!$C$11</f>
        <v>7.4556080397087383</v>
      </c>
      <c r="AY298" s="109">
        <f t="shared" si="206"/>
        <v>0.12301753265519419</v>
      </c>
      <c r="AZ298" s="109">
        <f t="shared" si="207"/>
        <v>0.56662621101786415</v>
      </c>
      <c r="BA298" s="109">
        <f t="shared" si="208"/>
        <v>8.6248834951456317</v>
      </c>
      <c r="BB298" s="109">
        <f t="shared" si="209"/>
        <v>0.12937325242718448</v>
      </c>
      <c r="BC298" s="109">
        <f t="shared" si="210"/>
        <v>8.6248834951456317</v>
      </c>
      <c r="BD298" s="109">
        <f t="shared" si="211"/>
        <v>0.25874650485436895</v>
      </c>
      <c r="BE298" s="109">
        <f t="shared" si="212"/>
        <v>8528.2847999999994</v>
      </c>
      <c r="BF298" s="109">
        <f t="shared" si="213"/>
        <v>12792.4272</v>
      </c>
      <c r="BG298" s="109">
        <f t="shared" si="214"/>
        <v>9.5943204000000004E-2</v>
      </c>
      <c r="BH298" s="109">
        <f t="shared" si="215"/>
        <v>0.10660356</v>
      </c>
      <c r="BI298" s="109">
        <f t="shared" si="216"/>
        <v>0</v>
      </c>
      <c r="BJ298" s="109">
        <f t="shared" si="217"/>
        <v>1.4579828649546118</v>
      </c>
      <c r="BK298" s="109">
        <f t="shared" si="218"/>
        <v>8.9723126242046121</v>
      </c>
      <c r="BL298" s="148">
        <v>0.86</v>
      </c>
      <c r="BM298" s="112">
        <f>ROUND((AW298/BL298)+((AW298*BL298)*'CALCULO GERAL'!$E$11)/BL298,2)</f>
        <v>1.77</v>
      </c>
      <c r="BN298" s="186">
        <f t="shared" si="305"/>
        <v>1.77</v>
      </c>
      <c r="BO298" s="186">
        <f t="shared" si="306"/>
        <v>2.0739999999999998</v>
      </c>
      <c r="BP298" s="109">
        <f>BM298*'CALCULO GERAL'!$C$11</f>
        <v>8.8836300000000001</v>
      </c>
      <c r="BQ298" s="109">
        <f>BO298*'CALCULO GERAL'!$C$11</f>
        <v>10.409405999999999</v>
      </c>
      <c r="BR298" s="186">
        <f>BN298*'CALCULO GERAL'!$C$11</f>
        <v>8.8836300000000001</v>
      </c>
      <c r="BS298" s="109">
        <f t="shared" si="219"/>
        <v>106603.56</v>
      </c>
      <c r="BT298" s="109">
        <f t="shared" si="303"/>
        <v>16431.602888999987</v>
      </c>
      <c r="BU298" s="109">
        <f t="shared" si="220"/>
        <v>106603.56</v>
      </c>
      <c r="BV298" s="109">
        <f t="shared" si="310"/>
        <v>107667.75149045534</v>
      </c>
      <c r="BW298" s="109">
        <f t="shared" si="307"/>
        <v>-1064.1914904553414</v>
      </c>
      <c r="BX298" s="114">
        <f t="shared" si="221"/>
        <v>-9.9827012386391363E-3</v>
      </c>
      <c r="BY298" s="152">
        <f>ROUND(BL298,2)</f>
        <v>0.86</v>
      </c>
      <c r="CA298" s="55"/>
      <c r="CB298" s="113"/>
      <c r="CC298" s="113"/>
      <c r="CE298" s="152">
        <f>CC298/BY298</f>
        <v>0</v>
      </c>
      <c r="CF298" s="152">
        <f>100%-CE298</f>
        <v>1</v>
      </c>
      <c r="CG298" s="152">
        <f>AVERAGE(CF298,CD298)</f>
        <v>1</v>
      </c>
      <c r="CH298" s="34"/>
      <c r="CJ298" s="11"/>
      <c r="CK298" s="11"/>
    </row>
    <row r="299" spans="1:89" s="152" customFormat="1" x14ac:dyDescent="0.2">
      <c r="A299" s="507" t="s">
        <v>641</v>
      </c>
      <c r="B299" s="508" t="s">
        <v>268</v>
      </c>
      <c r="C299" s="509">
        <v>0.13</v>
      </c>
      <c r="D299" s="510">
        <v>0</v>
      </c>
      <c r="E299" s="511">
        <v>2.1000000000000001E-2</v>
      </c>
      <c r="F299" s="511">
        <v>0.1065</v>
      </c>
      <c r="G299" s="1">
        <v>1.6500000000000001E-2</v>
      </c>
      <c r="H299" s="1">
        <v>7.5999999999999998E-2</v>
      </c>
      <c r="I299" s="512">
        <v>8.7999999999999995E-2</v>
      </c>
      <c r="J299" s="512">
        <v>0.04</v>
      </c>
      <c r="K299" s="512">
        <v>0.14000000000000001</v>
      </c>
      <c r="L299" s="512">
        <v>1.4999999999999999E-2</v>
      </c>
      <c r="M299" s="513" t="s">
        <v>175</v>
      </c>
      <c r="N299" s="514">
        <v>1</v>
      </c>
      <c r="O299" s="119"/>
      <c r="P299" s="119"/>
      <c r="Q299" s="119"/>
      <c r="R299" s="119"/>
      <c r="S299" s="119"/>
      <c r="T299" s="119"/>
      <c r="U299" s="119"/>
      <c r="V299" s="119">
        <v>0.8</v>
      </c>
      <c r="W299" s="119"/>
      <c r="X299" s="119">
        <f t="shared" si="198"/>
        <v>0.8</v>
      </c>
      <c r="Y299" s="118">
        <f t="shared" si="199"/>
        <v>0.8</v>
      </c>
      <c r="Z299" s="109">
        <f t="shared" si="197"/>
        <v>0.8</v>
      </c>
      <c r="AA299" s="109">
        <f>'CALCULO GERAL'!$G$10</f>
        <v>6300</v>
      </c>
      <c r="AB299" s="109">
        <f t="shared" si="200"/>
        <v>6300.8</v>
      </c>
      <c r="AC299" s="109">
        <f>AB299*'CALCULO GERAL'!$C$11</f>
        <v>31623.715200000002</v>
      </c>
      <c r="AD299" s="109">
        <f t="shared" si="201"/>
        <v>4111.0829760000006</v>
      </c>
      <c r="AE299" s="109">
        <f t="shared" si="202"/>
        <v>0</v>
      </c>
      <c r="AF299" s="109">
        <f t="shared" si="203"/>
        <v>664.09801920000007</v>
      </c>
      <c r="AG299" s="109">
        <f t="shared" si="204"/>
        <v>3367.9256688</v>
      </c>
      <c r="AH299" s="109">
        <v>154.22999999999999</v>
      </c>
      <c r="AI299" s="109">
        <f>((AA299*'CALCULO GERAL'!$C$11))*0.08+20</f>
        <v>2549.576</v>
      </c>
      <c r="AJ299" s="109">
        <v>1010</v>
      </c>
      <c r="AK299" s="109">
        <v>2500</v>
      </c>
      <c r="AL299" s="109">
        <f>(AA299*('CALCULO GERAL'!$C$11*1.02))-(AA299*'CALCULO GERAL'!$C$11)</f>
        <v>632.39400000000387</v>
      </c>
      <c r="AM299" s="109">
        <v>1800</v>
      </c>
      <c r="AN299" s="109">
        <v>2600</v>
      </c>
      <c r="AO299" s="109">
        <v>9400</v>
      </c>
      <c r="AP299" s="109">
        <v>1000</v>
      </c>
      <c r="AQ299" s="109">
        <v>0</v>
      </c>
      <c r="AR299" s="109">
        <v>0</v>
      </c>
      <c r="AS299" s="109"/>
      <c r="AT299" s="109">
        <f t="shared" si="304"/>
        <v>61413.021864000009</v>
      </c>
      <c r="AU299" s="111">
        <f t="shared" si="205"/>
        <v>61413.021864000009</v>
      </c>
      <c r="AV299" s="109">
        <f>IFERROR((BS299*'CALCULO GERAL'!$E$11)/N299,0)</f>
        <v>1452.774645</v>
      </c>
      <c r="AW299" s="109">
        <f>AU299/'CALCULO GERAL'!$C$11</f>
        <v>12236.107165570833</v>
      </c>
      <c r="AX299" s="109">
        <f>BP299-BB299-BD299*'CALCULO GERAL'!$C$11</f>
        <v>71549.151266250003</v>
      </c>
      <c r="AY299" s="109">
        <f t="shared" si="206"/>
        <v>1180.5609958931252</v>
      </c>
      <c r="AZ299" s="109">
        <f t="shared" si="207"/>
        <v>5437.735496235</v>
      </c>
      <c r="BA299" s="109">
        <f t="shared" si="208"/>
        <v>72638.732250000001</v>
      </c>
      <c r="BB299" s="109">
        <f t="shared" si="209"/>
        <v>1089.5809837500001</v>
      </c>
      <c r="BC299" s="109">
        <f t="shared" si="210"/>
        <v>72638.732250000001</v>
      </c>
      <c r="BD299" s="109">
        <f t="shared" si="211"/>
        <v>0</v>
      </c>
      <c r="BE299" s="109">
        <f t="shared" si="212"/>
        <v>5811.0985799999999</v>
      </c>
      <c r="BF299" s="109">
        <f t="shared" si="213"/>
        <v>8716.6478700000007</v>
      </c>
      <c r="BG299" s="109">
        <f t="shared" si="214"/>
        <v>784.49830830000008</v>
      </c>
      <c r="BH299" s="109">
        <f t="shared" si="215"/>
        <v>871.66478699999993</v>
      </c>
      <c r="BI299" s="109">
        <f t="shared" si="216"/>
        <v>0</v>
      </c>
      <c r="BJ299" s="109">
        <f t="shared" si="217"/>
        <v>10816.815216178125</v>
      </c>
      <c r="BK299" s="109">
        <f t="shared" si="218"/>
        <v>72229.837080178142</v>
      </c>
      <c r="BL299" s="148">
        <v>0.86</v>
      </c>
      <c r="BM299" s="112">
        <f>ROUND((AW299/BL299)+((AW299*BL299)*'CALCULO GERAL'!$E$11)/BL299,2)</f>
        <v>14472.75</v>
      </c>
      <c r="BN299" s="186">
        <f t="shared" si="305"/>
        <v>14472.75</v>
      </c>
      <c r="BO299" s="186">
        <f t="shared" si="306"/>
        <v>16957.133000000002</v>
      </c>
      <c r="BP299" s="109">
        <f>BM299*'CALCULO GERAL'!$C$11</f>
        <v>72638.732250000001</v>
      </c>
      <c r="BQ299" s="109">
        <f>BO299*'CALCULO GERAL'!$C$11</f>
        <v>85107.850527000017</v>
      </c>
      <c r="BR299" s="186">
        <f>BN299*'CALCULO GERAL'!$C$11</f>
        <v>72638.732250000001</v>
      </c>
      <c r="BS299" s="109">
        <f t="shared" si="219"/>
        <v>72638.732250000001</v>
      </c>
      <c r="BT299" s="109">
        <f t="shared" si="303"/>
        <v>11225.710385999992</v>
      </c>
      <c r="BU299" s="109">
        <f t="shared" si="220"/>
        <v>72638.732250000001</v>
      </c>
      <c r="BV299" s="109">
        <f t="shared" si="310"/>
        <v>72229.837080178142</v>
      </c>
      <c r="BW299" s="109">
        <f t="shared" si="307"/>
        <v>408.89516982185887</v>
      </c>
      <c r="BX299" s="114">
        <f t="shared" si="221"/>
        <v>5.629161704179644E-3</v>
      </c>
      <c r="BY299" s="152">
        <f t="shared" si="311"/>
        <v>0.86</v>
      </c>
      <c r="CA299" s="55"/>
      <c r="CB299" s="113"/>
      <c r="CC299" s="113"/>
      <c r="CE299" s="152">
        <f t="shared" si="312"/>
        <v>0</v>
      </c>
      <c r="CF299" s="152">
        <f t="shared" si="308"/>
        <v>1</v>
      </c>
      <c r="CG299" s="152">
        <f t="shared" si="309"/>
        <v>1</v>
      </c>
      <c r="CH299" s="34"/>
      <c r="CJ299" s="11"/>
      <c r="CK299" s="11"/>
    </row>
    <row r="300" spans="1:89" s="152" customFormat="1" x14ac:dyDescent="0.2">
      <c r="A300" s="507" t="s">
        <v>642</v>
      </c>
      <c r="B300" s="508" t="s">
        <v>270</v>
      </c>
      <c r="C300" s="509">
        <v>0.11</v>
      </c>
      <c r="D300" s="510">
        <v>0</v>
      </c>
      <c r="E300" s="511">
        <v>2.1000000000000001E-2</v>
      </c>
      <c r="F300" s="511">
        <v>0.1065</v>
      </c>
      <c r="G300" s="1">
        <v>1.6500000000000001E-2</v>
      </c>
      <c r="H300" s="1">
        <v>7.5999999999999998E-2</v>
      </c>
      <c r="I300" s="512">
        <v>0.18</v>
      </c>
      <c r="J300" s="512">
        <v>0.04</v>
      </c>
      <c r="K300" s="512">
        <v>0.14000000000000001</v>
      </c>
      <c r="L300" s="512">
        <v>1.4999999999999999E-2</v>
      </c>
      <c r="M300" s="513" t="s">
        <v>175</v>
      </c>
      <c r="N300" s="514">
        <v>1</v>
      </c>
      <c r="O300" s="119"/>
      <c r="P300" s="119"/>
      <c r="Q300" s="119"/>
      <c r="R300" s="119"/>
      <c r="S300" s="119"/>
      <c r="T300" s="119"/>
      <c r="U300" s="119"/>
      <c r="V300" s="119">
        <v>87000</v>
      </c>
      <c r="W300" s="119"/>
      <c r="X300" s="119">
        <f t="shared" si="198"/>
        <v>87000</v>
      </c>
      <c r="Y300" s="118">
        <f t="shared" si="199"/>
        <v>87000</v>
      </c>
      <c r="Z300" s="109">
        <f t="shared" si="197"/>
        <v>87000</v>
      </c>
      <c r="AA300" s="109">
        <f>'CALCULO GERAL'!$G$10</f>
        <v>6300</v>
      </c>
      <c r="AB300" s="109">
        <f t="shared" si="200"/>
        <v>93300</v>
      </c>
      <c r="AC300" s="109">
        <f>AB300*'CALCULO GERAL'!$C$11</f>
        <v>468272.7</v>
      </c>
      <c r="AD300" s="109">
        <f t="shared" si="201"/>
        <v>51509.997000000003</v>
      </c>
      <c r="AE300" s="109">
        <f t="shared" si="202"/>
        <v>0</v>
      </c>
      <c r="AF300" s="109">
        <f t="shared" si="203"/>
        <v>9833.7267000000011</v>
      </c>
      <c r="AG300" s="109">
        <f t="shared" si="204"/>
        <v>49871.042549999998</v>
      </c>
      <c r="AH300" s="109">
        <v>154.22999999999999</v>
      </c>
      <c r="AI300" s="109">
        <f>((AA300*'CALCULO GERAL'!$C$11))*0.08+20</f>
        <v>2549.576</v>
      </c>
      <c r="AJ300" s="109">
        <v>1010</v>
      </c>
      <c r="AK300" s="109">
        <v>2500</v>
      </c>
      <c r="AL300" s="109">
        <f>(AA300*('CALCULO GERAL'!$C$11*1.02))-(AA300*'CALCULO GERAL'!$C$11)</f>
        <v>632.39400000000387</v>
      </c>
      <c r="AM300" s="109">
        <v>1800</v>
      </c>
      <c r="AN300" s="109">
        <v>2600</v>
      </c>
      <c r="AO300" s="109">
        <v>9400</v>
      </c>
      <c r="AP300" s="109">
        <v>1000</v>
      </c>
      <c r="AQ300" s="109">
        <v>0</v>
      </c>
      <c r="AR300" s="109">
        <v>0</v>
      </c>
      <c r="AS300" s="109"/>
      <c r="AT300" s="109">
        <f t="shared" si="304"/>
        <v>601133.66625000001</v>
      </c>
      <c r="AU300" s="111">
        <f t="shared" si="205"/>
        <v>601133.66625000001</v>
      </c>
      <c r="AV300" s="109">
        <f>IFERROR((BS300*'CALCULO GERAL'!$E$11)/N300,0)</f>
        <v>14220.3066012</v>
      </c>
      <c r="AW300" s="109">
        <f>AU300/'CALCULO GERAL'!$C$11</f>
        <v>119771.60116557083</v>
      </c>
      <c r="AX300" s="109">
        <f>BP300-BB300-BD300*'CALCULO GERAL'!$C$11</f>
        <v>700350.10010909999</v>
      </c>
      <c r="AY300" s="109">
        <f t="shared" si="206"/>
        <v>11555.77665180015</v>
      </c>
      <c r="AZ300" s="109">
        <f t="shared" si="207"/>
        <v>53226.607608291597</v>
      </c>
      <c r="BA300" s="109">
        <f t="shared" si="208"/>
        <v>711015.33005999995</v>
      </c>
      <c r="BB300" s="109">
        <f t="shared" si="209"/>
        <v>10665.229950899999</v>
      </c>
      <c r="BC300" s="109">
        <f t="shared" si="210"/>
        <v>711015.33005999995</v>
      </c>
      <c r="BD300" s="109">
        <f t="shared" si="211"/>
        <v>0</v>
      </c>
      <c r="BE300" s="109">
        <f t="shared" si="212"/>
        <v>56881.2264048</v>
      </c>
      <c r="BF300" s="109">
        <f t="shared" si="213"/>
        <v>85321.839607199989</v>
      </c>
      <c r="BG300" s="109">
        <f t="shared" si="214"/>
        <v>7678.9655646479987</v>
      </c>
      <c r="BH300" s="109">
        <f t="shared" si="215"/>
        <v>8532.18396072</v>
      </c>
      <c r="BI300" s="109">
        <f t="shared" si="216"/>
        <v>0</v>
      </c>
      <c r="BJ300" s="109">
        <f t="shared" si="217"/>
        <v>105879.07033755974</v>
      </c>
      <c r="BK300" s="109">
        <f t="shared" si="218"/>
        <v>707012.7365875598</v>
      </c>
      <c r="BL300" s="148">
        <v>0.86</v>
      </c>
      <c r="BM300" s="112">
        <f>ROUND((AW300/BL300)+((AW300*BL300)*'CALCULO GERAL'!$E$11)/BL300,2)</f>
        <v>141664.74</v>
      </c>
      <c r="BN300" s="186">
        <f t="shared" si="305"/>
        <v>141664.74</v>
      </c>
      <c r="BO300" s="186">
        <f t="shared" si="306"/>
        <v>165982.82199999999</v>
      </c>
      <c r="BP300" s="109">
        <f>BM300*'CALCULO GERAL'!$C$11</f>
        <v>711015.33005999995</v>
      </c>
      <c r="BQ300" s="109">
        <f>BO300*'CALCULO GERAL'!$C$11</f>
        <v>833067.78361799999</v>
      </c>
      <c r="BR300" s="186">
        <f>BN300*'CALCULO GERAL'!$C$11</f>
        <v>711015.33005999995</v>
      </c>
      <c r="BS300" s="109">
        <f t="shared" si="219"/>
        <v>711015.33005999995</v>
      </c>
      <c r="BT300" s="109">
        <f t="shared" si="303"/>
        <v>109881.66380999994</v>
      </c>
      <c r="BU300" s="109">
        <f t="shared" si="220"/>
        <v>711015.33005999995</v>
      </c>
      <c r="BV300" s="109">
        <f t="shared" si="310"/>
        <v>707012.7365875598</v>
      </c>
      <c r="BW300" s="109">
        <f t="shared" si="307"/>
        <v>4002.593472440145</v>
      </c>
      <c r="BX300" s="114">
        <f t="shared" si="221"/>
        <v>5.6294053070591052E-3</v>
      </c>
      <c r="BY300" s="152">
        <f t="shared" si="311"/>
        <v>0.86</v>
      </c>
      <c r="CA300" s="55"/>
      <c r="CB300" s="113"/>
      <c r="CC300" s="113"/>
      <c r="CE300" s="152">
        <f t="shared" si="312"/>
        <v>0</v>
      </c>
      <c r="CF300" s="152">
        <f t="shared" si="308"/>
        <v>1</v>
      </c>
      <c r="CG300" s="152">
        <f t="shared" si="309"/>
        <v>1</v>
      </c>
      <c r="CH300" s="34"/>
      <c r="CJ300" s="11"/>
      <c r="CK300" s="11"/>
    </row>
    <row r="301" spans="1:89" s="152" customFormat="1" x14ac:dyDescent="0.2">
      <c r="A301" s="507" t="s">
        <v>272</v>
      </c>
      <c r="B301" s="508" t="s">
        <v>271</v>
      </c>
      <c r="C301" s="509">
        <v>0.11</v>
      </c>
      <c r="D301" s="510">
        <v>7.0000000000000007E-2</v>
      </c>
      <c r="E301" s="511">
        <v>2.1000000000000001E-2</v>
      </c>
      <c r="F301" s="511">
        <v>9.6500000000000002E-2</v>
      </c>
      <c r="G301" s="1">
        <v>1.6500000000000001E-2</v>
      </c>
      <c r="H301" s="1">
        <v>7.5999999999999998E-2</v>
      </c>
      <c r="I301" s="512">
        <v>0.18</v>
      </c>
      <c r="J301" s="512">
        <v>0.04</v>
      </c>
      <c r="K301" s="512">
        <v>0.14000000000000001</v>
      </c>
      <c r="L301" s="512">
        <v>1.4999999999999999E-2</v>
      </c>
      <c r="M301" s="513" t="s">
        <v>175</v>
      </c>
      <c r="N301" s="514">
        <v>25000</v>
      </c>
      <c r="O301" s="119"/>
      <c r="P301" s="119"/>
      <c r="Q301" s="119"/>
      <c r="R301" s="119"/>
      <c r="S301" s="119"/>
      <c r="T301" s="119"/>
      <c r="U301" s="119"/>
      <c r="V301" s="119">
        <v>19500</v>
      </c>
      <c r="W301" s="119"/>
      <c r="X301" s="119">
        <f t="shared" si="198"/>
        <v>19500</v>
      </c>
      <c r="Y301" s="118">
        <f t="shared" si="199"/>
        <v>19500</v>
      </c>
      <c r="Z301" s="109">
        <f t="shared" si="197"/>
        <v>487500000</v>
      </c>
      <c r="AA301" s="109">
        <f>'CALCULO GERAL'!$G$10</f>
        <v>6300</v>
      </c>
      <c r="AB301" s="109">
        <f t="shared" si="200"/>
        <v>487506300</v>
      </c>
      <c r="AC301" s="109">
        <f>AB301*'CALCULO GERAL'!$C$11</f>
        <v>2446794119.7000003</v>
      </c>
      <c r="AD301" s="109">
        <f t="shared" si="201"/>
        <v>269147353.16700006</v>
      </c>
      <c r="AE301" s="109">
        <f t="shared" si="202"/>
        <v>190115903.10069007</v>
      </c>
      <c r="AF301" s="109">
        <f t="shared" si="203"/>
        <v>51382676.513700008</v>
      </c>
      <c r="AG301" s="109">
        <f t="shared" si="204"/>
        <v>236115632.55105004</v>
      </c>
      <c r="AH301" s="109">
        <v>154.22999999999999</v>
      </c>
      <c r="AI301" s="109">
        <f>((AA301*'CALCULO GERAL'!$C$11))*0.08+20</f>
        <v>2549.576</v>
      </c>
      <c r="AJ301" s="109">
        <v>1010</v>
      </c>
      <c r="AK301" s="109">
        <v>2500</v>
      </c>
      <c r="AL301" s="109">
        <f>(AA301*('CALCULO GERAL'!$C$11*1.02))-(AA301*'CALCULO GERAL'!$C$11)</f>
        <v>632.39400000000387</v>
      </c>
      <c r="AM301" s="109">
        <v>1800</v>
      </c>
      <c r="AN301" s="109">
        <v>2600</v>
      </c>
      <c r="AO301" s="109">
        <v>9400</v>
      </c>
      <c r="AP301" s="109">
        <v>1000</v>
      </c>
      <c r="AQ301" s="109">
        <v>0</v>
      </c>
      <c r="AR301" s="109">
        <v>0</v>
      </c>
      <c r="AS301" s="109"/>
      <c r="AT301" s="109">
        <f t="shared" si="304"/>
        <v>3193577331.2324409</v>
      </c>
      <c r="AU301" s="111">
        <f t="shared" si="205"/>
        <v>127743.09324929764</v>
      </c>
      <c r="AV301" s="109">
        <f>IFERROR((BS301*'CALCULO GERAL'!$E$11)/N301,0)</f>
        <v>3056.8169310000003</v>
      </c>
      <c r="AW301" s="109">
        <f>AU301/'CALCULO GERAL'!$C$11</f>
        <v>25451.901424446631</v>
      </c>
      <c r="AX301" s="109">
        <f>BP301-BB301-BD301*'CALCULO GERAL'!$C$11</f>
        <v>100513.56868396123</v>
      </c>
      <c r="AY301" s="109">
        <f t="shared" si="206"/>
        <v>1658.4738832853604</v>
      </c>
      <c r="AZ301" s="109">
        <f t="shared" si="207"/>
        <v>7639.0312199810533</v>
      </c>
      <c r="BA301" s="109">
        <f t="shared" si="208"/>
        <v>142841.91266355143</v>
      </c>
      <c r="BB301" s="109">
        <f t="shared" si="209"/>
        <v>2142.6286899532715</v>
      </c>
      <c r="BC301" s="109">
        <f t="shared" si="210"/>
        <v>142841.9126635514</v>
      </c>
      <c r="BD301" s="109">
        <f t="shared" si="211"/>
        <v>9998.9338864485981</v>
      </c>
      <c r="BE301" s="109">
        <f t="shared" si="212"/>
        <v>305681693.10000002</v>
      </c>
      <c r="BF301" s="109">
        <f t="shared" si="213"/>
        <v>458522539.65000004</v>
      </c>
      <c r="BG301" s="109">
        <f t="shared" si="214"/>
        <v>1650.6811427400003</v>
      </c>
      <c r="BH301" s="109">
        <f t="shared" si="215"/>
        <v>1834.0901586000002</v>
      </c>
      <c r="BI301" s="109">
        <f t="shared" si="216"/>
        <v>-1222.4867724400001</v>
      </c>
      <c r="BJ301" s="109">
        <f t="shared" si="217"/>
        <v>26758.169139568283</v>
      </c>
      <c r="BK301" s="109">
        <f t="shared" si="218"/>
        <v>154501.26238886593</v>
      </c>
      <c r="BL301" s="148">
        <v>0.85</v>
      </c>
      <c r="BM301" s="112">
        <f>ROUND((AW301/BL301)+((AW301*BL301)*'CALCULO GERAL'!$E$11)/BL301,2)</f>
        <v>30452.45</v>
      </c>
      <c r="BN301" s="186">
        <f t="shared" si="305"/>
        <v>30452.45</v>
      </c>
      <c r="BO301" s="186">
        <f t="shared" si="306"/>
        <v>35679.898999999998</v>
      </c>
      <c r="BP301" s="109">
        <f>BM301*'CALCULO GERAL'!$C$11</f>
        <v>152840.84655000002</v>
      </c>
      <c r="BQ301" s="109">
        <f>BO301*'CALCULO GERAL'!$C$11</f>
        <v>179077.41308100001</v>
      </c>
      <c r="BR301" s="186">
        <f>BN301*'CALCULO GERAL'!$C$11</f>
        <v>152840.84655000002</v>
      </c>
      <c r="BS301" s="109">
        <f t="shared" si="219"/>
        <v>3821021163.7500005</v>
      </c>
      <c r="BT301" s="109">
        <f t="shared" si="303"/>
        <v>627443832.51755953</v>
      </c>
      <c r="BU301" s="109">
        <f t="shared" si="220"/>
        <v>3821021163.7500005</v>
      </c>
      <c r="BV301" s="109">
        <f t="shared" si="310"/>
        <v>3862531559.7216482</v>
      </c>
      <c r="BW301" s="109">
        <f t="shared" si="307"/>
        <v>-41510395.971647739</v>
      </c>
      <c r="BX301" s="114">
        <f t="shared" si="221"/>
        <v>-1.0863691718186897E-2</v>
      </c>
      <c r="BY301" s="152">
        <f t="shared" si="311"/>
        <v>0.85</v>
      </c>
      <c r="CA301" s="55"/>
      <c r="CB301" s="113"/>
      <c r="CC301" s="113"/>
      <c r="CE301" s="152">
        <f t="shared" si="312"/>
        <v>0</v>
      </c>
      <c r="CF301" s="152">
        <f t="shared" si="308"/>
        <v>1</v>
      </c>
      <c r="CG301" s="152">
        <f t="shared" si="309"/>
        <v>1</v>
      </c>
      <c r="CH301" s="34"/>
      <c r="CJ301" s="11"/>
      <c r="CK301" s="11"/>
    </row>
    <row r="302" spans="1:89" s="152" customFormat="1" x14ac:dyDescent="0.2">
      <c r="A302" s="507" t="s">
        <v>643</v>
      </c>
      <c r="B302" s="508" t="s">
        <v>274</v>
      </c>
      <c r="C302" s="509">
        <v>0.13</v>
      </c>
      <c r="D302" s="510">
        <v>0</v>
      </c>
      <c r="E302" s="511">
        <v>2.1000000000000001E-2</v>
      </c>
      <c r="F302" s="511">
        <v>9.6500000000000002E-2</v>
      </c>
      <c r="G302" s="1">
        <v>1.6500000000000001E-2</v>
      </c>
      <c r="H302" s="1">
        <v>7.5999999999999998E-2</v>
      </c>
      <c r="I302" s="512">
        <v>0.18</v>
      </c>
      <c r="J302" s="512">
        <v>0.04</v>
      </c>
      <c r="K302" s="512">
        <v>0.14000000000000001</v>
      </c>
      <c r="L302" s="512">
        <v>1.4999999999999999E-2</v>
      </c>
      <c r="M302" s="513" t="s">
        <v>175</v>
      </c>
      <c r="N302" s="514">
        <v>76800</v>
      </c>
      <c r="O302" s="119"/>
      <c r="P302" s="119"/>
      <c r="Q302" s="119"/>
      <c r="R302" s="119"/>
      <c r="S302" s="119"/>
      <c r="T302" s="119"/>
      <c r="U302" s="119"/>
      <c r="V302" s="119">
        <v>0.70199999999999996</v>
      </c>
      <c r="W302" s="119"/>
      <c r="X302" s="119">
        <f t="shared" si="198"/>
        <v>0.70199999999999996</v>
      </c>
      <c r="Y302" s="118">
        <f t="shared" si="199"/>
        <v>0.70199999999999996</v>
      </c>
      <c r="Z302" s="109">
        <f t="shared" si="197"/>
        <v>53913.599999999999</v>
      </c>
      <c r="AA302" s="109">
        <f>'CALCULO GERAL'!$G$10</f>
        <v>6300</v>
      </c>
      <c r="AB302" s="109">
        <f t="shared" si="200"/>
        <v>60213.599999999999</v>
      </c>
      <c r="AC302" s="109">
        <f>AB302*'CALCULO GERAL'!$C$11</f>
        <v>302212.05839999998</v>
      </c>
      <c r="AD302" s="109">
        <f t="shared" si="201"/>
        <v>39287.567591999999</v>
      </c>
      <c r="AE302" s="109">
        <f t="shared" si="202"/>
        <v>0</v>
      </c>
      <c r="AF302" s="109">
        <f t="shared" si="203"/>
        <v>6346.4532263999999</v>
      </c>
      <c r="AG302" s="109">
        <f t="shared" si="204"/>
        <v>29163.463635599997</v>
      </c>
      <c r="AH302" s="109">
        <v>154.22999999999999</v>
      </c>
      <c r="AI302" s="109">
        <f>((AA302*'CALCULO GERAL'!$C$11))*0.08+20</f>
        <v>2549.576</v>
      </c>
      <c r="AJ302" s="109">
        <v>1010</v>
      </c>
      <c r="AK302" s="109">
        <v>2500</v>
      </c>
      <c r="AL302" s="109">
        <f>(AA302*('CALCULO GERAL'!$C$11*1.02))-(AA302*'CALCULO GERAL'!$C$11)</f>
        <v>632.39400000000387</v>
      </c>
      <c r="AM302" s="109">
        <v>1800</v>
      </c>
      <c r="AN302" s="109">
        <v>2600</v>
      </c>
      <c r="AO302" s="109">
        <v>9400</v>
      </c>
      <c r="AP302" s="109">
        <v>1000</v>
      </c>
      <c r="AQ302" s="109">
        <v>0</v>
      </c>
      <c r="AR302" s="109">
        <v>0</v>
      </c>
      <c r="AS302" s="109"/>
      <c r="AT302" s="109">
        <f t="shared" si="304"/>
        <v>398655.74285400001</v>
      </c>
      <c r="AU302" s="111">
        <f t="shared" si="205"/>
        <v>5.1908299850781248</v>
      </c>
      <c r="AV302" s="109">
        <f>IFERROR((BS302*'CALCULO GERAL'!$E$11)/N302,0)</f>
        <v>0.12145979999999999</v>
      </c>
      <c r="AW302" s="109">
        <f>AU302/'CALCULO GERAL'!$C$11</f>
        <v>1.0342359005933701</v>
      </c>
      <c r="AX302" s="109">
        <f>BP302-BB302-BD302*'CALCULO GERAL'!$C$11</f>
        <v>5.9818951499999997</v>
      </c>
      <c r="AY302" s="109">
        <f t="shared" si="206"/>
        <v>9.8701269975000006E-2</v>
      </c>
      <c r="AZ302" s="109">
        <f t="shared" si="207"/>
        <v>0.45462403139999996</v>
      </c>
      <c r="BA302" s="109">
        <f t="shared" si="208"/>
        <v>6.0729899999999999</v>
      </c>
      <c r="BB302" s="109">
        <f t="shared" si="209"/>
        <v>9.1094849999999991E-2</v>
      </c>
      <c r="BC302" s="109">
        <f t="shared" si="210"/>
        <v>6.0729899999999999</v>
      </c>
      <c r="BD302" s="109">
        <f t="shared" si="211"/>
        <v>0</v>
      </c>
      <c r="BE302" s="109">
        <f t="shared" si="212"/>
        <v>37312.450559999997</v>
      </c>
      <c r="BF302" s="109">
        <f t="shared" si="213"/>
        <v>55968.675839999996</v>
      </c>
      <c r="BG302" s="109">
        <f t="shared" si="214"/>
        <v>6.5588291999999992E-2</v>
      </c>
      <c r="BH302" s="109">
        <f t="shared" si="215"/>
        <v>7.287587999999999E-2</v>
      </c>
      <c r="BI302" s="109">
        <f t="shared" si="216"/>
        <v>0</v>
      </c>
      <c r="BJ302" s="109">
        <f t="shared" si="217"/>
        <v>0.90434412337499981</v>
      </c>
      <c r="BK302" s="109">
        <f t="shared" si="218"/>
        <v>6.0951741084531248</v>
      </c>
      <c r="BL302" s="148">
        <v>0.87</v>
      </c>
      <c r="BM302" s="112">
        <f>ROUND((AW302/BL302)+((AW302*BL302)*'CALCULO GERAL'!$E$11)/BL302,2)</f>
        <v>1.21</v>
      </c>
      <c r="BN302" s="186">
        <f t="shared" si="305"/>
        <v>1.21</v>
      </c>
      <c r="BO302" s="186">
        <f t="shared" si="306"/>
        <v>1.4179999999999999</v>
      </c>
      <c r="BP302" s="109">
        <f>BM302*'CALCULO GERAL'!$C$11</f>
        <v>6.0729899999999999</v>
      </c>
      <c r="BQ302" s="109">
        <f>BO302*'CALCULO GERAL'!$C$11</f>
        <v>7.1169419999999999</v>
      </c>
      <c r="BR302" s="186">
        <f>BN302*'CALCULO GERAL'!$C$11</f>
        <v>6.0729899999999999</v>
      </c>
      <c r="BS302" s="109">
        <f t="shared" si="219"/>
        <v>466405.63199999998</v>
      </c>
      <c r="BT302" s="109">
        <f t="shared" si="303"/>
        <v>67749.889145999972</v>
      </c>
      <c r="BU302" s="109">
        <f t="shared" si="220"/>
        <v>466405.63199999998</v>
      </c>
      <c r="BV302" s="109">
        <f t="shared" si="310"/>
        <v>468109.3715292</v>
      </c>
      <c r="BW302" s="109">
        <f t="shared" si="307"/>
        <v>-1703.7395292000147</v>
      </c>
      <c r="BX302" s="114">
        <f t="shared" si="221"/>
        <v>-3.6529137135291167E-3</v>
      </c>
      <c r="BY302" s="152">
        <f t="shared" si="311"/>
        <v>0.87</v>
      </c>
      <c r="CA302" s="55"/>
      <c r="CB302" s="113"/>
      <c r="CC302" s="113"/>
      <c r="CE302" s="152">
        <f t="shared" si="312"/>
        <v>0</v>
      </c>
      <c r="CF302" s="152">
        <f t="shared" si="308"/>
        <v>1</v>
      </c>
      <c r="CG302" s="152">
        <f t="shared" si="309"/>
        <v>1</v>
      </c>
      <c r="CH302" s="34"/>
      <c r="CJ302" s="11"/>
      <c r="CK302" s="11"/>
    </row>
    <row r="303" spans="1:89" s="152" customFormat="1" x14ac:dyDescent="0.2">
      <c r="A303" s="507" t="s">
        <v>644</v>
      </c>
      <c r="B303" s="508" t="s">
        <v>274</v>
      </c>
      <c r="C303" s="509">
        <v>0.13</v>
      </c>
      <c r="D303" s="510">
        <v>0</v>
      </c>
      <c r="E303" s="511">
        <v>2.1000000000000001E-2</v>
      </c>
      <c r="F303" s="511">
        <v>9.6500000000000002E-2</v>
      </c>
      <c r="G303" s="1">
        <v>1.6500000000000001E-2</v>
      </c>
      <c r="H303" s="1">
        <v>7.5999999999999998E-2</v>
      </c>
      <c r="I303" s="512">
        <v>0.18</v>
      </c>
      <c r="J303" s="512">
        <v>0.04</v>
      </c>
      <c r="K303" s="512">
        <v>0.14000000000000001</v>
      </c>
      <c r="L303" s="512">
        <v>1.4999999999999999E-2</v>
      </c>
      <c r="M303" s="513" t="s">
        <v>175</v>
      </c>
      <c r="N303" s="514">
        <v>32200</v>
      </c>
      <c r="O303" s="119"/>
      <c r="P303" s="119"/>
      <c r="Q303" s="119"/>
      <c r="R303" s="119"/>
      <c r="S303" s="119"/>
      <c r="T303" s="119"/>
      <c r="U303" s="119"/>
      <c r="V303" s="119">
        <v>48</v>
      </c>
      <c r="W303" s="119"/>
      <c r="X303" s="119">
        <f t="shared" si="198"/>
        <v>48</v>
      </c>
      <c r="Y303" s="118">
        <f t="shared" si="199"/>
        <v>48</v>
      </c>
      <c r="Z303" s="109">
        <f t="shared" si="197"/>
        <v>1545600</v>
      </c>
      <c r="AA303" s="109">
        <f>'CALCULO GERAL'!$G$10</f>
        <v>6300</v>
      </c>
      <c r="AB303" s="109">
        <f t="shared" si="200"/>
        <v>1551900</v>
      </c>
      <c r="AC303" s="109">
        <f>AB303*'CALCULO GERAL'!$C$11</f>
        <v>7788986.1000000006</v>
      </c>
      <c r="AD303" s="109">
        <f t="shared" si="201"/>
        <v>1012568.1930000001</v>
      </c>
      <c r="AE303" s="109">
        <f t="shared" si="202"/>
        <v>0</v>
      </c>
      <c r="AF303" s="109">
        <f t="shared" si="203"/>
        <v>163568.70810000002</v>
      </c>
      <c r="AG303" s="109">
        <f t="shared" si="204"/>
        <v>751637.15865000011</v>
      </c>
      <c r="AH303" s="109">
        <v>154.22999999999999</v>
      </c>
      <c r="AI303" s="109">
        <f>((AA303*'CALCULO GERAL'!$C$11))*0.08+20</f>
        <v>2549.576</v>
      </c>
      <c r="AJ303" s="109">
        <v>1010</v>
      </c>
      <c r="AK303" s="109">
        <v>2500</v>
      </c>
      <c r="AL303" s="109">
        <f>(AA303*('CALCULO GERAL'!$C$11*1.02))-(AA303*'CALCULO GERAL'!$C$11)</f>
        <v>632.39400000000387</v>
      </c>
      <c r="AM303" s="109">
        <v>1800</v>
      </c>
      <c r="AN303" s="109">
        <v>2600</v>
      </c>
      <c r="AO303" s="109">
        <v>9400</v>
      </c>
      <c r="AP303" s="109">
        <v>1000</v>
      </c>
      <c r="AQ303" s="109">
        <v>0</v>
      </c>
      <c r="AR303" s="109">
        <v>0</v>
      </c>
      <c r="AS303" s="109"/>
      <c r="AT303" s="109">
        <f t="shared" si="304"/>
        <v>9738406.3597500008</v>
      </c>
      <c r="AU303" s="111">
        <f t="shared" si="205"/>
        <v>302.43498011645966</v>
      </c>
      <c r="AV303" s="109">
        <f>IFERROR((BS303*'CALCULO GERAL'!$E$11)/N303,0)</f>
        <v>7.0737785999999998</v>
      </c>
      <c r="AW303" s="109">
        <f>AU303/'CALCULO GERAL'!$C$11</f>
        <v>60.258015564148167</v>
      </c>
      <c r="AX303" s="109">
        <f>BP303-BB303-BD303*'CALCULO GERAL'!$C$11</f>
        <v>348.38359605000005</v>
      </c>
      <c r="AY303" s="109">
        <f t="shared" si="206"/>
        <v>5.7483293348250015</v>
      </c>
      <c r="AZ303" s="109">
        <f t="shared" si="207"/>
        <v>26.477153299800005</v>
      </c>
      <c r="BA303" s="109">
        <f t="shared" si="208"/>
        <v>353.68893000000003</v>
      </c>
      <c r="BB303" s="109">
        <f t="shared" si="209"/>
        <v>5.3053339500000005</v>
      </c>
      <c r="BC303" s="109">
        <f t="shared" si="210"/>
        <v>353.68893000000003</v>
      </c>
      <c r="BD303" s="109">
        <f t="shared" si="211"/>
        <v>0</v>
      </c>
      <c r="BE303" s="109">
        <f t="shared" si="212"/>
        <v>911102.68368000002</v>
      </c>
      <c r="BF303" s="109">
        <f t="shared" si="213"/>
        <v>1366654.0255199999</v>
      </c>
      <c r="BG303" s="109">
        <f t="shared" si="214"/>
        <v>3.8198404439999996</v>
      </c>
      <c r="BH303" s="109">
        <f t="shared" si="215"/>
        <v>4.2442671599999997</v>
      </c>
      <c r="BI303" s="109">
        <f t="shared" si="216"/>
        <v>-2.6431760673291929</v>
      </c>
      <c r="BJ303" s="109">
        <f t="shared" si="217"/>
        <v>50.025526721295812</v>
      </c>
      <c r="BK303" s="109">
        <f t="shared" si="218"/>
        <v>352.46050683775547</v>
      </c>
      <c r="BL303" s="148">
        <v>0.87</v>
      </c>
      <c r="BM303" s="112">
        <f>ROUND((AW303/BL303)+((AW303*BL303)*'CALCULO GERAL'!$E$11)/BL303,2)</f>
        <v>70.47</v>
      </c>
      <c r="BN303" s="186">
        <f t="shared" si="305"/>
        <v>70.47</v>
      </c>
      <c r="BO303" s="186">
        <f t="shared" si="306"/>
        <v>82.566999999999993</v>
      </c>
      <c r="BP303" s="109">
        <f>BM303*'CALCULO GERAL'!$C$11</f>
        <v>353.68893000000003</v>
      </c>
      <c r="BQ303" s="109">
        <f>BO303*'CALCULO GERAL'!$C$11</f>
        <v>414.403773</v>
      </c>
      <c r="BR303" s="186">
        <f>BN303*'CALCULO GERAL'!$C$11</f>
        <v>353.68893000000003</v>
      </c>
      <c r="BS303" s="109">
        <f t="shared" si="219"/>
        <v>11388783.546</v>
      </c>
      <c r="BT303" s="109">
        <f t="shared" si="303"/>
        <v>1650377.1862499993</v>
      </c>
      <c r="BU303" s="109">
        <f t="shared" si="220"/>
        <v>11388783.546</v>
      </c>
      <c r="BV303" s="109">
        <f t="shared" si="310"/>
        <v>11349228.320175726</v>
      </c>
      <c r="BW303" s="109">
        <f t="shared" si="307"/>
        <v>39555.225824274123</v>
      </c>
      <c r="BX303" s="114">
        <f t="shared" si="221"/>
        <v>3.4731739052294851E-3</v>
      </c>
      <c r="BY303" s="152">
        <f t="shared" si="311"/>
        <v>0.87</v>
      </c>
      <c r="CA303" s="55"/>
      <c r="CB303" s="113"/>
      <c r="CC303" s="113"/>
      <c r="CE303" s="152">
        <f t="shared" si="312"/>
        <v>0</v>
      </c>
      <c r="CF303" s="152">
        <f t="shared" si="308"/>
        <v>1</v>
      </c>
      <c r="CG303" s="152">
        <f t="shared" si="309"/>
        <v>1</v>
      </c>
      <c r="CH303" s="34"/>
      <c r="CJ303" s="11"/>
      <c r="CK303" s="11"/>
    </row>
    <row r="304" spans="1:89" s="152" customFormat="1" x14ac:dyDescent="0.2">
      <c r="A304" s="507" t="s">
        <v>645</v>
      </c>
      <c r="B304" s="508" t="s">
        <v>274</v>
      </c>
      <c r="C304" s="509">
        <v>0.13</v>
      </c>
      <c r="D304" s="510">
        <v>0</v>
      </c>
      <c r="E304" s="511">
        <v>2.1000000000000001E-2</v>
      </c>
      <c r="F304" s="511">
        <v>9.6500000000000002E-2</v>
      </c>
      <c r="G304" s="1">
        <v>1.6500000000000001E-2</v>
      </c>
      <c r="H304" s="1">
        <v>7.5999999999999998E-2</v>
      </c>
      <c r="I304" s="512">
        <v>0.18</v>
      </c>
      <c r="J304" s="512">
        <v>0.04</v>
      </c>
      <c r="K304" s="512">
        <v>0.14000000000000001</v>
      </c>
      <c r="L304" s="512">
        <v>1.4999999999999999E-2</v>
      </c>
      <c r="M304" s="513" t="s">
        <v>175</v>
      </c>
      <c r="N304" s="514">
        <v>32200</v>
      </c>
      <c r="O304" s="119"/>
      <c r="P304" s="119"/>
      <c r="Q304" s="119"/>
      <c r="R304" s="119"/>
      <c r="S304" s="119"/>
      <c r="T304" s="119">
        <v>3.95</v>
      </c>
      <c r="U304" s="119"/>
      <c r="V304" s="119"/>
      <c r="W304" s="119"/>
      <c r="X304" s="119">
        <f t="shared" si="198"/>
        <v>3.95</v>
      </c>
      <c r="Y304" s="118">
        <f t="shared" si="199"/>
        <v>3.95</v>
      </c>
      <c r="Z304" s="109">
        <f t="shared" si="197"/>
        <v>127190</v>
      </c>
      <c r="AA304" s="109">
        <f>'CALCULO GERAL'!$G$10</f>
        <v>6300</v>
      </c>
      <c r="AB304" s="109">
        <f t="shared" si="200"/>
        <v>133490</v>
      </c>
      <c r="AC304" s="109">
        <f>AB304*'CALCULO GERAL'!$C$11</f>
        <v>669986.31000000006</v>
      </c>
      <c r="AD304" s="109">
        <f t="shared" si="201"/>
        <v>87098.220300000015</v>
      </c>
      <c r="AE304" s="109">
        <f t="shared" si="202"/>
        <v>0</v>
      </c>
      <c r="AF304" s="109">
        <f t="shared" si="203"/>
        <v>14069.712510000001</v>
      </c>
      <c r="AG304" s="109">
        <f t="shared" si="204"/>
        <v>64653.678915000004</v>
      </c>
      <c r="AH304" s="109">
        <v>154.22999999999999</v>
      </c>
      <c r="AI304" s="109">
        <f>((AA304*'CALCULO GERAL'!$C$11))*0.08+20</f>
        <v>2549.576</v>
      </c>
      <c r="AJ304" s="109">
        <v>1010</v>
      </c>
      <c r="AK304" s="109">
        <v>2500</v>
      </c>
      <c r="AL304" s="109">
        <f>(AA304*('CALCULO GERAL'!$C$11*1.02))-(AA304*'CALCULO GERAL'!$C$11)</f>
        <v>632.39400000000387</v>
      </c>
      <c r="AM304" s="109">
        <v>1800</v>
      </c>
      <c r="AN304" s="109">
        <v>2600</v>
      </c>
      <c r="AO304" s="109">
        <v>9400</v>
      </c>
      <c r="AP304" s="109">
        <v>1000</v>
      </c>
      <c r="AQ304" s="109">
        <v>0</v>
      </c>
      <c r="AR304" s="109">
        <v>0</v>
      </c>
      <c r="AS304" s="109"/>
      <c r="AT304" s="109">
        <f t="shared" si="304"/>
        <v>857454.12172500009</v>
      </c>
      <c r="AU304" s="111">
        <f t="shared" si="205"/>
        <v>26.629009991459629</v>
      </c>
      <c r="AV304" s="109">
        <f>IFERROR((BS304*'CALCULO GERAL'!$E$11)/N304,0)</f>
        <v>0.60930660000000003</v>
      </c>
      <c r="AW304" s="109">
        <f>AU304/'CALCULO GERAL'!$C$11</f>
        <v>5.3056405641481623</v>
      </c>
      <c r="AX304" s="109">
        <f>BP304-BB304-BD304*'CALCULO GERAL'!$C$11</f>
        <v>30.008350050000001</v>
      </c>
      <c r="AY304" s="109">
        <f t="shared" si="206"/>
        <v>0.49513777582500001</v>
      </c>
      <c r="AZ304" s="109">
        <f t="shared" si="207"/>
        <v>2.2806346037999998</v>
      </c>
      <c r="BA304" s="109">
        <f t="shared" si="208"/>
        <v>30.465330000000002</v>
      </c>
      <c r="BB304" s="109">
        <f t="shared" si="209"/>
        <v>0.45697995000000002</v>
      </c>
      <c r="BC304" s="109">
        <f t="shared" si="210"/>
        <v>30.465330000000002</v>
      </c>
      <c r="BD304" s="109">
        <f t="shared" si="211"/>
        <v>0</v>
      </c>
      <c r="BE304" s="109">
        <f t="shared" si="212"/>
        <v>78478.69008</v>
      </c>
      <c r="BF304" s="109">
        <f t="shared" si="213"/>
        <v>117718.03512</v>
      </c>
      <c r="BG304" s="109">
        <f t="shared" si="214"/>
        <v>0.32902556399999999</v>
      </c>
      <c r="BH304" s="109">
        <f t="shared" si="215"/>
        <v>0.36558395999999999</v>
      </c>
      <c r="BI304" s="109">
        <f t="shared" si="216"/>
        <v>-5.7387267329192554E-2</v>
      </c>
      <c r="BJ304" s="109">
        <f t="shared" si="217"/>
        <v>4.4792811862958075</v>
      </c>
      <c r="BK304" s="109">
        <f t="shared" si="218"/>
        <v>31.108291177755437</v>
      </c>
      <c r="BL304" s="148">
        <v>0.89</v>
      </c>
      <c r="BM304" s="112">
        <f>ROUND((AW304/BL304)+((AW304*BL304)*'CALCULO GERAL'!$E$11)/BL304,2)</f>
        <v>6.07</v>
      </c>
      <c r="BN304" s="186">
        <f t="shared" si="305"/>
        <v>6.07</v>
      </c>
      <c r="BO304" s="186">
        <f t="shared" si="306"/>
        <v>7.1120000000000001</v>
      </c>
      <c r="BP304" s="109">
        <f>BM304*'CALCULO GERAL'!$C$11</f>
        <v>30.465330000000002</v>
      </c>
      <c r="BQ304" s="109">
        <f>BO304*'CALCULO GERAL'!$C$11</f>
        <v>35.695128000000004</v>
      </c>
      <c r="BR304" s="186">
        <f>BN304*'CALCULO GERAL'!$C$11</f>
        <v>30.465330000000002</v>
      </c>
      <c r="BS304" s="109">
        <f t="shared" si="219"/>
        <v>980983.62600000005</v>
      </c>
      <c r="BT304" s="109">
        <f t="shared" si="303"/>
        <v>123529.50427499996</v>
      </c>
      <c r="BU304" s="109">
        <f t="shared" si="220"/>
        <v>980983.62600000005</v>
      </c>
      <c r="BV304" s="109">
        <f t="shared" si="310"/>
        <v>1001686.9759237251</v>
      </c>
      <c r="BW304" s="109">
        <f t="shared" si="307"/>
        <v>-20703.349923725007</v>
      </c>
      <c r="BX304" s="114">
        <f t="shared" si="221"/>
        <v>-2.1104684497277232E-2</v>
      </c>
      <c r="BY304" s="152">
        <f t="shared" si="311"/>
        <v>0.89</v>
      </c>
      <c r="CA304" s="55"/>
      <c r="CB304" s="113"/>
      <c r="CC304" s="113"/>
      <c r="CE304" s="152">
        <f t="shared" si="312"/>
        <v>0</v>
      </c>
      <c r="CF304" s="152">
        <f t="shared" si="308"/>
        <v>1</v>
      </c>
      <c r="CG304" s="152">
        <f t="shared" si="309"/>
        <v>1</v>
      </c>
      <c r="CH304" s="34"/>
      <c r="CJ304" s="11"/>
      <c r="CK304" s="11"/>
    </row>
    <row r="305" spans="1:89" s="152" customFormat="1" x14ac:dyDescent="0.2">
      <c r="A305" s="507" t="s">
        <v>646</v>
      </c>
      <c r="B305" s="508" t="s">
        <v>274</v>
      </c>
      <c r="C305" s="509">
        <v>0.13</v>
      </c>
      <c r="D305" s="510">
        <v>0</v>
      </c>
      <c r="E305" s="511">
        <v>2.1000000000000001E-2</v>
      </c>
      <c r="F305" s="511">
        <v>9.6500000000000002E-2</v>
      </c>
      <c r="G305" s="1">
        <v>1.6500000000000001E-2</v>
      </c>
      <c r="H305" s="1">
        <v>7.5999999999999998E-2</v>
      </c>
      <c r="I305" s="512">
        <v>0.18</v>
      </c>
      <c r="J305" s="512">
        <v>0.04</v>
      </c>
      <c r="K305" s="512">
        <v>0.14000000000000001</v>
      </c>
      <c r="L305" s="512">
        <v>1.4999999999999999E-2</v>
      </c>
      <c r="M305" s="513" t="s">
        <v>175</v>
      </c>
      <c r="N305" s="514">
        <v>38600</v>
      </c>
      <c r="O305" s="119"/>
      <c r="P305" s="119"/>
      <c r="Q305" s="119"/>
      <c r="R305" s="119"/>
      <c r="S305" s="119"/>
      <c r="T305" s="119">
        <v>4.3</v>
      </c>
      <c r="U305" s="119"/>
      <c r="V305" s="119"/>
      <c r="W305" s="119"/>
      <c r="X305" s="119">
        <f t="shared" si="198"/>
        <v>4.3</v>
      </c>
      <c r="Y305" s="118">
        <f t="shared" si="199"/>
        <v>4.3</v>
      </c>
      <c r="Z305" s="109">
        <f t="shared" si="197"/>
        <v>165980</v>
      </c>
      <c r="AA305" s="109">
        <f>'CALCULO GERAL'!$G$10</f>
        <v>6300</v>
      </c>
      <c r="AB305" s="109">
        <f t="shared" si="200"/>
        <v>172280</v>
      </c>
      <c r="AC305" s="109">
        <f>AB305*'CALCULO GERAL'!$C$11</f>
        <v>864673.32000000007</v>
      </c>
      <c r="AD305" s="109">
        <f t="shared" si="201"/>
        <v>112407.53160000002</v>
      </c>
      <c r="AE305" s="109">
        <f t="shared" si="202"/>
        <v>0</v>
      </c>
      <c r="AF305" s="109">
        <f t="shared" si="203"/>
        <v>18158.139720000003</v>
      </c>
      <c r="AG305" s="109">
        <f t="shared" si="204"/>
        <v>83440.975380000003</v>
      </c>
      <c r="AH305" s="109">
        <v>154.22999999999999</v>
      </c>
      <c r="AI305" s="109">
        <f>((AA305*'CALCULO GERAL'!$C$11))*0.08+20</f>
        <v>2549.576</v>
      </c>
      <c r="AJ305" s="109">
        <v>1010</v>
      </c>
      <c r="AK305" s="109">
        <v>2500</v>
      </c>
      <c r="AL305" s="109">
        <f>(AA305*('CALCULO GERAL'!$C$11*1.02))-(AA305*'CALCULO GERAL'!$C$11)</f>
        <v>632.39400000000387</v>
      </c>
      <c r="AM305" s="109">
        <v>1800</v>
      </c>
      <c r="AN305" s="109">
        <v>2600</v>
      </c>
      <c r="AO305" s="109">
        <v>9400</v>
      </c>
      <c r="AP305" s="109">
        <v>1000</v>
      </c>
      <c r="AQ305" s="109">
        <v>0</v>
      </c>
      <c r="AR305" s="109">
        <v>0</v>
      </c>
      <c r="AS305" s="109"/>
      <c r="AT305" s="109">
        <f t="shared" si="304"/>
        <v>1100326.1666999999</v>
      </c>
      <c r="AU305" s="111">
        <f t="shared" si="205"/>
        <v>28.50585924093264</v>
      </c>
      <c r="AV305" s="109">
        <f>IFERROR((BS305*'CALCULO GERAL'!$E$11)/N305,0)</f>
        <v>0.65247000000000011</v>
      </c>
      <c r="AW305" s="109">
        <f>AU305/'CALCULO GERAL'!$C$11</f>
        <v>5.6795894084344765</v>
      </c>
      <c r="AX305" s="109">
        <f>BP305-BB305-BD305*'CALCULO GERAL'!$C$11</f>
        <v>32.134147499999997</v>
      </c>
      <c r="AY305" s="109">
        <f t="shared" si="206"/>
        <v>0.53021343374999996</v>
      </c>
      <c r="AZ305" s="109">
        <f t="shared" si="207"/>
        <v>2.4421952099999999</v>
      </c>
      <c r="BA305" s="109">
        <f t="shared" si="208"/>
        <v>32.6235</v>
      </c>
      <c r="BB305" s="109">
        <f t="shared" si="209"/>
        <v>0.48935249999999997</v>
      </c>
      <c r="BC305" s="109">
        <f t="shared" si="210"/>
        <v>32.6235</v>
      </c>
      <c r="BD305" s="109">
        <f t="shared" si="211"/>
        <v>0</v>
      </c>
      <c r="BE305" s="109">
        <f t="shared" si="212"/>
        <v>100741.36800000002</v>
      </c>
      <c r="BF305" s="109">
        <f t="shared" si="213"/>
        <v>151112.052</v>
      </c>
      <c r="BG305" s="109">
        <f t="shared" si="214"/>
        <v>0.35233379999999997</v>
      </c>
      <c r="BH305" s="109">
        <f t="shared" si="215"/>
        <v>0.39148200000000005</v>
      </c>
      <c r="BI305" s="109">
        <f t="shared" si="216"/>
        <v>-0.10554761139896379</v>
      </c>
      <c r="BJ305" s="109">
        <f t="shared" si="217"/>
        <v>4.7524993323510358</v>
      </c>
      <c r="BK305" s="109">
        <f t="shared" si="218"/>
        <v>33.258358573283672</v>
      </c>
      <c r="BL305" s="148">
        <v>0.89</v>
      </c>
      <c r="BM305" s="112">
        <f>ROUND((AW305/BL305)+((AW305*BL305)*'CALCULO GERAL'!$E$11)/BL305,2)</f>
        <v>6.5</v>
      </c>
      <c r="BN305" s="186">
        <f t="shared" si="305"/>
        <v>6.5</v>
      </c>
      <c r="BO305" s="186">
        <f t="shared" si="306"/>
        <v>7.6159999999999997</v>
      </c>
      <c r="BP305" s="109">
        <f>BM305*'CALCULO GERAL'!$C$11</f>
        <v>32.6235</v>
      </c>
      <c r="BQ305" s="109">
        <f>BO305*'CALCULO GERAL'!$C$11</f>
        <v>38.224704000000003</v>
      </c>
      <c r="BR305" s="186">
        <f>BN305*'CALCULO GERAL'!$C$11</f>
        <v>32.6235</v>
      </c>
      <c r="BS305" s="109">
        <f t="shared" si="219"/>
        <v>1259267.1000000001</v>
      </c>
      <c r="BT305" s="109">
        <f t="shared" si="303"/>
        <v>158940.93330000015</v>
      </c>
      <c r="BU305" s="109">
        <f t="shared" si="220"/>
        <v>1259267.1000000001</v>
      </c>
      <c r="BV305" s="109">
        <f t="shared" si="310"/>
        <v>1283772.6409287497</v>
      </c>
      <c r="BW305" s="109">
        <f t="shared" si="307"/>
        <v>-24505.5409287496</v>
      </c>
      <c r="BX305" s="114">
        <f t="shared" si="221"/>
        <v>-1.9460161334120138E-2</v>
      </c>
      <c r="BY305" s="152">
        <f t="shared" si="311"/>
        <v>0.89</v>
      </c>
      <c r="CA305" s="55"/>
      <c r="CB305" s="113"/>
      <c r="CC305" s="113"/>
      <c r="CE305" s="152">
        <f t="shared" si="312"/>
        <v>0</v>
      </c>
      <c r="CF305" s="152">
        <f t="shared" si="308"/>
        <v>1</v>
      </c>
      <c r="CG305" s="152">
        <f t="shared" si="309"/>
        <v>1</v>
      </c>
      <c r="CH305" s="34"/>
      <c r="CJ305" s="11"/>
      <c r="CK305" s="11"/>
    </row>
    <row r="306" spans="1:89" s="152" customFormat="1" x14ac:dyDescent="0.2">
      <c r="A306" s="507" t="s">
        <v>647</v>
      </c>
      <c r="B306" s="508" t="s">
        <v>648</v>
      </c>
      <c r="C306" s="509">
        <v>0.11</v>
      </c>
      <c r="D306" s="510">
        <v>0</v>
      </c>
      <c r="E306" s="511">
        <v>2.1000000000000001E-2</v>
      </c>
      <c r="F306" s="511">
        <v>9.6500000000000002E-2</v>
      </c>
      <c r="G306" s="1">
        <v>1.6500000000000001E-2</v>
      </c>
      <c r="H306" s="1">
        <v>7.5999999999999998E-2</v>
      </c>
      <c r="I306" s="512">
        <v>0.18</v>
      </c>
      <c r="J306" s="512">
        <v>0.04</v>
      </c>
      <c r="K306" s="512">
        <v>0.14000000000000001</v>
      </c>
      <c r="L306" s="512">
        <v>1.4999999999999999E-2</v>
      </c>
      <c r="M306" s="513" t="s">
        <v>175</v>
      </c>
      <c r="N306" s="514">
        <v>9</v>
      </c>
      <c r="O306" s="119"/>
      <c r="P306" s="119"/>
      <c r="Q306" s="119"/>
      <c r="R306" s="119"/>
      <c r="S306" s="119"/>
      <c r="T306" s="119">
        <v>4.0999999999999996</v>
      </c>
      <c r="U306" s="119"/>
      <c r="V306" s="119"/>
      <c r="W306" s="119"/>
      <c r="X306" s="119">
        <f t="shared" si="198"/>
        <v>4.0999999999999996</v>
      </c>
      <c r="Y306" s="118">
        <f t="shared" si="199"/>
        <v>4.0999999999999996</v>
      </c>
      <c r="Z306" s="109">
        <f t="shared" si="197"/>
        <v>36.9</v>
      </c>
      <c r="AA306" s="109">
        <f>'CALCULO GERAL'!$G$10</f>
        <v>6300</v>
      </c>
      <c r="AB306" s="109">
        <f t="shared" si="200"/>
        <v>6336.9</v>
      </c>
      <c r="AC306" s="109">
        <f>AB306*'CALCULO GERAL'!$C$11</f>
        <v>31804.901099999999</v>
      </c>
      <c r="AD306" s="109">
        <f t="shared" si="201"/>
        <v>3498.5391209999998</v>
      </c>
      <c r="AE306" s="109">
        <f t="shared" si="202"/>
        <v>0</v>
      </c>
      <c r="AF306" s="109">
        <f t="shared" si="203"/>
        <v>667.90292310000007</v>
      </c>
      <c r="AG306" s="109">
        <f t="shared" si="204"/>
        <v>3069.1729561500001</v>
      </c>
      <c r="AH306" s="109">
        <v>154.22999999999999</v>
      </c>
      <c r="AI306" s="109">
        <f>((AA306*'CALCULO GERAL'!$C$11))*0.08+20</f>
        <v>2549.576</v>
      </c>
      <c r="AJ306" s="109">
        <v>1010</v>
      </c>
      <c r="AK306" s="109">
        <v>2500</v>
      </c>
      <c r="AL306" s="109">
        <f>(AA306*('CALCULO GERAL'!$C$11*1.02))-(AA306*'CALCULO GERAL'!$C$11)</f>
        <v>632.39400000000387</v>
      </c>
      <c r="AM306" s="109">
        <v>1800</v>
      </c>
      <c r="AN306" s="109">
        <v>2600</v>
      </c>
      <c r="AO306" s="109">
        <v>9400</v>
      </c>
      <c r="AP306" s="109">
        <v>1000</v>
      </c>
      <c r="AQ306" s="109">
        <v>0</v>
      </c>
      <c r="AR306" s="109">
        <v>0</v>
      </c>
      <c r="AS306" s="109"/>
      <c r="AT306" s="109">
        <f t="shared" si="304"/>
        <v>60686.716100250007</v>
      </c>
      <c r="AU306" s="111">
        <f t="shared" si="205"/>
        <v>6742.9684555833337</v>
      </c>
      <c r="AV306" s="109">
        <f>IFERROR((BS306*'CALCULO GERAL'!$E$11)/N306,0)</f>
        <v>157.70802179999998</v>
      </c>
      <c r="AW306" s="109">
        <f>AU306/'CALCULO GERAL'!$C$11</f>
        <v>1343.4884350634256</v>
      </c>
      <c r="AX306" s="109">
        <f>BP306-BB306-BD306*'CALCULO GERAL'!$C$11</f>
        <v>7767.1200736499995</v>
      </c>
      <c r="AY306" s="109">
        <f t="shared" si="206"/>
        <v>128.157481215225</v>
      </c>
      <c r="AZ306" s="109">
        <f t="shared" si="207"/>
        <v>590.30112559739996</v>
      </c>
      <c r="BA306" s="109">
        <f t="shared" si="208"/>
        <v>7885.4010899999994</v>
      </c>
      <c r="BB306" s="109">
        <f t="shared" si="209"/>
        <v>118.28101634999999</v>
      </c>
      <c r="BC306" s="109">
        <f t="shared" si="210"/>
        <v>7885.4010899999994</v>
      </c>
      <c r="BD306" s="109">
        <f t="shared" si="211"/>
        <v>0</v>
      </c>
      <c r="BE306" s="109">
        <f t="shared" si="212"/>
        <v>5677.4887847999998</v>
      </c>
      <c r="BF306" s="109">
        <f t="shared" si="213"/>
        <v>8516.2331771999998</v>
      </c>
      <c r="BG306" s="109">
        <f t="shared" si="214"/>
        <v>85.162331771999987</v>
      </c>
      <c r="BH306" s="109">
        <f t="shared" si="215"/>
        <v>94.624813079999996</v>
      </c>
      <c r="BI306" s="109">
        <f t="shared" si="216"/>
        <v>0</v>
      </c>
      <c r="BJ306" s="109">
        <f t="shared" si="217"/>
        <v>1174.2347898146249</v>
      </c>
      <c r="BK306" s="109">
        <f t="shared" si="218"/>
        <v>7917.2032453979591</v>
      </c>
      <c r="BL306" s="148">
        <v>0.87</v>
      </c>
      <c r="BM306" s="112">
        <f>ROUND((AW306/BL306)+((AW306*BL306)*'CALCULO GERAL'!$E$11)/BL306,2)</f>
        <v>1571.11</v>
      </c>
      <c r="BN306" s="186">
        <f t="shared" si="305"/>
        <v>1571.11</v>
      </c>
      <c r="BO306" s="186">
        <f t="shared" si="306"/>
        <v>1840.806</v>
      </c>
      <c r="BP306" s="109">
        <f>BM306*'CALCULO GERAL'!$C$11</f>
        <v>7885.4010899999994</v>
      </c>
      <c r="BQ306" s="109">
        <f>BO306*'CALCULO GERAL'!$C$11</f>
        <v>9239.005314</v>
      </c>
      <c r="BR306" s="186">
        <f>BN306*'CALCULO GERAL'!$C$11</f>
        <v>7885.4010899999994</v>
      </c>
      <c r="BS306" s="109">
        <f t="shared" si="219"/>
        <v>70968.609809999994</v>
      </c>
      <c r="BT306" s="109">
        <f t="shared" si="303"/>
        <v>10281.893709749987</v>
      </c>
      <c r="BU306" s="109">
        <f t="shared" si="220"/>
        <v>70968.609809999994</v>
      </c>
      <c r="BV306" s="109">
        <f t="shared" si="310"/>
        <v>71254.829208581636</v>
      </c>
      <c r="BW306" s="109">
        <f t="shared" si="307"/>
        <v>-286.21939858164114</v>
      </c>
      <c r="BX306" s="114">
        <f t="shared" si="221"/>
        <v>-4.0330422048271653E-3</v>
      </c>
      <c r="BY306" s="152">
        <f t="shared" si="311"/>
        <v>0.87</v>
      </c>
      <c r="CA306" s="55"/>
      <c r="CB306" s="113"/>
      <c r="CC306" s="113"/>
      <c r="CE306" s="152">
        <f t="shared" si="312"/>
        <v>0</v>
      </c>
      <c r="CF306" s="152">
        <f t="shared" si="308"/>
        <v>1</v>
      </c>
      <c r="CG306" s="152">
        <f t="shared" si="309"/>
        <v>1</v>
      </c>
      <c r="CH306" s="34"/>
      <c r="CJ306" s="11"/>
      <c r="CK306" s="11"/>
    </row>
    <row r="307" spans="1:89" s="152" customFormat="1" x14ac:dyDescent="0.2">
      <c r="A307" s="507" t="s">
        <v>649</v>
      </c>
      <c r="B307" s="508" t="s">
        <v>650</v>
      </c>
      <c r="C307" s="509">
        <v>0.05</v>
      </c>
      <c r="D307" s="510">
        <v>0</v>
      </c>
      <c r="E307" s="511">
        <v>2.1000000000000001E-2</v>
      </c>
      <c r="F307" s="511">
        <v>9.6500000000000002E-2</v>
      </c>
      <c r="G307" s="1">
        <v>1.6500000000000001E-2</v>
      </c>
      <c r="H307" s="1">
        <v>7.5999999999999998E-2</v>
      </c>
      <c r="I307" s="512">
        <v>0.18</v>
      </c>
      <c r="J307" s="512">
        <v>0.04</v>
      </c>
      <c r="K307" s="512">
        <v>0.14000000000000001</v>
      </c>
      <c r="L307" s="512">
        <v>1.4999999999999999E-2</v>
      </c>
      <c r="M307" s="513" t="s">
        <v>175</v>
      </c>
      <c r="N307" s="514">
        <v>58000</v>
      </c>
      <c r="O307" s="119"/>
      <c r="P307" s="119"/>
      <c r="Q307" s="119"/>
      <c r="R307" s="119"/>
      <c r="S307" s="119"/>
      <c r="T307" s="119">
        <v>4.8</v>
      </c>
      <c r="U307" s="119"/>
      <c r="V307" s="119"/>
      <c r="W307" s="119"/>
      <c r="X307" s="119">
        <f t="shared" si="198"/>
        <v>4.8</v>
      </c>
      <c r="Y307" s="118">
        <f t="shared" si="199"/>
        <v>4.8</v>
      </c>
      <c r="Z307" s="109">
        <f t="shared" si="197"/>
        <v>278400</v>
      </c>
      <c r="AA307" s="109">
        <f>'CALCULO GERAL'!$G$10</f>
        <v>6300</v>
      </c>
      <c r="AB307" s="109">
        <f t="shared" si="200"/>
        <v>284700</v>
      </c>
      <c r="AC307" s="109">
        <f>AB307*'CALCULO GERAL'!$C$11</f>
        <v>1428909.3</v>
      </c>
      <c r="AD307" s="109">
        <f t="shared" si="201"/>
        <v>71445.465000000011</v>
      </c>
      <c r="AE307" s="109">
        <f t="shared" si="202"/>
        <v>0</v>
      </c>
      <c r="AF307" s="109">
        <f t="shared" si="203"/>
        <v>30007.095300000004</v>
      </c>
      <c r="AG307" s="109">
        <f t="shared" si="204"/>
        <v>137889.74745</v>
      </c>
      <c r="AH307" s="109">
        <v>154.22999999999999</v>
      </c>
      <c r="AI307" s="109">
        <f>((AA307*'CALCULO GERAL'!$C$11))*0.08+20</f>
        <v>2549.576</v>
      </c>
      <c r="AJ307" s="109">
        <v>1010</v>
      </c>
      <c r="AK307" s="109">
        <v>2500</v>
      </c>
      <c r="AL307" s="109">
        <f>(AA307*('CALCULO GERAL'!$C$11*1.02))-(AA307*'CALCULO GERAL'!$C$11)</f>
        <v>632.39400000000387</v>
      </c>
      <c r="AM307" s="109">
        <v>1800</v>
      </c>
      <c r="AN307" s="109">
        <v>2600</v>
      </c>
      <c r="AO307" s="109">
        <v>9400</v>
      </c>
      <c r="AP307" s="109">
        <v>1000</v>
      </c>
      <c r="AQ307" s="109">
        <v>0</v>
      </c>
      <c r="AR307" s="109">
        <v>0</v>
      </c>
      <c r="AS307" s="109"/>
      <c r="AT307" s="109">
        <f t="shared" si="304"/>
        <v>1689897.8077499999</v>
      </c>
      <c r="AU307" s="111">
        <f t="shared" si="205"/>
        <v>29.136169099137931</v>
      </c>
      <c r="AV307" s="109">
        <f>IFERROR((BS307*'CALCULO GERAL'!$E$11)/N307,0)</f>
        <v>0.68961059999999996</v>
      </c>
      <c r="AW307" s="109">
        <f>AU307/'CALCULO GERAL'!$C$11</f>
        <v>5.805174158027083</v>
      </c>
      <c r="AX307" s="109">
        <f>BP307-BB307-BD307*'CALCULO GERAL'!$C$11</f>
        <v>33.963322050000002</v>
      </c>
      <c r="AY307" s="109">
        <f t="shared" si="206"/>
        <v>0.56039481382500012</v>
      </c>
      <c r="AZ307" s="109">
        <f t="shared" si="207"/>
        <v>2.5812124758000001</v>
      </c>
      <c r="BA307" s="109">
        <f t="shared" si="208"/>
        <v>34.480530000000002</v>
      </c>
      <c r="BB307" s="109">
        <f t="shared" si="209"/>
        <v>0.51720794999999997</v>
      </c>
      <c r="BC307" s="109">
        <f t="shared" si="210"/>
        <v>34.480530000000002</v>
      </c>
      <c r="BD307" s="109">
        <f t="shared" si="211"/>
        <v>0</v>
      </c>
      <c r="BE307" s="109">
        <f t="shared" si="212"/>
        <v>159989.65919999999</v>
      </c>
      <c r="BF307" s="109">
        <f t="shared" si="213"/>
        <v>239984.48879999999</v>
      </c>
      <c r="BG307" s="109">
        <f t="shared" si="214"/>
        <v>0.37238972399999998</v>
      </c>
      <c r="BH307" s="109">
        <f t="shared" si="215"/>
        <v>0.41376636</v>
      </c>
      <c r="BI307" s="109">
        <f t="shared" si="216"/>
        <v>-0.17239598137931036</v>
      </c>
      <c r="BJ307" s="109">
        <f t="shared" si="217"/>
        <v>4.9621859422456893</v>
      </c>
      <c r="BK307" s="109">
        <f t="shared" si="218"/>
        <v>34.09835504138362</v>
      </c>
      <c r="BL307" s="148">
        <v>0.86</v>
      </c>
      <c r="BM307" s="112">
        <f>ROUND((AW307/BL307)+((AW307*BL307)*'CALCULO GERAL'!$E$11)/BL307,2)</f>
        <v>6.87</v>
      </c>
      <c r="BN307" s="186">
        <f t="shared" si="305"/>
        <v>6.87</v>
      </c>
      <c r="BO307" s="186">
        <f t="shared" si="306"/>
        <v>8.0489999999999995</v>
      </c>
      <c r="BP307" s="109">
        <f>BM307*'CALCULO GERAL'!$C$11</f>
        <v>34.480530000000002</v>
      </c>
      <c r="BQ307" s="109">
        <f>BO307*'CALCULO GERAL'!$C$11</f>
        <v>40.397931</v>
      </c>
      <c r="BR307" s="186">
        <f>BN307*'CALCULO GERAL'!$C$11</f>
        <v>34.480530000000002</v>
      </c>
      <c r="BS307" s="109">
        <f t="shared" si="219"/>
        <v>1999870.74</v>
      </c>
      <c r="BT307" s="109">
        <f t="shared" si="303"/>
        <v>309972.93225000007</v>
      </c>
      <c r="BU307" s="109">
        <f t="shared" si="220"/>
        <v>1999870.74</v>
      </c>
      <c r="BV307" s="109">
        <f t="shared" si="310"/>
        <v>1977704.59240025</v>
      </c>
      <c r="BW307" s="109">
        <f t="shared" si="307"/>
        <v>22166.147599749966</v>
      </c>
      <c r="BX307" s="114">
        <f t="shared" si="221"/>
        <v>1.1083790145232069E-2</v>
      </c>
      <c r="BY307" s="152">
        <f t="shared" si="311"/>
        <v>0.86</v>
      </c>
      <c r="CA307" s="55"/>
      <c r="CB307" s="113"/>
      <c r="CC307" s="113"/>
      <c r="CE307" s="152">
        <f t="shared" si="312"/>
        <v>0</v>
      </c>
      <c r="CF307" s="152">
        <f t="shared" si="308"/>
        <v>1</v>
      </c>
      <c r="CG307" s="152">
        <f t="shared" si="309"/>
        <v>1</v>
      </c>
      <c r="CH307" s="34"/>
      <c r="CJ307" s="11"/>
      <c r="CK307" s="11"/>
    </row>
    <row r="308" spans="1:89" s="152" customFormat="1" x14ac:dyDescent="0.2">
      <c r="A308" s="507" t="s">
        <v>651</v>
      </c>
      <c r="B308" s="508" t="s">
        <v>650</v>
      </c>
      <c r="C308" s="509">
        <v>0.05</v>
      </c>
      <c r="D308" s="510">
        <v>0</v>
      </c>
      <c r="E308" s="511">
        <v>2.1000000000000001E-2</v>
      </c>
      <c r="F308" s="511">
        <v>9.6500000000000002E-2</v>
      </c>
      <c r="G308" s="1">
        <v>1.6500000000000001E-2</v>
      </c>
      <c r="H308" s="1">
        <v>7.5999999999999998E-2</v>
      </c>
      <c r="I308" s="512">
        <v>0.18</v>
      </c>
      <c r="J308" s="512">
        <v>0.04</v>
      </c>
      <c r="K308" s="512">
        <v>0.14000000000000001</v>
      </c>
      <c r="L308" s="512">
        <v>1.4999999999999999E-2</v>
      </c>
      <c r="M308" s="513" t="s">
        <v>175</v>
      </c>
      <c r="N308" s="514">
        <v>45000</v>
      </c>
      <c r="O308" s="119">
        <v>900</v>
      </c>
      <c r="P308" s="119"/>
      <c r="Q308" s="119"/>
      <c r="R308" s="119"/>
      <c r="S308" s="119"/>
      <c r="T308" s="119"/>
      <c r="U308" s="119"/>
      <c r="V308" s="119"/>
      <c r="W308" s="119"/>
      <c r="X308" s="119">
        <f t="shared" si="198"/>
        <v>900</v>
      </c>
      <c r="Y308" s="118">
        <f t="shared" si="199"/>
        <v>900</v>
      </c>
      <c r="Z308" s="109">
        <f t="shared" si="197"/>
        <v>40500000</v>
      </c>
      <c r="AA308" s="109">
        <f>'CALCULO GERAL'!$G$10</f>
        <v>6300</v>
      </c>
      <c r="AB308" s="109">
        <f t="shared" si="200"/>
        <v>40506300</v>
      </c>
      <c r="AC308" s="109">
        <f>AB308*'CALCULO GERAL'!$C$11</f>
        <v>203301119.70000002</v>
      </c>
      <c r="AD308" s="109">
        <f t="shared" si="201"/>
        <v>10165055.985000001</v>
      </c>
      <c r="AE308" s="109">
        <f t="shared" si="202"/>
        <v>0</v>
      </c>
      <c r="AF308" s="109">
        <f t="shared" si="203"/>
        <v>4269323.5137000009</v>
      </c>
      <c r="AG308" s="109">
        <f t="shared" si="204"/>
        <v>19618558.051050004</v>
      </c>
      <c r="AH308" s="109">
        <v>154.22999999999999</v>
      </c>
      <c r="AI308" s="109">
        <f>((AA308*'CALCULO GERAL'!$C$11))*0.08+20</f>
        <v>2549.576</v>
      </c>
      <c r="AJ308" s="109">
        <v>1010</v>
      </c>
      <c r="AK308" s="109">
        <v>2500</v>
      </c>
      <c r="AL308" s="109">
        <f>(AA308*('CALCULO GERAL'!$C$11*1.02))-(AA308*'CALCULO GERAL'!$C$11)</f>
        <v>632.39400000000387</v>
      </c>
      <c r="AM308" s="109">
        <v>1800</v>
      </c>
      <c r="AN308" s="109">
        <v>2600</v>
      </c>
      <c r="AO308" s="109">
        <v>9400</v>
      </c>
      <c r="AP308" s="109">
        <v>1000</v>
      </c>
      <c r="AQ308" s="109">
        <v>0</v>
      </c>
      <c r="AR308" s="109">
        <v>0</v>
      </c>
      <c r="AS308" s="109"/>
      <c r="AT308" s="109">
        <f t="shared" si="304"/>
        <v>237375703.44975004</v>
      </c>
      <c r="AU308" s="111">
        <f t="shared" si="205"/>
        <v>5275.0156322166677</v>
      </c>
      <c r="AV308" s="109">
        <f>IFERROR((BS308*'CALCULO GERAL'!$E$11)/N308,0)</f>
        <v>122.68142460000001</v>
      </c>
      <c r="AW308" s="109">
        <f>AU308/'CALCULO GERAL'!$C$11</f>
        <v>1051.009291137013</v>
      </c>
      <c r="AX308" s="109">
        <f>BP308-BB308-BD308*'CALCULO GERAL'!$C$11</f>
        <v>6042.0601615500009</v>
      </c>
      <c r="AY308" s="109">
        <f t="shared" si="206"/>
        <v>99.693992665575024</v>
      </c>
      <c r="AZ308" s="109">
        <f t="shared" si="207"/>
        <v>459.19657227780004</v>
      </c>
      <c r="BA308" s="109">
        <f t="shared" si="208"/>
        <v>6134.0712300000005</v>
      </c>
      <c r="BB308" s="109">
        <f t="shared" si="209"/>
        <v>92.01106845000001</v>
      </c>
      <c r="BC308" s="109">
        <f t="shared" si="210"/>
        <v>6134.0712300000005</v>
      </c>
      <c r="BD308" s="109">
        <f t="shared" si="211"/>
        <v>0</v>
      </c>
      <c r="BE308" s="109">
        <f t="shared" si="212"/>
        <v>22082656.428000003</v>
      </c>
      <c r="BF308" s="109">
        <f t="shared" si="213"/>
        <v>33123984.642000001</v>
      </c>
      <c r="BG308" s="109">
        <f t="shared" si="214"/>
        <v>66.247969283999993</v>
      </c>
      <c r="BH308" s="109">
        <f t="shared" si="215"/>
        <v>73.60885476</v>
      </c>
      <c r="BI308" s="109">
        <f t="shared" si="216"/>
        <v>-48.939236528888905</v>
      </c>
      <c r="BJ308" s="109">
        <f t="shared" si="217"/>
        <v>864.50064550848606</v>
      </c>
      <c r="BK308" s="109">
        <f t="shared" si="218"/>
        <v>6139.5162777251535</v>
      </c>
      <c r="BL308" s="148">
        <v>0.875</v>
      </c>
      <c r="BM308" s="112">
        <f>ROUND((AW308/BL308)+((AW308*BL308)*'CALCULO GERAL'!$E$11)/BL308,2)</f>
        <v>1222.17</v>
      </c>
      <c r="BN308" s="186">
        <f t="shared" si="305"/>
        <v>1222.17</v>
      </c>
      <c r="BO308" s="186">
        <f t="shared" si="306"/>
        <v>1431.9670000000001</v>
      </c>
      <c r="BP308" s="109">
        <f>BM308*'CALCULO GERAL'!$C$11</f>
        <v>6134.0712300000005</v>
      </c>
      <c r="BQ308" s="109">
        <f>BO308*'CALCULO GERAL'!$C$11</f>
        <v>7187.0423730000002</v>
      </c>
      <c r="BR308" s="186">
        <f>BN308*'CALCULO GERAL'!$C$11</f>
        <v>6134.0712300000005</v>
      </c>
      <c r="BS308" s="109">
        <f t="shared" si="219"/>
        <v>276033205.35000002</v>
      </c>
      <c r="BT308" s="109">
        <f t="shared" si="303"/>
        <v>38657501.900249988</v>
      </c>
      <c r="BU308" s="109">
        <f t="shared" si="220"/>
        <v>276033205.35000002</v>
      </c>
      <c r="BV308" s="109">
        <f t="shared" si="310"/>
        <v>276278232.49763191</v>
      </c>
      <c r="BW308" s="109">
        <f t="shared" si="307"/>
        <v>-245027.14763188362</v>
      </c>
      <c r="BX308" s="114">
        <f t="shared" si="221"/>
        <v>-8.8767272517521268E-4</v>
      </c>
      <c r="BY308" s="152">
        <f t="shared" si="311"/>
        <v>0.88</v>
      </c>
      <c r="CA308" s="55"/>
      <c r="CB308" s="113"/>
      <c r="CC308" s="113"/>
      <c r="CE308" s="152">
        <f t="shared" si="312"/>
        <v>0</v>
      </c>
      <c r="CF308" s="152">
        <f t="shared" si="308"/>
        <v>1</v>
      </c>
      <c r="CG308" s="152">
        <f t="shared" si="309"/>
        <v>1</v>
      </c>
      <c r="CH308" s="34"/>
      <c r="CJ308" s="11"/>
      <c r="CK308" s="11"/>
    </row>
    <row r="309" spans="1:89" s="152" customFormat="1" x14ac:dyDescent="0.2">
      <c r="A309" s="507" t="s">
        <v>652</v>
      </c>
      <c r="B309" s="508" t="s">
        <v>650</v>
      </c>
      <c r="C309" s="509">
        <v>0.05</v>
      </c>
      <c r="D309" s="510">
        <v>0</v>
      </c>
      <c r="E309" s="511">
        <v>2.1000000000000001E-2</v>
      </c>
      <c r="F309" s="511">
        <v>9.6500000000000002E-2</v>
      </c>
      <c r="G309" s="1">
        <v>1.6500000000000001E-2</v>
      </c>
      <c r="H309" s="1">
        <v>7.5999999999999998E-2</v>
      </c>
      <c r="I309" s="512">
        <v>0.18</v>
      </c>
      <c r="J309" s="512">
        <v>0.04</v>
      </c>
      <c r="K309" s="512">
        <v>0.14000000000000001</v>
      </c>
      <c r="L309" s="512">
        <v>1.4999999999999999E-2</v>
      </c>
      <c r="M309" s="513" t="s">
        <v>175</v>
      </c>
      <c r="N309" s="514">
        <v>45000</v>
      </c>
      <c r="O309" s="119">
        <v>0.26</v>
      </c>
      <c r="P309" s="119"/>
      <c r="Q309" s="119"/>
      <c r="R309" s="119"/>
      <c r="S309" s="119"/>
      <c r="T309" s="119"/>
      <c r="U309" s="119"/>
      <c r="V309" s="119"/>
      <c r="W309" s="119"/>
      <c r="X309" s="119">
        <f t="shared" si="198"/>
        <v>0.26</v>
      </c>
      <c r="Y309" s="118">
        <f t="shared" si="199"/>
        <v>0.26</v>
      </c>
      <c r="Z309" s="109">
        <f t="shared" ref="Z309:Z329" si="313">Y309*N309</f>
        <v>11700</v>
      </c>
      <c r="AA309" s="109">
        <f>'CALCULO GERAL'!$G$10</f>
        <v>6300</v>
      </c>
      <c r="AB309" s="109">
        <f t="shared" si="200"/>
        <v>18000</v>
      </c>
      <c r="AC309" s="109">
        <f>AB309*'CALCULO GERAL'!$C$11</f>
        <v>90342</v>
      </c>
      <c r="AD309" s="109">
        <f t="shared" si="201"/>
        <v>4517.1000000000004</v>
      </c>
      <c r="AE309" s="109">
        <f t="shared" si="202"/>
        <v>0</v>
      </c>
      <c r="AF309" s="109">
        <f t="shared" si="203"/>
        <v>1897.182</v>
      </c>
      <c r="AG309" s="109">
        <f t="shared" si="204"/>
        <v>8718.0030000000006</v>
      </c>
      <c r="AH309" s="109">
        <v>154.22999999999999</v>
      </c>
      <c r="AI309" s="109">
        <f>((AA309*'CALCULO GERAL'!$C$11))*0.08+20</f>
        <v>2549.576</v>
      </c>
      <c r="AJ309" s="109">
        <v>1010</v>
      </c>
      <c r="AK309" s="109">
        <v>2500</v>
      </c>
      <c r="AL309" s="109">
        <f>(AA309*('CALCULO GERAL'!$C$11*1.02))-(AA309*'CALCULO GERAL'!$C$11)</f>
        <v>632.39400000000387</v>
      </c>
      <c r="AM309" s="109">
        <v>1800</v>
      </c>
      <c r="AN309" s="109">
        <v>2600</v>
      </c>
      <c r="AO309" s="109">
        <v>9400</v>
      </c>
      <c r="AP309" s="109">
        <v>1000</v>
      </c>
      <c r="AQ309" s="109">
        <v>0</v>
      </c>
      <c r="AR309" s="109">
        <v>0</v>
      </c>
      <c r="AS309" s="109"/>
      <c r="AT309" s="109">
        <f t="shared" si="304"/>
        <v>127120.485</v>
      </c>
      <c r="AU309" s="111">
        <f t="shared" si="205"/>
        <v>2.8248996666666666</v>
      </c>
      <c r="AV309" s="109">
        <f>IFERROR((BS309*'CALCULO GERAL'!$E$11)/N309,0)</f>
        <v>7.0265999999999981E-2</v>
      </c>
      <c r="AW309" s="109">
        <f>AU309/'CALCULO GERAL'!$C$11</f>
        <v>0.56284113701268512</v>
      </c>
      <c r="AX309" s="109">
        <f>BP309-BB309-BD309*'CALCULO GERAL'!$C$11</f>
        <v>3.4606004999999995</v>
      </c>
      <c r="AY309" s="109">
        <f t="shared" si="206"/>
        <v>5.7099908249999998E-2</v>
      </c>
      <c r="AZ309" s="109">
        <f t="shared" si="207"/>
        <v>0.26300563799999993</v>
      </c>
      <c r="BA309" s="109">
        <f t="shared" si="208"/>
        <v>3.5132999999999996</v>
      </c>
      <c r="BB309" s="109">
        <f t="shared" si="209"/>
        <v>5.2699499999999989E-2</v>
      </c>
      <c r="BC309" s="109">
        <f t="shared" si="210"/>
        <v>3.5132999999999996</v>
      </c>
      <c r="BD309" s="109">
        <f t="shared" si="211"/>
        <v>0</v>
      </c>
      <c r="BE309" s="109">
        <f t="shared" si="212"/>
        <v>12647.879999999997</v>
      </c>
      <c r="BF309" s="109">
        <f t="shared" si="213"/>
        <v>18971.819999999996</v>
      </c>
      <c r="BG309" s="109">
        <f t="shared" si="214"/>
        <v>3.7943639999999987E-2</v>
      </c>
      <c r="BH309" s="109">
        <f t="shared" si="215"/>
        <v>4.2159599999999992E-2</v>
      </c>
      <c r="BI309" s="109">
        <f t="shared" si="216"/>
        <v>0</v>
      </c>
      <c r="BJ309" s="109">
        <f t="shared" si="217"/>
        <v>0.52317428624999995</v>
      </c>
      <c r="BK309" s="109">
        <f t="shared" si="218"/>
        <v>3.3480739529166668</v>
      </c>
      <c r="BL309" s="148">
        <v>0.82</v>
      </c>
      <c r="BM309" s="112">
        <f>ROUND((AW309/BL309)+((AW309*BL309)*'CALCULO GERAL'!$E$11)/BL309,2)</f>
        <v>0.7</v>
      </c>
      <c r="BN309" s="186">
        <f t="shared" si="305"/>
        <v>0.7</v>
      </c>
      <c r="BO309" s="186">
        <f t="shared" si="306"/>
        <v>0.82</v>
      </c>
      <c r="BP309" s="109">
        <f>BM309*'CALCULO GERAL'!$C$11</f>
        <v>3.5132999999999996</v>
      </c>
      <c r="BQ309" s="109">
        <f>BO309*'CALCULO GERAL'!$C$11</f>
        <v>4.1155799999999996</v>
      </c>
      <c r="BR309" s="186">
        <f>BN309*'CALCULO GERAL'!$C$11</f>
        <v>3.5132999999999996</v>
      </c>
      <c r="BS309" s="109">
        <f t="shared" si="219"/>
        <v>158098.49999999997</v>
      </c>
      <c r="BT309" s="109">
        <f t="shared" si="303"/>
        <v>30978.01499999997</v>
      </c>
      <c r="BU309" s="109">
        <f t="shared" si="220"/>
        <v>158098.49999999997</v>
      </c>
      <c r="BV309" s="109">
        <f t="shared" si="310"/>
        <v>150663.32788125001</v>
      </c>
      <c r="BW309" s="109">
        <f t="shared" si="307"/>
        <v>7435.1721187499643</v>
      </c>
      <c r="BX309" s="114">
        <f t="shared" si="221"/>
        <v>4.7028732839021023E-2</v>
      </c>
      <c r="BY309" s="152">
        <f t="shared" si="311"/>
        <v>0.82</v>
      </c>
      <c r="CA309" s="55"/>
      <c r="CB309" s="113"/>
      <c r="CC309" s="113"/>
      <c r="CE309" s="152">
        <f t="shared" si="312"/>
        <v>0</v>
      </c>
      <c r="CF309" s="152">
        <f t="shared" si="308"/>
        <v>1</v>
      </c>
      <c r="CG309" s="152">
        <f t="shared" si="309"/>
        <v>1</v>
      </c>
      <c r="CH309" s="34"/>
      <c r="CJ309" s="11"/>
      <c r="CK309" s="11"/>
    </row>
    <row r="310" spans="1:89" s="152" customFormat="1" x14ac:dyDescent="0.2">
      <c r="A310" s="507" t="s">
        <v>653</v>
      </c>
      <c r="B310" s="508" t="s">
        <v>650</v>
      </c>
      <c r="C310" s="509">
        <v>0.05</v>
      </c>
      <c r="D310" s="510">
        <v>0</v>
      </c>
      <c r="E310" s="511">
        <v>2.1000000000000001E-2</v>
      </c>
      <c r="F310" s="511">
        <v>9.6500000000000002E-2</v>
      </c>
      <c r="G310" s="1">
        <v>1.6500000000000001E-2</v>
      </c>
      <c r="H310" s="1">
        <v>7.5999999999999998E-2</v>
      </c>
      <c r="I310" s="512">
        <v>0.18</v>
      </c>
      <c r="J310" s="512">
        <v>0.04</v>
      </c>
      <c r="K310" s="512">
        <v>0.14000000000000001</v>
      </c>
      <c r="L310" s="512">
        <v>1.4999999999999999E-2</v>
      </c>
      <c r="M310" s="513" t="s">
        <v>175</v>
      </c>
      <c r="N310" s="514">
        <v>58000</v>
      </c>
      <c r="O310" s="119">
        <v>1.57</v>
      </c>
      <c r="P310" s="119"/>
      <c r="Q310" s="119"/>
      <c r="R310" s="119"/>
      <c r="S310" s="119"/>
      <c r="T310" s="119"/>
      <c r="U310" s="119"/>
      <c r="V310" s="119"/>
      <c r="W310" s="119"/>
      <c r="X310" s="119">
        <f t="shared" si="198"/>
        <v>1.57</v>
      </c>
      <c r="Y310" s="118">
        <f t="shared" si="199"/>
        <v>1.57</v>
      </c>
      <c r="Z310" s="109">
        <f t="shared" si="313"/>
        <v>91060</v>
      </c>
      <c r="AA310" s="109">
        <f>'CALCULO GERAL'!$G$10</f>
        <v>6300</v>
      </c>
      <c r="AB310" s="109">
        <f t="shared" si="200"/>
        <v>97360</v>
      </c>
      <c r="AC310" s="109">
        <f>AB310*'CALCULO GERAL'!$C$11</f>
        <v>488649.84</v>
      </c>
      <c r="AD310" s="109">
        <f t="shared" si="201"/>
        <v>24432.492000000002</v>
      </c>
      <c r="AE310" s="109">
        <f t="shared" si="202"/>
        <v>0</v>
      </c>
      <c r="AF310" s="109">
        <f t="shared" si="203"/>
        <v>10261.646640000001</v>
      </c>
      <c r="AG310" s="109">
        <f t="shared" si="204"/>
        <v>47154.709560000003</v>
      </c>
      <c r="AH310" s="109">
        <v>154.22999999999999</v>
      </c>
      <c r="AI310" s="109">
        <f>((AA310*'CALCULO GERAL'!$C$11))*0.08+20</f>
        <v>2549.576</v>
      </c>
      <c r="AJ310" s="109">
        <v>1010</v>
      </c>
      <c r="AK310" s="109">
        <v>2500</v>
      </c>
      <c r="AL310" s="109">
        <f>(AA310*('CALCULO GERAL'!$C$11*1.02))-(AA310*'CALCULO GERAL'!$C$11)</f>
        <v>632.39400000000387</v>
      </c>
      <c r="AM310" s="109">
        <v>1800</v>
      </c>
      <c r="AN310" s="109">
        <v>2600</v>
      </c>
      <c r="AO310" s="109">
        <v>9400</v>
      </c>
      <c r="AP310" s="109">
        <v>1000</v>
      </c>
      <c r="AQ310" s="109">
        <v>0</v>
      </c>
      <c r="AR310" s="109">
        <v>0</v>
      </c>
      <c r="AS310" s="109"/>
      <c r="AT310" s="109">
        <f t="shared" si="304"/>
        <v>592144.88820000004</v>
      </c>
      <c r="AU310" s="111">
        <f t="shared" si="205"/>
        <v>10.209394624137932</v>
      </c>
      <c r="AV310" s="109">
        <f>IFERROR((BS310*'CALCULO GERAL'!$E$11)/N310,0)</f>
        <v>0.2529576</v>
      </c>
      <c r="AW310" s="109">
        <f>AU310/'CALCULO GERAL'!$C$11</f>
        <v>2.0341491580270836</v>
      </c>
      <c r="AX310" s="109">
        <f>BP310-BB310-BD310*'CALCULO GERAL'!$C$11</f>
        <v>12.458161800000001</v>
      </c>
      <c r="AY310" s="109">
        <f t="shared" si="206"/>
        <v>0.20555966970000003</v>
      </c>
      <c r="AZ310" s="109">
        <f t="shared" si="207"/>
        <v>0.94682029680000002</v>
      </c>
      <c r="BA310" s="109">
        <f t="shared" si="208"/>
        <v>12.647880000000001</v>
      </c>
      <c r="BB310" s="109">
        <f t="shared" si="209"/>
        <v>0.1897182</v>
      </c>
      <c r="BC310" s="109">
        <f t="shared" si="210"/>
        <v>12.647880000000001</v>
      </c>
      <c r="BD310" s="109">
        <f t="shared" si="211"/>
        <v>0</v>
      </c>
      <c r="BE310" s="109">
        <f t="shared" si="212"/>
        <v>58686.163200000003</v>
      </c>
      <c r="BF310" s="109">
        <f t="shared" si="213"/>
        <v>88029.2448</v>
      </c>
      <c r="BG310" s="109">
        <f t="shared" si="214"/>
        <v>0.136597104</v>
      </c>
      <c r="BH310" s="109">
        <f t="shared" si="215"/>
        <v>0.15177456</v>
      </c>
      <c r="BI310" s="109">
        <f t="shared" si="216"/>
        <v>0</v>
      </c>
      <c r="BJ310" s="109">
        <f t="shared" si="217"/>
        <v>1.8834274305000001</v>
      </c>
      <c r="BK310" s="109">
        <f t="shared" si="218"/>
        <v>12.092822054637931</v>
      </c>
      <c r="BL310" s="148">
        <v>0.82</v>
      </c>
      <c r="BM310" s="112">
        <f>ROUND((AW310/BL310)+((AW310*BL310)*'CALCULO GERAL'!$E$11)/BL310,2)</f>
        <v>2.52</v>
      </c>
      <c r="BN310" s="186">
        <f t="shared" si="305"/>
        <v>2.52</v>
      </c>
      <c r="BO310" s="186">
        <f t="shared" si="306"/>
        <v>2.9529999999999998</v>
      </c>
      <c r="BP310" s="109">
        <f>BM310*'CALCULO GERAL'!$C$11</f>
        <v>12.647880000000001</v>
      </c>
      <c r="BQ310" s="109">
        <f>BO310*'CALCULO GERAL'!$C$11</f>
        <v>14.821107</v>
      </c>
      <c r="BR310" s="186">
        <f>BN310*'CALCULO GERAL'!$C$11</f>
        <v>12.647880000000001</v>
      </c>
      <c r="BS310" s="109">
        <f t="shared" si="219"/>
        <v>733577.04</v>
      </c>
      <c r="BT310" s="109">
        <f t="shared" si="303"/>
        <v>141432.15179999999</v>
      </c>
      <c r="BU310" s="109">
        <f t="shared" si="220"/>
        <v>733577.04</v>
      </c>
      <c r="BV310" s="109">
        <f t="shared" si="310"/>
        <v>701383.67916900001</v>
      </c>
      <c r="BW310" s="109">
        <f t="shared" si="307"/>
        <v>32193.360831000027</v>
      </c>
      <c r="BX310" s="114">
        <f t="shared" si="221"/>
        <v>4.3885453163855871E-2</v>
      </c>
      <c r="BY310" s="152">
        <f t="shared" si="311"/>
        <v>0.82</v>
      </c>
      <c r="CA310" s="55"/>
      <c r="CB310" s="113"/>
      <c r="CC310" s="113"/>
      <c r="CE310" s="152">
        <f t="shared" si="312"/>
        <v>0</v>
      </c>
      <c r="CF310" s="152">
        <f t="shared" si="308"/>
        <v>1</v>
      </c>
      <c r="CG310" s="152">
        <f t="shared" si="309"/>
        <v>1</v>
      </c>
      <c r="CH310" s="34"/>
      <c r="CJ310" s="11"/>
      <c r="CK310" s="11"/>
    </row>
    <row r="311" spans="1:89" s="152" customFormat="1" x14ac:dyDescent="0.2">
      <c r="A311" s="507" t="s">
        <v>654</v>
      </c>
      <c r="B311" s="508" t="s">
        <v>650</v>
      </c>
      <c r="C311" s="509">
        <v>0.05</v>
      </c>
      <c r="D311" s="510">
        <v>0</v>
      </c>
      <c r="E311" s="511">
        <v>2.1000000000000001E-2</v>
      </c>
      <c r="F311" s="511">
        <v>9.6500000000000002E-2</v>
      </c>
      <c r="G311" s="1">
        <v>1.6500000000000001E-2</v>
      </c>
      <c r="H311" s="1">
        <v>7.5999999999999998E-2</v>
      </c>
      <c r="I311" s="512">
        <v>0.18</v>
      </c>
      <c r="J311" s="512">
        <v>0.04</v>
      </c>
      <c r="K311" s="512">
        <v>0.14000000000000001</v>
      </c>
      <c r="L311" s="512">
        <v>1.4999999999999999E-2</v>
      </c>
      <c r="M311" s="513" t="s">
        <v>175</v>
      </c>
      <c r="N311" s="514">
        <v>8000</v>
      </c>
      <c r="O311" s="119">
        <v>1.27</v>
      </c>
      <c r="P311" s="119"/>
      <c r="Q311" s="119"/>
      <c r="R311" s="119"/>
      <c r="S311" s="119"/>
      <c r="T311" s="119"/>
      <c r="U311" s="119"/>
      <c r="V311" s="119"/>
      <c r="W311" s="119"/>
      <c r="X311" s="119">
        <f t="shared" si="198"/>
        <v>1.27</v>
      </c>
      <c r="Y311" s="118">
        <f t="shared" si="199"/>
        <v>1.27</v>
      </c>
      <c r="Z311" s="109">
        <f t="shared" si="313"/>
        <v>10160</v>
      </c>
      <c r="AA311" s="109">
        <f>'CALCULO GERAL'!$G$10</f>
        <v>6300</v>
      </c>
      <c r="AB311" s="109">
        <f t="shared" si="200"/>
        <v>16460</v>
      </c>
      <c r="AC311" s="109">
        <f>AB311*'CALCULO GERAL'!$C$11</f>
        <v>82612.740000000005</v>
      </c>
      <c r="AD311" s="109">
        <f t="shared" si="201"/>
        <v>4130.6370000000006</v>
      </c>
      <c r="AE311" s="109">
        <f t="shared" si="202"/>
        <v>0</v>
      </c>
      <c r="AF311" s="109">
        <f t="shared" si="203"/>
        <v>1734.8675400000002</v>
      </c>
      <c r="AG311" s="109">
        <f t="shared" si="204"/>
        <v>7972.1294100000005</v>
      </c>
      <c r="AH311" s="109">
        <v>154.22999999999999</v>
      </c>
      <c r="AI311" s="109">
        <f>((AA311*'CALCULO GERAL'!$C$11))*0.08+20</f>
        <v>2549.576</v>
      </c>
      <c r="AJ311" s="109">
        <v>1010</v>
      </c>
      <c r="AK311" s="109">
        <v>2500</v>
      </c>
      <c r="AL311" s="109">
        <f>(AA311*('CALCULO GERAL'!$C$11*1.02))-(AA311*'CALCULO GERAL'!$C$11)</f>
        <v>632.39400000000387</v>
      </c>
      <c r="AM311" s="109">
        <v>1800</v>
      </c>
      <c r="AN311" s="109">
        <v>2600</v>
      </c>
      <c r="AO311" s="109">
        <v>9400</v>
      </c>
      <c r="AP311" s="109">
        <v>1000</v>
      </c>
      <c r="AQ311" s="109">
        <v>0</v>
      </c>
      <c r="AR311" s="109">
        <v>0</v>
      </c>
      <c r="AS311" s="109"/>
      <c r="AT311" s="109">
        <f t="shared" si="304"/>
        <v>118096.57395000001</v>
      </c>
      <c r="AU311" s="111">
        <f t="shared" si="205"/>
        <v>14.762071743750001</v>
      </c>
      <c r="AV311" s="109">
        <f>IFERROR((BS311*'CALCULO GERAL'!$E$11)/N311,0)</f>
        <v>0.36638700000000002</v>
      </c>
      <c r="AW311" s="109">
        <f>AU311/'CALCULO GERAL'!$C$11</f>
        <v>2.9412376456963538</v>
      </c>
      <c r="AX311" s="109">
        <f>BP311-BB311-BD311*'CALCULO GERAL'!$C$11</f>
        <v>18.044559750000001</v>
      </c>
      <c r="AY311" s="109">
        <f t="shared" si="206"/>
        <v>0.29773523587500006</v>
      </c>
      <c r="AZ311" s="109">
        <f t="shared" si="207"/>
        <v>1.3713865410000001</v>
      </c>
      <c r="BA311" s="109">
        <f t="shared" si="208"/>
        <v>18.31935</v>
      </c>
      <c r="BB311" s="109">
        <f t="shared" si="209"/>
        <v>0.27479025000000001</v>
      </c>
      <c r="BC311" s="109">
        <f t="shared" si="210"/>
        <v>18.31935</v>
      </c>
      <c r="BD311" s="109">
        <f t="shared" si="211"/>
        <v>0</v>
      </c>
      <c r="BE311" s="109">
        <f t="shared" si="212"/>
        <v>11724.384</v>
      </c>
      <c r="BF311" s="109">
        <f t="shared" si="213"/>
        <v>17586.575999999997</v>
      </c>
      <c r="BG311" s="109">
        <f t="shared" si="214"/>
        <v>0.19784897999999995</v>
      </c>
      <c r="BH311" s="109">
        <f t="shared" si="215"/>
        <v>0.21983220000000001</v>
      </c>
      <c r="BI311" s="109">
        <f t="shared" si="216"/>
        <v>0</v>
      </c>
      <c r="BJ311" s="109">
        <f t="shared" si="217"/>
        <v>2.7279802068749999</v>
      </c>
      <c r="BK311" s="109">
        <f t="shared" si="218"/>
        <v>17.490051950625002</v>
      </c>
      <c r="BL311" s="148">
        <v>0.82</v>
      </c>
      <c r="BM311" s="112">
        <f>ROUND((AW311/BL311)+((AW311*BL311)*'CALCULO GERAL'!$E$11)/BL311,2)</f>
        <v>3.65</v>
      </c>
      <c r="BN311" s="186">
        <f t="shared" si="305"/>
        <v>3.65</v>
      </c>
      <c r="BO311" s="186">
        <f t="shared" si="306"/>
        <v>4.2770000000000001</v>
      </c>
      <c r="BP311" s="109">
        <f>BM311*'CALCULO GERAL'!$C$11</f>
        <v>18.31935</v>
      </c>
      <c r="BQ311" s="109">
        <f>BO311*'CALCULO GERAL'!$C$11</f>
        <v>21.466263000000001</v>
      </c>
      <c r="BR311" s="186">
        <f>BN311*'CALCULO GERAL'!$C$11</f>
        <v>18.31935</v>
      </c>
      <c r="BS311" s="109">
        <f t="shared" si="219"/>
        <v>146554.79999999999</v>
      </c>
      <c r="BT311" s="109">
        <f t="shared" si="303"/>
        <v>28458.226049999983</v>
      </c>
      <c r="BU311" s="109">
        <f t="shared" si="220"/>
        <v>146554.79999999999</v>
      </c>
      <c r="BV311" s="109">
        <f t="shared" si="310"/>
        <v>139920.41560500002</v>
      </c>
      <c r="BW311" s="109">
        <f t="shared" si="307"/>
        <v>6634.3843949999718</v>
      </c>
      <c r="BX311" s="114">
        <f t="shared" si="221"/>
        <v>4.5268966932505601E-2</v>
      </c>
      <c r="BY311" s="152">
        <f t="shared" si="311"/>
        <v>0.82</v>
      </c>
      <c r="CA311" s="55"/>
      <c r="CB311" s="113"/>
      <c r="CC311" s="113"/>
      <c r="CE311" s="152">
        <f t="shared" si="312"/>
        <v>0</v>
      </c>
      <c r="CF311" s="152">
        <f t="shared" si="308"/>
        <v>1</v>
      </c>
      <c r="CG311" s="152">
        <f t="shared" si="309"/>
        <v>1</v>
      </c>
      <c r="CH311" s="34"/>
      <c r="CJ311" s="11"/>
      <c r="CK311" s="11"/>
    </row>
    <row r="312" spans="1:89" s="152" customFormat="1" x14ac:dyDescent="0.2">
      <c r="A312" s="507" t="s">
        <v>655</v>
      </c>
      <c r="B312" s="508" t="s">
        <v>650</v>
      </c>
      <c r="C312" s="509">
        <v>0.05</v>
      </c>
      <c r="D312" s="510">
        <v>0</v>
      </c>
      <c r="E312" s="511">
        <v>2.1000000000000001E-2</v>
      </c>
      <c r="F312" s="511">
        <v>9.6500000000000002E-2</v>
      </c>
      <c r="G312" s="1">
        <v>1.6500000000000001E-2</v>
      </c>
      <c r="H312" s="1">
        <v>7.5999999999999998E-2</v>
      </c>
      <c r="I312" s="512">
        <v>0.18</v>
      </c>
      <c r="J312" s="512">
        <v>0.04</v>
      </c>
      <c r="K312" s="512">
        <v>0.14000000000000001</v>
      </c>
      <c r="L312" s="512">
        <v>1.4999999999999999E-2</v>
      </c>
      <c r="M312" s="513" t="s">
        <v>175</v>
      </c>
      <c r="N312" s="514">
        <v>50000</v>
      </c>
      <c r="O312" s="119">
        <v>0.59</v>
      </c>
      <c r="P312" s="119"/>
      <c r="Q312" s="119"/>
      <c r="R312" s="119"/>
      <c r="S312" s="119"/>
      <c r="T312" s="119"/>
      <c r="U312" s="119"/>
      <c r="V312" s="119"/>
      <c r="W312" s="119"/>
      <c r="X312" s="119">
        <f t="shared" si="198"/>
        <v>0.59</v>
      </c>
      <c r="Y312" s="118">
        <f t="shared" si="199"/>
        <v>0.59</v>
      </c>
      <c r="Z312" s="109">
        <f t="shared" si="313"/>
        <v>29500</v>
      </c>
      <c r="AA312" s="109">
        <f>'CALCULO GERAL'!$G$10</f>
        <v>6300</v>
      </c>
      <c r="AB312" s="109">
        <f t="shared" si="200"/>
        <v>35800</v>
      </c>
      <c r="AC312" s="109">
        <f>AB312*'CALCULO GERAL'!$C$11</f>
        <v>179680.2</v>
      </c>
      <c r="AD312" s="109">
        <f t="shared" si="201"/>
        <v>8984.01</v>
      </c>
      <c r="AE312" s="109">
        <f t="shared" si="202"/>
        <v>0</v>
      </c>
      <c r="AF312" s="109">
        <f t="shared" si="203"/>
        <v>3773.2842000000005</v>
      </c>
      <c r="AG312" s="109">
        <f t="shared" si="204"/>
        <v>17339.139300000003</v>
      </c>
      <c r="AH312" s="109">
        <v>154.22999999999999</v>
      </c>
      <c r="AI312" s="109">
        <f>((AA312*'CALCULO GERAL'!$C$11))*0.08+20</f>
        <v>2549.576</v>
      </c>
      <c r="AJ312" s="109">
        <v>1010</v>
      </c>
      <c r="AK312" s="109">
        <v>2500</v>
      </c>
      <c r="AL312" s="109">
        <f>(AA312*('CALCULO GERAL'!$C$11*1.02))-(AA312*'CALCULO GERAL'!$C$11)</f>
        <v>632.39400000000387</v>
      </c>
      <c r="AM312" s="109">
        <v>1800</v>
      </c>
      <c r="AN312" s="109">
        <v>2600</v>
      </c>
      <c r="AO312" s="109">
        <v>9400</v>
      </c>
      <c r="AP312" s="109">
        <v>1000</v>
      </c>
      <c r="AQ312" s="109">
        <v>0</v>
      </c>
      <c r="AR312" s="109">
        <v>0</v>
      </c>
      <c r="AS312" s="109"/>
      <c r="AT312" s="109">
        <f t="shared" si="304"/>
        <v>231422.83350000004</v>
      </c>
      <c r="AU312" s="111">
        <f t="shared" si="205"/>
        <v>4.6284566700000012</v>
      </c>
      <c r="AV312" s="109">
        <f>IFERROR((BS312*'CALCULO GERAL'!$E$11)/N312,0)</f>
        <v>0.1144332</v>
      </c>
      <c r="AW312" s="109">
        <f>AU312/'CALCULO GERAL'!$C$11</f>
        <v>0.92218702331141678</v>
      </c>
      <c r="AX312" s="109">
        <f>BP312-BB312-BD312*'CALCULO GERAL'!$C$11</f>
        <v>5.6358350999999995</v>
      </c>
      <c r="AY312" s="109">
        <f t="shared" si="206"/>
        <v>9.2991279149999995E-2</v>
      </c>
      <c r="AZ312" s="109">
        <f t="shared" si="207"/>
        <v>0.42832346759999995</v>
      </c>
      <c r="BA312" s="109">
        <f t="shared" si="208"/>
        <v>5.72166</v>
      </c>
      <c r="BB312" s="109">
        <f t="shared" si="209"/>
        <v>8.5824899999999996E-2</v>
      </c>
      <c r="BC312" s="109">
        <f t="shared" si="210"/>
        <v>5.72166</v>
      </c>
      <c r="BD312" s="109">
        <f t="shared" si="211"/>
        <v>0</v>
      </c>
      <c r="BE312" s="109">
        <f t="shared" si="212"/>
        <v>22886.639999999999</v>
      </c>
      <c r="BF312" s="109">
        <f t="shared" si="213"/>
        <v>34329.96</v>
      </c>
      <c r="BG312" s="109">
        <f t="shared" si="214"/>
        <v>6.1793927999999998E-2</v>
      </c>
      <c r="BH312" s="109">
        <f t="shared" si="215"/>
        <v>6.8659919999999999E-2</v>
      </c>
      <c r="BI312" s="109">
        <f t="shared" si="216"/>
        <v>0</v>
      </c>
      <c r="BJ312" s="109">
        <f t="shared" si="217"/>
        <v>0.85202669474999992</v>
      </c>
      <c r="BK312" s="109">
        <f t="shared" si="218"/>
        <v>5.4804833647500013</v>
      </c>
      <c r="BL312" s="148">
        <v>0.82</v>
      </c>
      <c r="BM312" s="112">
        <f>ROUND((AW312/BL312)+((AW312*BL312)*'CALCULO GERAL'!$E$11)/BL312,2)</f>
        <v>1.1399999999999999</v>
      </c>
      <c r="BN312" s="186">
        <f t="shared" si="305"/>
        <v>1.1399999999999999</v>
      </c>
      <c r="BO312" s="186">
        <f t="shared" si="306"/>
        <v>1.3360000000000001</v>
      </c>
      <c r="BP312" s="109">
        <f>BM312*'CALCULO GERAL'!$C$11</f>
        <v>5.72166</v>
      </c>
      <c r="BQ312" s="109">
        <f>BO312*'CALCULO GERAL'!$C$11</f>
        <v>6.7053840000000005</v>
      </c>
      <c r="BR312" s="186">
        <f>BN312*'CALCULO GERAL'!$C$11</f>
        <v>5.72166</v>
      </c>
      <c r="BS312" s="109">
        <f t="shared" si="219"/>
        <v>286083</v>
      </c>
      <c r="BT312" s="109">
        <f t="shared" si="303"/>
        <v>54660.166499999963</v>
      </c>
      <c r="BU312" s="109">
        <f t="shared" si="220"/>
        <v>286083</v>
      </c>
      <c r="BV312" s="109">
        <f t="shared" si="310"/>
        <v>274024.16823750007</v>
      </c>
      <c r="BW312" s="109">
        <f t="shared" si="307"/>
        <v>12058.831762499933</v>
      </c>
      <c r="BX312" s="114">
        <f t="shared" si="221"/>
        <v>4.2151514639107997E-2</v>
      </c>
      <c r="BY312" s="152">
        <f t="shared" si="311"/>
        <v>0.82</v>
      </c>
      <c r="CA312" s="55"/>
      <c r="CB312" s="113"/>
      <c r="CC312" s="113"/>
      <c r="CE312" s="152">
        <f t="shared" si="312"/>
        <v>0</v>
      </c>
      <c r="CF312" s="152">
        <f t="shared" si="308"/>
        <v>1</v>
      </c>
      <c r="CG312" s="152">
        <f t="shared" si="309"/>
        <v>1</v>
      </c>
      <c r="CH312" s="34"/>
      <c r="CJ312" s="11"/>
      <c r="CK312" s="11"/>
    </row>
    <row r="313" spans="1:89" s="152" customFormat="1" x14ac:dyDescent="0.2">
      <c r="A313" s="507" t="s">
        <v>656</v>
      </c>
      <c r="B313" s="508" t="s">
        <v>608</v>
      </c>
      <c r="C313" s="509">
        <v>0.18</v>
      </c>
      <c r="D313" s="510">
        <v>0.1</v>
      </c>
      <c r="E313" s="511">
        <v>2.1000000000000001E-2</v>
      </c>
      <c r="F313" s="511">
        <v>9.6500000000000002E-2</v>
      </c>
      <c r="G313" s="1">
        <v>1.6500000000000001E-2</v>
      </c>
      <c r="H313" s="1">
        <v>7.5999999999999998E-2</v>
      </c>
      <c r="I313" s="512">
        <v>0.18</v>
      </c>
      <c r="J313" s="512">
        <v>0.04</v>
      </c>
      <c r="K313" s="512">
        <v>0.14000000000000001</v>
      </c>
      <c r="L313" s="512">
        <v>1.4999999999999999E-2</v>
      </c>
      <c r="M313" s="513" t="s">
        <v>175</v>
      </c>
      <c r="N313" s="514">
        <v>57840</v>
      </c>
      <c r="O313" s="119">
        <v>7.54</v>
      </c>
      <c r="P313" s="119"/>
      <c r="Q313" s="119"/>
      <c r="R313" s="119"/>
      <c r="S313" s="119"/>
      <c r="T313" s="119"/>
      <c r="U313" s="119"/>
      <c r="V313" s="119"/>
      <c r="W313" s="119"/>
      <c r="X313" s="119">
        <f t="shared" si="198"/>
        <v>7.54</v>
      </c>
      <c r="Y313" s="118">
        <f t="shared" si="199"/>
        <v>7.54</v>
      </c>
      <c r="Z313" s="109">
        <f t="shared" si="313"/>
        <v>436113.6</v>
      </c>
      <c r="AA313" s="109">
        <f>'CALCULO GERAL'!$G$10</f>
        <v>6300</v>
      </c>
      <c r="AB313" s="109">
        <f t="shared" si="200"/>
        <v>442413.6</v>
      </c>
      <c r="AC313" s="109">
        <f>AB313*'CALCULO GERAL'!$C$11</f>
        <v>2220473.8583999998</v>
      </c>
      <c r="AD313" s="109">
        <f t="shared" si="201"/>
        <v>399685.29451199993</v>
      </c>
      <c r="AE313" s="109">
        <f t="shared" si="202"/>
        <v>262015.91529119998</v>
      </c>
      <c r="AF313" s="109">
        <f t="shared" si="203"/>
        <v>46629.951026399998</v>
      </c>
      <c r="AG313" s="109">
        <f t="shared" si="204"/>
        <v>214275.72733559998</v>
      </c>
      <c r="AH313" s="109">
        <v>154.22999999999999</v>
      </c>
      <c r="AI313" s="109">
        <f>((AA313*'CALCULO GERAL'!$C$11))*0.08+20</f>
        <v>2549.576</v>
      </c>
      <c r="AJ313" s="109">
        <v>1010</v>
      </c>
      <c r="AK313" s="109">
        <v>2500</v>
      </c>
      <c r="AL313" s="109">
        <f>(AA313*('CALCULO GERAL'!$C$11*1.02))-(AA313*'CALCULO GERAL'!$C$11)</f>
        <v>632.39400000000387</v>
      </c>
      <c r="AM313" s="109">
        <v>1800</v>
      </c>
      <c r="AN313" s="109">
        <v>2600</v>
      </c>
      <c r="AO313" s="109">
        <v>9400</v>
      </c>
      <c r="AP313" s="109">
        <v>1000</v>
      </c>
      <c r="AQ313" s="109">
        <v>0</v>
      </c>
      <c r="AR313" s="109">
        <v>0</v>
      </c>
      <c r="AS313" s="109"/>
      <c r="AT313" s="109">
        <f t="shared" si="304"/>
        <v>3164726.9465651996</v>
      </c>
      <c r="AU313" s="111">
        <f t="shared" si="205"/>
        <v>54.715196171597505</v>
      </c>
      <c r="AV313" s="109">
        <f>IFERROR((BS313*'CALCULO GERAL'!$E$11)/N313,0)</f>
        <v>1.2938982000000001</v>
      </c>
      <c r="AW313" s="109">
        <f>AU313/'CALCULO GERAL'!$C$11</f>
        <v>10.901613104522315</v>
      </c>
      <c r="AX313" s="109">
        <f>BP313-BB313-BD313*'CALCULO GERAL'!$C$11</f>
        <v>34.294183655454546</v>
      </c>
      <c r="AY313" s="109">
        <f t="shared" si="206"/>
        <v>0.56585403031500003</v>
      </c>
      <c r="AZ313" s="109">
        <f t="shared" si="207"/>
        <v>2.6063579578145455</v>
      </c>
      <c r="BA313" s="109">
        <f t="shared" si="208"/>
        <v>58.813554545454551</v>
      </c>
      <c r="BB313" s="109">
        <f t="shared" si="209"/>
        <v>0.88220331818181819</v>
      </c>
      <c r="BC313" s="109">
        <f t="shared" si="210"/>
        <v>58.813554545454551</v>
      </c>
      <c r="BD313" s="109">
        <f t="shared" si="211"/>
        <v>5.8813554545454556</v>
      </c>
      <c r="BE313" s="109">
        <f t="shared" si="212"/>
        <v>299356.28755200002</v>
      </c>
      <c r="BF313" s="109">
        <f t="shared" si="213"/>
        <v>449034.43132800004</v>
      </c>
      <c r="BG313" s="109">
        <f t="shared" si="214"/>
        <v>0.69870502800000012</v>
      </c>
      <c r="BH313" s="109">
        <f t="shared" si="215"/>
        <v>0.77633891999999993</v>
      </c>
      <c r="BI313" s="109">
        <f t="shared" si="216"/>
        <v>-0.41382485745504849</v>
      </c>
      <c r="BJ313" s="109">
        <f t="shared" si="217"/>
        <v>12.290888051401772</v>
      </c>
      <c r="BK313" s="109">
        <f t="shared" si="218"/>
        <v>67.006084222999277</v>
      </c>
      <c r="BL313" s="148">
        <v>0.86</v>
      </c>
      <c r="BM313" s="112">
        <f>ROUND((AW313/BL313)+((AW313*BL313)*'CALCULO GERAL'!$E$11)/BL313,2)</f>
        <v>12.89</v>
      </c>
      <c r="BN313" s="186">
        <f t="shared" si="305"/>
        <v>12.89</v>
      </c>
      <c r="BO313" s="186">
        <f t="shared" si="306"/>
        <v>15.103</v>
      </c>
      <c r="BP313" s="109">
        <f>BM313*'CALCULO GERAL'!$C$11</f>
        <v>64.694910000000007</v>
      </c>
      <c r="BQ313" s="109">
        <f>BO313*'CALCULO GERAL'!$C$11</f>
        <v>75.801957000000002</v>
      </c>
      <c r="BR313" s="186">
        <f>BN313*'CALCULO GERAL'!$C$11</f>
        <v>64.694910000000007</v>
      </c>
      <c r="BS313" s="109">
        <f t="shared" si="219"/>
        <v>3741953.5944000003</v>
      </c>
      <c r="BT313" s="109">
        <f t="shared" si="303"/>
        <v>577226.64783480065</v>
      </c>
      <c r="BU313" s="109">
        <f t="shared" si="220"/>
        <v>3741953.5944000003</v>
      </c>
      <c r="BV313" s="109">
        <f t="shared" si="310"/>
        <v>3875631.9114582781</v>
      </c>
      <c r="BW313" s="109">
        <f t="shared" si="307"/>
        <v>-133678.31705827778</v>
      </c>
      <c r="BX313" s="114">
        <f t="shared" si="221"/>
        <v>-3.5724204933576226E-2</v>
      </c>
      <c r="BY313" s="152">
        <f t="shared" si="311"/>
        <v>0.86</v>
      </c>
      <c r="CA313" s="55"/>
      <c r="CB313" s="113"/>
      <c r="CC313" s="113"/>
      <c r="CE313" s="152">
        <f t="shared" si="312"/>
        <v>0</v>
      </c>
      <c r="CF313" s="152">
        <f t="shared" si="308"/>
        <v>1</v>
      </c>
      <c r="CG313" s="152">
        <f t="shared" si="309"/>
        <v>1</v>
      </c>
      <c r="CH313" s="34"/>
      <c r="CJ313" s="11"/>
      <c r="CK313" s="11"/>
    </row>
    <row r="314" spans="1:89" s="152" customFormat="1" x14ac:dyDescent="0.2">
      <c r="A314" s="507" t="s">
        <v>657</v>
      </c>
      <c r="B314" s="508" t="s">
        <v>658</v>
      </c>
      <c r="C314" s="509">
        <v>0.09</v>
      </c>
      <c r="D314" s="510">
        <v>0.04</v>
      </c>
      <c r="E314" s="511">
        <v>2.1000000000000001E-2</v>
      </c>
      <c r="F314" s="511">
        <v>9.6500000000000002E-2</v>
      </c>
      <c r="G314" s="1">
        <v>1.6500000000000001E-2</v>
      </c>
      <c r="H314" s="1">
        <v>7.5999999999999998E-2</v>
      </c>
      <c r="I314" s="512">
        <v>0.18</v>
      </c>
      <c r="J314" s="512">
        <v>0.04</v>
      </c>
      <c r="K314" s="512">
        <v>0.14000000000000001</v>
      </c>
      <c r="L314" s="512">
        <v>1.4999999999999999E-2</v>
      </c>
      <c r="M314" s="513" t="s">
        <v>175</v>
      </c>
      <c r="N314" s="514">
        <v>3135</v>
      </c>
      <c r="O314" s="119">
        <v>0.57999999999999996</v>
      </c>
      <c r="P314" s="119"/>
      <c r="Q314" s="119"/>
      <c r="R314" s="119"/>
      <c r="S314" s="119"/>
      <c r="T314" s="119"/>
      <c r="U314" s="119"/>
      <c r="V314" s="119"/>
      <c r="W314" s="119"/>
      <c r="X314" s="119">
        <f t="shared" si="198"/>
        <v>0.57999999999999996</v>
      </c>
      <c r="Y314" s="118">
        <f t="shared" si="199"/>
        <v>0.57999999999999996</v>
      </c>
      <c r="Z314" s="109">
        <f t="shared" si="313"/>
        <v>1818.3</v>
      </c>
      <c r="AA314" s="109">
        <f>'CALCULO GERAL'!$G$10</f>
        <v>6300</v>
      </c>
      <c r="AB314" s="109">
        <f t="shared" si="200"/>
        <v>8118.3</v>
      </c>
      <c r="AC314" s="109">
        <f>AB314*'CALCULO GERAL'!$C$11</f>
        <v>40745.7477</v>
      </c>
      <c r="AD314" s="109">
        <f t="shared" si="201"/>
        <v>3667.1172929999998</v>
      </c>
      <c r="AE314" s="109">
        <f t="shared" si="202"/>
        <v>1776.5145997200002</v>
      </c>
      <c r="AF314" s="109">
        <f t="shared" si="203"/>
        <v>855.6607017</v>
      </c>
      <c r="AG314" s="109">
        <f t="shared" si="204"/>
        <v>3931.9646530499999</v>
      </c>
      <c r="AH314" s="109">
        <v>154.22999999999999</v>
      </c>
      <c r="AI314" s="109">
        <f>((AA314*'CALCULO GERAL'!$C$11))*0.08+20</f>
        <v>2549.576</v>
      </c>
      <c r="AJ314" s="109">
        <v>1010</v>
      </c>
      <c r="AK314" s="109">
        <v>2500</v>
      </c>
      <c r="AL314" s="109">
        <f>(AA314*('CALCULO GERAL'!$C$11*1.02))-(AA314*'CALCULO GERAL'!$C$11)</f>
        <v>632.39400000000387</v>
      </c>
      <c r="AM314" s="109">
        <v>1800</v>
      </c>
      <c r="AN314" s="109">
        <v>2600</v>
      </c>
      <c r="AO314" s="109">
        <v>9400</v>
      </c>
      <c r="AP314" s="109">
        <v>1000</v>
      </c>
      <c r="AQ314" s="109">
        <v>0</v>
      </c>
      <c r="AR314" s="109">
        <v>0</v>
      </c>
      <c r="AS314" s="109"/>
      <c r="AT314" s="109">
        <f t="shared" si="304"/>
        <v>72623.204947470018</v>
      </c>
      <c r="AU314" s="111">
        <f t="shared" si="205"/>
        <v>23.165296633961727</v>
      </c>
      <c r="AV314" s="109">
        <f>IFERROR((BS314*'CALCULO GERAL'!$E$11)/N314,0)</f>
        <v>0.54807479999999997</v>
      </c>
      <c r="AW314" s="109">
        <f>AU314/'CALCULO GERAL'!$C$11</f>
        <v>4.6155203494643811</v>
      </c>
      <c r="AX314" s="109">
        <f>BP314-BB314-BD314*'CALCULO GERAL'!$C$11</f>
        <v>21.718517939999998</v>
      </c>
      <c r="AY314" s="109">
        <f t="shared" si="206"/>
        <v>0.35835554600999997</v>
      </c>
      <c r="AZ314" s="109">
        <f t="shared" si="207"/>
        <v>1.6506073634399998</v>
      </c>
      <c r="BA314" s="109">
        <f t="shared" si="208"/>
        <v>26.34975</v>
      </c>
      <c r="BB314" s="109">
        <f t="shared" si="209"/>
        <v>0.39524624999999997</v>
      </c>
      <c r="BC314" s="109">
        <f t="shared" si="210"/>
        <v>26.349749999999997</v>
      </c>
      <c r="BD314" s="109">
        <f t="shared" si="211"/>
        <v>1.05399</v>
      </c>
      <c r="BE314" s="109">
        <f t="shared" si="212"/>
        <v>6872.8579920000002</v>
      </c>
      <c r="BF314" s="109">
        <f t="shared" si="213"/>
        <v>10309.286988</v>
      </c>
      <c r="BG314" s="109">
        <f t="shared" si="214"/>
        <v>0.29596039199999996</v>
      </c>
      <c r="BH314" s="109">
        <f t="shared" si="215"/>
        <v>0.32884487999999995</v>
      </c>
      <c r="BI314" s="109">
        <f t="shared" si="216"/>
        <v>0</v>
      </c>
      <c r="BJ314" s="109">
        <f t="shared" si="217"/>
        <v>4.6310792314499993</v>
      </c>
      <c r="BK314" s="109">
        <f t="shared" si="218"/>
        <v>27.796375865411726</v>
      </c>
      <c r="BL314" s="148">
        <v>0.86</v>
      </c>
      <c r="BM314" s="112">
        <f>ROUND((AW314/BL314)+((AW314*BL314)*'CALCULO GERAL'!$E$11)/BL314,2)</f>
        <v>5.46</v>
      </c>
      <c r="BN314" s="186">
        <f t="shared" si="305"/>
        <v>5.46</v>
      </c>
      <c r="BO314" s="186">
        <f t="shared" si="306"/>
        <v>6.3970000000000002</v>
      </c>
      <c r="BP314" s="109">
        <f>BM314*'CALCULO GERAL'!$C$11</f>
        <v>27.403739999999999</v>
      </c>
      <c r="BQ314" s="109">
        <f>BO314*'CALCULO GERAL'!$C$11</f>
        <v>32.106543000000002</v>
      </c>
      <c r="BR314" s="186">
        <f>BN314*'CALCULO GERAL'!$C$11</f>
        <v>27.403739999999999</v>
      </c>
      <c r="BS314" s="109">
        <f t="shared" si="219"/>
        <v>85910.724900000001</v>
      </c>
      <c r="BT314" s="109">
        <f t="shared" si="303"/>
        <v>13287.519952529983</v>
      </c>
      <c r="BU314" s="109">
        <f t="shared" si="220"/>
        <v>85910.724900000001</v>
      </c>
      <c r="BV314" s="109">
        <f t="shared" si="310"/>
        <v>87141.638338065764</v>
      </c>
      <c r="BW314" s="109">
        <f t="shared" si="307"/>
        <v>-1230.9134380657633</v>
      </c>
      <c r="BX314" s="114">
        <f t="shared" si="221"/>
        <v>-1.4327820414721739E-2</v>
      </c>
      <c r="BY314" s="152">
        <f t="shared" si="311"/>
        <v>0.86</v>
      </c>
      <c r="CA314" s="55"/>
      <c r="CB314" s="113"/>
      <c r="CC314" s="113"/>
      <c r="CE314" s="152">
        <f t="shared" si="312"/>
        <v>0</v>
      </c>
      <c r="CF314" s="152">
        <f t="shared" si="308"/>
        <v>1</v>
      </c>
      <c r="CG314" s="152">
        <f t="shared" si="309"/>
        <v>1</v>
      </c>
      <c r="CH314" s="34"/>
      <c r="CJ314" s="11"/>
      <c r="CK314" s="11"/>
    </row>
    <row r="315" spans="1:89" s="152" customFormat="1" x14ac:dyDescent="0.2">
      <c r="A315" s="507" t="s">
        <v>659</v>
      </c>
      <c r="B315" s="508" t="s">
        <v>475</v>
      </c>
      <c r="C315" s="509">
        <v>0.18</v>
      </c>
      <c r="D315" s="510">
        <v>0.1</v>
      </c>
      <c r="E315" s="511">
        <v>2.1000000000000001E-2</v>
      </c>
      <c r="F315" s="511">
        <v>9.6500000000000002E-2</v>
      </c>
      <c r="G315" s="1">
        <v>1.6500000000000001E-2</v>
      </c>
      <c r="H315" s="1">
        <v>7.5999999999999998E-2</v>
      </c>
      <c r="I315" s="512">
        <v>0.18</v>
      </c>
      <c r="J315" s="512">
        <v>0.04</v>
      </c>
      <c r="K315" s="512">
        <v>0.14000000000000001</v>
      </c>
      <c r="L315" s="512">
        <v>1.4999999999999999E-2</v>
      </c>
      <c r="M315" s="513" t="s">
        <v>175</v>
      </c>
      <c r="N315" s="514">
        <v>2000</v>
      </c>
      <c r="O315" s="119">
        <v>1.39</v>
      </c>
      <c r="P315" s="119"/>
      <c r="Q315" s="119"/>
      <c r="R315" s="119"/>
      <c r="S315" s="119"/>
      <c r="T315" s="119"/>
      <c r="U315" s="119"/>
      <c r="V315" s="119"/>
      <c r="W315" s="119"/>
      <c r="X315" s="119">
        <f t="shared" si="198"/>
        <v>1.39</v>
      </c>
      <c r="Y315" s="118">
        <f t="shared" si="199"/>
        <v>1.39</v>
      </c>
      <c r="Z315" s="109">
        <f t="shared" si="313"/>
        <v>2780</v>
      </c>
      <c r="AA315" s="109">
        <f>'CALCULO GERAL'!$G$10</f>
        <v>6300</v>
      </c>
      <c r="AB315" s="109">
        <f t="shared" si="200"/>
        <v>9080</v>
      </c>
      <c r="AC315" s="109">
        <f>AB315*'CALCULO GERAL'!$C$11</f>
        <v>45572.520000000004</v>
      </c>
      <c r="AD315" s="109">
        <f t="shared" si="201"/>
        <v>8203.0536000000011</v>
      </c>
      <c r="AE315" s="109">
        <f t="shared" si="202"/>
        <v>5377.5573600000007</v>
      </c>
      <c r="AF315" s="109">
        <f t="shared" si="203"/>
        <v>957.02292000000011</v>
      </c>
      <c r="AG315" s="109">
        <f t="shared" si="204"/>
        <v>4397.7481800000005</v>
      </c>
      <c r="AH315" s="109">
        <v>154.22999999999999</v>
      </c>
      <c r="AI315" s="109">
        <f>((AA315*'CALCULO GERAL'!$C$11))*0.08+20</f>
        <v>2549.576</v>
      </c>
      <c r="AJ315" s="109">
        <v>1010</v>
      </c>
      <c r="AK315" s="109">
        <v>2500</v>
      </c>
      <c r="AL315" s="109">
        <f>(AA315*('CALCULO GERAL'!$C$11*1.02))-(AA315*'CALCULO GERAL'!$C$11)</f>
        <v>632.39400000000387</v>
      </c>
      <c r="AM315" s="109">
        <v>1800</v>
      </c>
      <c r="AN315" s="109">
        <v>2600</v>
      </c>
      <c r="AO315" s="109">
        <v>9400</v>
      </c>
      <c r="AP315" s="109">
        <v>1000</v>
      </c>
      <c r="AQ315" s="109">
        <v>0</v>
      </c>
      <c r="AR315" s="109">
        <v>0</v>
      </c>
      <c r="AS315" s="109"/>
      <c r="AT315" s="109">
        <f t="shared" si="304"/>
        <v>86154.102060000005</v>
      </c>
      <c r="AU315" s="111">
        <f t="shared" si="205"/>
        <v>43.07705103</v>
      </c>
      <c r="AV315" s="109">
        <f>IFERROR((BS315*'CALCULO GERAL'!$E$11)/N315,0)</f>
        <v>1.0078152</v>
      </c>
      <c r="AW315" s="109">
        <f>AU315/'CALCULO GERAL'!$C$11</f>
        <v>8.5827955827854154</v>
      </c>
      <c r="AX315" s="109">
        <f>BP315-BB315-BD315*'CALCULO GERAL'!$C$11</f>
        <v>26.711683778181822</v>
      </c>
      <c r="AY315" s="109">
        <f t="shared" si="206"/>
        <v>0.44074278234000008</v>
      </c>
      <c r="AZ315" s="109">
        <f t="shared" si="207"/>
        <v>2.0300879671418186</v>
      </c>
      <c r="BA315" s="109">
        <f t="shared" si="208"/>
        <v>45.809781818181818</v>
      </c>
      <c r="BB315" s="109">
        <f t="shared" si="209"/>
        <v>0.6871467272727273</v>
      </c>
      <c r="BC315" s="109">
        <f t="shared" si="210"/>
        <v>45.809781818181811</v>
      </c>
      <c r="BD315" s="109">
        <f t="shared" si="211"/>
        <v>4.5809781818181809</v>
      </c>
      <c r="BE315" s="109">
        <f t="shared" si="212"/>
        <v>8062.5216000000009</v>
      </c>
      <c r="BF315" s="109">
        <f t="shared" si="213"/>
        <v>12093.7824</v>
      </c>
      <c r="BG315" s="109">
        <f t="shared" si="214"/>
        <v>0.54422020799999993</v>
      </c>
      <c r="BH315" s="109">
        <f t="shared" si="215"/>
        <v>0.60468911999999997</v>
      </c>
      <c r="BI315" s="109">
        <f t="shared" si="216"/>
        <v>0</v>
      </c>
      <c r="BJ315" s="109">
        <f t="shared" si="217"/>
        <v>9.8956801865727275</v>
      </c>
      <c r="BK315" s="109">
        <f t="shared" si="218"/>
        <v>52.972731216572726</v>
      </c>
      <c r="BL315" s="148">
        <v>0.87</v>
      </c>
      <c r="BM315" s="112">
        <f>ROUND((AW315/BL315)+((AW315*BL315)*'CALCULO GERAL'!$E$11)/BL315,2)</f>
        <v>10.039999999999999</v>
      </c>
      <c r="BN315" s="186">
        <f t="shared" si="305"/>
        <v>10.039999999999999</v>
      </c>
      <c r="BO315" s="186">
        <f t="shared" si="306"/>
        <v>11.763</v>
      </c>
      <c r="BP315" s="109">
        <f>BM315*'CALCULO GERAL'!$C$11</f>
        <v>50.39076</v>
      </c>
      <c r="BQ315" s="109">
        <f>BO315*'CALCULO GERAL'!$C$11</f>
        <v>59.038497</v>
      </c>
      <c r="BR315" s="186">
        <f>BN315*'CALCULO GERAL'!$C$11</f>
        <v>50.39076</v>
      </c>
      <c r="BS315" s="109">
        <f t="shared" si="219"/>
        <v>100781.52</v>
      </c>
      <c r="BT315" s="109">
        <f t="shared" si="303"/>
        <v>14627.417939999999</v>
      </c>
      <c r="BU315" s="109">
        <f t="shared" si="220"/>
        <v>100781.52</v>
      </c>
      <c r="BV315" s="109">
        <f t="shared" si="310"/>
        <v>105945.46243314545</v>
      </c>
      <c r="BW315" s="109">
        <f t="shared" si="307"/>
        <v>-5163.9424331454502</v>
      </c>
      <c r="BX315" s="114">
        <f t="shared" si="221"/>
        <v>-5.1238981443675884E-2</v>
      </c>
      <c r="BY315" s="152">
        <f t="shared" si="311"/>
        <v>0.87</v>
      </c>
      <c r="CA315" s="55"/>
      <c r="CB315" s="113"/>
      <c r="CC315" s="113"/>
      <c r="CE315" s="152">
        <f t="shared" si="312"/>
        <v>0</v>
      </c>
      <c r="CF315" s="152">
        <f t="shared" si="308"/>
        <v>1</v>
      </c>
      <c r="CG315" s="152">
        <f t="shared" si="309"/>
        <v>1</v>
      </c>
      <c r="CH315" s="34"/>
      <c r="CJ315" s="11"/>
      <c r="CK315" s="11"/>
    </row>
    <row r="316" spans="1:89" s="152" customFormat="1" x14ac:dyDescent="0.2">
      <c r="A316" s="507" t="s">
        <v>660</v>
      </c>
      <c r="B316" s="508" t="s">
        <v>661</v>
      </c>
      <c r="C316" s="509">
        <v>0.16</v>
      </c>
      <c r="D316" s="510">
        <v>0</v>
      </c>
      <c r="E316" s="511">
        <v>2.1000000000000001E-2</v>
      </c>
      <c r="F316" s="511">
        <v>9.6500000000000002E-2</v>
      </c>
      <c r="G316" s="1">
        <v>1.6500000000000001E-2</v>
      </c>
      <c r="H316" s="1">
        <v>7.5999999999999998E-2</v>
      </c>
      <c r="I316" s="512">
        <v>0.18</v>
      </c>
      <c r="J316" s="512">
        <v>0.04</v>
      </c>
      <c r="K316" s="512">
        <v>0.14000000000000001</v>
      </c>
      <c r="L316" s="512">
        <v>1.4999999999999999E-2</v>
      </c>
      <c r="M316" s="513" t="s">
        <v>175</v>
      </c>
      <c r="N316" s="514"/>
      <c r="O316" s="119"/>
      <c r="P316" s="119"/>
      <c r="Q316" s="119"/>
      <c r="R316" s="119"/>
      <c r="S316" s="119"/>
      <c r="T316" s="119">
        <v>5.68</v>
      </c>
      <c r="U316" s="119"/>
      <c r="V316" s="119"/>
      <c r="W316" s="119"/>
      <c r="X316" s="119">
        <f t="shared" si="198"/>
        <v>5.68</v>
      </c>
      <c r="Y316" s="118">
        <f t="shared" si="199"/>
        <v>5.68</v>
      </c>
      <c r="Z316" s="109">
        <f t="shared" si="313"/>
        <v>0</v>
      </c>
      <c r="AA316" s="109">
        <f>'CALCULO GERAL'!$G$10</f>
        <v>6300</v>
      </c>
      <c r="AB316" s="109">
        <f t="shared" si="200"/>
        <v>6300</v>
      </c>
      <c r="AC316" s="109">
        <f>AB316*'CALCULO GERAL'!$C$11</f>
        <v>31619.7</v>
      </c>
      <c r="AD316" s="109">
        <f t="shared" si="201"/>
        <v>5059.152</v>
      </c>
      <c r="AE316" s="109">
        <f t="shared" si="202"/>
        <v>0</v>
      </c>
      <c r="AF316" s="109">
        <f t="shared" si="203"/>
        <v>664.01370000000009</v>
      </c>
      <c r="AG316" s="109">
        <f t="shared" si="204"/>
        <v>3051.30105</v>
      </c>
      <c r="AH316" s="109">
        <v>154.22999999999999</v>
      </c>
      <c r="AI316" s="109">
        <f>((AA316*'CALCULO GERAL'!$C$11))*0.08+20</f>
        <v>2549.576</v>
      </c>
      <c r="AJ316" s="109">
        <v>1010</v>
      </c>
      <c r="AK316" s="109">
        <v>2500</v>
      </c>
      <c r="AL316" s="109">
        <f>(AA316*('CALCULO GERAL'!$C$11*1.02))-(AA316*'CALCULO GERAL'!$C$11)</f>
        <v>632.39400000000387</v>
      </c>
      <c r="AM316" s="109">
        <v>1800</v>
      </c>
      <c r="AN316" s="109">
        <v>2600</v>
      </c>
      <c r="AO316" s="109">
        <v>9400</v>
      </c>
      <c r="AP316" s="109">
        <v>1000</v>
      </c>
      <c r="AQ316" s="109">
        <v>0</v>
      </c>
      <c r="AR316" s="109">
        <v>0</v>
      </c>
      <c r="AS316" s="109"/>
      <c r="AT316" s="109">
        <f t="shared" si="304"/>
        <v>62040.366750000016</v>
      </c>
      <c r="AU316" s="111">
        <f t="shared" si="205"/>
        <v>0</v>
      </c>
      <c r="AV316" s="109">
        <f>IFERROR((BS316*'CALCULO GERAL'!$E$11)/N316,0)</f>
        <v>0</v>
      </c>
      <c r="AW316" s="109">
        <f>AU316/'CALCULO GERAL'!$C$11</f>
        <v>0</v>
      </c>
      <c r="AX316" s="109">
        <f>BP316-BB316-BD316*'CALCULO GERAL'!$C$11</f>
        <v>0</v>
      </c>
      <c r="AY316" s="109">
        <f t="shared" si="206"/>
        <v>0</v>
      </c>
      <c r="AZ316" s="109">
        <f t="shared" si="207"/>
        <v>0</v>
      </c>
      <c r="BA316" s="109">
        <f t="shared" si="208"/>
        <v>0</v>
      </c>
      <c r="BB316" s="109">
        <f t="shared" si="209"/>
        <v>0</v>
      </c>
      <c r="BC316" s="109">
        <f t="shared" si="210"/>
        <v>0</v>
      </c>
      <c r="BD316" s="109">
        <f t="shared" si="211"/>
        <v>0</v>
      </c>
      <c r="BE316" s="109">
        <f t="shared" si="212"/>
        <v>0</v>
      </c>
      <c r="BF316" s="109">
        <f t="shared" si="213"/>
        <v>0</v>
      </c>
      <c r="BG316" s="109" t="e">
        <f t="shared" si="214"/>
        <v>#DIV/0!</v>
      </c>
      <c r="BH316" s="109" t="e">
        <f t="shared" si="215"/>
        <v>#DIV/0!</v>
      </c>
      <c r="BI316" s="109" t="e">
        <f t="shared" si="216"/>
        <v>#DIV/0!</v>
      </c>
      <c r="BJ316" s="109" t="e">
        <f t="shared" si="217"/>
        <v>#DIV/0!</v>
      </c>
      <c r="BK316" s="109" t="e">
        <f t="shared" si="218"/>
        <v>#DIV/0!</v>
      </c>
      <c r="BL316" s="148">
        <v>0.85499999999999998</v>
      </c>
      <c r="BM316" s="112">
        <f>ROUND((AW316/BL316)+((AW316*BL316)*'CALCULO GERAL'!$E$11)/BL316,2)</f>
        <v>0</v>
      </c>
      <c r="BN316" s="186">
        <f t="shared" si="305"/>
        <v>0</v>
      </c>
      <c r="BO316" s="186">
        <f t="shared" si="306"/>
        <v>0</v>
      </c>
      <c r="BP316" s="109">
        <f>BM316*'CALCULO GERAL'!$C$11</f>
        <v>0</v>
      </c>
      <c r="BQ316" s="109">
        <f>BO316*'CALCULO GERAL'!$C$11</f>
        <v>0</v>
      </c>
      <c r="BR316" s="186">
        <f>BN316*'CALCULO GERAL'!$C$11</f>
        <v>0</v>
      </c>
      <c r="BS316" s="109">
        <f t="shared" si="219"/>
        <v>0</v>
      </c>
      <c r="BT316" s="109">
        <f t="shared" si="303"/>
        <v>-62040.366750000016</v>
      </c>
      <c r="BU316" s="109">
        <f t="shared" si="220"/>
        <v>0</v>
      </c>
      <c r="BV316" s="109" t="e">
        <f t="shared" si="310"/>
        <v>#DIV/0!</v>
      </c>
      <c r="BW316" s="109" t="e">
        <f t="shared" si="307"/>
        <v>#DIV/0!</v>
      </c>
      <c r="BX316" s="114" t="e">
        <f t="shared" si="221"/>
        <v>#DIV/0!</v>
      </c>
      <c r="BY316" s="152">
        <f t="shared" si="311"/>
        <v>0.86</v>
      </c>
      <c r="CA316" s="55"/>
      <c r="CB316" s="113"/>
      <c r="CC316" s="113"/>
      <c r="CE316" s="152">
        <f t="shared" si="312"/>
        <v>0</v>
      </c>
      <c r="CF316" s="152">
        <f t="shared" si="308"/>
        <v>1</v>
      </c>
      <c r="CG316" s="152">
        <f t="shared" si="309"/>
        <v>1</v>
      </c>
      <c r="CH316" s="34"/>
      <c r="CJ316" s="11"/>
      <c r="CK316" s="11"/>
    </row>
    <row r="317" spans="1:89" s="152" customFormat="1" x14ac:dyDescent="0.2">
      <c r="A317" s="507" t="s">
        <v>662</v>
      </c>
      <c r="B317" s="508" t="s">
        <v>663</v>
      </c>
      <c r="C317" s="509">
        <v>0.16</v>
      </c>
      <c r="D317" s="510">
        <v>0</v>
      </c>
      <c r="E317" s="511">
        <v>2.1000000000000001E-2</v>
      </c>
      <c r="F317" s="511">
        <v>9.6500000000000002E-2</v>
      </c>
      <c r="G317" s="1">
        <v>1.6500000000000001E-2</v>
      </c>
      <c r="H317" s="1">
        <v>7.5999999999999998E-2</v>
      </c>
      <c r="I317" s="512">
        <v>0.18</v>
      </c>
      <c r="J317" s="512">
        <v>0.04</v>
      </c>
      <c r="K317" s="512">
        <v>0.14000000000000001</v>
      </c>
      <c r="L317" s="512">
        <v>1.4999999999999999E-2</v>
      </c>
      <c r="M317" s="513" t="s">
        <v>175</v>
      </c>
      <c r="N317" s="514">
        <v>79000</v>
      </c>
      <c r="O317" s="119">
        <v>1.2</v>
      </c>
      <c r="P317" s="119"/>
      <c r="Q317" s="119"/>
      <c r="R317" s="119"/>
      <c r="S317" s="119"/>
      <c r="T317" s="119"/>
      <c r="U317" s="119"/>
      <c r="V317" s="119"/>
      <c r="W317" s="119"/>
      <c r="X317" s="119">
        <f t="shared" si="198"/>
        <v>1.2</v>
      </c>
      <c r="Y317" s="118">
        <f t="shared" si="199"/>
        <v>1.2</v>
      </c>
      <c r="Z317" s="109">
        <f t="shared" si="313"/>
        <v>94800</v>
      </c>
      <c r="AA317" s="109">
        <f>'CALCULO GERAL'!$G$10</f>
        <v>6300</v>
      </c>
      <c r="AB317" s="109">
        <f t="shared" si="200"/>
        <v>101100</v>
      </c>
      <c r="AC317" s="109">
        <f>AB317*'CALCULO GERAL'!$C$11</f>
        <v>507420.9</v>
      </c>
      <c r="AD317" s="109">
        <f t="shared" si="201"/>
        <v>81187.344000000012</v>
      </c>
      <c r="AE317" s="109">
        <f t="shared" si="202"/>
        <v>0</v>
      </c>
      <c r="AF317" s="109">
        <f t="shared" si="203"/>
        <v>10655.838900000001</v>
      </c>
      <c r="AG317" s="109">
        <f t="shared" si="204"/>
        <v>48966.116850000006</v>
      </c>
      <c r="AH317" s="109">
        <v>154.22999999999999</v>
      </c>
      <c r="AI317" s="109">
        <f>((AA317*'CALCULO GERAL'!$C$11))*0.08+20</f>
        <v>2549.576</v>
      </c>
      <c r="AJ317" s="109">
        <v>1010</v>
      </c>
      <c r="AK317" s="109">
        <v>2500</v>
      </c>
      <c r="AL317" s="109">
        <f>(AA317*('CALCULO GERAL'!$C$11*1.02))-(AA317*'CALCULO GERAL'!$C$11)</f>
        <v>632.39400000000387</v>
      </c>
      <c r="AM317" s="109">
        <v>1800</v>
      </c>
      <c r="AN317" s="109">
        <v>2600</v>
      </c>
      <c r="AO317" s="109">
        <v>9400</v>
      </c>
      <c r="AP317" s="109">
        <v>1000</v>
      </c>
      <c r="AQ317" s="109">
        <v>0</v>
      </c>
      <c r="AR317" s="109">
        <v>0</v>
      </c>
      <c r="AS317" s="109"/>
      <c r="AT317" s="109">
        <f t="shared" si="304"/>
        <v>669876.39974999998</v>
      </c>
      <c r="AU317" s="111">
        <f t="shared" si="205"/>
        <v>8.4794480981012654</v>
      </c>
      <c r="AV317" s="109">
        <f>IFERROR((BS317*'CALCULO GERAL'!$E$11)/N317,0)</f>
        <v>0.21581699999999998</v>
      </c>
      <c r="AW317" s="109">
        <f>AU317/'CALCULO GERAL'!$C$11</f>
        <v>1.6894696350072256</v>
      </c>
      <c r="AX317" s="109">
        <f>BP317-BB317-BD317*'CALCULO GERAL'!$C$11</f>
        <v>10.62898725</v>
      </c>
      <c r="AY317" s="109">
        <f t="shared" si="206"/>
        <v>0.17537828962500002</v>
      </c>
      <c r="AZ317" s="109">
        <f t="shared" si="207"/>
        <v>0.80780303099999995</v>
      </c>
      <c r="BA317" s="109">
        <f t="shared" si="208"/>
        <v>10.790849999999999</v>
      </c>
      <c r="BB317" s="109">
        <f t="shared" si="209"/>
        <v>0.16186274999999997</v>
      </c>
      <c r="BC317" s="109">
        <f t="shared" si="210"/>
        <v>10.790849999999999</v>
      </c>
      <c r="BD317" s="109">
        <f t="shared" si="211"/>
        <v>0</v>
      </c>
      <c r="BE317" s="109">
        <f t="shared" si="212"/>
        <v>68198.171999999991</v>
      </c>
      <c r="BF317" s="109">
        <f t="shared" si="213"/>
        <v>102297.25799999999</v>
      </c>
      <c r="BG317" s="109">
        <f t="shared" si="214"/>
        <v>0.11654117999999998</v>
      </c>
      <c r="BH317" s="109">
        <f t="shared" si="215"/>
        <v>0.12949019999999997</v>
      </c>
      <c r="BI317" s="109">
        <f t="shared" si="216"/>
        <v>-1.0377445569620246E-2</v>
      </c>
      <c r="BJ317" s="109">
        <f t="shared" si="217"/>
        <v>1.5965150050553798</v>
      </c>
      <c r="BK317" s="109">
        <f t="shared" si="218"/>
        <v>10.075963103156646</v>
      </c>
      <c r="BL317" s="148">
        <v>0.8</v>
      </c>
      <c r="BM317" s="112">
        <f>ROUND((AW317/BL317)+((AW317*BL317)*'CALCULO GERAL'!$E$11)/BL317,2)</f>
        <v>2.15</v>
      </c>
      <c r="BN317" s="186">
        <f t="shared" si="305"/>
        <v>2.15</v>
      </c>
      <c r="BO317" s="186">
        <f t="shared" si="306"/>
        <v>2.5190000000000001</v>
      </c>
      <c r="BP317" s="109">
        <f>BM317*'CALCULO GERAL'!$C$11</f>
        <v>10.790849999999999</v>
      </c>
      <c r="BQ317" s="109">
        <f>BO317*'CALCULO GERAL'!$C$11</f>
        <v>12.642861000000002</v>
      </c>
      <c r="BR317" s="186">
        <f>BN317*'CALCULO GERAL'!$C$11</f>
        <v>10.790849999999999</v>
      </c>
      <c r="BS317" s="109">
        <f t="shared" si="219"/>
        <v>852477.14999999991</v>
      </c>
      <c r="BT317" s="109">
        <f t="shared" si="303"/>
        <v>182600.75024999992</v>
      </c>
      <c r="BU317" s="109">
        <f t="shared" si="220"/>
        <v>852477.14999999991</v>
      </c>
      <c r="BV317" s="109">
        <f t="shared" si="310"/>
        <v>796001.08514937502</v>
      </c>
      <c r="BW317" s="109">
        <f t="shared" si="307"/>
        <v>56476.064850624884</v>
      </c>
      <c r="BX317" s="114">
        <f t="shared" si="221"/>
        <v>6.6249359118452492E-2</v>
      </c>
      <c r="BY317" s="152">
        <f t="shared" si="311"/>
        <v>0.8</v>
      </c>
      <c r="CA317" s="55"/>
      <c r="CB317" s="113"/>
      <c r="CC317" s="113"/>
      <c r="CE317" s="152">
        <f t="shared" si="312"/>
        <v>0</v>
      </c>
      <c r="CF317" s="152">
        <f t="shared" si="308"/>
        <v>1</v>
      </c>
      <c r="CG317" s="152">
        <f t="shared" si="309"/>
        <v>1</v>
      </c>
      <c r="CH317" s="34"/>
      <c r="CJ317" s="11"/>
      <c r="CK317" s="11"/>
    </row>
    <row r="318" spans="1:89" s="152" customFormat="1" x14ac:dyDescent="0.2">
      <c r="A318" s="507" t="s">
        <v>664</v>
      </c>
      <c r="B318" s="508" t="s">
        <v>663</v>
      </c>
      <c r="C318" s="509">
        <v>0.16</v>
      </c>
      <c r="D318" s="510">
        <v>0</v>
      </c>
      <c r="E318" s="511">
        <v>2.1000000000000001E-2</v>
      </c>
      <c r="F318" s="511">
        <v>9.6500000000000002E-2</v>
      </c>
      <c r="G318" s="1">
        <v>1.6500000000000001E-2</v>
      </c>
      <c r="H318" s="1">
        <v>7.5999999999999998E-2</v>
      </c>
      <c r="I318" s="512">
        <v>0.18</v>
      </c>
      <c r="J318" s="512">
        <v>0.04</v>
      </c>
      <c r="K318" s="512">
        <v>0.14000000000000001</v>
      </c>
      <c r="L318" s="512">
        <v>1.4999999999999999E-2</v>
      </c>
      <c r="M318" s="513" t="s">
        <v>175</v>
      </c>
      <c r="N318" s="514">
        <v>79000</v>
      </c>
      <c r="O318" s="119"/>
      <c r="P318" s="119"/>
      <c r="Q318" s="119"/>
      <c r="R318" s="119"/>
      <c r="S318" s="119"/>
      <c r="T318" s="119"/>
      <c r="U318" s="119"/>
      <c r="V318" s="119"/>
      <c r="W318" s="119"/>
      <c r="X318" s="119">
        <f t="shared" si="198"/>
        <v>0</v>
      </c>
      <c r="Y318" s="118" t="e">
        <f t="shared" si="199"/>
        <v>#DIV/0!</v>
      </c>
      <c r="Z318" s="109" t="e">
        <f t="shared" si="313"/>
        <v>#DIV/0!</v>
      </c>
      <c r="AA318" s="109">
        <f>'CALCULO GERAL'!$G$10</f>
        <v>6300</v>
      </c>
      <c r="AB318" s="109" t="e">
        <f t="shared" si="200"/>
        <v>#DIV/0!</v>
      </c>
      <c r="AC318" s="109" t="e">
        <f>AB318*'CALCULO GERAL'!$C$11</f>
        <v>#DIV/0!</v>
      </c>
      <c r="AD318" s="109" t="e">
        <f t="shared" si="201"/>
        <v>#DIV/0!</v>
      </c>
      <c r="AE318" s="109" t="e">
        <f t="shared" si="202"/>
        <v>#DIV/0!</v>
      </c>
      <c r="AF318" s="109" t="e">
        <f t="shared" si="203"/>
        <v>#DIV/0!</v>
      </c>
      <c r="AG318" s="109" t="e">
        <f t="shared" si="204"/>
        <v>#DIV/0!</v>
      </c>
      <c r="AH318" s="109">
        <v>154.22999999999999</v>
      </c>
      <c r="AI318" s="109">
        <f>((AA318*'CALCULO GERAL'!$C$11))*0.08+20</f>
        <v>2549.576</v>
      </c>
      <c r="AJ318" s="109">
        <v>1010</v>
      </c>
      <c r="AK318" s="109">
        <v>2500</v>
      </c>
      <c r="AL318" s="109">
        <f>(AA318*('CALCULO GERAL'!$C$11*1.02))-(AA318*'CALCULO GERAL'!$C$11)</f>
        <v>632.39400000000387</v>
      </c>
      <c r="AM318" s="109">
        <v>1800</v>
      </c>
      <c r="AN318" s="109">
        <v>2600</v>
      </c>
      <c r="AO318" s="109">
        <v>9400</v>
      </c>
      <c r="AP318" s="109">
        <v>1000</v>
      </c>
      <c r="AQ318" s="109">
        <v>0</v>
      </c>
      <c r="AR318" s="109">
        <v>0</v>
      </c>
      <c r="AS318" s="109"/>
      <c r="AT318" s="109" t="e">
        <f t="shared" si="304"/>
        <v>#DIV/0!</v>
      </c>
      <c r="AU318" s="111">
        <f t="shared" si="205"/>
        <v>0</v>
      </c>
      <c r="AV318" s="109">
        <f>IFERROR((BS318*'CALCULO GERAL'!$E$11)/N318,0)</f>
        <v>0</v>
      </c>
      <c r="AW318" s="109">
        <f>AU318/'CALCULO GERAL'!$C$11</f>
        <v>0</v>
      </c>
      <c r="AX318" s="109">
        <f>BP318-BB318-BD318*'CALCULO GERAL'!$C$11</f>
        <v>0</v>
      </c>
      <c r="AY318" s="109">
        <f t="shared" si="206"/>
        <v>0</v>
      </c>
      <c r="AZ318" s="109">
        <f t="shared" si="207"/>
        <v>0</v>
      </c>
      <c r="BA318" s="109">
        <f t="shared" si="208"/>
        <v>0</v>
      </c>
      <c r="BB318" s="109">
        <f t="shared" si="209"/>
        <v>0</v>
      </c>
      <c r="BC318" s="109">
        <f t="shared" si="210"/>
        <v>0</v>
      </c>
      <c r="BD318" s="109">
        <f t="shared" si="211"/>
        <v>0</v>
      </c>
      <c r="BE318" s="109">
        <f t="shared" si="212"/>
        <v>0</v>
      </c>
      <c r="BF318" s="109">
        <f t="shared" si="213"/>
        <v>0</v>
      </c>
      <c r="BG318" s="109">
        <f t="shared" si="214"/>
        <v>0</v>
      </c>
      <c r="BH318" s="109">
        <f t="shared" si="215"/>
        <v>0</v>
      </c>
      <c r="BI318" s="109">
        <f t="shared" si="216"/>
        <v>0</v>
      </c>
      <c r="BJ318" s="109">
        <f t="shared" si="217"/>
        <v>0</v>
      </c>
      <c r="BK318" s="109">
        <f t="shared" si="218"/>
        <v>0</v>
      </c>
      <c r="BL318" s="148">
        <v>0.82</v>
      </c>
      <c r="BM318" s="112">
        <f>ROUND((AW318/BL318)+((AW318*BL318)*'CALCULO GERAL'!$E$11)/BL318,2)</f>
        <v>0</v>
      </c>
      <c r="BN318" s="186">
        <f t="shared" si="305"/>
        <v>0</v>
      </c>
      <c r="BO318" s="186">
        <f t="shared" si="306"/>
        <v>0</v>
      </c>
      <c r="BP318" s="109">
        <f>BM318*'CALCULO GERAL'!$C$11</f>
        <v>0</v>
      </c>
      <c r="BQ318" s="109">
        <f>BO318*'CALCULO GERAL'!$C$11</f>
        <v>0</v>
      </c>
      <c r="BR318" s="186">
        <f>BN318*'CALCULO GERAL'!$C$11</f>
        <v>0</v>
      </c>
      <c r="BS318" s="109">
        <f t="shared" si="219"/>
        <v>0</v>
      </c>
      <c r="BT318" s="109" t="e">
        <f t="shared" si="303"/>
        <v>#DIV/0!</v>
      </c>
      <c r="BU318" s="109">
        <f t="shared" si="220"/>
        <v>0</v>
      </c>
      <c r="BV318" s="109">
        <f t="shared" si="310"/>
        <v>0</v>
      </c>
      <c r="BW318" s="109">
        <f t="shared" si="307"/>
        <v>0</v>
      </c>
      <c r="BX318" s="114" t="e">
        <f t="shared" si="221"/>
        <v>#DIV/0!</v>
      </c>
      <c r="BY318" s="152">
        <f t="shared" si="311"/>
        <v>0.82</v>
      </c>
      <c r="CA318" s="55"/>
      <c r="CB318" s="113"/>
      <c r="CC318" s="113"/>
      <c r="CE318" s="152">
        <f t="shared" si="312"/>
        <v>0</v>
      </c>
      <c r="CF318" s="152">
        <f t="shared" si="308"/>
        <v>1</v>
      </c>
      <c r="CG318" s="152">
        <f t="shared" si="309"/>
        <v>1</v>
      </c>
      <c r="CH318" s="34"/>
      <c r="CJ318" s="11"/>
      <c r="CK318" s="11"/>
    </row>
    <row r="319" spans="1:89" s="152" customFormat="1" x14ac:dyDescent="0.2">
      <c r="A319" s="507" t="s">
        <v>665</v>
      </c>
      <c r="B319" s="508" t="s">
        <v>666</v>
      </c>
      <c r="C319" s="509">
        <v>0.16</v>
      </c>
      <c r="D319" s="510">
        <v>0</v>
      </c>
      <c r="E319" s="511">
        <v>2.1000000000000001E-2</v>
      </c>
      <c r="F319" s="511">
        <v>9.6500000000000002E-2</v>
      </c>
      <c r="G319" s="1">
        <v>1.6500000000000001E-2</v>
      </c>
      <c r="H319" s="1">
        <v>7.5999999999999998E-2</v>
      </c>
      <c r="I319" s="512">
        <v>0.18</v>
      </c>
      <c r="J319" s="512">
        <v>0.04</v>
      </c>
      <c r="K319" s="512">
        <v>0.14000000000000001</v>
      </c>
      <c r="L319" s="512">
        <v>1.4999999999999999E-2</v>
      </c>
      <c r="M319" s="513" t="s">
        <v>175</v>
      </c>
      <c r="N319" s="514">
        <v>217000</v>
      </c>
      <c r="O319" s="119">
        <v>0.59</v>
      </c>
      <c r="P319" s="119"/>
      <c r="Q319" s="119"/>
      <c r="R319" s="119"/>
      <c r="S319" s="119"/>
      <c r="T319" s="119"/>
      <c r="U319" s="119"/>
      <c r="V319" s="119"/>
      <c r="W319" s="119"/>
      <c r="X319" s="119">
        <f t="shared" ref="X319:X329" si="314">MIN(O319:W319)</f>
        <v>0.59</v>
      </c>
      <c r="Y319" s="118">
        <f t="shared" ref="Y319:Y329" si="315">AVERAGE(O319:W319)</f>
        <v>0.59</v>
      </c>
      <c r="Z319" s="109">
        <f t="shared" si="313"/>
        <v>128030</v>
      </c>
      <c r="AA319" s="109">
        <f>'CALCULO GERAL'!$G$10</f>
        <v>6300</v>
      </c>
      <c r="AB319" s="109">
        <f t="shared" ref="AB319:AB329" si="316">Z319+AA319</f>
        <v>134330</v>
      </c>
      <c r="AC319" s="109">
        <f>AB319*'CALCULO GERAL'!$C$11</f>
        <v>674202.27</v>
      </c>
      <c r="AD319" s="109">
        <f t="shared" ref="AD319:AD329" si="317">AC319*C319</f>
        <v>107872.36320000001</v>
      </c>
      <c r="AE319" s="109">
        <f t="shared" ref="AE319:AE329" si="318">(AC319+AD319)*D319</f>
        <v>0</v>
      </c>
      <c r="AF319" s="109">
        <f t="shared" ref="AF319:AF329" si="319">AC319*E319</f>
        <v>14158.247670000001</v>
      </c>
      <c r="AG319" s="109">
        <f t="shared" ref="AG319:AG329" si="320">AC319*F319</f>
        <v>65060.519055000004</v>
      </c>
      <c r="AH319" s="109">
        <v>154.22999999999999</v>
      </c>
      <c r="AI319" s="109">
        <f>((AA319*'CALCULO GERAL'!$C$11))*0.08+20</f>
        <v>2549.576</v>
      </c>
      <c r="AJ319" s="109">
        <v>1010</v>
      </c>
      <c r="AK319" s="109">
        <v>2500</v>
      </c>
      <c r="AL319" s="109">
        <f>(AA319*('CALCULO GERAL'!$C$11*1.02))-(AA319*'CALCULO GERAL'!$C$11)</f>
        <v>632.39400000000387</v>
      </c>
      <c r="AM319" s="109">
        <v>1800</v>
      </c>
      <c r="AN319" s="109">
        <v>2600</v>
      </c>
      <c r="AO319" s="109">
        <v>9400</v>
      </c>
      <c r="AP319" s="109">
        <v>1000</v>
      </c>
      <c r="AQ319" s="109">
        <v>0</v>
      </c>
      <c r="AR319" s="109">
        <v>0</v>
      </c>
      <c r="AS319" s="109"/>
      <c r="AT319" s="109">
        <f t="shared" si="304"/>
        <v>882939.59992499999</v>
      </c>
      <c r="AU319" s="111">
        <f t="shared" ref="AU319:AU329" si="321">IFERROR((AT319/N319),0)</f>
        <v>4.0688460826036863</v>
      </c>
      <c r="AV319" s="109">
        <f>IFERROR((BS319*'CALCULO GERAL'!$E$11)/N319,0)</f>
        <v>9.9376199999999998E-2</v>
      </c>
      <c r="AW319" s="109">
        <f>AU319/'CALCULO GERAL'!$C$11</f>
        <v>0.81068859984134012</v>
      </c>
      <c r="AX319" s="109">
        <f>BP319-BB319-BD319*'CALCULO GERAL'!$C$11</f>
        <v>4.8942778500000008</v>
      </c>
      <c r="AY319" s="109">
        <f t="shared" ref="AY319:AY329" si="322">AX319*G319</f>
        <v>8.0755584525000021E-2</v>
      </c>
      <c r="AZ319" s="109">
        <f t="shared" ref="AZ319:AZ329" si="323">AX319*H319</f>
        <v>0.37196511660000003</v>
      </c>
      <c r="BA319" s="109">
        <f t="shared" ref="BA319:BA329" si="324">BP319-BD319</f>
        <v>4.9688100000000004</v>
      </c>
      <c r="BB319" s="109">
        <f t="shared" ref="BB319:BB329" si="325">BA319*L319</f>
        <v>7.4532150000000005E-2</v>
      </c>
      <c r="BC319" s="109">
        <f t="shared" ref="BC319:BC329" si="326">BP319/(1+D319)</f>
        <v>4.9688100000000004</v>
      </c>
      <c r="BD319" s="109">
        <f t="shared" ref="BD319:BD329" si="327">BC319*D319</f>
        <v>0</v>
      </c>
      <c r="BE319" s="109">
        <f t="shared" ref="BE319:BE329" si="328">BU319*0.08</f>
        <v>86258.541599999997</v>
      </c>
      <c r="BF319" s="109">
        <f t="shared" ref="BF319:BF329" si="329">BU319*0.12</f>
        <v>129387.8124</v>
      </c>
      <c r="BG319" s="109">
        <f t="shared" ref="BG319:BG329" si="330">(BF319*0.09)/N319</f>
        <v>5.3663148000000001E-2</v>
      </c>
      <c r="BH319" s="109">
        <f t="shared" ref="BH319:BH329" si="331">(BE319*0.15)/N319</f>
        <v>5.9625719999999993E-2</v>
      </c>
      <c r="BI319" s="109">
        <f t="shared" ref="BI319:BI329" si="332">IF(BE319&gt;=$BY$1,($BY$1-BE319)*0.1,IF(BE319&lt;=$BY$1,($BY$1*0)))/N319</f>
        <v>-1.2100715023041475E-2</v>
      </c>
      <c r="BJ319" s="109">
        <f t="shared" ref="BJ319:BJ329" si="333">(AY319+AZ319+BB319+AV319+BD319+BG319+BH319+BI319)</f>
        <v>0.72781720410195871</v>
      </c>
      <c r="BK319" s="109">
        <f t="shared" ref="BK319:BK329" si="334">BJ319+AU319</f>
        <v>4.7966632867056447</v>
      </c>
      <c r="BL319" s="148">
        <v>0.83</v>
      </c>
      <c r="BM319" s="112">
        <f>ROUND((AW319/BL319)+((AW319*BL319)*'CALCULO GERAL'!$E$11)/BL319,2)</f>
        <v>0.99</v>
      </c>
      <c r="BN319" s="186">
        <f t="shared" si="305"/>
        <v>0.99</v>
      </c>
      <c r="BO319" s="186">
        <f t="shared" si="306"/>
        <v>1.1599999999999999</v>
      </c>
      <c r="BP319" s="109">
        <f>BM319*'CALCULO GERAL'!$C$11</f>
        <v>4.9688100000000004</v>
      </c>
      <c r="BQ319" s="109">
        <f>BO319*'CALCULO GERAL'!$C$11</f>
        <v>5.8220399999999994</v>
      </c>
      <c r="BR319" s="186">
        <f>BN319*'CALCULO GERAL'!$C$11</f>
        <v>4.9688100000000004</v>
      </c>
      <c r="BS319" s="109">
        <f t="shared" ref="BS319:BS329" si="335">BP319*N319</f>
        <v>1078231.77</v>
      </c>
      <c r="BT319" s="109">
        <f t="shared" si="303"/>
        <v>195292.17007500003</v>
      </c>
      <c r="BU319" s="109">
        <f t="shared" ref="BU319:BU329" si="336">BR319*N319</f>
        <v>1078231.77</v>
      </c>
      <c r="BV319" s="109">
        <f t="shared" si="310"/>
        <v>1040875.9332151249</v>
      </c>
      <c r="BW319" s="109">
        <f t="shared" si="307"/>
        <v>37355.836784875137</v>
      </c>
      <c r="BX319" s="114">
        <f t="shared" ref="BX319:BX329" si="337">(((BK319*N319)-BS319)/BS319*-1)</f>
        <v>3.4645461044868986E-2</v>
      </c>
      <c r="BY319" s="152">
        <f t="shared" si="311"/>
        <v>0.83</v>
      </c>
      <c r="CA319" s="55"/>
      <c r="CB319" s="113"/>
      <c r="CC319" s="113"/>
      <c r="CE319" s="152">
        <f t="shared" si="312"/>
        <v>0</v>
      </c>
      <c r="CF319" s="152">
        <f t="shared" si="308"/>
        <v>1</v>
      </c>
      <c r="CG319" s="152">
        <f t="shared" si="309"/>
        <v>1</v>
      </c>
      <c r="CH319" s="34"/>
      <c r="CJ319" s="11"/>
      <c r="CK319" s="11"/>
    </row>
    <row r="320" spans="1:89" s="152" customFormat="1" x14ac:dyDescent="0.2">
      <c r="A320" s="507" t="s">
        <v>667</v>
      </c>
      <c r="B320" s="508" t="s">
        <v>666</v>
      </c>
      <c r="C320" s="509">
        <v>0.16</v>
      </c>
      <c r="D320" s="510">
        <v>0</v>
      </c>
      <c r="E320" s="511">
        <v>2.1000000000000001E-2</v>
      </c>
      <c r="F320" s="511">
        <v>9.6500000000000002E-2</v>
      </c>
      <c r="G320" s="1">
        <v>1.6500000000000001E-2</v>
      </c>
      <c r="H320" s="1">
        <v>7.5999999999999998E-2</v>
      </c>
      <c r="I320" s="512">
        <v>0.18</v>
      </c>
      <c r="J320" s="512">
        <v>0.04</v>
      </c>
      <c r="K320" s="512">
        <v>0.14000000000000001</v>
      </c>
      <c r="L320" s="512">
        <v>1.4999999999999999E-2</v>
      </c>
      <c r="M320" s="513" t="s">
        <v>175</v>
      </c>
      <c r="N320" s="514">
        <v>209000</v>
      </c>
      <c r="O320" s="119">
        <v>0.7</v>
      </c>
      <c r="P320" s="119"/>
      <c r="Q320" s="119"/>
      <c r="R320" s="119"/>
      <c r="S320" s="119"/>
      <c r="T320" s="119"/>
      <c r="U320" s="119"/>
      <c r="V320" s="119"/>
      <c r="W320" s="119"/>
      <c r="X320" s="119">
        <f t="shared" si="314"/>
        <v>0.7</v>
      </c>
      <c r="Y320" s="118">
        <f t="shared" si="315"/>
        <v>0.7</v>
      </c>
      <c r="Z320" s="109">
        <f t="shared" si="313"/>
        <v>146300</v>
      </c>
      <c r="AA320" s="109">
        <f>'CALCULO GERAL'!$G$10</f>
        <v>6300</v>
      </c>
      <c r="AB320" s="109">
        <f t="shared" si="316"/>
        <v>152600</v>
      </c>
      <c r="AC320" s="109">
        <f>AB320*'CALCULO GERAL'!$C$11</f>
        <v>765899.4</v>
      </c>
      <c r="AD320" s="109">
        <f t="shared" si="317"/>
        <v>122543.90400000001</v>
      </c>
      <c r="AE320" s="109">
        <f t="shared" si="318"/>
        <v>0</v>
      </c>
      <c r="AF320" s="109">
        <f t="shared" si="319"/>
        <v>16083.887400000001</v>
      </c>
      <c r="AG320" s="109">
        <f t="shared" si="320"/>
        <v>73909.292100000006</v>
      </c>
      <c r="AH320" s="109">
        <v>154.22999999999999</v>
      </c>
      <c r="AI320" s="109">
        <f>((AA320*'CALCULO GERAL'!$C$11))*0.08+20</f>
        <v>2549.576</v>
      </c>
      <c r="AJ320" s="109">
        <v>1010</v>
      </c>
      <c r="AK320" s="109">
        <v>2500</v>
      </c>
      <c r="AL320" s="109">
        <f>(AA320*('CALCULO GERAL'!$C$11*1.02))-(AA320*'CALCULO GERAL'!$C$11)</f>
        <v>632.39400000000387</v>
      </c>
      <c r="AM320" s="109">
        <v>1800</v>
      </c>
      <c r="AN320" s="109">
        <v>2600</v>
      </c>
      <c r="AO320" s="109">
        <v>9400</v>
      </c>
      <c r="AP320" s="109">
        <v>1000</v>
      </c>
      <c r="AQ320" s="109">
        <v>0</v>
      </c>
      <c r="AR320" s="109">
        <v>0</v>
      </c>
      <c r="AS320" s="109"/>
      <c r="AT320" s="109">
        <f t="shared" si="304"/>
        <v>1000082.6834999999</v>
      </c>
      <c r="AU320" s="111">
        <f t="shared" si="321"/>
        <v>4.7850846100478464</v>
      </c>
      <c r="AV320" s="109">
        <f>IFERROR((BS320*'CALCULO GERAL'!$E$11)/N320,0)</f>
        <v>0.11744460000000001</v>
      </c>
      <c r="AW320" s="109">
        <f>AU320/'CALCULO GERAL'!$C$11</f>
        <v>0.95339402471564982</v>
      </c>
      <c r="AX320" s="109">
        <f>BP320-BB320-BD320*'CALCULO GERAL'!$C$11</f>
        <v>5.78414655</v>
      </c>
      <c r="AY320" s="109">
        <f t="shared" si="322"/>
        <v>9.5438418075000003E-2</v>
      </c>
      <c r="AZ320" s="109">
        <f t="shared" si="323"/>
        <v>0.43959513779999998</v>
      </c>
      <c r="BA320" s="109">
        <f t="shared" si="324"/>
        <v>5.8722300000000001</v>
      </c>
      <c r="BB320" s="109">
        <f t="shared" si="325"/>
        <v>8.8083449999999994E-2</v>
      </c>
      <c r="BC320" s="109">
        <f t="shared" si="326"/>
        <v>5.8722300000000001</v>
      </c>
      <c r="BD320" s="109">
        <f t="shared" si="327"/>
        <v>0</v>
      </c>
      <c r="BE320" s="109">
        <f t="shared" si="328"/>
        <v>98183.685600000012</v>
      </c>
      <c r="BF320" s="109">
        <f t="shared" si="329"/>
        <v>147275.52840000001</v>
      </c>
      <c r="BG320" s="109">
        <f t="shared" si="330"/>
        <v>6.3420084000000002E-2</v>
      </c>
      <c r="BH320" s="109">
        <f t="shared" si="331"/>
        <v>7.0466760000000003E-2</v>
      </c>
      <c r="BI320" s="109">
        <f t="shared" si="332"/>
        <v>-1.8269710813397136E-2</v>
      </c>
      <c r="BJ320" s="109">
        <f t="shared" si="333"/>
        <v>0.8561787390616028</v>
      </c>
      <c r="BK320" s="109">
        <f t="shared" si="334"/>
        <v>5.6412633491094493</v>
      </c>
      <c r="BL320" s="148">
        <v>0.83</v>
      </c>
      <c r="BM320" s="112">
        <f>ROUND((AW320/BL320)+((AW320*BL320)*'CALCULO GERAL'!$E$11)/BL320,2)</f>
        <v>1.17</v>
      </c>
      <c r="BN320" s="186">
        <f t="shared" si="305"/>
        <v>1.17</v>
      </c>
      <c r="BO320" s="186">
        <f t="shared" si="306"/>
        <v>1.371</v>
      </c>
      <c r="BP320" s="109">
        <f>BM320*'CALCULO GERAL'!$C$11</f>
        <v>5.8722300000000001</v>
      </c>
      <c r="BQ320" s="109">
        <f>BO320*'CALCULO GERAL'!$C$11</f>
        <v>6.881049</v>
      </c>
      <c r="BR320" s="186">
        <f>BN320*'CALCULO GERAL'!$C$11</f>
        <v>5.8722300000000001</v>
      </c>
      <c r="BS320" s="109">
        <f t="shared" si="335"/>
        <v>1227296.07</v>
      </c>
      <c r="BT320" s="109">
        <f t="shared" si="303"/>
        <v>227213.38650000014</v>
      </c>
      <c r="BU320" s="109">
        <f t="shared" si="336"/>
        <v>1227296.07</v>
      </c>
      <c r="BV320" s="109">
        <f t="shared" si="310"/>
        <v>1179024.039963875</v>
      </c>
      <c r="BW320" s="109">
        <f t="shared" si="307"/>
        <v>48272.030036125099</v>
      </c>
      <c r="BX320" s="114">
        <f t="shared" si="337"/>
        <v>3.9332017119654832E-2</v>
      </c>
      <c r="BY320" s="152">
        <f t="shared" si="311"/>
        <v>0.83</v>
      </c>
      <c r="CA320" s="55"/>
      <c r="CB320" s="113"/>
      <c r="CC320" s="113"/>
      <c r="CE320" s="152">
        <f t="shared" si="312"/>
        <v>0</v>
      </c>
      <c r="CF320" s="152">
        <f t="shared" si="308"/>
        <v>1</v>
      </c>
      <c r="CG320" s="152">
        <f t="shared" si="309"/>
        <v>1</v>
      </c>
      <c r="CH320" s="34"/>
      <c r="CJ320" s="11"/>
      <c r="CK320" s="11"/>
    </row>
    <row r="321" spans="1:89" s="152" customFormat="1" x14ac:dyDescent="0.2">
      <c r="A321" s="507" t="s">
        <v>668</v>
      </c>
      <c r="B321" s="508" t="s">
        <v>666</v>
      </c>
      <c r="C321" s="509">
        <v>0.16</v>
      </c>
      <c r="D321" s="510">
        <v>0</v>
      </c>
      <c r="E321" s="511">
        <v>2.1000000000000001E-2</v>
      </c>
      <c r="F321" s="511">
        <v>9.6500000000000002E-2</v>
      </c>
      <c r="G321" s="1">
        <v>1.6500000000000001E-2</v>
      </c>
      <c r="H321" s="1">
        <v>7.5999999999999998E-2</v>
      </c>
      <c r="I321" s="512">
        <v>0.18</v>
      </c>
      <c r="J321" s="512">
        <v>0.04</v>
      </c>
      <c r="K321" s="512">
        <v>0.14000000000000001</v>
      </c>
      <c r="L321" s="512">
        <v>1.4999999999999999E-2</v>
      </c>
      <c r="M321" s="513" t="s">
        <v>175</v>
      </c>
      <c r="N321" s="514">
        <v>141000</v>
      </c>
      <c r="O321" s="119">
        <v>0.24</v>
      </c>
      <c r="P321" s="119"/>
      <c r="Q321" s="119"/>
      <c r="R321" s="119"/>
      <c r="S321" s="119"/>
      <c r="T321" s="119"/>
      <c r="U321" s="119"/>
      <c r="V321" s="119"/>
      <c r="W321" s="119"/>
      <c r="X321" s="119">
        <f t="shared" si="314"/>
        <v>0.24</v>
      </c>
      <c r="Y321" s="118">
        <f t="shared" si="315"/>
        <v>0.24</v>
      </c>
      <c r="Z321" s="109">
        <f t="shared" si="313"/>
        <v>33840</v>
      </c>
      <c r="AA321" s="109">
        <f>'CALCULO GERAL'!$G$10</f>
        <v>6300</v>
      </c>
      <c r="AB321" s="109">
        <f t="shared" si="316"/>
        <v>40140</v>
      </c>
      <c r="AC321" s="109">
        <f>AB321*'CALCULO GERAL'!$C$11</f>
        <v>201462.66</v>
      </c>
      <c r="AD321" s="109">
        <f t="shared" si="317"/>
        <v>32234.025600000001</v>
      </c>
      <c r="AE321" s="109">
        <f t="shared" si="318"/>
        <v>0</v>
      </c>
      <c r="AF321" s="109">
        <f t="shared" si="319"/>
        <v>4230.7158600000002</v>
      </c>
      <c r="AG321" s="109">
        <f t="shared" si="320"/>
        <v>19441.146690000001</v>
      </c>
      <c r="AH321" s="109">
        <v>154.22999999999999</v>
      </c>
      <c r="AI321" s="109">
        <f>((AA321*'CALCULO GERAL'!$C$11))*0.08+20</f>
        <v>2549.576</v>
      </c>
      <c r="AJ321" s="109">
        <v>1010</v>
      </c>
      <c r="AK321" s="109">
        <v>2500</v>
      </c>
      <c r="AL321" s="109">
        <f>(AA321*('CALCULO GERAL'!$C$11*1.02))-(AA321*'CALCULO GERAL'!$C$11)</f>
        <v>632.39400000000387</v>
      </c>
      <c r="AM321" s="109">
        <v>1800</v>
      </c>
      <c r="AN321" s="109">
        <v>2600</v>
      </c>
      <c r="AO321" s="109">
        <v>9400</v>
      </c>
      <c r="AP321" s="109">
        <v>1000</v>
      </c>
      <c r="AQ321" s="109">
        <v>0</v>
      </c>
      <c r="AR321" s="109">
        <v>0</v>
      </c>
      <c r="AS321" s="109"/>
      <c r="AT321" s="109">
        <f t="shared" si="304"/>
        <v>279014.74815000006</v>
      </c>
      <c r="AU321" s="111">
        <f t="shared" si="321"/>
        <v>1.9788280010638302</v>
      </c>
      <c r="AV321" s="109">
        <f>IFERROR((BS321*'CALCULO GERAL'!$E$11)/N321,0)</f>
        <v>4.7178600000000001E-2</v>
      </c>
      <c r="AW321" s="109">
        <f>AU321/'CALCULO GERAL'!$C$11</f>
        <v>0.39426738415298468</v>
      </c>
      <c r="AX321" s="109">
        <f>BP321-BB321-BD321*'CALCULO GERAL'!$C$11</f>
        <v>2.32354605</v>
      </c>
      <c r="AY321" s="109">
        <f t="shared" si="322"/>
        <v>3.8338509825000006E-2</v>
      </c>
      <c r="AZ321" s="109">
        <f t="shared" si="323"/>
        <v>0.17658949979999999</v>
      </c>
      <c r="BA321" s="109">
        <f t="shared" si="324"/>
        <v>2.35893</v>
      </c>
      <c r="BB321" s="109">
        <f t="shared" si="325"/>
        <v>3.5383949999999997E-2</v>
      </c>
      <c r="BC321" s="109">
        <f t="shared" si="326"/>
        <v>2.35893</v>
      </c>
      <c r="BD321" s="109">
        <f t="shared" si="327"/>
        <v>0</v>
      </c>
      <c r="BE321" s="109">
        <f t="shared" si="328"/>
        <v>26608.7304</v>
      </c>
      <c r="BF321" s="109">
        <f t="shared" si="329"/>
        <v>39913.095600000001</v>
      </c>
      <c r="BG321" s="109">
        <f t="shared" si="330"/>
        <v>2.5476443999999997E-2</v>
      </c>
      <c r="BH321" s="109">
        <f t="shared" si="331"/>
        <v>2.8307159999999998E-2</v>
      </c>
      <c r="BI321" s="109">
        <f t="shared" si="332"/>
        <v>0</v>
      </c>
      <c r="BJ321" s="109">
        <f t="shared" si="333"/>
        <v>0.35127416362499997</v>
      </c>
      <c r="BK321" s="109">
        <f t="shared" si="334"/>
        <v>2.3301021646888302</v>
      </c>
      <c r="BL321" s="148">
        <v>0.85</v>
      </c>
      <c r="BM321" s="112">
        <f>ROUND((AW321/BL321)+((AW321*BL321)*'CALCULO GERAL'!$E$11)/BL321,2)</f>
        <v>0.47</v>
      </c>
      <c r="BN321" s="186">
        <f t="shared" si="305"/>
        <v>0.47</v>
      </c>
      <c r="BO321" s="186">
        <f t="shared" si="306"/>
        <v>0.55100000000000005</v>
      </c>
      <c r="BP321" s="109">
        <f>BM321*'CALCULO GERAL'!$C$11</f>
        <v>2.35893</v>
      </c>
      <c r="BQ321" s="109">
        <f>BO321*'CALCULO GERAL'!$C$11</f>
        <v>2.7654690000000004</v>
      </c>
      <c r="BR321" s="186">
        <f>BN321*'CALCULO GERAL'!$C$11</f>
        <v>2.35893</v>
      </c>
      <c r="BS321" s="109">
        <f t="shared" si="335"/>
        <v>332609.13</v>
      </c>
      <c r="BT321" s="109">
        <f t="shared" si="303"/>
        <v>53594.381849999947</v>
      </c>
      <c r="BU321" s="109">
        <f t="shared" si="336"/>
        <v>332609.13</v>
      </c>
      <c r="BV321" s="109">
        <f t="shared" si="310"/>
        <v>328544.40522112505</v>
      </c>
      <c r="BW321" s="109">
        <f t="shared" si="307"/>
        <v>4064.7247788749519</v>
      </c>
      <c r="BX321" s="114">
        <f t="shared" si="337"/>
        <v>1.2220725206415565E-2</v>
      </c>
      <c r="BY321" s="152">
        <f t="shared" si="311"/>
        <v>0.85</v>
      </c>
      <c r="CA321" s="55"/>
      <c r="CB321" s="113"/>
      <c r="CC321" s="113"/>
      <c r="CE321" s="152">
        <f t="shared" si="312"/>
        <v>0</v>
      </c>
      <c r="CF321" s="152">
        <f t="shared" si="308"/>
        <v>1</v>
      </c>
      <c r="CG321" s="152">
        <f t="shared" si="309"/>
        <v>1</v>
      </c>
      <c r="CH321" s="34"/>
      <c r="CJ321" s="11"/>
      <c r="CK321" s="11"/>
    </row>
    <row r="322" spans="1:89" s="152" customFormat="1" x14ac:dyDescent="0.2">
      <c r="A322" s="507" t="s">
        <v>669</v>
      </c>
      <c r="B322" s="508" t="s">
        <v>670</v>
      </c>
      <c r="C322" s="509">
        <v>0.14000000000000001</v>
      </c>
      <c r="D322" s="510">
        <v>0</v>
      </c>
      <c r="E322" s="511">
        <v>2.1000000000000001E-2</v>
      </c>
      <c r="F322" s="511">
        <v>9.6500000000000002E-2</v>
      </c>
      <c r="G322" s="1">
        <v>1.6500000000000001E-2</v>
      </c>
      <c r="H322" s="1">
        <v>7.5999999999999998E-2</v>
      </c>
      <c r="I322" s="512">
        <v>0.18</v>
      </c>
      <c r="J322" s="512">
        <v>0.04</v>
      </c>
      <c r="K322" s="512">
        <v>0.14000000000000001</v>
      </c>
      <c r="L322" s="512">
        <v>1.4999999999999999E-2</v>
      </c>
      <c r="M322" s="513" t="s">
        <v>175</v>
      </c>
      <c r="N322" s="514">
        <v>26000</v>
      </c>
      <c r="O322" s="119">
        <v>0.24</v>
      </c>
      <c r="P322" s="119"/>
      <c r="Q322" s="119"/>
      <c r="R322" s="119"/>
      <c r="S322" s="119"/>
      <c r="T322" s="119"/>
      <c r="U322" s="119"/>
      <c r="V322" s="119"/>
      <c r="W322" s="119"/>
      <c r="X322" s="119">
        <f t="shared" si="314"/>
        <v>0.24</v>
      </c>
      <c r="Y322" s="118">
        <f t="shared" si="315"/>
        <v>0.24</v>
      </c>
      <c r="Z322" s="109">
        <f t="shared" si="313"/>
        <v>6240</v>
      </c>
      <c r="AA322" s="109">
        <f>'CALCULO GERAL'!$G$10</f>
        <v>6300</v>
      </c>
      <c r="AB322" s="109">
        <f t="shared" si="316"/>
        <v>12540</v>
      </c>
      <c r="AC322" s="109">
        <f>AB322*'CALCULO GERAL'!$C$11</f>
        <v>62938.26</v>
      </c>
      <c r="AD322" s="109">
        <f t="shared" si="317"/>
        <v>8811.3564000000006</v>
      </c>
      <c r="AE322" s="109">
        <f t="shared" si="318"/>
        <v>0</v>
      </c>
      <c r="AF322" s="109">
        <f t="shared" si="319"/>
        <v>1321.7034600000002</v>
      </c>
      <c r="AG322" s="109">
        <f t="shared" si="320"/>
        <v>6073.5420899999999</v>
      </c>
      <c r="AH322" s="109">
        <v>154.22999999999999</v>
      </c>
      <c r="AI322" s="109">
        <f>((AA322*'CALCULO GERAL'!$C$11))*0.08+20</f>
        <v>2549.576</v>
      </c>
      <c r="AJ322" s="109">
        <v>1010</v>
      </c>
      <c r="AK322" s="109">
        <v>2500</v>
      </c>
      <c r="AL322" s="109">
        <f>(AA322*('CALCULO GERAL'!$C$11*1.02))-(AA322*'CALCULO GERAL'!$C$11)</f>
        <v>632.39400000000387</v>
      </c>
      <c r="AM322" s="109">
        <v>1800</v>
      </c>
      <c r="AN322" s="109">
        <v>2600</v>
      </c>
      <c r="AO322" s="109">
        <v>9400</v>
      </c>
      <c r="AP322" s="109">
        <v>1000</v>
      </c>
      <c r="AQ322" s="109">
        <v>0</v>
      </c>
      <c r="AR322" s="109">
        <v>0</v>
      </c>
      <c r="AS322" s="109"/>
      <c r="AT322" s="109">
        <f t="shared" si="304"/>
        <v>100791.06195</v>
      </c>
      <c r="AU322" s="111">
        <f t="shared" si="321"/>
        <v>3.8765793057692308</v>
      </c>
      <c r="AV322" s="109">
        <f>IFERROR((BS322*'CALCULO GERAL'!$E$11)/N322,0)</f>
        <v>9.2349600000000004E-2</v>
      </c>
      <c r="AW322" s="109">
        <f>AU322/'CALCULO GERAL'!$C$11</f>
        <v>0.77238081406041659</v>
      </c>
      <c r="AX322" s="109">
        <f>BP322-BB322-BD322*'CALCULO GERAL'!$C$11</f>
        <v>4.5482178000000006</v>
      </c>
      <c r="AY322" s="109">
        <f t="shared" si="322"/>
        <v>7.504559370000001E-2</v>
      </c>
      <c r="AZ322" s="109">
        <f t="shared" si="323"/>
        <v>0.34566455280000002</v>
      </c>
      <c r="BA322" s="109">
        <f t="shared" si="324"/>
        <v>4.6174800000000005</v>
      </c>
      <c r="BB322" s="109">
        <f t="shared" si="325"/>
        <v>6.926220000000001E-2</v>
      </c>
      <c r="BC322" s="109">
        <f t="shared" si="326"/>
        <v>4.6174800000000005</v>
      </c>
      <c r="BD322" s="109">
        <f t="shared" si="327"/>
        <v>0</v>
      </c>
      <c r="BE322" s="109">
        <f t="shared" si="328"/>
        <v>9604.358400000001</v>
      </c>
      <c r="BF322" s="109">
        <f t="shared" si="329"/>
        <v>14406.537600000001</v>
      </c>
      <c r="BG322" s="109">
        <f t="shared" si="330"/>
        <v>4.9868784000000006E-2</v>
      </c>
      <c r="BH322" s="109">
        <f t="shared" si="331"/>
        <v>5.5409760000000002E-2</v>
      </c>
      <c r="BI322" s="109">
        <f t="shared" si="332"/>
        <v>0</v>
      </c>
      <c r="BJ322" s="109">
        <f t="shared" si="333"/>
        <v>0.68760049050000005</v>
      </c>
      <c r="BK322" s="109">
        <f t="shared" si="334"/>
        <v>4.5641797962692312</v>
      </c>
      <c r="BL322" s="148">
        <v>0.85</v>
      </c>
      <c r="BM322" s="112">
        <f>ROUND((AW322/BL322)+((AW322*BL322)*'CALCULO GERAL'!$E$11)/BL322,2)</f>
        <v>0.92</v>
      </c>
      <c r="BN322" s="186">
        <f t="shared" si="305"/>
        <v>0.92</v>
      </c>
      <c r="BO322" s="186">
        <f t="shared" si="306"/>
        <v>1.0780000000000001</v>
      </c>
      <c r="BP322" s="109">
        <f>BM322*'CALCULO GERAL'!$C$11</f>
        <v>4.6174800000000005</v>
      </c>
      <c r="BQ322" s="109">
        <f>BO322*'CALCULO GERAL'!$C$11</f>
        <v>5.4104820000000009</v>
      </c>
      <c r="BR322" s="186">
        <f>BN322*'CALCULO GERAL'!$C$11</f>
        <v>4.6174800000000005</v>
      </c>
      <c r="BS322" s="109">
        <f t="shared" si="335"/>
        <v>120054.48000000001</v>
      </c>
      <c r="BT322" s="109">
        <f t="shared" si="303"/>
        <v>19263.418050000007</v>
      </c>
      <c r="BU322" s="109">
        <f t="shared" si="336"/>
        <v>120054.48000000001</v>
      </c>
      <c r="BV322" s="109">
        <f t="shared" si="310"/>
        <v>118668.67470300001</v>
      </c>
      <c r="BW322" s="109">
        <f t="shared" si="307"/>
        <v>1385.805296999999</v>
      </c>
      <c r="BX322" s="114">
        <f t="shared" si="337"/>
        <v>1.1543136890851544E-2</v>
      </c>
      <c r="BY322" s="152">
        <f t="shared" si="311"/>
        <v>0.85</v>
      </c>
      <c r="CA322" s="55"/>
      <c r="CB322" s="113"/>
      <c r="CC322" s="113"/>
      <c r="CE322" s="152">
        <f t="shared" si="312"/>
        <v>0</v>
      </c>
      <c r="CF322" s="152">
        <f t="shared" si="308"/>
        <v>1</v>
      </c>
      <c r="CG322" s="152">
        <f t="shared" si="309"/>
        <v>1</v>
      </c>
      <c r="CH322" s="34"/>
      <c r="CJ322" s="11"/>
      <c r="CK322" s="11"/>
    </row>
    <row r="323" spans="1:89" s="152" customFormat="1" x14ac:dyDescent="0.2">
      <c r="A323" s="507" t="s">
        <v>671</v>
      </c>
      <c r="B323" s="508" t="s">
        <v>670</v>
      </c>
      <c r="C323" s="509">
        <v>0.14000000000000001</v>
      </c>
      <c r="D323" s="510">
        <v>0</v>
      </c>
      <c r="E323" s="511">
        <v>2.1000000000000001E-2</v>
      </c>
      <c r="F323" s="511">
        <v>9.6500000000000002E-2</v>
      </c>
      <c r="G323" s="1">
        <v>1.6500000000000001E-2</v>
      </c>
      <c r="H323" s="1">
        <v>7.5999999999999998E-2</v>
      </c>
      <c r="I323" s="512">
        <v>0.18</v>
      </c>
      <c r="J323" s="512">
        <v>0.04</v>
      </c>
      <c r="K323" s="512">
        <v>0.14000000000000001</v>
      </c>
      <c r="L323" s="512">
        <v>1.4999999999999999E-2</v>
      </c>
      <c r="M323" s="513" t="s">
        <v>175</v>
      </c>
      <c r="N323" s="514">
        <v>26000</v>
      </c>
      <c r="O323" s="119">
        <v>0.46</v>
      </c>
      <c r="P323" s="119"/>
      <c r="Q323" s="119"/>
      <c r="R323" s="119"/>
      <c r="S323" s="119"/>
      <c r="T323" s="119"/>
      <c r="U323" s="119"/>
      <c r="V323" s="119"/>
      <c r="W323" s="119"/>
      <c r="X323" s="119">
        <f t="shared" si="314"/>
        <v>0.46</v>
      </c>
      <c r="Y323" s="118">
        <f t="shared" si="315"/>
        <v>0.46</v>
      </c>
      <c r="Z323" s="109">
        <f t="shared" si="313"/>
        <v>11960</v>
      </c>
      <c r="AA323" s="109">
        <f>'CALCULO GERAL'!$G$10</f>
        <v>6300</v>
      </c>
      <c r="AB323" s="109">
        <f t="shared" si="316"/>
        <v>18260</v>
      </c>
      <c r="AC323" s="109">
        <f>AB323*'CALCULO GERAL'!$C$11</f>
        <v>91646.94</v>
      </c>
      <c r="AD323" s="109">
        <f t="shared" si="317"/>
        <v>12830.571600000001</v>
      </c>
      <c r="AE323" s="109">
        <f t="shared" si="318"/>
        <v>0</v>
      </c>
      <c r="AF323" s="109">
        <f t="shared" si="319"/>
        <v>1924.5857400000002</v>
      </c>
      <c r="AG323" s="109">
        <f t="shared" si="320"/>
        <v>8843.9297100000003</v>
      </c>
      <c r="AH323" s="109">
        <v>154.22999999999999</v>
      </c>
      <c r="AI323" s="109">
        <f>((AA323*'CALCULO GERAL'!$C$11))*0.08+20</f>
        <v>2549.576</v>
      </c>
      <c r="AJ323" s="109">
        <v>1010</v>
      </c>
      <c r="AK323" s="109">
        <v>2500</v>
      </c>
      <c r="AL323" s="109">
        <f>(AA323*('CALCULO GERAL'!$C$11*1.02))-(AA323*'CALCULO GERAL'!$C$11)</f>
        <v>632.39400000000387</v>
      </c>
      <c r="AM323" s="109">
        <v>1800</v>
      </c>
      <c r="AN323" s="109">
        <v>2600</v>
      </c>
      <c r="AO323" s="109">
        <v>9400</v>
      </c>
      <c r="AP323" s="109">
        <v>1000</v>
      </c>
      <c r="AQ323" s="109">
        <v>0</v>
      </c>
      <c r="AR323" s="109">
        <v>0</v>
      </c>
      <c r="AS323" s="109"/>
      <c r="AT323" s="109">
        <f t="shared" si="304"/>
        <v>136892.22704999999</v>
      </c>
      <c r="AU323" s="111">
        <f t="shared" si="321"/>
        <v>5.26508565576923</v>
      </c>
      <c r="AV323" s="109">
        <f>IFERROR((BS323*'CALCULO GERAL'!$E$11)/N323,0)</f>
        <v>0.1244712</v>
      </c>
      <c r="AW323" s="109">
        <f>AU323/'CALCULO GERAL'!$C$11</f>
        <v>1.0490308140604163</v>
      </c>
      <c r="AX323" s="109">
        <f>BP323-BB323-BD323*'CALCULO GERAL'!$C$11</f>
        <v>6.1302066000000002</v>
      </c>
      <c r="AY323" s="109">
        <f t="shared" si="322"/>
        <v>0.10114840890000001</v>
      </c>
      <c r="AZ323" s="109">
        <f t="shared" si="323"/>
        <v>0.46589570159999999</v>
      </c>
      <c r="BA323" s="109">
        <f t="shared" si="324"/>
        <v>6.22356</v>
      </c>
      <c r="BB323" s="109">
        <f t="shared" si="325"/>
        <v>9.3353400000000003E-2</v>
      </c>
      <c r="BC323" s="109">
        <f t="shared" si="326"/>
        <v>6.22356</v>
      </c>
      <c r="BD323" s="109">
        <f t="shared" si="327"/>
        <v>0</v>
      </c>
      <c r="BE323" s="109">
        <f t="shared" si="328"/>
        <v>12945.004800000001</v>
      </c>
      <c r="BF323" s="109">
        <f t="shared" si="329"/>
        <v>19417.5072</v>
      </c>
      <c r="BG323" s="109">
        <f t="shared" si="330"/>
        <v>6.7214447999999996E-2</v>
      </c>
      <c r="BH323" s="109">
        <f t="shared" si="331"/>
        <v>7.4682719999999994E-2</v>
      </c>
      <c r="BI323" s="109">
        <f t="shared" si="332"/>
        <v>0</v>
      </c>
      <c r="BJ323" s="109">
        <f t="shared" si="333"/>
        <v>0.92676587850000003</v>
      </c>
      <c r="BK323" s="109">
        <f t="shared" si="334"/>
        <v>6.1918515342692304</v>
      </c>
      <c r="BL323" s="148">
        <v>0.86</v>
      </c>
      <c r="BM323" s="112">
        <f>ROUND((AW323/BL323)+((AW323*BL323)*'CALCULO GERAL'!$E$11)/BL323,2)</f>
        <v>1.24</v>
      </c>
      <c r="BN323" s="186">
        <f t="shared" si="305"/>
        <v>1.24</v>
      </c>
      <c r="BO323" s="186">
        <f t="shared" si="306"/>
        <v>1.4530000000000001</v>
      </c>
      <c r="BP323" s="109">
        <f>BM323*'CALCULO GERAL'!$C$11</f>
        <v>6.22356</v>
      </c>
      <c r="BQ323" s="109">
        <f>BO323*'CALCULO GERAL'!$C$11</f>
        <v>7.2926070000000003</v>
      </c>
      <c r="BR323" s="186">
        <f>BN323*'CALCULO GERAL'!$C$11</f>
        <v>6.22356</v>
      </c>
      <c r="BS323" s="109">
        <f t="shared" si="335"/>
        <v>161812.56</v>
      </c>
      <c r="BT323" s="109">
        <f t="shared" si="303"/>
        <v>24920.332950000011</v>
      </c>
      <c r="BU323" s="109">
        <f t="shared" si="336"/>
        <v>161812.56</v>
      </c>
      <c r="BV323" s="109">
        <f t="shared" si="310"/>
        <v>160988.139891</v>
      </c>
      <c r="BW323" s="109">
        <f t="shared" si="307"/>
        <v>824.42010899999877</v>
      </c>
      <c r="BX323" s="114">
        <f t="shared" si="337"/>
        <v>5.0949080157930808E-3</v>
      </c>
      <c r="BY323" s="152">
        <f t="shared" si="311"/>
        <v>0.86</v>
      </c>
      <c r="CA323" s="55"/>
      <c r="CB323" s="113"/>
      <c r="CC323" s="113"/>
      <c r="CE323" s="152">
        <f t="shared" si="312"/>
        <v>0</v>
      </c>
      <c r="CF323" s="152">
        <f t="shared" si="308"/>
        <v>1</v>
      </c>
      <c r="CG323" s="152">
        <f t="shared" si="309"/>
        <v>1</v>
      </c>
      <c r="CH323" s="34"/>
      <c r="CJ323" s="11"/>
      <c r="CK323" s="11"/>
    </row>
    <row r="324" spans="1:89" s="152" customFormat="1" x14ac:dyDescent="0.2">
      <c r="A324" s="507" t="s">
        <v>672</v>
      </c>
      <c r="B324" s="508" t="s">
        <v>670</v>
      </c>
      <c r="C324" s="509">
        <v>0.14000000000000001</v>
      </c>
      <c r="D324" s="510">
        <v>0</v>
      </c>
      <c r="E324" s="511">
        <v>2.1000000000000001E-2</v>
      </c>
      <c r="F324" s="511">
        <v>9.6500000000000002E-2</v>
      </c>
      <c r="G324" s="1">
        <v>1.6500000000000001E-2</v>
      </c>
      <c r="H324" s="1">
        <v>7.5999999999999998E-2</v>
      </c>
      <c r="I324" s="512">
        <v>0.18</v>
      </c>
      <c r="J324" s="512">
        <v>0.04</v>
      </c>
      <c r="K324" s="512">
        <v>0.14000000000000001</v>
      </c>
      <c r="L324" s="512">
        <v>1.4999999999999999E-2</v>
      </c>
      <c r="M324" s="513" t="s">
        <v>175</v>
      </c>
      <c r="N324" s="514">
        <v>26000</v>
      </c>
      <c r="O324" s="119"/>
      <c r="P324" s="119"/>
      <c r="Q324" s="119">
        <v>6.5</v>
      </c>
      <c r="R324" s="119"/>
      <c r="S324" s="119"/>
      <c r="T324" s="119"/>
      <c r="U324" s="119"/>
      <c r="V324" s="119"/>
      <c r="W324" s="119"/>
      <c r="X324" s="119">
        <f t="shared" si="314"/>
        <v>6.5</v>
      </c>
      <c r="Y324" s="118">
        <f t="shared" si="315"/>
        <v>6.5</v>
      </c>
      <c r="Z324" s="109">
        <f t="shared" si="313"/>
        <v>169000</v>
      </c>
      <c r="AA324" s="109">
        <f>'CALCULO GERAL'!$G$10</f>
        <v>6300</v>
      </c>
      <c r="AB324" s="109">
        <f t="shared" si="316"/>
        <v>175300</v>
      </c>
      <c r="AC324" s="109">
        <f>AB324*'CALCULO GERAL'!$C$11</f>
        <v>879830.70000000007</v>
      </c>
      <c r="AD324" s="109">
        <f t="shared" si="317"/>
        <v>123176.29800000002</v>
      </c>
      <c r="AE324" s="109">
        <f t="shared" si="318"/>
        <v>0</v>
      </c>
      <c r="AF324" s="109">
        <f t="shared" si="319"/>
        <v>18476.444700000004</v>
      </c>
      <c r="AG324" s="109">
        <f t="shared" si="320"/>
        <v>84903.662550000008</v>
      </c>
      <c r="AH324" s="109">
        <v>154.22999999999999</v>
      </c>
      <c r="AI324" s="109">
        <f>((AA324*'CALCULO GERAL'!$C$11))*0.08+20</f>
        <v>2549.576</v>
      </c>
      <c r="AJ324" s="109">
        <v>1010</v>
      </c>
      <c r="AK324" s="109">
        <v>2500</v>
      </c>
      <c r="AL324" s="109">
        <f>(AA324*('CALCULO GERAL'!$C$11*1.02))-(AA324*'CALCULO GERAL'!$C$11)</f>
        <v>632.39400000000387</v>
      </c>
      <c r="AM324" s="109">
        <v>1800</v>
      </c>
      <c r="AN324" s="109">
        <v>2600</v>
      </c>
      <c r="AO324" s="109">
        <v>9400</v>
      </c>
      <c r="AP324" s="109">
        <v>1000</v>
      </c>
      <c r="AQ324" s="109">
        <v>0</v>
      </c>
      <c r="AR324" s="109">
        <v>0</v>
      </c>
      <c r="AS324" s="109"/>
      <c r="AT324" s="109">
        <f t="shared" si="304"/>
        <v>1128033.30525</v>
      </c>
      <c r="AU324" s="111">
        <f t="shared" si="321"/>
        <v>43.385896355769226</v>
      </c>
      <c r="AV324" s="109">
        <f>IFERROR((BS324*'CALCULO GERAL'!$E$11)/N324,0)</f>
        <v>1.0208645999999999</v>
      </c>
      <c r="AW324" s="109">
        <f>AU324/'CALCULO GERAL'!$C$11</f>
        <v>8.6443308140604156</v>
      </c>
      <c r="AX324" s="109">
        <f>BP324-BB324-BD324*'CALCULO GERAL'!$C$11</f>
        <v>50.277581550000001</v>
      </c>
      <c r="AY324" s="109">
        <f t="shared" si="322"/>
        <v>0.82958009557500001</v>
      </c>
      <c r="AZ324" s="109">
        <f t="shared" si="323"/>
        <v>3.8210961977999998</v>
      </c>
      <c r="BA324" s="109">
        <f t="shared" si="324"/>
        <v>51.043230000000001</v>
      </c>
      <c r="BB324" s="109">
        <f t="shared" si="325"/>
        <v>0.76564845000000004</v>
      </c>
      <c r="BC324" s="109">
        <f t="shared" si="326"/>
        <v>51.043230000000001</v>
      </c>
      <c r="BD324" s="109">
        <f t="shared" si="327"/>
        <v>0</v>
      </c>
      <c r="BE324" s="109">
        <f t="shared" si="328"/>
        <v>106169.9184</v>
      </c>
      <c r="BF324" s="109">
        <f t="shared" si="329"/>
        <v>159254.87759999998</v>
      </c>
      <c r="BG324" s="109">
        <f t="shared" si="330"/>
        <v>0.5512668839999999</v>
      </c>
      <c r="BH324" s="109">
        <f t="shared" si="331"/>
        <v>0.61251875999999994</v>
      </c>
      <c r="BI324" s="109">
        <f t="shared" si="332"/>
        <v>-0.17757664769230769</v>
      </c>
      <c r="BJ324" s="109">
        <f t="shared" si="333"/>
        <v>7.4233983396826924</v>
      </c>
      <c r="BK324" s="109">
        <f t="shared" si="334"/>
        <v>50.809294695451918</v>
      </c>
      <c r="BL324" s="148">
        <v>0.86499999999999999</v>
      </c>
      <c r="BM324" s="112">
        <f>ROUND((AW324/BL324)+((AW324*BL324)*'CALCULO GERAL'!$E$11)/BL324,2)</f>
        <v>10.17</v>
      </c>
      <c r="BN324" s="186">
        <f t="shared" si="305"/>
        <v>10.17</v>
      </c>
      <c r="BO324" s="186">
        <f t="shared" si="306"/>
        <v>11.916</v>
      </c>
      <c r="BP324" s="109">
        <f>BM324*'CALCULO GERAL'!$C$11</f>
        <v>51.043230000000001</v>
      </c>
      <c r="BQ324" s="109">
        <f>BO324*'CALCULO GERAL'!$C$11</f>
        <v>59.806404000000001</v>
      </c>
      <c r="BR324" s="186">
        <f>BN324*'CALCULO GERAL'!$C$11</f>
        <v>51.043230000000001</v>
      </c>
      <c r="BS324" s="109">
        <f t="shared" si="335"/>
        <v>1327123.98</v>
      </c>
      <c r="BT324" s="109">
        <f t="shared" ref="BT324:BT329" si="338">BS324-AT324</f>
        <v>199090.67475000001</v>
      </c>
      <c r="BU324" s="109">
        <f t="shared" si="336"/>
        <v>1327123.98</v>
      </c>
      <c r="BV324" s="109">
        <f t="shared" si="310"/>
        <v>1321041.6620817499</v>
      </c>
      <c r="BW324" s="109">
        <f t="shared" si="307"/>
        <v>6082.3179182501044</v>
      </c>
      <c r="BX324" s="114">
        <f t="shared" si="337"/>
        <v>4.5830819199349443E-3</v>
      </c>
      <c r="BY324" s="152">
        <f t="shared" si="311"/>
        <v>0.87</v>
      </c>
      <c r="CA324" s="55"/>
      <c r="CB324" s="113"/>
      <c r="CC324" s="113"/>
      <c r="CE324" s="152">
        <f t="shared" si="312"/>
        <v>0</v>
      </c>
      <c r="CF324" s="152">
        <f t="shared" si="308"/>
        <v>1</v>
      </c>
      <c r="CG324" s="152">
        <f t="shared" si="309"/>
        <v>1</v>
      </c>
      <c r="CH324" s="34"/>
      <c r="CJ324" s="11"/>
      <c r="CK324" s="11"/>
    </row>
    <row r="325" spans="1:89" s="152" customFormat="1" x14ac:dyDescent="0.2">
      <c r="A325" s="507" t="s">
        <v>673</v>
      </c>
      <c r="B325" s="508" t="s">
        <v>674</v>
      </c>
      <c r="C325" s="509">
        <v>0.14000000000000001</v>
      </c>
      <c r="D325" s="510">
        <v>0.03</v>
      </c>
      <c r="E325" s="511">
        <v>2.1000000000000001E-2</v>
      </c>
      <c r="F325" s="511">
        <v>9.6500000000000002E-2</v>
      </c>
      <c r="G325" s="1">
        <v>1.6500000000000001E-2</v>
      </c>
      <c r="H325" s="1">
        <v>7.5999999999999998E-2</v>
      </c>
      <c r="I325" s="512">
        <v>0.18</v>
      </c>
      <c r="J325" s="512">
        <v>0.04</v>
      </c>
      <c r="K325" s="512">
        <v>0.14000000000000001</v>
      </c>
      <c r="L325" s="512">
        <v>1.4999999999999999E-2</v>
      </c>
      <c r="M325" s="513" t="s">
        <v>175</v>
      </c>
      <c r="N325" s="514">
        <v>210000</v>
      </c>
      <c r="O325" s="119"/>
      <c r="P325" s="119"/>
      <c r="Q325" s="119"/>
      <c r="R325" s="119"/>
      <c r="S325" s="119"/>
      <c r="T325" s="119"/>
      <c r="U325" s="119"/>
      <c r="V325" s="119"/>
      <c r="W325" s="119"/>
      <c r="X325" s="119">
        <f t="shared" si="314"/>
        <v>0</v>
      </c>
      <c r="Y325" s="118" t="e">
        <f t="shared" si="315"/>
        <v>#DIV/0!</v>
      </c>
      <c r="Z325" s="109" t="e">
        <f t="shared" si="313"/>
        <v>#DIV/0!</v>
      </c>
      <c r="AA325" s="109">
        <f>'CALCULO GERAL'!$G$10</f>
        <v>6300</v>
      </c>
      <c r="AB325" s="109" t="e">
        <f t="shared" si="316"/>
        <v>#DIV/0!</v>
      </c>
      <c r="AC325" s="109" t="e">
        <f>AB325*'CALCULO GERAL'!$C$11</f>
        <v>#DIV/0!</v>
      </c>
      <c r="AD325" s="109" t="e">
        <f t="shared" si="317"/>
        <v>#DIV/0!</v>
      </c>
      <c r="AE325" s="109" t="e">
        <f t="shared" si="318"/>
        <v>#DIV/0!</v>
      </c>
      <c r="AF325" s="109" t="e">
        <f t="shared" si="319"/>
        <v>#DIV/0!</v>
      </c>
      <c r="AG325" s="109" t="e">
        <f t="shared" si="320"/>
        <v>#DIV/0!</v>
      </c>
      <c r="AH325" s="109">
        <v>154.22999999999999</v>
      </c>
      <c r="AI325" s="109">
        <f>((AA325*'CALCULO GERAL'!$C$11))*0.08+20</f>
        <v>2549.576</v>
      </c>
      <c r="AJ325" s="109">
        <v>1010</v>
      </c>
      <c r="AK325" s="109">
        <v>2500</v>
      </c>
      <c r="AL325" s="109">
        <f>(AA325*('CALCULO GERAL'!$C$11*1.02))-(AA325*'CALCULO GERAL'!$C$11)</f>
        <v>632.39400000000387</v>
      </c>
      <c r="AM325" s="109">
        <v>1800</v>
      </c>
      <c r="AN325" s="109">
        <v>2600</v>
      </c>
      <c r="AO325" s="109">
        <v>9400</v>
      </c>
      <c r="AP325" s="109">
        <v>1000</v>
      </c>
      <c r="AQ325" s="109">
        <v>0</v>
      </c>
      <c r="AR325" s="109">
        <v>0</v>
      </c>
      <c r="AS325" s="109"/>
      <c r="AT325" s="109" t="e">
        <f t="shared" si="304"/>
        <v>#DIV/0!</v>
      </c>
      <c r="AU325" s="111">
        <f t="shared" si="321"/>
        <v>0</v>
      </c>
      <c r="AV325" s="109">
        <f>IFERROR((BS325*'CALCULO GERAL'!$E$11)/N325,0)</f>
        <v>0</v>
      </c>
      <c r="AW325" s="109">
        <f>AU325/'CALCULO GERAL'!$C$11</f>
        <v>0</v>
      </c>
      <c r="AX325" s="109">
        <f>BP325-BB325-BD325*'CALCULO GERAL'!$C$11</f>
        <v>0</v>
      </c>
      <c r="AY325" s="109">
        <f t="shared" si="322"/>
        <v>0</v>
      </c>
      <c r="AZ325" s="109">
        <f t="shared" si="323"/>
        <v>0</v>
      </c>
      <c r="BA325" s="109">
        <f t="shared" si="324"/>
        <v>0</v>
      </c>
      <c r="BB325" s="109">
        <f t="shared" si="325"/>
        <v>0</v>
      </c>
      <c r="BC325" s="109">
        <f t="shared" si="326"/>
        <v>0</v>
      </c>
      <c r="BD325" s="109">
        <f t="shared" si="327"/>
        <v>0</v>
      </c>
      <c r="BE325" s="109">
        <f t="shared" si="328"/>
        <v>0</v>
      </c>
      <c r="BF325" s="109">
        <f t="shared" si="329"/>
        <v>0</v>
      </c>
      <c r="BG325" s="109">
        <f t="shared" si="330"/>
        <v>0</v>
      </c>
      <c r="BH325" s="109">
        <f t="shared" si="331"/>
        <v>0</v>
      </c>
      <c r="BI325" s="109">
        <f t="shared" si="332"/>
        <v>0</v>
      </c>
      <c r="BJ325" s="109">
        <f t="shared" si="333"/>
        <v>0</v>
      </c>
      <c r="BK325" s="109">
        <f t="shared" si="334"/>
        <v>0</v>
      </c>
      <c r="BL325" s="148">
        <v>0.86499999999999999</v>
      </c>
      <c r="BM325" s="112">
        <f>ROUND((AW325/BL325)+((AW325*BL325)*'CALCULO GERAL'!$E$11)/BL325,2)</f>
        <v>0</v>
      </c>
      <c r="BN325" s="186">
        <f t="shared" si="305"/>
        <v>0</v>
      </c>
      <c r="BO325" s="186">
        <f t="shared" si="306"/>
        <v>0</v>
      </c>
      <c r="BP325" s="109">
        <f>BM325*'CALCULO GERAL'!$C$11</f>
        <v>0</v>
      </c>
      <c r="BQ325" s="109">
        <f>BO325*'CALCULO GERAL'!$C$11</f>
        <v>0</v>
      </c>
      <c r="BR325" s="186">
        <f>BN325*'CALCULO GERAL'!$C$11</f>
        <v>0</v>
      </c>
      <c r="BS325" s="109">
        <f t="shared" si="335"/>
        <v>0</v>
      </c>
      <c r="BT325" s="109" t="e">
        <f t="shared" si="338"/>
        <v>#DIV/0!</v>
      </c>
      <c r="BU325" s="109">
        <f t="shared" si="336"/>
        <v>0</v>
      </c>
      <c r="BV325" s="109">
        <f t="shared" si="310"/>
        <v>0</v>
      </c>
      <c r="BW325" s="109">
        <f t="shared" si="307"/>
        <v>0</v>
      </c>
      <c r="BX325" s="114" t="e">
        <f t="shared" si="337"/>
        <v>#DIV/0!</v>
      </c>
      <c r="BY325" s="152">
        <f t="shared" si="311"/>
        <v>0.87</v>
      </c>
      <c r="CA325" s="55"/>
      <c r="CB325" s="113"/>
      <c r="CC325" s="113"/>
      <c r="CE325" s="152">
        <f t="shared" si="312"/>
        <v>0</v>
      </c>
      <c r="CF325" s="152">
        <f t="shared" si="308"/>
        <v>1</v>
      </c>
      <c r="CG325" s="152">
        <f t="shared" si="309"/>
        <v>1</v>
      </c>
      <c r="CH325" s="34"/>
      <c r="CJ325" s="11"/>
      <c r="CK325" s="11"/>
    </row>
    <row r="326" spans="1:89" s="152" customFormat="1" x14ac:dyDescent="0.2">
      <c r="A326" s="507" t="s">
        <v>675</v>
      </c>
      <c r="B326" s="508" t="s">
        <v>279</v>
      </c>
      <c r="C326" s="509">
        <v>0.16</v>
      </c>
      <c r="D326" s="510">
        <v>0.1</v>
      </c>
      <c r="E326" s="511">
        <v>2.1000000000000001E-2</v>
      </c>
      <c r="F326" s="511">
        <v>0.1065</v>
      </c>
      <c r="G326" s="1">
        <v>1.6500000000000001E-2</v>
      </c>
      <c r="H326" s="1">
        <v>7.5999999999999998E-2</v>
      </c>
      <c r="I326" s="512">
        <v>0.18</v>
      </c>
      <c r="J326" s="512">
        <v>0.04</v>
      </c>
      <c r="K326" s="512">
        <v>0.14000000000000001</v>
      </c>
      <c r="L326" s="512">
        <v>1.4999999999999999E-2</v>
      </c>
      <c r="M326" s="513" t="s">
        <v>175</v>
      </c>
      <c r="N326" s="514"/>
      <c r="O326" s="119"/>
      <c r="P326" s="119"/>
      <c r="Q326" s="119"/>
      <c r="R326" s="119"/>
      <c r="S326" s="119"/>
      <c r="T326" s="119"/>
      <c r="U326" s="119"/>
      <c r="V326" s="119"/>
      <c r="W326" s="119"/>
      <c r="X326" s="119">
        <f t="shared" si="314"/>
        <v>0</v>
      </c>
      <c r="Y326" s="118" t="e">
        <f t="shared" si="315"/>
        <v>#DIV/0!</v>
      </c>
      <c r="Z326" s="109" t="e">
        <f t="shared" si="313"/>
        <v>#DIV/0!</v>
      </c>
      <c r="AA326" s="109">
        <f>'CALCULO GERAL'!$G$10</f>
        <v>6300</v>
      </c>
      <c r="AB326" s="109" t="e">
        <f t="shared" si="316"/>
        <v>#DIV/0!</v>
      </c>
      <c r="AC326" s="109" t="e">
        <f>AB326*'CALCULO GERAL'!$C$11</f>
        <v>#DIV/0!</v>
      </c>
      <c r="AD326" s="109" t="e">
        <f t="shared" si="317"/>
        <v>#DIV/0!</v>
      </c>
      <c r="AE326" s="109" t="e">
        <f t="shared" si="318"/>
        <v>#DIV/0!</v>
      </c>
      <c r="AF326" s="109" t="e">
        <f t="shared" si="319"/>
        <v>#DIV/0!</v>
      </c>
      <c r="AG326" s="109" t="e">
        <f t="shared" si="320"/>
        <v>#DIV/0!</v>
      </c>
      <c r="AH326" s="109">
        <v>154.22999999999999</v>
      </c>
      <c r="AI326" s="109">
        <f>((AA326*'CALCULO GERAL'!$C$11))*0.08+20</f>
        <v>2549.576</v>
      </c>
      <c r="AJ326" s="109">
        <v>1010</v>
      </c>
      <c r="AK326" s="109">
        <v>2500</v>
      </c>
      <c r="AL326" s="109">
        <f>(AA326*('CALCULO GERAL'!$C$11*1.02))-(AA326*'CALCULO GERAL'!$C$11)</f>
        <v>632.39400000000387</v>
      </c>
      <c r="AM326" s="109">
        <v>1800</v>
      </c>
      <c r="AN326" s="109">
        <v>2600</v>
      </c>
      <c r="AO326" s="109">
        <v>9400</v>
      </c>
      <c r="AP326" s="109">
        <v>1000</v>
      </c>
      <c r="AQ326" s="109">
        <v>0</v>
      </c>
      <c r="AR326" s="109">
        <v>0</v>
      </c>
      <c r="AS326" s="109"/>
      <c r="AT326" s="109" t="e">
        <f t="shared" si="304"/>
        <v>#DIV/0!</v>
      </c>
      <c r="AU326" s="111">
        <f t="shared" si="321"/>
        <v>0</v>
      </c>
      <c r="AV326" s="109">
        <f>IFERROR((BS326*'CALCULO GERAL'!$E$11)/N326,0)</f>
        <v>0</v>
      </c>
      <c r="AW326" s="109">
        <f>AU326/'CALCULO GERAL'!$C$11</f>
        <v>0</v>
      </c>
      <c r="AX326" s="109">
        <f>BP326-BB326-BD326*'CALCULO GERAL'!$C$11</f>
        <v>0</v>
      </c>
      <c r="AY326" s="109">
        <f t="shared" si="322"/>
        <v>0</v>
      </c>
      <c r="AZ326" s="109">
        <f t="shared" si="323"/>
        <v>0</v>
      </c>
      <c r="BA326" s="109">
        <f t="shared" si="324"/>
        <v>0</v>
      </c>
      <c r="BB326" s="109">
        <f t="shared" si="325"/>
        <v>0</v>
      </c>
      <c r="BC326" s="109">
        <f t="shared" si="326"/>
        <v>0</v>
      </c>
      <c r="BD326" s="109">
        <f t="shared" si="327"/>
        <v>0</v>
      </c>
      <c r="BE326" s="109">
        <f t="shared" si="328"/>
        <v>0</v>
      </c>
      <c r="BF326" s="109">
        <f t="shared" si="329"/>
        <v>0</v>
      </c>
      <c r="BG326" s="109" t="e">
        <f t="shared" si="330"/>
        <v>#DIV/0!</v>
      </c>
      <c r="BH326" s="109" t="e">
        <f t="shared" si="331"/>
        <v>#DIV/0!</v>
      </c>
      <c r="BI326" s="109" t="e">
        <f t="shared" si="332"/>
        <v>#DIV/0!</v>
      </c>
      <c r="BJ326" s="109" t="e">
        <f t="shared" si="333"/>
        <v>#DIV/0!</v>
      </c>
      <c r="BK326" s="109" t="e">
        <f t="shared" si="334"/>
        <v>#DIV/0!</v>
      </c>
      <c r="BL326" s="148">
        <v>0.87</v>
      </c>
      <c r="BM326" s="112">
        <f>ROUND((AW326/BL326)+((AW326*BL326)*'CALCULO GERAL'!$E$11)/BL326,2)</f>
        <v>0</v>
      </c>
      <c r="BN326" s="186">
        <f t="shared" si="305"/>
        <v>0</v>
      </c>
      <c r="BO326" s="186">
        <f t="shared" si="306"/>
        <v>0</v>
      </c>
      <c r="BP326" s="109">
        <f>BM326*'CALCULO GERAL'!$C$11</f>
        <v>0</v>
      </c>
      <c r="BQ326" s="109">
        <f>BO326*'CALCULO GERAL'!$C$11</f>
        <v>0</v>
      </c>
      <c r="BR326" s="186">
        <f>BN326*'CALCULO GERAL'!$C$11</f>
        <v>0</v>
      </c>
      <c r="BS326" s="109">
        <f t="shared" si="335"/>
        <v>0</v>
      </c>
      <c r="BT326" s="109" t="e">
        <f t="shared" si="338"/>
        <v>#DIV/0!</v>
      </c>
      <c r="BU326" s="109">
        <f t="shared" si="336"/>
        <v>0</v>
      </c>
      <c r="BV326" s="109" t="e">
        <f t="shared" si="310"/>
        <v>#DIV/0!</v>
      </c>
      <c r="BW326" s="109" t="e">
        <f t="shared" si="307"/>
        <v>#DIV/0!</v>
      </c>
      <c r="BX326" s="114" t="e">
        <f t="shared" si="337"/>
        <v>#DIV/0!</v>
      </c>
      <c r="BY326" s="152">
        <f t="shared" si="311"/>
        <v>0.87</v>
      </c>
      <c r="CA326" s="55"/>
      <c r="CB326" s="113"/>
      <c r="CC326" s="113"/>
      <c r="CE326" s="152">
        <f t="shared" si="312"/>
        <v>0</v>
      </c>
      <c r="CF326" s="152">
        <f t="shared" si="308"/>
        <v>1</v>
      </c>
      <c r="CG326" s="152">
        <f t="shared" si="309"/>
        <v>1</v>
      </c>
      <c r="CH326" s="34"/>
      <c r="CJ326" s="11"/>
      <c r="CK326" s="11"/>
    </row>
    <row r="327" spans="1:89" s="152" customFormat="1" x14ac:dyDescent="0.2">
      <c r="A327" s="507" t="s">
        <v>676</v>
      </c>
      <c r="B327" s="508" t="s">
        <v>279</v>
      </c>
      <c r="C327" s="509">
        <v>0.16</v>
      </c>
      <c r="D327" s="510">
        <v>0.1</v>
      </c>
      <c r="E327" s="511">
        <v>2.1000000000000001E-2</v>
      </c>
      <c r="F327" s="511">
        <v>0.1065</v>
      </c>
      <c r="G327" s="1">
        <v>1.6500000000000001E-2</v>
      </c>
      <c r="H327" s="1">
        <v>7.5999999999999998E-2</v>
      </c>
      <c r="I327" s="512">
        <v>0.18</v>
      </c>
      <c r="J327" s="512">
        <v>0.04</v>
      </c>
      <c r="K327" s="512">
        <v>0.14000000000000001</v>
      </c>
      <c r="L327" s="512">
        <v>1.4999999999999999E-2</v>
      </c>
      <c r="M327" s="513" t="s">
        <v>175</v>
      </c>
      <c r="N327" s="514"/>
      <c r="O327" s="119">
        <v>0.28000000000000003</v>
      </c>
      <c r="P327" s="119"/>
      <c r="Q327" s="119"/>
      <c r="R327" s="119"/>
      <c r="S327" s="119"/>
      <c r="T327" s="119"/>
      <c r="U327" s="119"/>
      <c r="V327" s="119"/>
      <c r="W327" s="119"/>
      <c r="X327" s="119">
        <f t="shared" si="314"/>
        <v>0.28000000000000003</v>
      </c>
      <c r="Y327" s="118">
        <f t="shared" si="315"/>
        <v>0.28000000000000003</v>
      </c>
      <c r="Z327" s="109">
        <f t="shared" si="313"/>
        <v>0</v>
      </c>
      <c r="AA327" s="109">
        <f>'CALCULO GERAL'!$G$10</f>
        <v>6300</v>
      </c>
      <c r="AB327" s="109">
        <f t="shared" si="316"/>
        <v>6300</v>
      </c>
      <c r="AC327" s="109">
        <f>AB327*'CALCULO GERAL'!$C$11</f>
        <v>31619.7</v>
      </c>
      <c r="AD327" s="109">
        <f t="shared" si="317"/>
        <v>5059.152</v>
      </c>
      <c r="AE327" s="109">
        <f t="shared" si="318"/>
        <v>3667.8852000000002</v>
      </c>
      <c r="AF327" s="109">
        <f t="shared" si="319"/>
        <v>664.01370000000009</v>
      </c>
      <c r="AG327" s="109">
        <f t="shared" si="320"/>
        <v>3367.4980500000001</v>
      </c>
      <c r="AH327" s="109">
        <v>154.22999999999999</v>
      </c>
      <c r="AI327" s="109">
        <f>((AA327*'CALCULO GERAL'!$C$11))*0.08+20</f>
        <v>2549.576</v>
      </c>
      <c r="AJ327" s="109">
        <v>1010</v>
      </c>
      <c r="AK327" s="109">
        <v>2500</v>
      </c>
      <c r="AL327" s="109">
        <f>(AA327*('CALCULO GERAL'!$C$11*1.02))-(AA327*'CALCULO GERAL'!$C$11)</f>
        <v>632.39400000000387</v>
      </c>
      <c r="AM327" s="109">
        <v>1800</v>
      </c>
      <c r="AN327" s="109">
        <v>2600</v>
      </c>
      <c r="AO327" s="109">
        <v>9400</v>
      </c>
      <c r="AP327" s="109">
        <v>1000</v>
      </c>
      <c r="AQ327" s="109">
        <v>0</v>
      </c>
      <c r="AR327" s="109">
        <v>0</v>
      </c>
      <c r="AS327" s="109"/>
      <c r="AT327" s="109">
        <f t="shared" si="304"/>
        <v>66024.448950000005</v>
      </c>
      <c r="AU327" s="111">
        <f t="shared" si="321"/>
        <v>0</v>
      </c>
      <c r="AV327" s="109">
        <f>IFERROR((BS327*'CALCULO GERAL'!$E$11)/N327,0)</f>
        <v>0</v>
      </c>
      <c r="AW327" s="109">
        <f>AU327/'CALCULO GERAL'!$C$11</f>
        <v>0</v>
      </c>
      <c r="AX327" s="109">
        <f>BP327-BB327-BD327*'CALCULO GERAL'!$C$11</f>
        <v>0</v>
      </c>
      <c r="AY327" s="109">
        <f t="shared" si="322"/>
        <v>0</v>
      </c>
      <c r="AZ327" s="109">
        <f t="shared" si="323"/>
        <v>0</v>
      </c>
      <c r="BA327" s="109">
        <f t="shared" si="324"/>
        <v>0</v>
      </c>
      <c r="BB327" s="109">
        <f t="shared" si="325"/>
        <v>0</v>
      </c>
      <c r="BC327" s="109">
        <f t="shared" si="326"/>
        <v>0</v>
      </c>
      <c r="BD327" s="109">
        <f t="shared" si="327"/>
        <v>0</v>
      </c>
      <c r="BE327" s="109">
        <f t="shared" si="328"/>
        <v>0</v>
      </c>
      <c r="BF327" s="109">
        <f t="shared" si="329"/>
        <v>0</v>
      </c>
      <c r="BG327" s="109" t="e">
        <f t="shared" si="330"/>
        <v>#DIV/0!</v>
      </c>
      <c r="BH327" s="109" t="e">
        <f t="shared" si="331"/>
        <v>#DIV/0!</v>
      </c>
      <c r="BI327" s="109" t="e">
        <f t="shared" si="332"/>
        <v>#DIV/0!</v>
      </c>
      <c r="BJ327" s="109" t="e">
        <f t="shared" si="333"/>
        <v>#DIV/0!</v>
      </c>
      <c r="BK327" s="109" t="e">
        <f t="shared" si="334"/>
        <v>#DIV/0!</v>
      </c>
      <c r="BL327" s="148">
        <v>0.87</v>
      </c>
      <c r="BM327" s="112">
        <f>ROUND((AW327/BL327)+((AW327*BL327)*'CALCULO GERAL'!$E$11)/BL327,2)</f>
        <v>0</v>
      </c>
      <c r="BN327" s="186">
        <f t="shared" si="305"/>
        <v>0</v>
      </c>
      <c r="BO327" s="186">
        <f t="shared" si="306"/>
        <v>0</v>
      </c>
      <c r="BP327" s="109">
        <f>BM327*'CALCULO GERAL'!$C$11</f>
        <v>0</v>
      </c>
      <c r="BQ327" s="109">
        <f>BO327*'CALCULO GERAL'!$C$11</f>
        <v>0</v>
      </c>
      <c r="BR327" s="186">
        <f>BN327*'CALCULO GERAL'!$C$11</f>
        <v>0</v>
      </c>
      <c r="BS327" s="109">
        <f t="shared" si="335"/>
        <v>0</v>
      </c>
      <c r="BT327" s="109">
        <f t="shared" si="338"/>
        <v>-66024.448950000005</v>
      </c>
      <c r="BU327" s="109">
        <f t="shared" si="336"/>
        <v>0</v>
      </c>
      <c r="BV327" s="109" t="e">
        <f t="shared" si="310"/>
        <v>#DIV/0!</v>
      </c>
      <c r="BW327" s="109" t="e">
        <f t="shared" si="307"/>
        <v>#DIV/0!</v>
      </c>
      <c r="BX327" s="114" t="e">
        <f t="shared" si="337"/>
        <v>#DIV/0!</v>
      </c>
      <c r="BY327" s="152">
        <f t="shared" si="311"/>
        <v>0.87</v>
      </c>
      <c r="CA327" s="55"/>
      <c r="CB327" s="113"/>
      <c r="CC327" s="113"/>
      <c r="CE327" s="152">
        <f t="shared" si="312"/>
        <v>0</v>
      </c>
      <c r="CF327" s="152">
        <f t="shared" si="308"/>
        <v>1</v>
      </c>
      <c r="CG327" s="152">
        <f t="shared" si="309"/>
        <v>1</v>
      </c>
      <c r="CH327" s="34"/>
      <c r="CJ327" s="11"/>
      <c r="CK327" s="11"/>
    </row>
    <row r="328" spans="1:89" s="152" customFormat="1" x14ac:dyDescent="0.2">
      <c r="A328" s="507" t="s">
        <v>677</v>
      </c>
      <c r="B328" s="508" t="s">
        <v>279</v>
      </c>
      <c r="C328" s="509">
        <v>0.16</v>
      </c>
      <c r="D328" s="510">
        <v>0.1</v>
      </c>
      <c r="E328" s="511">
        <v>2.1000000000000001E-2</v>
      </c>
      <c r="F328" s="511">
        <v>0.1065</v>
      </c>
      <c r="G328" s="1">
        <v>1.6500000000000001E-2</v>
      </c>
      <c r="H328" s="1">
        <v>7.5999999999999998E-2</v>
      </c>
      <c r="I328" s="512">
        <v>0.18</v>
      </c>
      <c r="J328" s="512">
        <v>0.04</v>
      </c>
      <c r="K328" s="512">
        <v>0.14000000000000001</v>
      </c>
      <c r="L328" s="512">
        <v>1.4999999999999999E-2</v>
      </c>
      <c r="M328" s="513" t="s">
        <v>175</v>
      </c>
      <c r="N328" s="514"/>
      <c r="O328" s="119"/>
      <c r="P328" s="119"/>
      <c r="Q328" s="119"/>
      <c r="R328" s="119"/>
      <c r="S328" s="119"/>
      <c r="T328" s="119"/>
      <c r="U328" s="119"/>
      <c r="V328" s="119"/>
      <c r="W328" s="119"/>
      <c r="X328" s="119">
        <f t="shared" si="314"/>
        <v>0</v>
      </c>
      <c r="Y328" s="118" t="e">
        <f t="shared" si="315"/>
        <v>#DIV/0!</v>
      </c>
      <c r="Z328" s="109" t="e">
        <f t="shared" si="313"/>
        <v>#DIV/0!</v>
      </c>
      <c r="AA328" s="109">
        <f>'CALCULO GERAL'!$G$10</f>
        <v>6300</v>
      </c>
      <c r="AB328" s="109" t="e">
        <f t="shared" si="316"/>
        <v>#DIV/0!</v>
      </c>
      <c r="AC328" s="109" t="e">
        <f>AB328*'CALCULO GERAL'!$C$11</f>
        <v>#DIV/0!</v>
      </c>
      <c r="AD328" s="109" t="e">
        <f t="shared" si="317"/>
        <v>#DIV/0!</v>
      </c>
      <c r="AE328" s="109" t="e">
        <f t="shared" si="318"/>
        <v>#DIV/0!</v>
      </c>
      <c r="AF328" s="109" t="e">
        <f t="shared" si="319"/>
        <v>#DIV/0!</v>
      </c>
      <c r="AG328" s="109" t="e">
        <f t="shared" si="320"/>
        <v>#DIV/0!</v>
      </c>
      <c r="AH328" s="109">
        <v>154.22999999999999</v>
      </c>
      <c r="AI328" s="109">
        <f>((AA328*'CALCULO GERAL'!$C$11))*0.08+20</f>
        <v>2549.576</v>
      </c>
      <c r="AJ328" s="109">
        <v>1010</v>
      </c>
      <c r="AK328" s="109">
        <v>2500</v>
      </c>
      <c r="AL328" s="109">
        <f>(AA328*('CALCULO GERAL'!$C$11*1.02))-(AA328*'CALCULO GERAL'!$C$11)</f>
        <v>632.39400000000387</v>
      </c>
      <c r="AM328" s="109">
        <v>1800</v>
      </c>
      <c r="AN328" s="109">
        <v>2600</v>
      </c>
      <c r="AO328" s="109">
        <v>9400</v>
      </c>
      <c r="AP328" s="109">
        <v>1000</v>
      </c>
      <c r="AQ328" s="109">
        <v>0</v>
      </c>
      <c r="AR328" s="109">
        <v>0</v>
      </c>
      <c r="AS328" s="109"/>
      <c r="AT328" s="109" t="e">
        <f t="shared" si="304"/>
        <v>#DIV/0!</v>
      </c>
      <c r="AU328" s="111">
        <f t="shared" si="321"/>
        <v>0</v>
      </c>
      <c r="AV328" s="109">
        <f>IFERROR((BS328*'CALCULO GERAL'!$E$11)/N328,0)</f>
        <v>0</v>
      </c>
      <c r="AW328" s="109">
        <f>AU328/'CALCULO GERAL'!$C$11</f>
        <v>0</v>
      </c>
      <c r="AX328" s="109" t="e">
        <f>BP328-BB328-BD328*'CALCULO GERAL'!$C$11</f>
        <v>#DIV/0!</v>
      </c>
      <c r="AY328" s="109" t="e">
        <f t="shared" si="322"/>
        <v>#DIV/0!</v>
      </c>
      <c r="AZ328" s="109" t="e">
        <f t="shared" si="323"/>
        <v>#DIV/0!</v>
      </c>
      <c r="BA328" s="109" t="e">
        <f t="shared" si="324"/>
        <v>#DIV/0!</v>
      </c>
      <c r="BB328" s="109" t="e">
        <f t="shared" si="325"/>
        <v>#DIV/0!</v>
      </c>
      <c r="BC328" s="109" t="e">
        <f t="shared" si="326"/>
        <v>#DIV/0!</v>
      </c>
      <c r="BD328" s="109" t="e">
        <f t="shared" si="327"/>
        <v>#DIV/0!</v>
      </c>
      <c r="BE328" s="109" t="e">
        <f t="shared" si="328"/>
        <v>#DIV/0!</v>
      </c>
      <c r="BF328" s="109" t="e">
        <f t="shared" si="329"/>
        <v>#DIV/0!</v>
      </c>
      <c r="BG328" s="109" t="e">
        <f t="shared" si="330"/>
        <v>#DIV/0!</v>
      </c>
      <c r="BH328" s="109" t="e">
        <f t="shared" si="331"/>
        <v>#DIV/0!</v>
      </c>
      <c r="BI328" s="109" t="e">
        <f t="shared" si="332"/>
        <v>#DIV/0!</v>
      </c>
      <c r="BJ328" s="109" t="e">
        <f t="shared" si="333"/>
        <v>#DIV/0!</v>
      </c>
      <c r="BK328" s="109" t="e">
        <f t="shared" si="334"/>
        <v>#DIV/0!</v>
      </c>
      <c r="BL328" s="148" t="e">
        <v>#DIV/0!</v>
      </c>
      <c r="BM328" s="112" t="e">
        <f>ROUND((AW328/BL328)+((AW328*BL328)*'CALCULO GERAL'!$E$11)/BL328,2)</f>
        <v>#DIV/0!</v>
      </c>
      <c r="BN328" s="186" t="e">
        <f t="shared" si="305"/>
        <v>#DIV/0!</v>
      </c>
      <c r="BO328" s="186" t="e">
        <f t="shared" si="306"/>
        <v>#DIV/0!</v>
      </c>
      <c r="BP328" s="109" t="e">
        <f>BM328*'CALCULO GERAL'!$C$11</f>
        <v>#DIV/0!</v>
      </c>
      <c r="BQ328" s="109" t="e">
        <f>BO328*'CALCULO GERAL'!$C$11</f>
        <v>#DIV/0!</v>
      </c>
      <c r="BR328" s="186" t="e">
        <f>BN328*'CALCULO GERAL'!$C$11</f>
        <v>#DIV/0!</v>
      </c>
      <c r="BS328" s="109" t="e">
        <f t="shared" si="335"/>
        <v>#DIV/0!</v>
      </c>
      <c r="BT328" s="109" t="e">
        <f t="shared" si="338"/>
        <v>#DIV/0!</v>
      </c>
      <c r="BU328" s="109" t="e">
        <f t="shared" si="336"/>
        <v>#DIV/0!</v>
      </c>
      <c r="BV328" s="109" t="e">
        <f t="shared" si="310"/>
        <v>#DIV/0!</v>
      </c>
      <c r="BW328" s="109" t="e">
        <f t="shared" si="307"/>
        <v>#DIV/0!</v>
      </c>
      <c r="BX328" s="114" t="e">
        <f t="shared" si="337"/>
        <v>#DIV/0!</v>
      </c>
      <c r="BY328" s="152" t="e">
        <f t="shared" si="311"/>
        <v>#DIV/0!</v>
      </c>
      <c r="CA328" s="55"/>
      <c r="CB328" s="113"/>
      <c r="CC328" s="113"/>
      <c r="CE328" s="152" t="e">
        <f t="shared" si="312"/>
        <v>#DIV/0!</v>
      </c>
      <c r="CF328" s="152" t="e">
        <f t="shared" si="308"/>
        <v>#DIV/0!</v>
      </c>
      <c r="CG328" s="152" t="e">
        <f t="shared" si="309"/>
        <v>#DIV/0!</v>
      </c>
      <c r="CH328" s="34"/>
      <c r="CJ328" s="11"/>
      <c r="CK328" s="11"/>
    </row>
    <row r="329" spans="1:89" s="152" customFormat="1" x14ac:dyDescent="0.2">
      <c r="A329" s="507" t="s">
        <v>678</v>
      </c>
      <c r="B329" s="508" t="s">
        <v>279</v>
      </c>
      <c r="C329" s="509">
        <v>0.16</v>
      </c>
      <c r="D329" s="510">
        <v>0.1</v>
      </c>
      <c r="E329" s="511">
        <v>2.1000000000000001E-2</v>
      </c>
      <c r="F329" s="511">
        <v>0.1065</v>
      </c>
      <c r="G329" s="1">
        <v>1.6500000000000001E-2</v>
      </c>
      <c r="H329" s="1">
        <v>7.5999999999999998E-2</v>
      </c>
      <c r="I329" s="512">
        <v>0.18</v>
      </c>
      <c r="J329" s="512">
        <v>0.04</v>
      </c>
      <c r="K329" s="512">
        <v>0.14000000000000001</v>
      </c>
      <c r="L329" s="512">
        <v>1.4999999999999999E-2</v>
      </c>
      <c r="M329" s="513" t="s">
        <v>175</v>
      </c>
      <c r="N329" s="514"/>
      <c r="O329" s="119"/>
      <c r="P329" s="119"/>
      <c r="Q329" s="119"/>
      <c r="R329" s="119"/>
      <c r="S329" s="119"/>
      <c r="T329" s="119"/>
      <c r="U329" s="119"/>
      <c r="V329" s="119"/>
      <c r="W329" s="119"/>
      <c r="X329" s="119">
        <f t="shared" si="314"/>
        <v>0</v>
      </c>
      <c r="Y329" s="118" t="e">
        <f t="shared" si="315"/>
        <v>#DIV/0!</v>
      </c>
      <c r="Z329" s="109" t="e">
        <f t="shared" si="313"/>
        <v>#DIV/0!</v>
      </c>
      <c r="AA329" s="109">
        <f>'CALCULO GERAL'!$G$10</f>
        <v>6300</v>
      </c>
      <c r="AB329" s="109" t="e">
        <f t="shared" si="316"/>
        <v>#DIV/0!</v>
      </c>
      <c r="AC329" s="109" t="e">
        <f>AB329*'CALCULO GERAL'!$C$11</f>
        <v>#DIV/0!</v>
      </c>
      <c r="AD329" s="109" t="e">
        <f t="shared" si="317"/>
        <v>#DIV/0!</v>
      </c>
      <c r="AE329" s="109" t="e">
        <f t="shared" si="318"/>
        <v>#DIV/0!</v>
      </c>
      <c r="AF329" s="109" t="e">
        <f t="shared" si="319"/>
        <v>#DIV/0!</v>
      </c>
      <c r="AG329" s="109" t="e">
        <f t="shared" si="320"/>
        <v>#DIV/0!</v>
      </c>
      <c r="AH329" s="109">
        <v>154.22999999999999</v>
      </c>
      <c r="AI329" s="109">
        <f>((AA329*'CALCULO GERAL'!$C$11))*0.08+20</f>
        <v>2549.576</v>
      </c>
      <c r="AJ329" s="109">
        <v>1010</v>
      </c>
      <c r="AK329" s="109">
        <v>2500</v>
      </c>
      <c r="AL329" s="109">
        <f>(AA329*('CALCULO GERAL'!$C$11*1.02))-(AA329*'CALCULO GERAL'!$C$11)</f>
        <v>632.39400000000387</v>
      </c>
      <c r="AM329" s="109">
        <v>1800</v>
      </c>
      <c r="AN329" s="109">
        <v>2600</v>
      </c>
      <c r="AO329" s="109">
        <v>9400</v>
      </c>
      <c r="AP329" s="109">
        <v>1000</v>
      </c>
      <c r="AQ329" s="109">
        <v>0</v>
      </c>
      <c r="AR329" s="109">
        <v>0</v>
      </c>
      <c r="AS329" s="109"/>
      <c r="AT329" s="109" t="e">
        <f t="shared" si="304"/>
        <v>#DIV/0!</v>
      </c>
      <c r="AU329" s="111">
        <f t="shared" si="321"/>
        <v>0</v>
      </c>
      <c r="AV329" s="109">
        <f>IFERROR((BS329*'CALCULO GERAL'!$E$11)/N329,0)</f>
        <v>0</v>
      </c>
      <c r="AW329" s="109">
        <f>AU329/'CALCULO GERAL'!$C$11</f>
        <v>0</v>
      </c>
      <c r="AX329" s="109" t="e">
        <f>BP329-BB329-BD329*'CALCULO GERAL'!$C$11</f>
        <v>#DIV/0!</v>
      </c>
      <c r="AY329" s="109" t="e">
        <f t="shared" si="322"/>
        <v>#DIV/0!</v>
      </c>
      <c r="AZ329" s="109" t="e">
        <f t="shared" si="323"/>
        <v>#DIV/0!</v>
      </c>
      <c r="BA329" s="109" t="e">
        <f t="shared" si="324"/>
        <v>#DIV/0!</v>
      </c>
      <c r="BB329" s="109" t="e">
        <f t="shared" si="325"/>
        <v>#DIV/0!</v>
      </c>
      <c r="BC329" s="109" t="e">
        <f t="shared" si="326"/>
        <v>#DIV/0!</v>
      </c>
      <c r="BD329" s="109" t="e">
        <f t="shared" si="327"/>
        <v>#DIV/0!</v>
      </c>
      <c r="BE329" s="109" t="e">
        <f t="shared" si="328"/>
        <v>#DIV/0!</v>
      </c>
      <c r="BF329" s="109" t="e">
        <f t="shared" si="329"/>
        <v>#DIV/0!</v>
      </c>
      <c r="BG329" s="109" t="e">
        <f t="shared" si="330"/>
        <v>#DIV/0!</v>
      </c>
      <c r="BH329" s="109" t="e">
        <f t="shared" si="331"/>
        <v>#DIV/0!</v>
      </c>
      <c r="BI329" s="109" t="e">
        <f t="shared" si="332"/>
        <v>#DIV/0!</v>
      </c>
      <c r="BJ329" s="109" t="e">
        <f t="shared" si="333"/>
        <v>#DIV/0!</v>
      </c>
      <c r="BK329" s="109" t="e">
        <f t="shared" si="334"/>
        <v>#DIV/0!</v>
      </c>
      <c r="BL329" s="148" t="e">
        <v>#DIV/0!</v>
      </c>
      <c r="BM329" s="112" t="e">
        <f>ROUND((AW329/BL329)+((AW329*BL329)*'CALCULO GERAL'!$E$11)/BL329,2)</f>
        <v>#DIV/0!</v>
      </c>
      <c r="BN329" s="186" t="e">
        <f t="shared" si="305"/>
        <v>#DIV/0!</v>
      </c>
      <c r="BO329" s="186" t="e">
        <f t="shared" si="306"/>
        <v>#DIV/0!</v>
      </c>
      <c r="BP329" s="109" t="e">
        <f>BM329*'CALCULO GERAL'!$C$11</f>
        <v>#DIV/0!</v>
      </c>
      <c r="BQ329" s="109" t="e">
        <f>BO329*'CALCULO GERAL'!$C$11</f>
        <v>#DIV/0!</v>
      </c>
      <c r="BR329" s="186" t="e">
        <f>BN329*'CALCULO GERAL'!$C$11</f>
        <v>#DIV/0!</v>
      </c>
      <c r="BS329" s="109" t="e">
        <f t="shared" si="335"/>
        <v>#DIV/0!</v>
      </c>
      <c r="BT329" s="109" t="e">
        <f t="shared" si="338"/>
        <v>#DIV/0!</v>
      </c>
      <c r="BU329" s="109" t="e">
        <f t="shared" si="336"/>
        <v>#DIV/0!</v>
      </c>
      <c r="BV329" s="109" t="e">
        <f t="shared" si="310"/>
        <v>#DIV/0!</v>
      </c>
      <c r="BW329" s="109" t="e">
        <f t="shared" si="307"/>
        <v>#DIV/0!</v>
      </c>
      <c r="BX329" s="114" t="e">
        <f t="shared" si="337"/>
        <v>#DIV/0!</v>
      </c>
      <c r="BY329" s="152" t="e">
        <f t="shared" si="311"/>
        <v>#DIV/0!</v>
      </c>
      <c r="CA329" s="55"/>
      <c r="CB329" s="113"/>
      <c r="CC329" s="113"/>
      <c r="CE329" s="152" t="e">
        <f t="shared" si="312"/>
        <v>#DIV/0!</v>
      </c>
      <c r="CF329" s="152" t="e">
        <f t="shared" si="308"/>
        <v>#DIV/0!</v>
      </c>
      <c r="CG329" s="152" t="e">
        <f t="shared" si="309"/>
        <v>#DIV/0!</v>
      </c>
      <c r="CH329" s="34"/>
      <c r="CJ329" s="11"/>
      <c r="CK329" s="11"/>
    </row>
    <row r="65502" spans="2:89" s="4" customFormat="1" x14ac:dyDescent="0.2">
      <c r="B65502" s="189"/>
      <c r="C65502" s="9">
        <v>0.26</v>
      </c>
      <c r="D65502" s="9"/>
      <c r="E65502" s="9">
        <v>0</v>
      </c>
      <c r="F65502" s="9">
        <v>0</v>
      </c>
      <c r="G65502" s="10">
        <v>2.1000000000000001E-2</v>
      </c>
      <c r="H65502" s="10">
        <v>0.1065</v>
      </c>
      <c r="O65502" s="117"/>
      <c r="P65502" s="117"/>
      <c r="Q65502" s="117"/>
      <c r="R65502" s="117"/>
      <c r="S65502" s="117"/>
      <c r="T65502" s="117"/>
      <c r="Y65502" s="110"/>
      <c r="Z65502" s="110"/>
      <c r="AA65502" s="110"/>
      <c r="AB65502" s="110"/>
      <c r="AC65502" s="110"/>
      <c r="AD65502" s="110"/>
      <c r="AE65502" s="110"/>
      <c r="AF65502" s="110"/>
      <c r="AG65502" s="110"/>
      <c r="AH65502" s="110"/>
      <c r="AI65502" s="110"/>
      <c r="AJ65502" s="110"/>
      <c r="AK65502" s="110"/>
      <c r="AL65502" s="110"/>
      <c r="AM65502" s="110"/>
      <c r="AN65502" s="110"/>
      <c r="AO65502" s="110"/>
      <c r="AP65502" s="110"/>
      <c r="AQ65502" s="110"/>
      <c r="AR65502" s="110"/>
      <c r="AS65502" s="110"/>
      <c r="AT65502" s="110"/>
      <c r="AU65502" s="110"/>
      <c r="AV65502" s="110"/>
      <c r="AW65502" s="110"/>
      <c r="AX65502" s="110"/>
      <c r="AY65502" s="110"/>
      <c r="AZ65502" s="110"/>
      <c r="BA65502" s="110"/>
      <c r="BB65502" s="110"/>
      <c r="BC65502" s="110"/>
      <c r="BD65502" s="110"/>
      <c r="BE65502" s="110"/>
      <c r="BF65502" s="110"/>
      <c r="BG65502" s="110"/>
      <c r="BH65502" s="110"/>
      <c r="BI65502" s="110"/>
      <c r="BJ65502" s="110"/>
      <c r="BK65502" s="110"/>
      <c r="BL65502" s="110"/>
      <c r="BM65502" s="110"/>
      <c r="BN65502" s="110"/>
      <c r="BO65502" s="110"/>
      <c r="BP65502" s="110"/>
      <c r="BQ65502" s="110"/>
      <c r="BR65502" s="110"/>
      <c r="BS65502" s="110"/>
      <c r="BT65502" s="110"/>
      <c r="BU65502" s="110"/>
      <c r="BV65502" s="110"/>
      <c r="BW65502" s="110"/>
      <c r="BX65502" s="110"/>
      <c r="BY65502" s="11"/>
      <c r="BZ65502" s="11"/>
      <c r="CA65502" s="11"/>
      <c r="CB65502" s="11"/>
      <c r="CC65502" s="11"/>
      <c r="CD65502" s="11"/>
      <c r="CE65502" s="152"/>
      <c r="CF65502" s="152"/>
      <c r="CG65502" s="11"/>
      <c r="CH65502" s="11"/>
      <c r="CI65502" s="152"/>
      <c r="CJ65502" s="11"/>
      <c r="CK65502" s="11"/>
    </row>
  </sheetData>
  <autoFilter ref="A1:CF329" xr:uid="{ECD027E7-7988-4DAE-B713-7E6C07CC1091}"/>
  <sortState xmlns:xlrd2="http://schemas.microsoft.com/office/spreadsheetml/2017/richdata2" ref="A2:BW285">
    <sortCondition ref="A2:A285"/>
  </sortState>
  <conditionalFormatting sqref="A45">
    <cfRule type="duplicateValues" dxfId="81" priority="17"/>
  </conditionalFormatting>
  <conditionalFormatting sqref="A90:A93 A96:A105">
    <cfRule type="duplicateValues" dxfId="80" priority="15"/>
  </conditionalFormatting>
  <conditionalFormatting sqref="A94:A95">
    <cfRule type="duplicateValues" dxfId="79" priority="14"/>
  </conditionalFormatting>
  <conditionalFormatting sqref="A143:A146">
    <cfRule type="duplicateValues" dxfId="78" priority="1"/>
    <cfRule type="duplicateValues" dxfId="77" priority="2"/>
  </conditionalFormatting>
  <conditionalFormatting sqref="A147:A150">
    <cfRule type="duplicateValues" dxfId="76" priority="18"/>
  </conditionalFormatting>
  <conditionalFormatting sqref="A147:A329 A1:A142">
    <cfRule type="duplicateValues" dxfId="75" priority="156"/>
  </conditionalFormatting>
  <conditionalFormatting sqref="A151:A156 A114:A142">
    <cfRule type="duplicateValues" dxfId="74" priority="35"/>
  </conditionalFormatting>
  <conditionalFormatting sqref="A157 A2:A44 A106:A113 A46:A89 A254:A257 A248 A241 A171:A232">
    <cfRule type="duplicateValues" dxfId="73" priority="32"/>
  </conditionalFormatting>
  <conditionalFormatting sqref="A165:A167">
    <cfRule type="duplicateValues" dxfId="72" priority="152"/>
  </conditionalFormatting>
  <conditionalFormatting sqref="A168">
    <cfRule type="duplicateValues" dxfId="71" priority="22"/>
  </conditionalFormatting>
  <conditionalFormatting sqref="A169:A170 A158:A164">
    <cfRule type="duplicateValues" dxfId="70" priority="29"/>
  </conditionalFormatting>
  <conditionalFormatting sqref="A233:A240">
    <cfRule type="duplicateValues" dxfId="69" priority="9"/>
  </conditionalFormatting>
  <conditionalFormatting sqref="A242:A243">
    <cfRule type="duplicateValues" dxfId="68" priority="4"/>
    <cfRule type="duplicateValues" dxfId="67" priority="5"/>
  </conditionalFormatting>
  <conditionalFormatting sqref="A244:A247">
    <cfRule type="duplicateValues" dxfId="66" priority="12"/>
  </conditionalFormatting>
  <conditionalFormatting sqref="A249">
    <cfRule type="duplicateValues" dxfId="65" priority="10"/>
  </conditionalFormatting>
  <conditionalFormatting sqref="A250:A251 A253">
    <cfRule type="duplicateValues" dxfId="64" priority="6"/>
  </conditionalFormatting>
  <conditionalFormatting sqref="A252">
    <cfRule type="duplicateValues" dxfId="63" priority="3"/>
  </conditionalFormatting>
  <conditionalFormatting sqref="A257:A258">
    <cfRule type="duplicateValues" dxfId="62" priority="11"/>
  </conditionalFormatting>
  <conditionalFormatting sqref="A259">
    <cfRule type="duplicateValues" dxfId="61" priority="8"/>
  </conditionalFormatting>
  <conditionalFormatting sqref="A260:A269">
    <cfRule type="duplicateValues" dxfId="60" priority="7"/>
  </conditionalFormatting>
  <pageMargins left="0.511811024" right="0.511811024" top="0.78740157499999996" bottom="0.78740157499999996" header="0.31496062000000002" footer="0.31496062000000002"/>
  <pageSetup paperSize="9" scale="66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23EC3-EEF2-4714-A9D4-666AAB4BB414}">
  <sheetPr codeName="Planilha4"/>
  <dimension ref="A1:CJ65501"/>
  <sheetViews>
    <sheetView showGridLines="0" zoomScale="85" zoomScaleNormal="85" workbookViewId="0">
      <pane xSplit="13" ySplit="1" topLeftCell="N25" activePane="bottomRight" state="frozen"/>
      <selection pane="topRight" activeCell="N1" sqref="N1"/>
      <selection pane="bottomLeft" activeCell="A16" sqref="A16"/>
      <selection pane="bottomRight" sqref="A1:XFD1048576"/>
    </sheetView>
  </sheetViews>
  <sheetFormatPr baseColWidth="10" defaultColWidth="9.1640625" defaultRowHeight="15" x14ac:dyDescent="0.2"/>
  <cols>
    <col min="1" max="1" width="68.1640625" style="4" bestFit="1" customWidth="1"/>
    <col min="2" max="2" width="9.1640625" style="189" customWidth="1"/>
    <col min="3" max="3" width="8.83203125" style="4" customWidth="1"/>
    <col min="4" max="4" width="14.83203125" style="4" customWidth="1"/>
    <col min="5" max="5" width="13.83203125" style="4" customWidth="1"/>
    <col min="6" max="6" width="8.5" style="4" customWidth="1"/>
    <col min="7" max="7" width="7.33203125" style="4" customWidth="1"/>
    <col min="8" max="8" width="10.1640625" style="4" customWidth="1"/>
    <col min="9" max="9" width="8.5" style="4" customWidth="1"/>
    <col min="10" max="10" width="10.5" style="4" customWidth="1"/>
    <col min="11" max="12" width="14.83203125" style="4" customWidth="1"/>
    <col min="13" max="13" width="8.5" style="4" customWidth="1"/>
    <col min="14" max="14" width="13.33203125" style="4" bestFit="1" customWidth="1"/>
    <col min="15" max="20" width="14" style="117" customWidth="1"/>
    <col min="21" max="24" width="14" style="4" customWidth="1"/>
    <col min="25" max="25" width="14.33203125" style="110" customWidth="1"/>
    <col min="26" max="26" width="15.5" style="110" customWidth="1"/>
    <col min="27" max="28" width="27" style="110" customWidth="1"/>
    <col min="29" max="29" width="21" style="110" customWidth="1"/>
    <col min="30" max="30" width="15.5" style="110" customWidth="1"/>
    <col min="31" max="31" width="14.33203125" style="110" customWidth="1"/>
    <col min="32" max="32" width="14" style="110" customWidth="1"/>
    <col min="33" max="33" width="14.33203125" style="110" customWidth="1"/>
    <col min="34" max="34" width="16.33203125" style="110" customWidth="1"/>
    <col min="35" max="35" width="14" style="110" customWidth="1"/>
    <col min="36" max="36" width="16.83203125" style="110" customWidth="1"/>
    <col min="37" max="39" width="14" style="110" customWidth="1"/>
    <col min="40" max="40" width="14.33203125" style="110" customWidth="1"/>
    <col min="41" max="41" width="18.6640625" style="110" customWidth="1"/>
    <col min="42" max="42" width="13.1640625" style="110" customWidth="1"/>
    <col min="43" max="44" width="11.5" style="110" customWidth="1"/>
    <col min="45" max="45" width="14.1640625" style="110" customWidth="1"/>
    <col min="46" max="46" width="20.5" style="110" customWidth="1"/>
    <col min="47" max="47" width="12.5" style="110" customWidth="1"/>
    <col min="48" max="48" width="11.5" style="110" customWidth="1"/>
    <col min="49" max="49" width="12.5" style="110" customWidth="1"/>
    <col min="50" max="50" width="15.5" style="110" customWidth="1"/>
    <col min="51" max="51" width="11.5" style="110" customWidth="1"/>
    <col min="52" max="52" width="11.33203125" style="110" customWidth="1"/>
    <col min="53" max="53" width="13" style="110" customWidth="1"/>
    <col min="54" max="54" width="9.33203125" style="110" customWidth="1"/>
    <col min="55" max="56" width="12.5" style="110" customWidth="1"/>
    <col min="57" max="58" width="14.33203125" style="110" customWidth="1"/>
    <col min="59" max="61" width="12.5" style="110" customWidth="1"/>
    <col min="62" max="62" width="13.1640625" style="110" customWidth="1"/>
    <col min="63" max="63" width="16" style="110" customWidth="1"/>
    <col min="64" max="64" width="13.1640625" style="110" customWidth="1"/>
    <col min="65" max="65" width="12.5" style="110" customWidth="1"/>
    <col min="66" max="67" width="14.33203125" style="110" customWidth="1"/>
    <col min="68" max="69" width="12.5" style="110" customWidth="1"/>
    <col min="70" max="70" width="11.83203125" style="110" customWidth="1"/>
    <col min="71" max="71" width="17.1640625" style="110" customWidth="1"/>
    <col min="72" max="72" width="16.33203125" style="110" customWidth="1"/>
    <col min="73" max="73" width="15.83203125" style="110" customWidth="1"/>
    <col min="74" max="74" width="15.6640625" style="110" bestFit="1" customWidth="1"/>
    <col min="75" max="75" width="15.6640625" style="110" customWidth="1"/>
    <col min="76" max="77" width="14.33203125" style="11" bestFit="1" customWidth="1"/>
    <col min="78" max="81" width="14.33203125" style="11" customWidth="1"/>
    <col min="82" max="82" width="14.33203125" style="152" customWidth="1"/>
    <col min="83" max="83" width="9.1640625" style="152"/>
    <col min="84" max="85" width="9.1640625" style="11"/>
    <col min="86" max="86" width="9.1640625" style="152"/>
    <col min="87" max="16384" width="9.1640625" style="11"/>
  </cols>
  <sheetData>
    <row r="1" spans="1:88" s="152" customFormat="1" ht="70.5" customHeight="1" x14ac:dyDescent="0.2">
      <c r="A1" s="3" t="s">
        <v>122</v>
      </c>
      <c r="B1" s="3" t="s">
        <v>23</v>
      </c>
      <c r="C1" s="3" t="s">
        <v>123</v>
      </c>
      <c r="D1" s="3" t="s">
        <v>70</v>
      </c>
      <c r="E1" s="3" t="s">
        <v>74</v>
      </c>
      <c r="F1" s="3" t="s">
        <v>80</v>
      </c>
      <c r="G1" s="107" t="s">
        <v>74</v>
      </c>
      <c r="H1" s="107" t="s">
        <v>80</v>
      </c>
      <c r="I1" s="107" t="s">
        <v>124</v>
      </c>
      <c r="J1" s="107" t="s">
        <v>125</v>
      </c>
      <c r="K1" s="107" t="s">
        <v>126</v>
      </c>
      <c r="L1" s="107" t="s">
        <v>127</v>
      </c>
      <c r="M1" s="107" t="s">
        <v>128</v>
      </c>
      <c r="N1" s="107" t="s">
        <v>129</v>
      </c>
      <c r="O1" s="120" t="s">
        <v>130</v>
      </c>
      <c r="P1" s="206" t="s">
        <v>131</v>
      </c>
      <c r="Q1" s="223" t="s">
        <v>132</v>
      </c>
      <c r="R1" s="224" t="s">
        <v>133</v>
      </c>
      <c r="S1" s="225" t="s">
        <v>134</v>
      </c>
      <c r="T1" s="226" t="s">
        <v>135</v>
      </c>
      <c r="U1" s="121" t="s">
        <v>136</v>
      </c>
      <c r="V1" s="122" t="s">
        <v>137</v>
      </c>
      <c r="W1" s="123" t="s">
        <v>138</v>
      </c>
      <c r="X1" s="222" t="s">
        <v>139</v>
      </c>
      <c r="Y1" s="116" t="s">
        <v>140</v>
      </c>
      <c r="Z1" s="108" t="s">
        <v>141</v>
      </c>
      <c r="AA1" s="108" t="s">
        <v>142</v>
      </c>
      <c r="AB1" s="108" t="s">
        <v>143</v>
      </c>
      <c r="AC1" s="207" t="s">
        <v>144</v>
      </c>
      <c r="AD1" s="207" t="s">
        <v>145</v>
      </c>
      <c r="AE1" s="108" t="s">
        <v>70</v>
      </c>
      <c r="AF1" s="108" t="s">
        <v>74</v>
      </c>
      <c r="AG1" s="108" t="s">
        <v>80</v>
      </c>
      <c r="AH1" s="108" t="s">
        <v>146</v>
      </c>
      <c r="AI1" s="108" t="s">
        <v>93</v>
      </c>
      <c r="AJ1" s="108" t="s">
        <v>147</v>
      </c>
      <c r="AK1" s="108" t="s">
        <v>94</v>
      </c>
      <c r="AL1" s="108" t="s">
        <v>148</v>
      </c>
      <c r="AM1" s="108" t="s">
        <v>97</v>
      </c>
      <c r="AN1" s="108" t="s">
        <v>98</v>
      </c>
      <c r="AO1" s="108" t="s">
        <v>149</v>
      </c>
      <c r="AP1" s="108" t="s">
        <v>150</v>
      </c>
      <c r="AQ1" s="108" t="s">
        <v>105</v>
      </c>
      <c r="AR1" s="108" t="s">
        <v>151</v>
      </c>
      <c r="AS1" s="108" t="s">
        <v>14</v>
      </c>
      <c r="AT1" s="108" t="s">
        <v>152</v>
      </c>
      <c r="AU1" s="108" t="s">
        <v>153</v>
      </c>
      <c r="AV1" s="108" t="s">
        <v>28</v>
      </c>
      <c r="AW1" s="108" t="s">
        <v>154</v>
      </c>
      <c r="AX1" s="108" t="s">
        <v>108</v>
      </c>
      <c r="AY1" s="108" t="s">
        <v>74</v>
      </c>
      <c r="AZ1" s="108" t="s">
        <v>80</v>
      </c>
      <c r="BA1" s="108" t="s">
        <v>112</v>
      </c>
      <c r="BB1" s="108" t="s">
        <v>76</v>
      </c>
      <c r="BC1" s="108" t="s">
        <v>115</v>
      </c>
      <c r="BD1" s="108" t="s">
        <v>70</v>
      </c>
      <c r="BE1" s="108" t="s">
        <v>155</v>
      </c>
      <c r="BF1" s="108" t="s">
        <v>156</v>
      </c>
      <c r="BG1" s="108" t="s">
        <v>157</v>
      </c>
      <c r="BH1" s="108" t="s">
        <v>120</v>
      </c>
      <c r="BI1" s="108" t="s">
        <v>158</v>
      </c>
      <c r="BJ1" s="108" t="s">
        <v>159</v>
      </c>
      <c r="BK1" s="108" t="s">
        <v>160</v>
      </c>
      <c r="BL1" s="108" t="s">
        <v>161</v>
      </c>
      <c r="BM1" s="108" t="s">
        <v>162</v>
      </c>
      <c r="BN1" s="116" t="s">
        <v>163</v>
      </c>
      <c r="BO1" s="116" t="s">
        <v>164</v>
      </c>
      <c r="BP1" s="108" t="s">
        <v>165</v>
      </c>
      <c r="BQ1" s="108" t="s">
        <v>166</v>
      </c>
      <c r="BR1" s="116" t="s">
        <v>167</v>
      </c>
      <c r="BS1" s="108" t="s">
        <v>168</v>
      </c>
      <c r="BT1" s="108" t="s">
        <v>169</v>
      </c>
      <c r="BU1" s="108" t="s">
        <v>170</v>
      </c>
      <c r="BV1" s="108" t="s">
        <v>171</v>
      </c>
      <c r="BW1" s="108" t="s">
        <v>172</v>
      </c>
      <c r="BX1" s="481">
        <v>59999.99</v>
      </c>
      <c r="BY1" s="11"/>
      <c r="BZ1" s="11"/>
      <c r="CA1" s="11"/>
      <c r="CB1" s="11"/>
      <c r="CC1" s="11"/>
      <c r="CF1" s="11"/>
      <c r="CG1" s="11"/>
      <c r="CI1" s="11"/>
      <c r="CJ1" s="11"/>
    </row>
    <row r="2" spans="1:88" s="152" customFormat="1" ht="16" x14ac:dyDescent="0.2">
      <c r="A2" s="228" t="s">
        <v>476</v>
      </c>
      <c r="B2" s="187" t="s">
        <v>174</v>
      </c>
      <c r="C2" s="8">
        <v>0.16200000000000001</v>
      </c>
      <c r="D2" s="8">
        <v>0</v>
      </c>
      <c r="E2" s="7">
        <v>2.1000000000000001E-2</v>
      </c>
      <c r="F2" s="7">
        <v>9.6500000000000002E-2</v>
      </c>
      <c r="G2" s="1">
        <v>6.4999999999999997E-3</v>
      </c>
      <c r="H2" s="1">
        <v>0.03</v>
      </c>
      <c r="I2" s="1">
        <v>0.18</v>
      </c>
      <c r="J2" s="1">
        <v>0.04</v>
      </c>
      <c r="K2" s="1">
        <v>0.14000000000000001</v>
      </c>
      <c r="L2" s="1">
        <v>1.4999999999999999E-2</v>
      </c>
      <c r="M2" s="2" t="s">
        <v>175</v>
      </c>
      <c r="N2" s="105">
        <v>9200</v>
      </c>
      <c r="O2" s="119">
        <v>3.05</v>
      </c>
      <c r="P2" s="119"/>
      <c r="Q2" s="119"/>
      <c r="R2" s="119"/>
      <c r="S2" s="119"/>
      <c r="T2" s="119">
        <v>3.05</v>
      </c>
      <c r="U2" s="119"/>
      <c r="V2" s="205"/>
      <c r="W2" s="119"/>
      <c r="X2" s="119">
        <f t="shared" ref="X2:X120" si="0">MIN(O2:W2)</f>
        <v>3.05</v>
      </c>
      <c r="Y2" s="118">
        <f t="shared" ref="Y2:Y120" si="1">AVERAGE(O2:W2)</f>
        <v>3.05</v>
      </c>
      <c r="Z2" s="109">
        <f t="shared" ref="Z2:Z120" si="2">Y2*N2</f>
        <v>28060</v>
      </c>
      <c r="AA2" s="109">
        <f>'CALCULO GERAL'!$G$10</f>
        <v>6300</v>
      </c>
      <c r="AB2" s="109">
        <f t="shared" ref="AB2:AB120" si="3">Z2+AA2</f>
        <v>34360</v>
      </c>
      <c r="AC2" s="109">
        <f>AB2*'CALCULO GERAL'!$C$11</f>
        <v>172452.84</v>
      </c>
      <c r="AD2" s="109">
        <f t="shared" ref="AD2:AD120" si="4">AC2*C2</f>
        <v>27937.360079999999</v>
      </c>
      <c r="AE2" s="109">
        <f t="shared" ref="AE2:AE120" si="5">(AC2+AD2)*D2</f>
        <v>0</v>
      </c>
      <c r="AF2" s="109">
        <f t="shared" ref="AF2:AF120" si="6">AC2*E2</f>
        <v>3621.5096400000002</v>
      </c>
      <c r="AG2" s="109">
        <f t="shared" ref="AG2:AG120" si="7">AC2*F2</f>
        <v>16641.699059999999</v>
      </c>
      <c r="AH2" s="109">
        <v>154.22999999999999</v>
      </c>
      <c r="AI2" s="109">
        <f>((AA2*'CALCULO GERAL'!$C$11))*0.08+20</f>
        <v>2549.576</v>
      </c>
      <c r="AJ2" s="109">
        <v>1010</v>
      </c>
      <c r="AK2" s="109">
        <v>2500</v>
      </c>
      <c r="AL2" s="109">
        <f>(AA2*('CALCULO GERAL'!$C$11*1.02))-(AA2*'CALCULO GERAL'!$C$11)</f>
        <v>632.39400000000387</v>
      </c>
      <c r="AM2" s="109">
        <v>1800</v>
      </c>
      <c r="AN2" s="109">
        <v>2600</v>
      </c>
      <c r="AO2" s="109">
        <v>9400</v>
      </c>
      <c r="AP2" s="109">
        <v>1000</v>
      </c>
      <c r="AQ2" s="109">
        <v>0</v>
      </c>
      <c r="AR2" s="109">
        <v>0</v>
      </c>
      <c r="AS2" s="109"/>
      <c r="AT2" s="109">
        <f>SUM(AC2:AS2)</f>
        <v>242299.60878000001</v>
      </c>
      <c r="AU2" s="111">
        <f t="shared" ref="AU2:AU120" si="8">IFERROR((AT2/N2),0)</f>
        <v>26.336913997826088</v>
      </c>
      <c r="AV2" s="109">
        <f>IFERROR((BS2*'CALCULO GERAL'!$E$11)/N2,0)</f>
        <v>0.72273599999999993</v>
      </c>
      <c r="AW2" s="109">
        <f>AU2/'CALCULO GERAL'!$C$11</f>
        <v>5.2474425179968298</v>
      </c>
      <c r="AX2" s="109">
        <f>BP2-BB2-BD2*'CALCULO GERAL'!$C$11</f>
        <v>35.594748000000003</v>
      </c>
      <c r="AY2" s="109">
        <f t="shared" ref="AY2:AY120" si="9">AX2*G2</f>
        <v>0.23136586200000001</v>
      </c>
      <c r="AZ2" s="109">
        <f t="shared" ref="AZ2:AZ120" si="10">AX2*H2</f>
        <v>1.0678424399999999</v>
      </c>
      <c r="BA2" s="109">
        <f t="shared" ref="BA2:BA120" si="11">BP2-BD2</f>
        <v>36.136800000000001</v>
      </c>
      <c r="BB2" s="109">
        <f t="shared" ref="BB2:BB120" si="12">BA2*L2</f>
        <v>0.54205199999999998</v>
      </c>
      <c r="BC2" s="109">
        <f t="shared" ref="BC2:BC120" si="13">BP2/(1+D2)</f>
        <v>36.136800000000001</v>
      </c>
      <c r="BD2" s="109">
        <f t="shared" ref="BD2:BD120" si="14">BC2*D2</f>
        <v>0</v>
      </c>
      <c r="BE2" s="109">
        <f t="shared" ref="BE2:BE120" si="15">BT2*0.08</f>
        <v>26596.684799999999</v>
      </c>
      <c r="BF2" s="109">
        <f t="shared" ref="BF2:BF120" si="16">BT2*0.12</f>
        <v>39895.027199999997</v>
      </c>
      <c r="BG2" s="109">
        <f t="shared" ref="BG2:BG120" si="17">(BF2*0.09)/N2</f>
        <v>0.39027743999999992</v>
      </c>
      <c r="BH2" s="109">
        <f t="shared" ref="BH2:BH120" si="18">(BE2*0.15)/N2</f>
        <v>0.43364159999999996</v>
      </c>
      <c r="BI2" s="109">
        <f t="shared" ref="BI2:BI120" si="19">IF(BE2&gt;=$BX$1,($BX$1-BE2)*0.1,IF(BE2&lt;=$BX$1,($BX$1*0)))/N2</f>
        <v>0</v>
      </c>
      <c r="BJ2" s="109">
        <f t="shared" ref="BJ2:BJ120" si="20">(AY2+AZ2+BB2+AV2+BD2+BG2+BH2+BI2)</f>
        <v>3.3879153419999999</v>
      </c>
      <c r="BK2" s="109">
        <f>BJ2+AU2</f>
        <v>29.724829339826087</v>
      </c>
      <c r="BL2" s="148">
        <v>0.74</v>
      </c>
      <c r="BM2" s="112">
        <f>ROUND((AW2/BL2)+((AW2*BL2)*'CALCULO GERAL'!$E$11)/BL2,2)</f>
        <v>7.2</v>
      </c>
      <c r="BN2" s="186">
        <f t="shared" ref="BN2:BN157" si="21">BM2</f>
        <v>7.2</v>
      </c>
      <c r="BO2" s="186">
        <f>ROUND(FV(0.02,8,,BN2)*-1,3)</f>
        <v>8.4359999999999999</v>
      </c>
      <c r="BP2" s="109">
        <f>BM2*'CALCULO GERAL'!$C$11</f>
        <v>36.136800000000001</v>
      </c>
      <c r="BQ2" s="109">
        <f>BO2*'CALCULO GERAL'!$C$11</f>
        <v>42.340284000000004</v>
      </c>
      <c r="BR2" s="186">
        <f>BN2*'CALCULO GERAL'!$C$11</f>
        <v>36.136800000000001</v>
      </c>
      <c r="BS2" s="109">
        <f t="shared" ref="BS2:BS120" si="22">BP2*N2</f>
        <v>332458.56</v>
      </c>
      <c r="BT2" s="109">
        <f t="shared" ref="BT2:BT120" si="23">BR2*N2</f>
        <v>332458.56</v>
      </c>
      <c r="BU2" s="109">
        <f>BK2*N2</f>
        <v>273468.42992640001</v>
      </c>
      <c r="BV2" s="109">
        <f>BS2-BU2</f>
        <v>58990.130073599983</v>
      </c>
      <c r="BW2" s="114">
        <f t="shared" ref="BW2:BW120" si="24">(((BK2*N2)-BS2)/BS2*-1)</f>
        <v>0.17743603916710698</v>
      </c>
      <c r="BX2" s="152">
        <f>ROUND(BL2,2)</f>
        <v>0.74</v>
      </c>
      <c r="BZ2" s="55"/>
      <c r="CA2" s="113"/>
      <c r="CB2" s="113"/>
      <c r="CD2" s="152">
        <f>CB2/BX2</f>
        <v>0</v>
      </c>
      <c r="CE2" s="152">
        <f>100%-CD2</f>
        <v>1</v>
      </c>
      <c r="CF2" s="152">
        <f>AVERAGE(CE2,CC2)</f>
        <v>1</v>
      </c>
      <c r="CG2" s="34"/>
      <c r="CI2" s="11"/>
      <c r="CJ2" s="11"/>
    </row>
    <row r="3" spans="1:88" s="152" customFormat="1" ht="16" x14ac:dyDescent="0.2">
      <c r="A3" s="228" t="s">
        <v>477</v>
      </c>
      <c r="B3" s="187" t="s">
        <v>174</v>
      </c>
      <c r="C3" s="8">
        <v>0.16200000000000001</v>
      </c>
      <c r="D3" s="8">
        <v>0</v>
      </c>
      <c r="E3" s="7">
        <v>2.1000000000000001E-2</v>
      </c>
      <c r="F3" s="7">
        <v>9.6500000000000002E-2</v>
      </c>
      <c r="G3" s="1">
        <v>6.4999999999999997E-3</v>
      </c>
      <c r="H3" s="1">
        <v>0.03</v>
      </c>
      <c r="I3" s="1">
        <v>0.18</v>
      </c>
      <c r="J3" s="1">
        <v>0.04</v>
      </c>
      <c r="K3" s="1">
        <v>0.14000000000000001</v>
      </c>
      <c r="L3" s="1">
        <v>1.4999999999999999E-2</v>
      </c>
      <c r="M3" s="2" t="s">
        <v>175</v>
      </c>
      <c r="N3" s="105">
        <v>9200</v>
      </c>
      <c r="O3" s="119">
        <v>4.12</v>
      </c>
      <c r="P3" s="119"/>
      <c r="Q3" s="119"/>
      <c r="R3" s="119"/>
      <c r="S3" s="119"/>
      <c r="T3" s="119">
        <v>4.12</v>
      </c>
      <c r="U3" s="119"/>
      <c r="V3" s="205"/>
      <c r="W3" s="119"/>
      <c r="X3" s="119">
        <f t="shared" si="0"/>
        <v>4.12</v>
      </c>
      <c r="Y3" s="118">
        <f t="shared" si="1"/>
        <v>4.12</v>
      </c>
      <c r="Z3" s="109">
        <f t="shared" si="2"/>
        <v>37904</v>
      </c>
      <c r="AA3" s="109">
        <f>'CALCULO GERAL'!$G$10</f>
        <v>6300</v>
      </c>
      <c r="AB3" s="109">
        <f t="shared" si="3"/>
        <v>44204</v>
      </c>
      <c r="AC3" s="109">
        <f>AB3*'CALCULO GERAL'!$C$11</f>
        <v>221859.87600000002</v>
      </c>
      <c r="AD3" s="109">
        <f t="shared" si="4"/>
        <v>35941.299912000002</v>
      </c>
      <c r="AE3" s="109">
        <f t="shared" si="5"/>
        <v>0</v>
      </c>
      <c r="AF3" s="109">
        <f t="shared" si="6"/>
        <v>4659.0573960000011</v>
      </c>
      <c r="AG3" s="109">
        <f t="shared" si="7"/>
        <v>21409.478034000003</v>
      </c>
      <c r="AH3" s="109">
        <v>154.22999999999999</v>
      </c>
      <c r="AI3" s="109">
        <f>((AA3*'CALCULO GERAL'!$C$11))*0.08+20</f>
        <v>2549.576</v>
      </c>
      <c r="AJ3" s="109">
        <v>1010</v>
      </c>
      <c r="AK3" s="109">
        <v>2500</v>
      </c>
      <c r="AL3" s="109">
        <f>(AA3*('CALCULO GERAL'!$C$11*1.02))-(AA3*'CALCULO GERAL'!$C$11)</f>
        <v>632.39400000000387</v>
      </c>
      <c r="AM3" s="109">
        <v>1800</v>
      </c>
      <c r="AN3" s="109">
        <v>2600</v>
      </c>
      <c r="AO3" s="109">
        <v>9400</v>
      </c>
      <c r="AP3" s="109">
        <v>1000</v>
      </c>
      <c r="AQ3" s="109">
        <v>0</v>
      </c>
      <c r="AR3" s="109">
        <v>0</v>
      </c>
      <c r="AS3" s="109"/>
      <c r="AT3" s="109">
        <f t="shared" ref="AT3:AT70" si="25">SUM(AC3:AS3)</f>
        <v>305515.91134200006</v>
      </c>
      <c r="AU3" s="111">
        <f t="shared" si="8"/>
        <v>33.208251232826093</v>
      </c>
      <c r="AV3" s="109">
        <f>IFERROR((BS3*'CALCULO GERAL'!$E$11)/N3,0)</f>
        <v>0.91044659999999999</v>
      </c>
      <c r="AW3" s="109">
        <f>AU3/'CALCULO GERAL'!$C$11</f>
        <v>6.6165075179968307</v>
      </c>
      <c r="AX3" s="109">
        <f>BP3-BB3-BD3*'CALCULO GERAL'!$C$11</f>
        <v>44.839495050000004</v>
      </c>
      <c r="AY3" s="109">
        <f t="shared" si="9"/>
        <v>0.29145671782499999</v>
      </c>
      <c r="AZ3" s="109">
        <f t="shared" si="10"/>
        <v>1.3451848515</v>
      </c>
      <c r="BA3" s="109">
        <f t="shared" si="11"/>
        <v>45.522330000000004</v>
      </c>
      <c r="BB3" s="109">
        <f t="shared" si="12"/>
        <v>0.68283495000000005</v>
      </c>
      <c r="BC3" s="109">
        <f t="shared" si="13"/>
        <v>45.522330000000004</v>
      </c>
      <c r="BD3" s="109">
        <f t="shared" si="14"/>
        <v>0</v>
      </c>
      <c r="BE3" s="109">
        <f t="shared" si="15"/>
        <v>33504.434880000001</v>
      </c>
      <c r="BF3" s="109">
        <f t="shared" si="16"/>
        <v>50256.652320000001</v>
      </c>
      <c r="BG3" s="109">
        <f t="shared" si="17"/>
        <v>0.49164116400000002</v>
      </c>
      <c r="BH3" s="109">
        <f t="shared" si="18"/>
        <v>0.54626796</v>
      </c>
      <c r="BI3" s="109">
        <f t="shared" si="19"/>
        <v>0</v>
      </c>
      <c r="BJ3" s="109">
        <f t="shared" si="20"/>
        <v>4.2678322433249996</v>
      </c>
      <c r="BK3" s="109">
        <f t="shared" ref="BK3:BK70" si="26">BJ3+AU3</f>
        <v>37.476083476151089</v>
      </c>
      <c r="BL3" s="148">
        <v>0.74</v>
      </c>
      <c r="BM3" s="112">
        <f>ROUND((AW3/BL3)+((AW3*BL3)*'CALCULO GERAL'!$E$11)/BL3,2)</f>
        <v>9.07</v>
      </c>
      <c r="BN3" s="186">
        <f t="shared" si="21"/>
        <v>9.07</v>
      </c>
      <c r="BO3" s="186">
        <f t="shared" ref="BO3:BO70" si="27">ROUND(FV(0.02,8,,BN3)*-1,3)</f>
        <v>10.627000000000001</v>
      </c>
      <c r="BP3" s="109">
        <f>BM3*'CALCULO GERAL'!$C$11</f>
        <v>45.522330000000004</v>
      </c>
      <c r="BQ3" s="109">
        <f>BO3*'CALCULO GERAL'!$C$11</f>
        <v>53.336913000000003</v>
      </c>
      <c r="BR3" s="186">
        <f>BN3*'CALCULO GERAL'!$C$11</f>
        <v>45.522330000000004</v>
      </c>
      <c r="BS3" s="109">
        <f t="shared" si="22"/>
        <v>418805.43600000005</v>
      </c>
      <c r="BT3" s="109">
        <f t="shared" si="23"/>
        <v>418805.43600000005</v>
      </c>
      <c r="BU3" s="109">
        <f t="shared" ref="BU3:BU71" si="28">BK3*N3</f>
        <v>344779.96798059001</v>
      </c>
      <c r="BV3" s="109">
        <f t="shared" ref="BV3:BV70" si="29">BS3-BU3</f>
        <v>74025.468019410037</v>
      </c>
      <c r="BW3" s="114">
        <f t="shared" si="24"/>
        <v>0.17675383759682151</v>
      </c>
      <c r="BX3" s="152">
        <f t="shared" ref="BX3:BX71" si="30">ROUND(BL3,2)</f>
        <v>0.74</v>
      </c>
      <c r="BZ3" s="55"/>
      <c r="CA3" s="113"/>
      <c r="CB3" s="113"/>
      <c r="CD3" s="152">
        <f t="shared" ref="CD3:CD71" si="31">CB3/BX3</f>
        <v>0</v>
      </c>
      <c r="CE3" s="152">
        <f t="shared" ref="CE3:CE70" si="32">100%-CD3</f>
        <v>1</v>
      </c>
      <c r="CF3" s="152">
        <f t="shared" ref="CF3:CF70" si="33">AVERAGE(CE3,CC3)</f>
        <v>1</v>
      </c>
      <c r="CG3" s="34"/>
      <c r="CI3" s="11"/>
      <c r="CJ3" s="11"/>
    </row>
    <row r="4" spans="1:88" s="152" customFormat="1" ht="16" x14ac:dyDescent="0.2">
      <c r="A4" s="228" t="s">
        <v>478</v>
      </c>
      <c r="B4" s="187" t="s">
        <v>174</v>
      </c>
      <c r="C4" s="8">
        <v>0.16200000000000001</v>
      </c>
      <c r="D4" s="8">
        <v>0</v>
      </c>
      <c r="E4" s="7">
        <v>2.1000000000000001E-2</v>
      </c>
      <c r="F4" s="7">
        <v>9.6500000000000002E-2</v>
      </c>
      <c r="G4" s="1">
        <v>6.4999999999999997E-3</v>
      </c>
      <c r="H4" s="1">
        <v>0.03</v>
      </c>
      <c r="I4" s="1">
        <v>0.18</v>
      </c>
      <c r="J4" s="1">
        <v>0.04</v>
      </c>
      <c r="K4" s="1">
        <v>0.14000000000000001</v>
      </c>
      <c r="L4" s="1">
        <v>1.4999999999999999E-2</v>
      </c>
      <c r="M4" s="2" t="s">
        <v>175</v>
      </c>
      <c r="N4" s="105">
        <v>9200</v>
      </c>
      <c r="O4" s="119">
        <v>4.5999999999999996</v>
      </c>
      <c r="P4" s="119"/>
      <c r="Q4" s="119"/>
      <c r="R4" s="119"/>
      <c r="S4" s="119"/>
      <c r="T4" s="119">
        <v>4.5999999999999996</v>
      </c>
      <c r="U4" s="119"/>
      <c r="V4" s="205"/>
      <c r="W4" s="119"/>
      <c r="X4" s="119">
        <f t="shared" si="0"/>
        <v>4.5999999999999996</v>
      </c>
      <c r="Y4" s="118">
        <f t="shared" si="1"/>
        <v>4.5999999999999996</v>
      </c>
      <c r="Z4" s="109">
        <f t="shared" si="2"/>
        <v>42320</v>
      </c>
      <c r="AA4" s="109">
        <f>'CALCULO GERAL'!$G$10</f>
        <v>6300</v>
      </c>
      <c r="AB4" s="109">
        <f t="shared" si="3"/>
        <v>48620</v>
      </c>
      <c r="AC4" s="109">
        <f>AB4*'CALCULO GERAL'!$C$11</f>
        <v>244023.78</v>
      </c>
      <c r="AD4" s="109">
        <f t="shared" si="4"/>
        <v>39531.852360000004</v>
      </c>
      <c r="AE4" s="109">
        <f t="shared" si="5"/>
        <v>0</v>
      </c>
      <c r="AF4" s="109">
        <f t="shared" si="6"/>
        <v>5124.4993800000002</v>
      </c>
      <c r="AG4" s="109">
        <f t="shared" si="7"/>
        <v>23548.29477</v>
      </c>
      <c r="AH4" s="109">
        <v>154.22999999999999</v>
      </c>
      <c r="AI4" s="109">
        <f>((AA4*'CALCULO GERAL'!$C$11))*0.08+20</f>
        <v>2549.576</v>
      </c>
      <c r="AJ4" s="109">
        <v>1010</v>
      </c>
      <c r="AK4" s="109">
        <v>2500</v>
      </c>
      <c r="AL4" s="109">
        <f>(AA4*('CALCULO GERAL'!$C$11*1.02))-(AA4*'CALCULO GERAL'!$C$11)</f>
        <v>632.39400000000387</v>
      </c>
      <c r="AM4" s="109">
        <v>1800</v>
      </c>
      <c r="AN4" s="109">
        <v>2600</v>
      </c>
      <c r="AO4" s="109">
        <v>9400</v>
      </c>
      <c r="AP4" s="109">
        <v>1000</v>
      </c>
      <c r="AQ4" s="109">
        <v>0</v>
      </c>
      <c r="AR4" s="109">
        <v>0</v>
      </c>
      <c r="AS4" s="109"/>
      <c r="AT4" s="109">
        <f t="shared" si="25"/>
        <v>333874.62650999997</v>
      </c>
      <c r="AU4" s="111">
        <f t="shared" si="8"/>
        <v>36.290720272826086</v>
      </c>
      <c r="AV4" s="109">
        <f>IFERROR((BS4*'CALCULO GERAL'!$E$11)/N4,0)</f>
        <v>0.99576960000000014</v>
      </c>
      <c r="AW4" s="109">
        <f>AU4/'CALCULO GERAL'!$C$11</f>
        <v>7.2306675179968289</v>
      </c>
      <c r="AX4" s="109">
        <f>BP4-BB4-BD4*'CALCULO GERAL'!$C$11</f>
        <v>49.041652800000001</v>
      </c>
      <c r="AY4" s="109">
        <f t="shared" si="9"/>
        <v>0.31877074319999998</v>
      </c>
      <c r="AZ4" s="109">
        <f t="shared" si="10"/>
        <v>1.4712495839999999</v>
      </c>
      <c r="BA4" s="109">
        <f t="shared" si="11"/>
        <v>49.78848</v>
      </c>
      <c r="BB4" s="109">
        <f t="shared" si="12"/>
        <v>0.74682720000000002</v>
      </c>
      <c r="BC4" s="109">
        <f t="shared" si="13"/>
        <v>49.78848</v>
      </c>
      <c r="BD4" s="109">
        <f t="shared" si="14"/>
        <v>0</v>
      </c>
      <c r="BE4" s="109">
        <f t="shared" si="15"/>
        <v>36644.321280000004</v>
      </c>
      <c r="BF4" s="109">
        <f t="shared" si="16"/>
        <v>54966.481919999998</v>
      </c>
      <c r="BG4" s="109">
        <f t="shared" si="17"/>
        <v>0.53771558399999997</v>
      </c>
      <c r="BH4" s="109">
        <f t="shared" si="18"/>
        <v>0.59746176000000006</v>
      </c>
      <c r="BI4" s="109">
        <f t="shared" si="19"/>
        <v>0</v>
      </c>
      <c r="BJ4" s="109">
        <f t="shared" si="20"/>
        <v>4.6677944711999997</v>
      </c>
      <c r="BK4" s="109">
        <f t="shared" si="26"/>
        <v>40.958514744026083</v>
      </c>
      <c r="BL4" s="148">
        <v>0.74</v>
      </c>
      <c r="BM4" s="112">
        <f>ROUND((AW4/BL4)+((AW4*BL4)*'CALCULO GERAL'!$E$11)/BL4,2)</f>
        <v>9.92</v>
      </c>
      <c r="BN4" s="186">
        <f t="shared" si="21"/>
        <v>9.92</v>
      </c>
      <c r="BO4" s="186">
        <f t="shared" si="27"/>
        <v>11.622999999999999</v>
      </c>
      <c r="BP4" s="109">
        <f>BM4*'CALCULO GERAL'!$C$11</f>
        <v>49.78848</v>
      </c>
      <c r="BQ4" s="109">
        <f>BO4*'CALCULO GERAL'!$C$11</f>
        <v>58.335836999999998</v>
      </c>
      <c r="BR4" s="186">
        <f>BN4*'CALCULO GERAL'!$C$11</f>
        <v>49.78848</v>
      </c>
      <c r="BS4" s="109">
        <f t="shared" si="22"/>
        <v>458054.016</v>
      </c>
      <c r="BT4" s="109">
        <f t="shared" si="23"/>
        <v>458054.016</v>
      </c>
      <c r="BU4" s="109">
        <f t="shared" si="28"/>
        <v>376818.33564503997</v>
      </c>
      <c r="BV4" s="109">
        <f t="shared" si="29"/>
        <v>81235.68035496003</v>
      </c>
      <c r="BW4" s="114">
        <f t="shared" si="24"/>
        <v>0.17734956471806163</v>
      </c>
      <c r="BX4" s="152">
        <f t="shared" si="30"/>
        <v>0.74</v>
      </c>
      <c r="BZ4" s="55"/>
      <c r="CA4" s="113"/>
      <c r="CB4" s="113"/>
      <c r="CD4" s="152">
        <f t="shared" si="31"/>
        <v>0</v>
      </c>
      <c r="CE4" s="152">
        <f t="shared" si="32"/>
        <v>1</v>
      </c>
      <c r="CF4" s="152">
        <f t="shared" si="33"/>
        <v>1</v>
      </c>
      <c r="CG4" s="34"/>
      <c r="CI4" s="11"/>
      <c r="CJ4" s="11"/>
    </row>
    <row r="5" spans="1:88" s="152" customFormat="1" ht="16" x14ac:dyDescent="0.2">
      <c r="A5" s="228" t="s">
        <v>479</v>
      </c>
      <c r="B5" s="187" t="s">
        <v>174</v>
      </c>
      <c r="C5" s="8">
        <v>0.16200000000000001</v>
      </c>
      <c r="D5" s="8">
        <v>0</v>
      </c>
      <c r="E5" s="7">
        <v>2.1000000000000001E-2</v>
      </c>
      <c r="F5" s="7">
        <v>9.6500000000000002E-2</v>
      </c>
      <c r="G5" s="1">
        <v>6.4999999999999997E-3</v>
      </c>
      <c r="H5" s="1">
        <v>0.03</v>
      </c>
      <c r="I5" s="1">
        <v>0.18</v>
      </c>
      <c r="J5" s="1">
        <v>0.04</v>
      </c>
      <c r="K5" s="1">
        <v>0.14000000000000001</v>
      </c>
      <c r="L5" s="1">
        <v>1.4999999999999999E-2</v>
      </c>
      <c r="M5" s="2" t="s">
        <v>175</v>
      </c>
      <c r="N5" s="105">
        <v>9200</v>
      </c>
      <c r="O5" s="119">
        <v>5.0999999999999996</v>
      </c>
      <c r="P5" s="119"/>
      <c r="Q5" s="119"/>
      <c r="R5" s="119"/>
      <c r="S5" s="119"/>
      <c r="T5" s="119">
        <v>5.0999999999999996</v>
      </c>
      <c r="U5" s="119"/>
      <c r="V5" s="205"/>
      <c r="W5" s="119"/>
      <c r="X5" s="119">
        <f t="shared" si="0"/>
        <v>5.0999999999999996</v>
      </c>
      <c r="Y5" s="118">
        <f t="shared" si="1"/>
        <v>5.0999999999999996</v>
      </c>
      <c r="Z5" s="109">
        <f t="shared" si="2"/>
        <v>46920</v>
      </c>
      <c r="AA5" s="109">
        <f>'CALCULO GERAL'!$G$10</f>
        <v>6300</v>
      </c>
      <c r="AB5" s="109">
        <f t="shared" si="3"/>
        <v>53220</v>
      </c>
      <c r="AC5" s="109">
        <f>AB5*'CALCULO GERAL'!$C$11</f>
        <v>267111.18</v>
      </c>
      <c r="AD5" s="109">
        <f t="shared" si="4"/>
        <v>43272.011160000002</v>
      </c>
      <c r="AE5" s="109">
        <f t="shared" si="5"/>
        <v>0</v>
      </c>
      <c r="AF5" s="109">
        <f t="shared" si="6"/>
        <v>5609.3347800000001</v>
      </c>
      <c r="AG5" s="109">
        <f t="shared" si="7"/>
        <v>25776.228869999999</v>
      </c>
      <c r="AH5" s="109">
        <v>154.22999999999999</v>
      </c>
      <c r="AI5" s="109">
        <f>((AA5*'CALCULO GERAL'!$C$11))*0.08+20</f>
        <v>2549.576</v>
      </c>
      <c r="AJ5" s="109">
        <v>1010</v>
      </c>
      <c r="AK5" s="109">
        <v>2500</v>
      </c>
      <c r="AL5" s="109">
        <f>(AA5*('CALCULO GERAL'!$C$11*1.02))-(AA5*'CALCULO GERAL'!$C$11)</f>
        <v>632.39400000000387</v>
      </c>
      <c r="AM5" s="109">
        <v>1800</v>
      </c>
      <c r="AN5" s="109">
        <v>2600</v>
      </c>
      <c r="AO5" s="109">
        <v>9400</v>
      </c>
      <c r="AP5" s="109">
        <v>1000</v>
      </c>
      <c r="AQ5" s="109">
        <v>0</v>
      </c>
      <c r="AR5" s="109">
        <v>0</v>
      </c>
      <c r="AS5" s="109"/>
      <c r="AT5" s="109">
        <f t="shared" si="25"/>
        <v>363414.95480999997</v>
      </c>
      <c r="AU5" s="111">
        <f t="shared" si="8"/>
        <v>39.501625522826082</v>
      </c>
      <c r="AV5" s="109">
        <f>IFERROR((BS5*'CALCULO GERAL'!$E$11)/N5,0)</f>
        <v>1.0831001999999998</v>
      </c>
      <c r="AW5" s="109">
        <f>AU5/'CALCULO GERAL'!$C$11</f>
        <v>7.8704175179968283</v>
      </c>
      <c r="AX5" s="109">
        <f>BP5-BB5-BD5*'CALCULO GERAL'!$C$11</f>
        <v>53.342684849999998</v>
      </c>
      <c r="AY5" s="109">
        <f t="shared" si="9"/>
        <v>0.34672745152499995</v>
      </c>
      <c r="AZ5" s="109">
        <f t="shared" si="10"/>
        <v>1.6002805454999998</v>
      </c>
      <c r="BA5" s="109">
        <f t="shared" si="11"/>
        <v>54.155009999999997</v>
      </c>
      <c r="BB5" s="109">
        <f t="shared" si="12"/>
        <v>0.81232514999999994</v>
      </c>
      <c r="BC5" s="109">
        <f t="shared" si="13"/>
        <v>54.155009999999997</v>
      </c>
      <c r="BD5" s="109">
        <f t="shared" si="14"/>
        <v>0</v>
      </c>
      <c r="BE5" s="109">
        <f t="shared" si="15"/>
        <v>39858.087359999998</v>
      </c>
      <c r="BF5" s="109">
        <f t="shared" si="16"/>
        <v>59787.131039999993</v>
      </c>
      <c r="BG5" s="109">
        <f t="shared" si="17"/>
        <v>0.58487410799999995</v>
      </c>
      <c r="BH5" s="109">
        <f t="shared" si="18"/>
        <v>0.64986011999999993</v>
      </c>
      <c r="BI5" s="109">
        <f t="shared" si="19"/>
        <v>0</v>
      </c>
      <c r="BJ5" s="109">
        <f t="shared" si="20"/>
        <v>5.0771675750249994</v>
      </c>
      <c r="BK5" s="109">
        <f t="shared" si="26"/>
        <v>44.578793097851083</v>
      </c>
      <c r="BL5" s="148">
        <v>0.74</v>
      </c>
      <c r="BM5" s="112">
        <f>ROUND((AW5/BL5)+((AW5*BL5)*'CALCULO GERAL'!$E$11)/BL5,2)</f>
        <v>10.79</v>
      </c>
      <c r="BN5" s="186">
        <f t="shared" si="21"/>
        <v>10.79</v>
      </c>
      <c r="BO5" s="186">
        <f t="shared" si="27"/>
        <v>12.641999999999999</v>
      </c>
      <c r="BP5" s="109">
        <f>BM5*'CALCULO GERAL'!$C$11</f>
        <v>54.155009999999997</v>
      </c>
      <c r="BQ5" s="109">
        <f>BO5*'CALCULO GERAL'!$C$11</f>
        <v>63.450198</v>
      </c>
      <c r="BR5" s="186">
        <f>BN5*'CALCULO GERAL'!$C$11</f>
        <v>54.155009999999997</v>
      </c>
      <c r="BS5" s="109">
        <f t="shared" si="22"/>
        <v>498226.09199999995</v>
      </c>
      <c r="BT5" s="109">
        <f t="shared" si="23"/>
        <v>498226.09199999995</v>
      </c>
      <c r="BU5" s="109">
        <f t="shared" si="28"/>
        <v>410124.89650022995</v>
      </c>
      <c r="BV5" s="109">
        <f t="shared" si="29"/>
        <v>88101.195499769994</v>
      </c>
      <c r="BW5" s="114">
        <f t="shared" si="24"/>
        <v>0.17682975041734666</v>
      </c>
      <c r="BX5" s="152">
        <f t="shared" si="30"/>
        <v>0.74</v>
      </c>
      <c r="BZ5" s="55"/>
      <c r="CA5" s="113"/>
      <c r="CB5" s="113"/>
      <c r="CD5" s="152">
        <f t="shared" si="31"/>
        <v>0</v>
      </c>
      <c r="CE5" s="152">
        <f t="shared" si="32"/>
        <v>1</v>
      </c>
      <c r="CF5" s="152">
        <f t="shared" si="33"/>
        <v>1</v>
      </c>
      <c r="CG5" s="34"/>
      <c r="CI5" s="11"/>
      <c r="CJ5" s="11"/>
    </row>
    <row r="6" spans="1:88" s="152" customFormat="1" ht="16" x14ac:dyDescent="0.2">
      <c r="A6" s="228" t="s">
        <v>480</v>
      </c>
      <c r="B6" s="187" t="s">
        <v>174</v>
      </c>
      <c r="C6" s="8">
        <v>0.16200000000000001</v>
      </c>
      <c r="D6" s="8">
        <v>0</v>
      </c>
      <c r="E6" s="7">
        <v>2.1000000000000001E-2</v>
      </c>
      <c r="F6" s="7">
        <v>9.6500000000000002E-2</v>
      </c>
      <c r="G6" s="1">
        <v>6.4999999999999997E-3</v>
      </c>
      <c r="H6" s="1">
        <v>0.03</v>
      </c>
      <c r="I6" s="1">
        <v>0.18</v>
      </c>
      <c r="J6" s="1">
        <v>0.04</v>
      </c>
      <c r="K6" s="1">
        <v>0.14000000000000001</v>
      </c>
      <c r="L6" s="1">
        <v>1.4999999999999999E-2</v>
      </c>
      <c r="M6" s="2" t="s">
        <v>175</v>
      </c>
      <c r="N6" s="105">
        <v>9200</v>
      </c>
      <c r="O6" s="119">
        <v>3.06</v>
      </c>
      <c r="P6" s="119"/>
      <c r="Q6" s="119"/>
      <c r="R6" s="119"/>
      <c r="S6" s="119"/>
      <c r="T6" s="119">
        <v>3.06</v>
      </c>
      <c r="U6" s="119"/>
      <c r="V6" s="205"/>
      <c r="W6" s="119"/>
      <c r="X6" s="119">
        <f t="shared" si="0"/>
        <v>3.06</v>
      </c>
      <c r="Y6" s="118">
        <f t="shared" si="1"/>
        <v>3.06</v>
      </c>
      <c r="Z6" s="109">
        <f t="shared" si="2"/>
        <v>28152</v>
      </c>
      <c r="AA6" s="109">
        <f>'CALCULO GERAL'!$G$10</f>
        <v>6300</v>
      </c>
      <c r="AB6" s="109">
        <f t="shared" si="3"/>
        <v>34452</v>
      </c>
      <c r="AC6" s="109">
        <f>AB6*'CALCULO GERAL'!$C$11</f>
        <v>172914.58800000002</v>
      </c>
      <c r="AD6" s="109">
        <f t="shared" si="4"/>
        <v>28012.163256000003</v>
      </c>
      <c r="AE6" s="109">
        <f t="shared" si="5"/>
        <v>0</v>
      </c>
      <c r="AF6" s="109">
        <f t="shared" si="6"/>
        <v>3631.2063480000006</v>
      </c>
      <c r="AG6" s="109">
        <f t="shared" si="7"/>
        <v>16686.257742000002</v>
      </c>
      <c r="AH6" s="109">
        <v>154.22999999999999</v>
      </c>
      <c r="AI6" s="109">
        <f>((AA6*'CALCULO GERAL'!$C$11))*0.08+20</f>
        <v>2549.576</v>
      </c>
      <c r="AJ6" s="109">
        <v>1010</v>
      </c>
      <c r="AK6" s="109">
        <v>2500</v>
      </c>
      <c r="AL6" s="109">
        <f>(AA6*('CALCULO GERAL'!$C$11*1.02))-(AA6*'CALCULO GERAL'!$C$11)</f>
        <v>632.39400000000387</v>
      </c>
      <c r="AM6" s="109">
        <v>1800</v>
      </c>
      <c r="AN6" s="109">
        <v>2600</v>
      </c>
      <c r="AO6" s="109">
        <v>9400</v>
      </c>
      <c r="AP6" s="109">
        <v>1000</v>
      </c>
      <c r="AQ6" s="109">
        <v>0</v>
      </c>
      <c r="AR6" s="109">
        <v>0</v>
      </c>
      <c r="AS6" s="109"/>
      <c r="AT6" s="109">
        <f t="shared" si="25"/>
        <v>242890.41534600005</v>
      </c>
      <c r="AU6" s="111">
        <f t="shared" si="8"/>
        <v>26.401132102826093</v>
      </c>
      <c r="AV6" s="109">
        <f>IFERROR((BS6*'CALCULO GERAL'!$E$11)/N6,0)</f>
        <v>0.72373980000000004</v>
      </c>
      <c r="AW6" s="109">
        <f>AU6/'CALCULO GERAL'!$C$11</f>
        <v>5.2602375179968304</v>
      </c>
      <c r="AX6" s="109">
        <f>BP6-BB6-BD6*'CALCULO GERAL'!$C$11</f>
        <v>35.644185149999998</v>
      </c>
      <c r="AY6" s="109">
        <f t="shared" si="9"/>
        <v>0.23168720347499999</v>
      </c>
      <c r="AZ6" s="109">
        <f t="shared" si="10"/>
        <v>1.0693255545</v>
      </c>
      <c r="BA6" s="109">
        <f t="shared" si="11"/>
        <v>36.186990000000002</v>
      </c>
      <c r="BB6" s="109">
        <f t="shared" si="12"/>
        <v>0.54280485000000001</v>
      </c>
      <c r="BC6" s="109">
        <f t="shared" si="13"/>
        <v>36.186990000000002</v>
      </c>
      <c r="BD6" s="109">
        <f t="shared" si="14"/>
        <v>0</v>
      </c>
      <c r="BE6" s="109">
        <f t="shared" si="15"/>
        <v>26633.624640000002</v>
      </c>
      <c r="BF6" s="109">
        <f t="shared" si="16"/>
        <v>39950.436959999999</v>
      </c>
      <c r="BG6" s="109">
        <f t="shared" si="17"/>
        <v>0.39081949199999999</v>
      </c>
      <c r="BH6" s="109">
        <f t="shared" si="18"/>
        <v>0.43424388000000003</v>
      </c>
      <c r="BI6" s="109">
        <f t="shared" si="19"/>
        <v>0</v>
      </c>
      <c r="BJ6" s="109">
        <f t="shared" si="20"/>
        <v>3.3926207799749997</v>
      </c>
      <c r="BK6" s="109">
        <f t="shared" si="26"/>
        <v>29.793752882801094</v>
      </c>
      <c r="BL6" s="148">
        <v>0.74</v>
      </c>
      <c r="BM6" s="112">
        <f>ROUND((AW6/BL6)+((AW6*BL6)*'CALCULO GERAL'!$E$11)/BL6,2)</f>
        <v>7.21</v>
      </c>
      <c r="BN6" s="186">
        <f t="shared" si="21"/>
        <v>7.21</v>
      </c>
      <c r="BO6" s="186">
        <f t="shared" si="27"/>
        <v>8.4480000000000004</v>
      </c>
      <c r="BP6" s="109">
        <f>BM6*'CALCULO GERAL'!$C$11</f>
        <v>36.186990000000002</v>
      </c>
      <c r="BQ6" s="109">
        <f>BO6*'CALCULO GERAL'!$C$11</f>
        <v>42.400512000000006</v>
      </c>
      <c r="BR6" s="186">
        <f>BN6*'CALCULO GERAL'!$C$11</f>
        <v>36.186990000000002</v>
      </c>
      <c r="BS6" s="109">
        <f t="shared" si="22"/>
        <v>332920.30800000002</v>
      </c>
      <c r="BT6" s="109">
        <f t="shared" si="23"/>
        <v>332920.30800000002</v>
      </c>
      <c r="BU6" s="109">
        <f t="shared" si="28"/>
        <v>274102.52652177005</v>
      </c>
      <c r="BV6" s="109">
        <f t="shared" si="29"/>
        <v>58817.781478229968</v>
      </c>
      <c r="BW6" s="114">
        <f t="shared" si="24"/>
        <v>0.17667225478546045</v>
      </c>
      <c r="BX6" s="152">
        <f t="shared" si="30"/>
        <v>0.74</v>
      </c>
      <c r="BZ6" s="55"/>
      <c r="CA6" s="113"/>
      <c r="CB6" s="113"/>
      <c r="CD6" s="152">
        <f t="shared" si="31"/>
        <v>0</v>
      </c>
      <c r="CE6" s="152">
        <f t="shared" si="32"/>
        <v>1</v>
      </c>
      <c r="CF6" s="152">
        <f t="shared" si="33"/>
        <v>1</v>
      </c>
      <c r="CG6" s="34"/>
      <c r="CI6" s="11"/>
      <c r="CJ6" s="11"/>
    </row>
    <row r="7" spans="1:88" s="152" customFormat="1" ht="16" x14ac:dyDescent="0.2">
      <c r="A7" s="228" t="s">
        <v>481</v>
      </c>
      <c r="B7" s="187" t="s">
        <v>174</v>
      </c>
      <c r="C7" s="8">
        <v>0.16200000000000001</v>
      </c>
      <c r="D7" s="8">
        <v>0</v>
      </c>
      <c r="E7" s="7">
        <v>2.1000000000000001E-2</v>
      </c>
      <c r="F7" s="7">
        <v>9.6500000000000002E-2</v>
      </c>
      <c r="G7" s="1">
        <v>6.4999999999999997E-3</v>
      </c>
      <c r="H7" s="1">
        <v>0.03</v>
      </c>
      <c r="I7" s="1">
        <v>0.18</v>
      </c>
      <c r="J7" s="1">
        <v>0.04</v>
      </c>
      <c r="K7" s="1">
        <v>0.14000000000000001</v>
      </c>
      <c r="L7" s="1">
        <v>1.4999999999999999E-2</v>
      </c>
      <c r="M7" s="2" t="s">
        <v>175</v>
      </c>
      <c r="N7" s="105">
        <v>9200</v>
      </c>
      <c r="O7" s="119">
        <v>4.13</v>
      </c>
      <c r="P7" s="119"/>
      <c r="Q7" s="119"/>
      <c r="R7" s="119"/>
      <c r="S7" s="119"/>
      <c r="T7" s="119">
        <v>4.13</v>
      </c>
      <c r="U7" s="119"/>
      <c r="V7" s="205"/>
      <c r="W7" s="119"/>
      <c r="X7" s="119">
        <f t="shared" si="0"/>
        <v>4.13</v>
      </c>
      <c r="Y7" s="118">
        <f t="shared" si="1"/>
        <v>4.13</v>
      </c>
      <c r="Z7" s="109">
        <f t="shared" si="2"/>
        <v>37996</v>
      </c>
      <c r="AA7" s="109">
        <f>'CALCULO GERAL'!$G$10</f>
        <v>6300</v>
      </c>
      <c r="AB7" s="109">
        <f t="shared" si="3"/>
        <v>44296</v>
      </c>
      <c r="AC7" s="109">
        <f>AB7*'CALCULO GERAL'!$C$11</f>
        <v>222321.62400000001</v>
      </c>
      <c r="AD7" s="109">
        <f t="shared" si="4"/>
        <v>36016.103088000003</v>
      </c>
      <c r="AE7" s="109">
        <f t="shared" si="5"/>
        <v>0</v>
      </c>
      <c r="AF7" s="109">
        <f t="shared" si="6"/>
        <v>4668.7541040000006</v>
      </c>
      <c r="AG7" s="109">
        <f t="shared" si="7"/>
        <v>21454.036716000002</v>
      </c>
      <c r="AH7" s="109">
        <v>154.22999999999999</v>
      </c>
      <c r="AI7" s="109">
        <f>((AA7*'CALCULO GERAL'!$C$11))*0.08+20</f>
        <v>2549.576</v>
      </c>
      <c r="AJ7" s="109">
        <v>1010</v>
      </c>
      <c r="AK7" s="109">
        <v>2500</v>
      </c>
      <c r="AL7" s="109">
        <f>(AA7*('CALCULO GERAL'!$C$11*1.02))-(AA7*'CALCULO GERAL'!$C$11)</f>
        <v>632.39400000000387</v>
      </c>
      <c r="AM7" s="109">
        <v>1800</v>
      </c>
      <c r="AN7" s="109">
        <v>2600</v>
      </c>
      <c r="AO7" s="109">
        <v>9400</v>
      </c>
      <c r="AP7" s="109">
        <v>1000</v>
      </c>
      <c r="AQ7" s="109">
        <v>0</v>
      </c>
      <c r="AR7" s="109">
        <v>0</v>
      </c>
      <c r="AS7" s="109"/>
      <c r="AT7" s="109">
        <f t="shared" si="25"/>
        <v>306106.71790800005</v>
      </c>
      <c r="AU7" s="111">
        <f t="shared" si="8"/>
        <v>33.272469337826095</v>
      </c>
      <c r="AV7" s="109">
        <f>IFERROR((BS7*'CALCULO GERAL'!$E$11)/N7,0)</f>
        <v>0.91245419999999999</v>
      </c>
      <c r="AW7" s="109">
        <f>AU7/'CALCULO GERAL'!$C$11</f>
        <v>6.6293025179968312</v>
      </c>
      <c r="AX7" s="109">
        <f>BP7-BB7-BD7*'CALCULO GERAL'!$C$11</f>
        <v>44.938369349999995</v>
      </c>
      <c r="AY7" s="109">
        <f t="shared" si="9"/>
        <v>0.29209940077499996</v>
      </c>
      <c r="AZ7" s="109">
        <f t="shared" si="10"/>
        <v>1.3481510804999999</v>
      </c>
      <c r="BA7" s="109">
        <f t="shared" si="11"/>
        <v>45.622709999999998</v>
      </c>
      <c r="BB7" s="109">
        <f t="shared" si="12"/>
        <v>0.68434064999999999</v>
      </c>
      <c r="BC7" s="109">
        <f t="shared" si="13"/>
        <v>45.622709999999998</v>
      </c>
      <c r="BD7" s="109">
        <f t="shared" si="14"/>
        <v>0</v>
      </c>
      <c r="BE7" s="109">
        <f t="shared" si="15"/>
        <v>33578.314559999999</v>
      </c>
      <c r="BF7" s="109">
        <f t="shared" si="16"/>
        <v>50367.471839999998</v>
      </c>
      <c r="BG7" s="109">
        <f t="shared" si="17"/>
        <v>0.49272526799999994</v>
      </c>
      <c r="BH7" s="109">
        <f t="shared" si="18"/>
        <v>0.54747252000000002</v>
      </c>
      <c r="BI7" s="109">
        <f t="shared" si="19"/>
        <v>0</v>
      </c>
      <c r="BJ7" s="109">
        <f t="shared" si="20"/>
        <v>4.277243119275</v>
      </c>
      <c r="BK7" s="109">
        <f t="shared" si="26"/>
        <v>37.549712457101094</v>
      </c>
      <c r="BL7" s="148">
        <v>0.74</v>
      </c>
      <c r="BM7" s="112">
        <f>ROUND((AW7/BL7)+((AW7*BL7)*'CALCULO GERAL'!$E$11)/BL7,2)</f>
        <v>9.09</v>
      </c>
      <c r="BN7" s="186">
        <f t="shared" si="21"/>
        <v>9.09</v>
      </c>
      <c r="BO7" s="186">
        <f t="shared" si="27"/>
        <v>10.65</v>
      </c>
      <c r="BP7" s="109">
        <f>BM7*'CALCULO GERAL'!$C$11</f>
        <v>45.622709999999998</v>
      </c>
      <c r="BQ7" s="109">
        <f>BO7*'CALCULO GERAL'!$C$11</f>
        <v>53.452350000000003</v>
      </c>
      <c r="BR7" s="186">
        <f>BN7*'CALCULO GERAL'!$C$11</f>
        <v>45.622709999999998</v>
      </c>
      <c r="BS7" s="109">
        <f t="shared" si="22"/>
        <v>419728.93199999997</v>
      </c>
      <c r="BT7" s="109">
        <f t="shared" si="23"/>
        <v>419728.93199999997</v>
      </c>
      <c r="BU7" s="109">
        <f t="shared" si="28"/>
        <v>345457.3546053301</v>
      </c>
      <c r="BV7" s="109">
        <f t="shared" si="29"/>
        <v>74271.577394669876</v>
      </c>
      <c r="BW7" s="114">
        <f t="shared" si="24"/>
        <v>0.17695129339968846</v>
      </c>
      <c r="BX7" s="152">
        <f t="shared" si="30"/>
        <v>0.74</v>
      </c>
      <c r="BZ7" s="55"/>
      <c r="CA7" s="113"/>
      <c r="CB7" s="113"/>
      <c r="CD7" s="152">
        <f t="shared" si="31"/>
        <v>0</v>
      </c>
      <c r="CE7" s="152">
        <f t="shared" si="32"/>
        <v>1</v>
      </c>
      <c r="CF7" s="152">
        <f t="shared" si="33"/>
        <v>1</v>
      </c>
      <c r="CG7" s="34"/>
      <c r="CI7" s="11"/>
      <c r="CJ7" s="11"/>
    </row>
    <row r="8" spans="1:88" s="152" customFormat="1" ht="16" x14ac:dyDescent="0.2">
      <c r="A8" s="228" t="s">
        <v>482</v>
      </c>
      <c r="B8" s="187" t="s">
        <v>174</v>
      </c>
      <c r="C8" s="8">
        <v>0.16200000000000001</v>
      </c>
      <c r="D8" s="8">
        <v>0</v>
      </c>
      <c r="E8" s="7">
        <v>2.1000000000000001E-2</v>
      </c>
      <c r="F8" s="7">
        <v>9.6500000000000002E-2</v>
      </c>
      <c r="G8" s="1">
        <v>6.4999999999999997E-3</v>
      </c>
      <c r="H8" s="1">
        <v>0.03</v>
      </c>
      <c r="I8" s="1">
        <v>0.18</v>
      </c>
      <c r="J8" s="1">
        <v>0.04</v>
      </c>
      <c r="K8" s="1">
        <v>0.14000000000000001</v>
      </c>
      <c r="L8" s="1">
        <v>1.4999999999999999E-2</v>
      </c>
      <c r="M8" s="2" t="s">
        <v>175</v>
      </c>
      <c r="N8" s="105">
        <v>9200</v>
      </c>
      <c r="O8" s="119">
        <v>4.62</v>
      </c>
      <c r="P8" s="119"/>
      <c r="Q8" s="119"/>
      <c r="R8" s="119"/>
      <c r="S8" s="119"/>
      <c r="T8" s="119">
        <v>4.62</v>
      </c>
      <c r="U8" s="119"/>
      <c r="V8" s="205"/>
      <c r="W8" s="119"/>
      <c r="X8" s="119">
        <f t="shared" si="0"/>
        <v>4.62</v>
      </c>
      <c r="Y8" s="118">
        <f t="shared" si="1"/>
        <v>4.62</v>
      </c>
      <c r="Z8" s="109">
        <f t="shared" si="2"/>
        <v>42504</v>
      </c>
      <c r="AA8" s="109">
        <f>'CALCULO GERAL'!$G$10</f>
        <v>6300</v>
      </c>
      <c r="AB8" s="109">
        <f t="shared" si="3"/>
        <v>48804</v>
      </c>
      <c r="AC8" s="109">
        <f>AB8*'CALCULO GERAL'!$C$11</f>
        <v>244947.27600000001</v>
      </c>
      <c r="AD8" s="109">
        <f t="shared" si="4"/>
        <v>39681.458712</v>
      </c>
      <c r="AE8" s="109">
        <f t="shared" si="5"/>
        <v>0</v>
      </c>
      <c r="AF8" s="109">
        <f t="shared" si="6"/>
        <v>5143.892796000001</v>
      </c>
      <c r="AG8" s="109">
        <f t="shared" si="7"/>
        <v>23637.412134000002</v>
      </c>
      <c r="AH8" s="109">
        <v>154.22999999999999</v>
      </c>
      <c r="AI8" s="109">
        <f>((AA8*'CALCULO GERAL'!$C$11))*0.08+20</f>
        <v>2549.576</v>
      </c>
      <c r="AJ8" s="109">
        <v>1010</v>
      </c>
      <c r="AK8" s="109">
        <v>2500</v>
      </c>
      <c r="AL8" s="109">
        <f>(AA8*('CALCULO GERAL'!$C$11*1.02))-(AA8*'CALCULO GERAL'!$C$11)</f>
        <v>632.39400000000387</v>
      </c>
      <c r="AM8" s="109">
        <v>1800</v>
      </c>
      <c r="AN8" s="109">
        <v>2600</v>
      </c>
      <c r="AO8" s="109">
        <v>9400</v>
      </c>
      <c r="AP8" s="109">
        <v>1000</v>
      </c>
      <c r="AQ8" s="109">
        <v>0</v>
      </c>
      <c r="AR8" s="109">
        <v>0</v>
      </c>
      <c r="AS8" s="109"/>
      <c r="AT8" s="109">
        <f t="shared" si="25"/>
        <v>335056.239642</v>
      </c>
      <c r="AU8" s="111">
        <f t="shared" si="8"/>
        <v>36.419156482826089</v>
      </c>
      <c r="AV8" s="109">
        <f>IFERROR((BS8*'CALCULO GERAL'!$E$11)/N8,0)</f>
        <v>0.99878099999999981</v>
      </c>
      <c r="AW8" s="109">
        <f>AU8/'CALCULO GERAL'!$C$11</f>
        <v>7.2562575179968301</v>
      </c>
      <c r="AX8" s="109">
        <f>BP8-BB8-BD8*'CALCULO GERAL'!$C$11</f>
        <v>49.189964249999996</v>
      </c>
      <c r="AY8" s="109">
        <f t="shared" si="9"/>
        <v>0.31973476762499997</v>
      </c>
      <c r="AZ8" s="109">
        <f t="shared" si="10"/>
        <v>1.4756989274999999</v>
      </c>
      <c r="BA8" s="109">
        <f t="shared" si="11"/>
        <v>49.939049999999995</v>
      </c>
      <c r="BB8" s="109">
        <f t="shared" si="12"/>
        <v>0.74908574999999988</v>
      </c>
      <c r="BC8" s="109">
        <f t="shared" si="13"/>
        <v>49.939049999999995</v>
      </c>
      <c r="BD8" s="109">
        <f t="shared" si="14"/>
        <v>0</v>
      </c>
      <c r="BE8" s="109">
        <f t="shared" si="15"/>
        <v>36755.140799999994</v>
      </c>
      <c r="BF8" s="109">
        <f t="shared" si="16"/>
        <v>55132.711199999991</v>
      </c>
      <c r="BG8" s="109">
        <f t="shared" si="17"/>
        <v>0.53934173999999979</v>
      </c>
      <c r="BH8" s="109">
        <f t="shared" si="18"/>
        <v>0.59926859999999982</v>
      </c>
      <c r="BI8" s="109">
        <f t="shared" si="19"/>
        <v>0</v>
      </c>
      <c r="BJ8" s="109">
        <f t="shared" si="20"/>
        <v>4.6819107851249999</v>
      </c>
      <c r="BK8" s="109">
        <f t="shared" si="26"/>
        <v>41.101067267951088</v>
      </c>
      <c r="BL8" s="148">
        <v>0.74</v>
      </c>
      <c r="BM8" s="112">
        <f>ROUND((AW8/BL8)+((AW8*BL8)*'CALCULO GERAL'!$E$11)/BL8,2)</f>
        <v>9.9499999999999993</v>
      </c>
      <c r="BN8" s="186">
        <f t="shared" si="21"/>
        <v>9.9499999999999993</v>
      </c>
      <c r="BO8" s="186">
        <f t="shared" si="27"/>
        <v>11.657999999999999</v>
      </c>
      <c r="BP8" s="109">
        <f>BM8*'CALCULO GERAL'!$C$11</f>
        <v>49.939049999999995</v>
      </c>
      <c r="BQ8" s="109">
        <f>BO8*'CALCULO GERAL'!$C$11</f>
        <v>58.511502</v>
      </c>
      <c r="BR8" s="186">
        <f>BN8*'CALCULO GERAL'!$C$11</f>
        <v>49.939049999999995</v>
      </c>
      <c r="BS8" s="109">
        <f t="shared" si="22"/>
        <v>459439.25999999995</v>
      </c>
      <c r="BT8" s="109">
        <f t="shared" si="23"/>
        <v>459439.25999999995</v>
      </c>
      <c r="BU8" s="109">
        <f t="shared" si="28"/>
        <v>378129.81886514998</v>
      </c>
      <c r="BV8" s="109">
        <f t="shared" si="29"/>
        <v>81309.441134849971</v>
      </c>
      <c r="BW8" s="114">
        <f t="shared" si="24"/>
        <v>0.17697538763850956</v>
      </c>
      <c r="BX8" s="152">
        <f t="shared" si="30"/>
        <v>0.74</v>
      </c>
      <c r="BZ8" s="55"/>
      <c r="CA8" s="113"/>
      <c r="CB8" s="113"/>
      <c r="CD8" s="152">
        <f t="shared" si="31"/>
        <v>0</v>
      </c>
      <c r="CE8" s="152">
        <f t="shared" si="32"/>
        <v>1</v>
      </c>
      <c r="CF8" s="152">
        <f t="shared" si="33"/>
        <v>1</v>
      </c>
      <c r="CG8" s="34"/>
      <c r="CI8" s="11"/>
      <c r="CJ8" s="11"/>
    </row>
    <row r="9" spans="1:88" s="152" customFormat="1" ht="16" x14ac:dyDescent="0.2">
      <c r="A9" s="228" t="s">
        <v>483</v>
      </c>
      <c r="B9" s="187" t="s">
        <v>174</v>
      </c>
      <c r="C9" s="8">
        <v>0.16200000000000001</v>
      </c>
      <c r="D9" s="8">
        <v>0</v>
      </c>
      <c r="E9" s="7">
        <v>2.1000000000000001E-2</v>
      </c>
      <c r="F9" s="7">
        <v>9.6500000000000002E-2</v>
      </c>
      <c r="G9" s="1">
        <v>6.4999999999999997E-3</v>
      </c>
      <c r="H9" s="1">
        <v>0.03</v>
      </c>
      <c r="I9" s="1">
        <v>0.18</v>
      </c>
      <c r="J9" s="1">
        <v>0.04</v>
      </c>
      <c r="K9" s="1">
        <v>0.14000000000000001</v>
      </c>
      <c r="L9" s="1">
        <v>1.4999999999999999E-2</v>
      </c>
      <c r="M9" s="2" t="s">
        <v>175</v>
      </c>
      <c r="N9" s="105">
        <v>9200</v>
      </c>
      <c r="O9" s="119">
        <v>5.13</v>
      </c>
      <c r="P9" s="119"/>
      <c r="Q9" s="119"/>
      <c r="R9" s="119"/>
      <c r="S9" s="119"/>
      <c r="T9" s="119">
        <v>5.13</v>
      </c>
      <c r="U9" s="119"/>
      <c r="V9" s="205"/>
      <c r="W9" s="119"/>
      <c r="X9" s="119">
        <f t="shared" si="0"/>
        <v>5.13</v>
      </c>
      <c r="Y9" s="118">
        <f t="shared" si="1"/>
        <v>5.13</v>
      </c>
      <c r="Z9" s="109">
        <f t="shared" si="2"/>
        <v>47196</v>
      </c>
      <c r="AA9" s="109">
        <f>'CALCULO GERAL'!$G$10</f>
        <v>6300</v>
      </c>
      <c r="AB9" s="109">
        <f t="shared" si="3"/>
        <v>53496</v>
      </c>
      <c r="AC9" s="109">
        <f>AB9*'CALCULO GERAL'!$C$11</f>
        <v>268496.424</v>
      </c>
      <c r="AD9" s="109">
        <f t="shared" si="4"/>
        <v>43496.420687999998</v>
      </c>
      <c r="AE9" s="109">
        <f t="shared" si="5"/>
        <v>0</v>
      </c>
      <c r="AF9" s="109">
        <f t="shared" si="6"/>
        <v>5638.4249040000004</v>
      </c>
      <c r="AG9" s="109">
        <f t="shared" si="7"/>
        <v>25909.904916</v>
      </c>
      <c r="AH9" s="109">
        <v>154.22999999999999</v>
      </c>
      <c r="AI9" s="109">
        <f>((AA9*'CALCULO GERAL'!$C$11))*0.08+20</f>
        <v>2549.576</v>
      </c>
      <c r="AJ9" s="109">
        <v>1010</v>
      </c>
      <c r="AK9" s="109">
        <v>2500</v>
      </c>
      <c r="AL9" s="109">
        <f>(AA9*('CALCULO GERAL'!$C$11*1.02))-(AA9*'CALCULO GERAL'!$C$11)</f>
        <v>632.39400000000387</v>
      </c>
      <c r="AM9" s="109">
        <v>1800</v>
      </c>
      <c r="AN9" s="109">
        <v>2600</v>
      </c>
      <c r="AO9" s="109">
        <v>9400</v>
      </c>
      <c r="AP9" s="109">
        <v>1000</v>
      </c>
      <c r="AQ9" s="109">
        <v>0</v>
      </c>
      <c r="AR9" s="109">
        <v>0</v>
      </c>
      <c r="AS9" s="109"/>
      <c r="AT9" s="109">
        <f t="shared" si="25"/>
        <v>365187.37450800004</v>
      </c>
      <c r="AU9" s="111">
        <f t="shared" si="8"/>
        <v>39.694279837826087</v>
      </c>
      <c r="AV9" s="109">
        <f>IFERROR((BS9*'CALCULO GERAL'!$E$11)/N9,0)</f>
        <v>1.0891230000000001</v>
      </c>
      <c r="AW9" s="109">
        <f>AU9/'CALCULO GERAL'!$C$11</f>
        <v>7.9088025179968291</v>
      </c>
      <c r="AX9" s="109">
        <f>BP9-BB9-BD9*'CALCULO GERAL'!$C$11</f>
        <v>53.63930775</v>
      </c>
      <c r="AY9" s="109">
        <f t="shared" si="9"/>
        <v>0.34865550037499998</v>
      </c>
      <c r="AZ9" s="109">
        <f t="shared" si="10"/>
        <v>1.6091792325000001</v>
      </c>
      <c r="BA9" s="109">
        <f t="shared" si="11"/>
        <v>54.456150000000001</v>
      </c>
      <c r="BB9" s="109">
        <f t="shared" si="12"/>
        <v>0.81684224999999999</v>
      </c>
      <c r="BC9" s="109">
        <f t="shared" si="13"/>
        <v>54.456150000000001</v>
      </c>
      <c r="BD9" s="109">
        <f t="shared" si="14"/>
        <v>0</v>
      </c>
      <c r="BE9" s="109">
        <f t="shared" si="15"/>
        <v>40079.7264</v>
      </c>
      <c r="BF9" s="109">
        <f t="shared" si="16"/>
        <v>60119.589599999999</v>
      </c>
      <c r="BG9" s="109">
        <f t="shared" si="17"/>
        <v>0.58812641999999993</v>
      </c>
      <c r="BH9" s="109">
        <f t="shared" si="18"/>
        <v>0.65347379999999999</v>
      </c>
      <c r="BI9" s="109">
        <f t="shared" si="19"/>
        <v>0</v>
      </c>
      <c r="BJ9" s="109">
        <f t="shared" si="20"/>
        <v>5.1054002028749998</v>
      </c>
      <c r="BK9" s="109">
        <f t="shared" si="26"/>
        <v>44.799680040701091</v>
      </c>
      <c r="BL9" s="148">
        <v>0.74</v>
      </c>
      <c r="BM9" s="112">
        <f>ROUND((AW9/BL9)+((AW9*BL9)*'CALCULO GERAL'!$E$11)/BL9,2)</f>
        <v>10.85</v>
      </c>
      <c r="BN9" s="186">
        <f t="shared" si="21"/>
        <v>10.85</v>
      </c>
      <c r="BO9" s="186">
        <f t="shared" si="27"/>
        <v>12.712999999999999</v>
      </c>
      <c r="BP9" s="109">
        <f>BM9*'CALCULO GERAL'!$C$11</f>
        <v>54.456150000000001</v>
      </c>
      <c r="BQ9" s="109">
        <f>BO9*'CALCULO GERAL'!$C$11</f>
        <v>63.806546999999995</v>
      </c>
      <c r="BR9" s="186">
        <f>BN9*'CALCULO GERAL'!$C$11</f>
        <v>54.456150000000001</v>
      </c>
      <c r="BS9" s="109">
        <f t="shared" si="22"/>
        <v>500996.58</v>
      </c>
      <c r="BT9" s="109">
        <f t="shared" si="23"/>
        <v>500996.58</v>
      </c>
      <c r="BU9" s="109">
        <f t="shared" si="28"/>
        <v>412157.05637445004</v>
      </c>
      <c r="BV9" s="109">
        <f t="shared" si="29"/>
        <v>88839.523625549977</v>
      </c>
      <c r="BW9" s="114">
        <f t="shared" si="24"/>
        <v>0.17732560894038432</v>
      </c>
      <c r="BX9" s="152">
        <f t="shared" si="30"/>
        <v>0.74</v>
      </c>
      <c r="BZ9" s="55"/>
      <c r="CA9" s="113"/>
      <c r="CB9" s="113"/>
      <c r="CD9" s="152">
        <f t="shared" si="31"/>
        <v>0</v>
      </c>
      <c r="CE9" s="152">
        <f t="shared" si="32"/>
        <v>1</v>
      </c>
      <c r="CF9" s="152">
        <f t="shared" si="33"/>
        <v>1</v>
      </c>
      <c r="CG9" s="34"/>
      <c r="CI9" s="11"/>
      <c r="CJ9" s="11"/>
    </row>
    <row r="10" spans="1:88" s="152" customFormat="1" ht="16" x14ac:dyDescent="0.2">
      <c r="A10" s="228" t="s">
        <v>484</v>
      </c>
      <c r="B10" s="187" t="s">
        <v>174</v>
      </c>
      <c r="C10" s="8">
        <v>0.16200000000000001</v>
      </c>
      <c r="D10" s="8">
        <v>0</v>
      </c>
      <c r="E10" s="7">
        <v>2.1000000000000001E-2</v>
      </c>
      <c r="F10" s="7">
        <v>9.6500000000000002E-2</v>
      </c>
      <c r="G10" s="1">
        <v>6.4999999999999997E-3</v>
      </c>
      <c r="H10" s="1">
        <v>0.03</v>
      </c>
      <c r="I10" s="1">
        <v>0.18</v>
      </c>
      <c r="J10" s="1">
        <v>0.04</v>
      </c>
      <c r="K10" s="1">
        <v>0.14000000000000001</v>
      </c>
      <c r="L10" s="1">
        <v>1.4999999999999999E-2</v>
      </c>
      <c r="M10" s="2" t="s">
        <v>175</v>
      </c>
      <c r="N10" s="105">
        <v>6000</v>
      </c>
      <c r="O10" s="119">
        <v>4.71</v>
      </c>
      <c r="P10" s="119"/>
      <c r="Q10" s="119"/>
      <c r="R10" s="119"/>
      <c r="S10" s="119"/>
      <c r="T10" s="119">
        <v>4.71</v>
      </c>
      <c r="U10" s="119"/>
      <c r="V10" s="205"/>
      <c r="W10" s="119"/>
      <c r="X10" s="119">
        <f t="shared" si="0"/>
        <v>4.71</v>
      </c>
      <c r="Y10" s="118">
        <f t="shared" si="1"/>
        <v>4.71</v>
      </c>
      <c r="Z10" s="109">
        <f t="shared" si="2"/>
        <v>28260</v>
      </c>
      <c r="AA10" s="109">
        <f>'CALCULO GERAL'!$G$10</f>
        <v>6300</v>
      </c>
      <c r="AB10" s="109">
        <f t="shared" si="3"/>
        <v>34560</v>
      </c>
      <c r="AC10" s="109">
        <f>AB10*'CALCULO GERAL'!$C$11</f>
        <v>173456.64000000001</v>
      </c>
      <c r="AD10" s="109">
        <f t="shared" si="4"/>
        <v>28099.975680000003</v>
      </c>
      <c r="AE10" s="109">
        <f t="shared" si="5"/>
        <v>0</v>
      </c>
      <c r="AF10" s="109">
        <f t="shared" si="6"/>
        <v>3642.5894400000006</v>
      </c>
      <c r="AG10" s="109">
        <f t="shared" si="7"/>
        <v>16738.565760000001</v>
      </c>
      <c r="AH10" s="109">
        <v>154.22999999999999</v>
      </c>
      <c r="AI10" s="109">
        <f>((AA10*'CALCULO GERAL'!$C$11))*0.08+20</f>
        <v>2549.576</v>
      </c>
      <c r="AJ10" s="109">
        <v>1010</v>
      </c>
      <c r="AK10" s="109">
        <v>2500</v>
      </c>
      <c r="AL10" s="109">
        <f>(AA10*('CALCULO GERAL'!$C$11*1.02))-(AA10*'CALCULO GERAL'!$C$11)</f>
        <v>632.39400000000387</v>
      </c>
      <c r="AM10" s="109">
        <v>1800</v>
      </c>
      <c r="AN10" s="109">
        <v>2600</v>
      </c>
      <c r="AO10" s="109">
        <v>9400</v>
      </c>
      <c r="AP10" s="109">
        <v>1000</v>
      </c>
      <c r="AQ10" s="109">
        <v>0</v>
      </c>
      <c r="AR10" s="109">
        <v>0</v>
      </c>
      <c r="AS10" s="109"/>
      <c r="AT10" s="109">
        <f t="shared" si="25"/>
        <v>243583.97088000004</v>
      </c>
      <c r="AU10" s="111">
        <f t="shared" si="8"/>
        <v>40.597328480000009</v>
      </c>
      <c r="AV10" s="109">
        <f>IFERROR((BS10*'CALCULO GERAL'!$E$11)/N10,0)</f>
        <v>1.1132142</v>
      </c>
      <c r="AW10" s="109">
        <f>AU10/'CALCULO GERAL'!$C$11</f>
        <v>8.0887285275951406</v>
      </c>
      <c r="AX10" s="109">
        <f>BP10-BB10-BD10*'CALCULO GERAL'!$C$11</f>
        <v>54.825799350000004</v>
      </c>
      <c r="AY10" s="109">
        <f t="shared" si="9"/>
        <v>0.35636769577499999</v>
      </c>
      <c r="AZ10" s="109">
        <f t="shared" si="10"/>
        <v>1.6447739805000001</v>
      </c>
      <c r="BA10" s="109">
        <f t="shared" si="11"/>
        <v>55.660710000000002</v>
      </c>
      <c r="BB10" s="109">
        <f t="shared" si="12"/>
        <v>0.83491064999999998</v>
      </c>
      <c r="BC10" s="109">
        <f t="shared" si="13"/>
        <v>55.660710000000002</v>
      </c>
      <c r="BD10" s="109">
        <f t="shared" si="14"/>
        <v>0</v>
      </c>
      <c r="BE10" s="109">
        <f t="shared" si="15"/>
        <v>26717.140800000001</v>
      </c>
      <c r="BF10" s="109">
        <f t="shared" si="16"/>
        <v>40075.711199999998</v>
      </c>
      <c r="BG10" s="109">
        <f t="shared" si="17"/>
        <v>0.60113566799999996</v>
      </c>
      <c r="BH10" s="109">
        <f t="shared" si="18"/>
        <v>0.66792852000000003</v>
      </c>
      <c r="BI10" s="109">
        <f t="shared" si="19"/>
        <v>0</v>
      </c>
      <c r="BJ10" s="109">
        <f t="shared" si="20"/>
        <v>5.2183307142749999</v>
      </c>
      <c r="BK10" s="109">
        <f t="shared" si="26"/>
        <v>45.815659194275007</v>
      </c>
      <c r="BL10" s="148">
        <v>0.74</v>
      </c>
      <c r="BM10" s="112">
        <f>ROUND((AW10/BL10)+((AW10*BL10)*'CALCULO GERAL'!$E$11)/BL10,2)</f>
        <v>11.09</v>
      </c>
      <c r="BN10" s="186">
        <f t="shared" si="21"/>
        <v>11.09</v>
      </c>
      <c r="BO10" s="186">
        <f t="shared" si="27"/>
        <v>12.994</v>
      </c>
      <c r="BP10" s="109">
        <f>BM10*'CALCULO GERAL'!$C$11</f>
        <v>55.660710000000002</v>
      </c>
      <c r="BQ10" s="109">
        <f>BO10*'CALCULO GERAL'!$C$11</f>
        <v>65.216886000000002</v>
      </c>
      <c r="BR10" s="186">
        <f>BN10*'CALCULO GERAL'!$C$11</f>
        <v>55.660710000000002</v>
      </c>
      <c r="BS10" s="109">
        <f t="shared" si="22"/>
        <v>333964.26</v>
      </c>
      <c r="BT10" s="109">
        <f t="shared" si="23"/>
        <v>333964.26</v>
      </c>
      <c r="BU10" s="109">
        <f t="shared" si="28"/>
        <v>274893.95516565006</v>
      </c>
      <c r="BV10" s="109">
        <f t="shared" si="29"/>
        <v>59070.304834349954</v>
      </c>
      <c r="BW10" s="114">
        <f t="shared" si="24"/>
        <v>0.17687612690756177</v>
      </c>
      <c r="BX10" s="152">
        <f t="shared" si="30"/>
        <v>0.74</v>
      </c>
      <c r="BZ10" s="55"/>
      <c r="CA10" s="113"/>
      <c r="CB10" s="113"/>
      <c r="CD10" s="152">
        <f t="shared" si="31"/>
        <v>0</v>
      </c>
      <c r="CE10" s="152">
        <f t="shared" si="32"/>
        <v>1</v>
      </c>
      <c r="CF10" s="152">
        <f t="shared" si="33"/>
        <v>1</v>
      </c>
      <c r="CG10" s="34"/>
      <c r="CI10" s="11"/>
      <c r="CJ10" s="11"/>
    </row>
    <row r="11" spans="1:88" s="152" customFormat="1" ht="16" x14ac:dyDescent="0.2">
      <c r="A11" s="228" t="s">
        <v>485</v>
      </c>
      <c r="B11" s="187" t="s">
        <v>174</v>
      </c>
      <c r="C11" s="8">
        <v>0.16200000000000001</v>
      </c>
      <c r="D11" s="8">
        <v>0</v>
      </c>
      <c r="E11" s="7">
        <v>2.1000000000000001E-2</v>
      </c>
      <c r="F11" s="7">
        <v>9.6500000000000002E-2</v>
      </c>
      <c r="G11" s="1">
        <v>6.4999999999999997E-3</v>
      </c>
      <c r="H11" s="1">
        <v>0.03</v>
      </c>
      <c r="I11" s="1">
        <v>0.18</v>
      </c>
      <c r="J11" s="1">
        <v>0.04</v>
      </c>
      <c r="K11" s="1">
        <v>0.14000000000000001</v>
      </c>
      <c r="L11" s="1">
        <v>1.4999999999999999E-2</v>
      </c>
      <c r="M11" s="2" t="s">
        <v>175</v>
      </c>
      <c r="N11" s="105">
        <v>6000</v>
      </c>
      <c r="O11" s="119">
        <v>6.22</v>
      </c>
      <c r="P11" s="119"/>
      <c r="Q11" s="119"/>
      <c r="R11" s="119"/>
      <c r="S11" s="119"/>
      <c r="T11" s="119">
        <v>6.22</v>
      </c>
      <c r="U11" s="119"/>
      <c r="V11" s="205"/>
      <c r="W11" s="119"/>
      <c r="X11" s="119">
        <f t="shared" si="0"/>
        <v>6.22</v>
      </c>
      <c r="Y11" s="118">
        <f t="shared" si="1"/>
        <v>6.22</v>
      </c>
      <c r="Z11" s="109">
        <f t="shared" si="2"/>
        <v>37320</v>
      </c>
      <c r="AA11" s="109">
        <f>'CALCULO GERAL'!$G$10</f>
        <v>6300</v>
      </c>
      <c r="AB11" s="109">
        <f t="shared" si="3"/>
        <v>43620</v>
      </c>
      <c r="AC11" s="109">
        <f>AB11*'CALCULO GERAL'!$C$11</f>
        <v>218928.78</v>
      </c>
      <c r="AD11" s="109">
        <f t="shared" si="4"/>
        <v>35466.462359999998</v>
      </c>
      <c r="AE11" s="109">
        <f t="shared" si="5"/>
        <v>0</v>
      </c>
      <c r="AF11" s="109">
        <f t="shared" si="6"/>
        <v>4597.5043800000003</v>
      </c>
      <c r="AG11" s="109">
        <f t="shared" si="7"/>
        <v>21126.627270000001</v>
      </c>
      <c r="AH11" s="109">
        <v>154.22999999999999</v>
      </c>
      <c r="AI11" s="109">
        <f>((AA11*'CALCULO GERAL'!$C$11))*0.08+20</f>
        <v>2549.576</v>
      </c>
      <c r="AJ11" s="109">
        <v>1010</v>
      </c>
      <c r="AK11" s="109">
        <v>2500</v>
      </c>
      <c r="AL11" s="109">
        <f>(AA11*('CALCULO GERAL'!$C$11*1.02))-(AA11*'CALCULO GERAL'!$C$11)</f>
        <v>632.39400000000387</v>
      </c>
      <c r="AM11" s="109">
        <v>1800</v>
      </c>
      <c r="AN11" s="109">
        <v>2600</v>
      </c>
      <c r="AO11" s="109">
        <v>9400</v>
      </c>
      <c r="AP11" s="109">
        <v>1000</v>
      </c>
      <c r="AQ11" s="109">
        <v>0</v>
      </c>
      <c r="AR11" s="109">
        <v>0</v>
      </c>
      <c r="AS11" s="109"/>
      <c r="AT11" s="109">
        <f t="shared" si="25"/>
        <v>301765.57401000004</v>
      </c>
      <c r="AU11" s="111">
        <f t="shared" si="8"/>
        <v>50.294262335000006</v>
      </c>
      <c r="AV11" s="109">
        <f>IFERROR((BS11*'CALCULO GERAL'!$E$11)/N11,0)</f>
        <v>1.3792212000000001</v>
      </c>
      <c r="AW11" s="109">
        <f>AU11/'CALCULO GERAL'!$C$11</f>
        <v>10.020773527595139</v>
      </c>
      <c r="AX11" s="109">
        <f>BP11-BB11-BD11*'CALCULO GERAL'!$C$11</f>
        <v>67.926644100000004</v>
      </c>
      <c r="AY11" s="109">
        <f t="shared" si="9"/>
        <v>0.44152318665000001</v>
      </c>
      <c r="AZ11" s="109">
        <f t="shared" si="10"/>
        <v>2.0377993230000002</v>
      </c>
      <c r="BA11" s="109">
        <f t="shared" si="11"/>
        <v>68.961060000000003</v>
      </c>
      <c r="BB11" s="109">
        <f t="shared" si="12"/>
        <v>1.0344158999999999</v>
      </c>
      <c r="BC11" s="109">
        <f t="shared" si="13"/>
        <v>68.961060000000003</v>
      </c>
      <c r="BD11" s="109">
        <f t="shared" si="14"/>
        <v>0</v>
      </c>
      <c r="BE11" s="109">
        <f t="shared" si="15"/>
        <v>33101.308800000006</v>
      </c>
      <c r="BF11" s="109">
        <f t="shared" si="16"/>
        <v>49651.963200000006</v>
      </c>
      <c r="BG11" s="109">
        <f t="shared" si="17"/>
        <v>0.74477944800000007</v>
      </c>
      <c r="BH11" s="109">
        <f t="shared" si="18"/>
        <v>0.82753272000000011</v>
      </c>
      <c r="BI11" s="109">
        <f t="shared" si="19"/>
        <v>0</v>
      </c>
      <c r="BJ11" s="109">
        <f t="shared" si="20"/>
        <v>6.4652717776499999</v>
      </c>
      <c r="BK11" s="109">
        <f t="shared" si="26"/>
        <v>56.759534112650009</v>
      </c>
      <c r="BL11" s="148">
        <v>0.74</v>
      </c>
      <c r="BM11" s="112">
        <f>ROUND((AW11/BL11)+((AW11*BL11)*'CALCULO GERAL'!$E$11)/BL11,2)</f>
        <v>13.74</v>
      </c>
      <c r="BN11" s="186">
        <f t="shared" si="21"/>
        <v>13.74</v>
      </c>
      <c r="BO11" s="186">
        <f t="shared" si="27"/>
        <v>16.099</v>
      </c>
      <c r="BP11" s="109">
        <f>BM11*'CALCULO GERAL'!$C$11</f>
        <v>68.961060000000003</v>
      </c>
      <c r="BQ11" s="109">
        <f>BO11*'CALCULO GERAL'!$C$11</f>
        <v>80.800881000000004</v>
      </c>
      <c r="BR11" s="186">
        <f>BN11*'CALCULO GERAL'!$C$11</f>
        <v>68.961060000000003</v>
      </c>
      <c r="BS11" s="109">
        <f t="shared" si="22"/>
        <v>413766.36000000004</v>
      </c>
      <c r="BT11" s="109">
        <f t="shared" si="23"/>
        <v>413766.36000000004</v>
      </c>
      <c r="BU11" s="109">
        <f t="shared" si="28"/>
        <v>340557.20467590005</v>
      </c>
      <c r="BV11" s="109">
        <f t="shared" si="29"/>
        <v>73209.155324099993</v>
      </c>
      <c r="BW11" s="114">
        <f t="shared" si="24"/>
        <v>0.17693356058259541</v>
      </c>
      <c r="BX11" s="152">
        <f t="shared" si="30"/>
        <v>0.74</v>
      </c>
      <c r="BZ11" s="55"/>
      <c r="CA11" s="113"/>
      <c r="CB11" s="113"/>
      <c r="CD11" s="152">
        <f t="shared" si="31"/>
        <v>0</v>
      </c>
      <c r="CE11" s="152">
        <f t="shared" si="32"/>
        <v>1</v>
      </c>
      <c r="CF11" s="152">
        <f t="shared" si="33"/>
        <v>1</v>
      </c>
      <c r="CG11" s="34"/>
      <c r="CI11" s="11"/>
      <c r="CJ11" s="11"/>
    </row>
    <row r="12" spans="1:88" s="152" customFormat="1" ht="16" x14ac:dyDescent="0.2">
      <c r="A12" s="228" t="s">
        <v>486</v>
      </c>
      <c r="B12" s="187" t="s">
        <v>174</v>
      </c>
      <c r="C12" s="8">
        <v>0.16200000000000001</v>
      </c>
      <c r="D12" s="8">
        <v>0</v>
      </c>
      <c r="E12" s="7">
        <v>2.1000000000000001E-2</v>
      </c>
      <c r="F12" s="7">
        <v>9.6500000000000002E-2</v>
      </c>
      <c r="G12" s="1">
        <v>6.4999999999999997E-3</v>
      </c>
      <c r="H12" s="1">
        <v>0.03</v>
      </c>
      <c r="I12" s="1">
        <v>0.18</v>
      </c>
      <c r="J12" s="1">
        <v>0.04</v>
      </c>
      <c r="K12" s="1">
        <v>0.14000000000000001</v>
      </c>
      <c r="L12" s="1">
        <v>1.4999999999999999E-2</v>
      </c>
      <c r="M12" s="2" t="s">
        <v>175</v>
      </c>
      <c r="N12" s="105">
        <v>6000</v>
      </c>
      <c r="O12" s="119">
        <v>6.74</v>
      </c>
      <c r="P12" s="119"/>
      <c r="Q12" s="119"/>
      <c r="R12" s="119"/>
      <c r="S12" s="119"/>
      <c r="T12" s="119">
        <v>6.74</v>
      </c>
      <c r="U12" s="119"/>
      <c r="V12" s="205"/>
      <c r="W12" s="119"/>
      <c r="X12" s="119">
        <f t="shared" si="0"/>
        <v>6.74</v>
      </c>
      <c r="Y12" s="118">
        <f t="shared" si="1"/>
        <v>6.74</v>
      </c>
      <c r="Z12" s="109">
        <f t="shared" si="2"/>
        <v>40440</v>
      </c>
      <c r="AA12" s="109">
        <f>'CALCULO GERAL'!$G$10</f>
        <v>6300</v>
      </c>
      <c r="AB12" s="109">
        <f t="shared" si="3"/>
        <v>46740</v>
      </c>
      <c r="AC12" s="109">
        <f>AB12*'CALCULO GERAL'!$C$11</f>
        <v>234588.06</v>
      </c>
      <c r="AD12" s="109">
        <f t="shared" si="4"/>
        <v>38003.265720000003</v>
      </c>
      <c r="AE12" s="109">
        <f t="shared" si="5"/>
        <v>0</v>
      </c>
      <c r="AF12" s="109">
        <f t="shared" si="6"/>
        <v>4926.34926</v>
      </c>
      <c r="AG12" s="109">
        <f t="shared" si="7"/>
        <v>22637.747790000001</v>
      </c>
      <c r="AH12" s="109">
        <v>154.22999999999999</v>
      </c>
      <c r="AI12" s="109">
        <f>((AA12*'CALCULO GERAL'!$C$11))*0.08+20</f>
        <v>2549.576</v>
      </c>
      <c r="AJ12" s="109">
        <v>1010</v>
      </c>
      <c r="AK12" s="109">
        <v>2500</v>
      </c>
      <c r="AL12" s="109">
        <f>(AA12*('CALCULO GERAL'!$C$11*1.02))-(AA12*'CALCULO GERAL'!$C$11)</f>
        <v>632.39400000000387</v>
      </c>
      <c r="AM12" s="109">
        <v>1800</v>
      </c>
      <c r="AN12" s="109">
        <v>2600</v>
      </c>
      <c r="AO12" s="109">
        <v>9400</v>
      </c>
      <c r="AP12" s="109">
        <v>1000</v>
      </c>
      <c r="AQ12" s="109">
        <v>0</v>
      </c>
      <c r="AR12" s="109">
        <v>0</v>
      </c>
      <c r="AS12" s="109"/>
      <c r="AT12" s="109">
        <f t="shared" si="25"/>
        <v>321801.62277000002</v>
      </c>
      <c r="AU12" s="111">
        <f t="shared" si="8"/>
        <v>53.633603795000006</v>
      </c>
      <c r="AV12" s="109">
        <f>IFERROR((BS12*'CALCULO GERAL'!$E$11)/N12,0)</f>
        <v>1.470567</v>
      </c>
      <c r="AW12" s="109">
        <f>AU12/'CALCULO GERAL'!$C$11</f>
        <v>10.68611352759514</v>
      </c>
      <c r="AX12" s="109">
        <f>BP12-BB12-BD12*'CALCULO GERAL'!$C$11</f>
        <v>72.425424750000005</v>
      </c>
      <c r="AY12" s="109">
        <f t="shared" si="9"/>
        <v>0.47076526087500004</v>
      </c>
      <c r="AZ12" s="109">
        <f t="shared" si="10"/>
        <v>2.1727627425000002</v>
      </c>
      <c r="BA12" s="109">
        <f t="shared" si="11"/>
        <v>73.528350000000003</v>
      </c>
      <c r="BB12" s="109">
        <f t="shared" si="12"/>
        <v>1.10292525</v>
      </c>
      <c r="BC12" s="109">
        <f t="shared" si="13"/>
        <v>73.528350000000003</v>
      </c>
      <c r="BD12" s="109">
        <f t="shared" si="14"/>
        <v>0</v>
      </c>
      <c r="BE12" s="109">
        <f t="shared" si="15"/>
        <v>35293.608</v>
      </c>
      <c r="BF12" s="109">
        <f t="shared" si="16"/>
        <v>52940.412000000004</v>
      </c>
      <c r="BG12" s="109">
        <f t="shared" si="17"/>
        <v>0.79410618000000011</v>
      </c>
      <c r="BH12" s="109">
        <f t="shared" si="18"/>
        <v>0.88234019999999991</v>
      </c>
      <c r="BI12" s="109">
        <f t="shared" si="19"/>
        <v>0</v>
      </c>
      <c r="BJ12" s="109">
        <f t="shared" si="20"/>
        <v>6.8934666333749997</v>
      </c>
      <c r="BK12" s="109">
        <f t="shared" si="26"/>
        <v>60.527070428375005</v>
      </c>
      <c r="BL12" s="148">
        <v>0.74</v>
      </c>
      <c r="BM12" s="112">
        <f>ROUND((AW12/BL12)+((AW12*BL12)*'CALCULO GERAL'!$E$11)/BL12,2)</f>
        <v>14.65</v>
      </c>
      <c r="BN12" s="186">
        <f t="shared" si="21"/>
        <v>14.65</v>
      </c>
      <c r="BO12" s="186">
        <f t="shared" si="27"/>
        <v>17.164999999999999</v>
      </c>
      <c r="BP12" s="109">
        <f>BM12*'CALCULO GERAL'!$C$11</f>
        <v>73.528350000000003</v>
      </c>
      <c r="BQ12" s="109">
        <f>BO12*'CALCULO GERAL'!$C$11</f>
        <v>86.151134999999996</v>
      </c>
      <c r="BR12" s="186">
        <f>BN12*'CALCULO GERAL'!$C$11</f>
        <v>73.528350000000003</v>
      </c>
      <c r="BS12" s="109">
        <f t="shared" si="22"/>
        <v>441170.10000000003</v>
      </c>
      <c r="BT12" s="109">
        <f t="shared" si="23"/>
        <v>441170.10000000003</v>
      </c>
      <c r="BU12" s="109">
        <f t="shared" si="28"/>
        <v>363162.42257025006</v>
      </c>
      <c r="BV12" s="109">
        <f t="shared" si="29"/>
        <v>78007.67742974998</v>
      </c>
      <c r="BW12" s="114">
        <f t="shared" si="24"/>
        <v>0.17681995545425669</v>
      </c>
      <c r="BX12" s="152">
        <f t="shared" si="30"/>
        <v>0.74</v>
      </c>
      <c r="BZ12" s="55"/>
      <c r="CA12" s="113"/>
      <c r="CB12" s="113"/>
      <c r="CD12" s="152">
        <f t="shared" si="31"/>
        <v>0</v>
      </c>
      <c r="CE12" s="152">
        <f t="shared" si="32"/>
        <v>1</v>
      </c>
      <c r="CF12" s="152">
        <f t="shared" si="33"/>
        <v>1</v>
      </c>
      <c r="CG12" s="34"/>
      <c r="CI12" s="11"/>
      <c r="CJ12" s="11"/>
    </row>
    <row r="13" spans="1:88" s="152" customFormat="1" ht="16" x14ac:dyDescent="0.2">
      <c r="A13" s="228" t="s">
        <v>487</v>
      </c>
      <c r="B13" s="187" t="s">
        <v>174</v>
      </c>
      <c r="C13" s="8">
        <v>0.16200000000000001</v>
      </c>
      <c r="D13" s="8">
        <v>0</v>
      </c>
      <c r="E13" s="7">
        <v>2.1000000000000001E-2</v>
      </c>
      <c r="F13" s="7">
        <v>9.6500000000000002E-2</v>
      </c>
      <c r="G13" s="1">
        <v>6.4999999999999997E-3</v>
      </c>
      <c r="H13" s="1">
        <v>0.03</v>
      </c>
      <c r="I13" s="1">
        <v>0.18</v>
      </c>
      <c r="J13" s="1">
        <v>0.04</v>
      </c>
      <c r="K13" s="1">
        <v>0.14000000000000001</v>
      </c>
      <c r="L13" s="1">
        <v>1.4999999999999999E-2</v>
      </c>
      <c r="M13" s="2" t="s">
        <v>175</v>
      </c>
      <c r="N13" s="105">
        <v>6000</v>
      </c>
      <c r="O13" s="119">
        <v>7.57</v>
      </c>
      <c r="P13" s="119"/>
      <c r="Q13" s="119"/>
      <c r="R13" s="119"/>
      <c r="S13" s="119"/>
      <c r="T13" s="119">
        <v>7.57</v>
      </c>
      <c r="U13" s="119"/>
      <c r="V13" s="205"/>
      <c r="W13" s="119"/>
      <c r="X13" s="119">
        <f t="shared" si="0"/>
        <v>7.57</v>
      </c>
      <c r="Y13" s="118">
        <f t="shared" si="1"/>
        <v>7.57</v>
      </c>
      <c r="Z13" s="109">
        <f t="shared" si="2"/>
        <v>45420</v>
      </c>
      <c r="AA13" s="109">
        <f>'CALCULO GERAL'!$G$10</f>
        <v>6300</v>
      </c>
      <c r="AB13" s="109">
        <f t="shared" si="3"/>
        <v>51720</v>
      </c>
      <c r="AC13" s="109">
        <f>AB13*'CALCULO GERAL'!$C$11</f>
        <v>259582.68</v>
      </c>
      <c r="AD13" s="109">
        <f t="shared" si="4"/>
        <v>42052.394160000003</v>
      </c>
      <c r="AE13" s="109">
        <f t="shared" si="5"/>
        <v>0</v>
      </c>
      <c r="AF13" s="109">
        <f t="shared" si="6"/>
        <v>5451.2362800000001</v>
      </c>
      <c r="AG13" s="109">
        <f t="shared" si="7"/>
        <v>25049.728620000002</v>
      </c>
      <c r="AH13" s="109">
        <v>154.22999999999999</v>
      </c>
      <c r="AI13" s="109">
        <f>((AA13*'CALCULO GERAL'!$C$11))*0.08+20</f>
        <v>2549.576</v>
      </c>
      <c r="AJ13" s="109">
        <v>1010</v>
      </c>
      <c r="AK13" s="109">
        <v>2500</v>
      </c>
      <c r="AL13" s="109">
        <f>(AA13*('CALCULO GERAL'!$C$11*1.02))-(AA13*'CALCULO GERAL'!$C$11)</f>
        <v>632.39400000000387</v>
      </c>
      <c r="AM13" s="109">
        <v>1800</v>
      </c>
      <c r="AN13" s="109">
        <v>2600</v>
      </c>
      <c r="AO13" s="109">
        <v>9400</v>
      </c>
      <c r="AP13" s="109">
        <v>1000</v>
      </c>
      <c r="AQ13" s="109">
        <v>0</v>
      </c>
      <c r="AR13" s="109">
        <v>0</v>
      </c>
      <c r="AS13" s="109"/>
      <c r="AT13" s="109">
        <f t="shared" si="25"/>
        <v>353782.23906000005</v>
      </c>
      <c r="AU13" s="111">
        <f t="shared" si="8"/>
        <v>58.963706510000009</v>
      </c>
      <c r="AV13" s="109">
        <f>IFERROR((BS13*'CALCULO GERAL'!$E$11)/N13,0)</f>
        <v>1.6171217999999998</v>
      </c>
      <c r="AW13" s="109">
        <f>AU13/'CALCULO GERAL'!$C$11</f>
        <v>11.74809852759514</v>
      </c>
      <c r="AX13" s="109">
        <f>BP13-BB13-BD13*'CALCULO GERAL'!$C$11</f>
        <v>79.64324864999999</v>
      </c>
      <c r="AY13" s="109">
        <f t="shared" si="9"/>
        <v>0.5176811162249999</v>
      </c>
      <c r="AZ13" s="109">
        <f t="shared" si="10"/>
        <v>2.3892974594999994</v>
      </c>
      <c r="BA13" s="109">
        <f t="shared" si="11"/>
        <v>80.856089999999995</v>
      </c>
      <c r="BB13" s="109">
        <f t="shared" si="12"/>
        <v>1.2128413499999999</v>
      </c>
      <c r="BC13" s="109">
        <f t="shared" si="13"/>
        <v>80.856089999999995</v>
      </c>
      <c r="BD13" s="109">
        <f t="shared" si="14"/>
        <v>0</v>
      </c>
      <c r="BE13" s="109">
        <f t="shared" si="15"/>
        <v>38810.923199999997</v>
      </c>
      <c r="BF13" s="109">
        <f t="shared" si="16"/>
        <v>58216.384799999993</v>
      </c>
      <c r="BG13" s="109">
        <f t="shared" si="17"/>
        <v>0.87324577199999986</v>
      </c>
      <c r="BH13" s="109">
        <f t="shared" si="18"/>
        <v>0.9702730799999999</v>
      </c>
      <c r="BI13" s="109">
        <f t="shared" si="19"/>
        <v>0</v>
      </c>
      <c r="BJ13" s="109">
        <f t="shared" si="20"/>
        <v>7.5804605777249989</v>
      </c>
      <c r="BK13" s="109">
        <f t="shared" si="26"/>
        <v>66.544167087725015</v>
      </c>
      <c r="BL13" s="148">
        <v>0.74</v>
      </c>
      <c r="BM13" s="112">
        <f>ROUND((AW13/BL13)+((AW13*BL13)*'CALCULO GERAL'!$E$11)/BL13,2)</f>
        <v>16.11</v>
      </c>
      <c r="BN13" s="186">
        <f t="shared" si="21"/>
        <v>16.11</v>
      </c>
      <c r="BO13" s="186">
        <f t="shared" si="27"/>
        <v>18.875</v>
      </c>
      <c r="BP13" s="109">
        <f>BM13*'CALCULO GERAL'!$C$11</f>
        <v>80.856089999999995</v>
      </c>
      <c r="BQ13" s="109">
        <f>BO13*'CALCULO GERAL'!$C$11</f>
        <v>94.733625000000004</v>
      </c>
      <c r="BR13" s="186">
        <f>BN13*'CALCULO GERAL'!$C$11</f>
        <v>80.856089999999995</v>
      </c>
      <c r="BS13" s="109">
        <f t="shared" si="22"/>
        <v>485136.54</v>
      </c>
      <c r="BT13" s="109">
        <f t="shared" si="23"/>
        <v>485136.54</v>
      </c>
      <c r="BU13" s="109">
        <f t="shared" si="28"/>
        <v>399265.00252635009</v>
      </c>
      <c r="BV13" s="109">
        <f t="shared" si="29"/>
        <v>85871.537473649892</v>
      </c>
      <c r="BW13" s="114">
        <f t="shared" si="24"/>
        <v>0.17700488500340522</v>
      </c>
      <c r="BX13" s="152">
        <f t="shared" si="30"/>
        <v>0.74</v>
      </c>
      <c r="BZ13" s="55"/>
      <c r="CA13" s="113"/>
      <c r="CB13" s="113"/>
      <c r="CD13" s="152">
        <f t="shared" si="31"/>
        <v>0</v>
      </c>
      <c r="CE13" s="152">
        <f t="shared" si="32"/>
        <v>1</v>
      </c>
      <c r="CF13" s="152">
        <f t="shared" si="33"/>
        <v>1</v>
      </c>
      <c r="CG13" s="34"/>
      <c r="CI13" s="11"/>
      <c r="CJ13" s="11"/>
    </row>
    <row r="14" spans="1:88" s="152" customFormat="1" ht="16" x14ac:dyDescent="0.2">
      <c r="A14" s="228" t="s">
        <v>488</v>
      </c>
      <c r="B14" s="187" t="s">
        <v>174</v>
      </c>
      <c r="C14" s="8">
        <v>0.16200000000000001</v>
      </c>
      <c r="D14" s="8">
        <v>0</v>
      </c>
      <c r="E14" s="7">
        <v>2.1000000000000001E-2</v>
      </c>
      <c r="F14" s="7">
        <v>9.6500000000000002E-2</v>
      </c>
      <c r="G14" s="1">
        <v>6.4999999999999997E-3</v>
      </c>
      <c r="H14" s="1">
        <v>0.03</v>
      </c>
      <c r="I14" s="1">
        <v>0.18</v>
      </c>
      <c r="J14" s="1">
        <v>0.04</v>
      </c>
      <c r="K14" s="1">
        <v>0.14000000000000001</v>
      </c>
      <c r="L14" s="1">
        <v>1.4999999999999999E-2</v>
      </c>
      <c r="M14" s="2" t="s">
        <v>175</v>
      </c>
      <c r="N14" s="105">
        <v>8000</v>
      </c>
      <c r="O14" s="119">
        <v>3.28</v>
      </c>
      <c r="P14" s="119"/>
      <c r="Q14" s="119"/>
      <c r="R14" s="119"/>
      <c r="S14" s="119"/>
      <c r="T14" s="119">
        <v>3.28</v>
      </c>
      <c r="U14" s="119"/>
      <c r="V14" s="205"/>
      <c r="W14" s="119"/>
      <c r="X14" s="119">
        <f t="shared" si="0"/>
        <v>3.28</v>
      </c>
      <c r="Y14" s="118">
        <f t="shared" si="1"/>
        <v>3.28</v>
      </c>
      <c r="Z14" s="109">
        <f t="shared" si="2"/>
        <v>26240</v>
      </c>
      <c r="AA14" s="109">
        <f>'CALCULO GERAL'!$G$10</f>
        <v>6300</v>
      </c>
      <c r="AB14" s="109">
        <f t="shared" si="3"/>
        <v>32540</v>
      </c>
      <c r="AC14" s="109">
        <f>AB14*'CALCULO GERAL'!$C$11</f>
        <v>163318.26</v>
      </c>
      <c r="AD14" s="109">
        <f t="shared" si="4"/>
        <v>26457.558120000002</v>
      </c>
      <c r="AE14" s="109">
        <f t="shared" si="5"/>
        <v>0</v>
      </c>
      <c r="AF14" s="109">
        <f t="shared" si="6"/>
        <v>3429.6834600000002</v>
      </c>
      <c r="AG14" s="109">
        <f t="shared" si="7"/>
        <v>15760.212090000001</v>
      </c>
      <c r="AH14" s="109">
        <v>154.22999999999999</v>
      </c>
      <c r="AI14" s="109">
        <f>((AA14*'CALCULO GERAL'!$C$11))*0.08+20</f>
        <v>2549.576</v>
      </c>
      <c r="AJ14" s="109">
        <v>1010</v>
      </c>
      <c r="AK14" s="109">
        <v>2500</v>
      </c>
      <c r="AL14" s="109">
        <f>(AA14*('CALCULO GERAL'!$C$11*1.02))-(AA14*'CALCULO GERAL'!$C$11)</f>
        <v>632.39400000000387</v>
      </c>
      <c r="AM14" s="109">
        <v>1800</v>
      </c>
      <c r="AN14" s="109">
        <v>2600</v>
      </c>
      <c r="AO14" s="109">
        <v>9400</v>
      </c>
      <c r="AP14" s="109">
        <v>1000</v>
      </c>
      <c r="AQ14" s="109">
        <v>0</v>
      </c>
      <c r="AR14" s="109">
        <v>0</v>
      </c>
      <c r="AS14" s="109"/>
      <c r="AT14" s="109">
        <f t="shared" si="25"/>
        <v>230611.91367000004</v>
      </c>
      <c r="AU14" s="111">
        <f t="shared" si="8"/>
        <v>28.826489208750004</v>
      </c>
      <c r="AV14" s="109">
        <f>IFERROR((BS14*'CALCULO GERAL'!$E$11)/N14,0)</f>
        <v>0.79099439999999999</v>
      </c>
      <c r="AW14" s="109">
        <f>AU14/'CALCULO GERAL'!$C$11</f>
        <v>5.7434726456963547</v>
      </c>
      <c r="AX14" s="109">
        <f>BP14-BB14-BD14*'CALCULO GERAL'!$C$11</f>
        <v>38.956474200000002</v>
      </c>
      <c r="AY14" s="109">
        <f t="shared" si="9"/>
        <v>0.25321708230000001</v>
      </c>
      <c r="AZ14" s="109">
        <f t="shared" si="10"/>
        <v>1.1686942259999999</v>
      </c>
      <c r="BA14" s="109">
        <f t="shared" si="11"/>
        <v>39.549720000000001</v>
      </c>
      <c r="BB14" s="109">
        <f t="shared" si="12"/>
        <v>0.59324579999999993</v>
      </c>
      <c r="BC14" s="109">
        <f t="shared" si="13"/>
        <v>39.549720000000001</v>
      </c>
      <c r="BD14" s="109">
        <f t="shared" si="14"/>
        <v>0</v>
      </c>
      <c r="BE14" s="109">
        <f t="shared" si="15"/>
        <v>25311.820800000001</v>
      </c>
      <c r="BF14" s="109">
        <f t="shared" si="16"/>
        <v>37967.731200000002</v>
      </c>
      <c r="BG14" s="109">
        <f t="shared" si="17"/>
        <v>0.427136976</v>
      </c>
      <c r="BH14" s="109">
        <f t="shared" si="18"/>
        <v>0.47459663999999996</v>
      </c>
      <c r="BI14" s="109">
        <f t="shared" si="19"/>
        <v>0</v>
      </c>
      <c r="BJ14" s="109">
        <f t="shared" si="20"/>
        <v>3.7078851243000002</v>
      </c>
      <c r="BK14" s="109">
        <f t="shared" si="26"/>
        <v>32.534374333050003</v>
      </c>
      <c r="BL14" s="148">
        <v>0.74</v>
      </c>
      <c r="BM14" s="112">
        <f>ROUND((AW14/BL14)+((AW14*BL14)*'CALCULO GERAL'!$E$11)/BL14,2)</f>
        <v>7.88</v>
      </c>
      <c r="BN14" s="186">
        <f t="shared" si="21"/>
        <v>7.88</v>
      </c>
      <c r="BO14" s="186">
        <f t="shared" si="27"/>
        <v>9.2330000000000005</v>
      </c>
      <c r="BP14" s="109">
        <f>BM14*'CALCULO GERAL'!$C$11</f>
        <v>39.549720000000001</v>
      </c>
      <c r="BQ14" s="109">
        <f>BO14*'CALCULO GERAL'!$C$11</f>
        <v>46.340427000000005</v>
      </c>
      <c r="BR14" s="186">
        <f>BN14*'CALCULO GERAL'!$C$11</f>
        <v>39.549720000000001</v>
      </c>
      <c r="BS14" s="109">
        <f t="shared" si="22"/>
        <v>316397.76</v>
      </c>
      <c r="BT14" s="109">
        <f t="shared" si="23"/>
        <v>316397.76</v>
      </c>
      <c r="BU14" s="109">
        <f t="shared" si="28"/>
        <v>260274.99466440003</v>
      </c>
      <c r="BV14" s="109">
        <f t="shared" si="29"/>
        <v>56122.765335599979</v>
      </c>
      <c r="BW14" s="114">
        <f t="shared" si="24"/>
        <v>0.17738041298269613</v>
      </c>
      <c r="BX14" s="152">
        <f t="shared" si="30"/>
        <v>0.74</v>
      </c>
      <c r="BZ14" s="55"/>
      <c r="CA14" s="113"/>
      <c r="CB14" s="113"/>
      <c r="CD14" s="152">
        <f t="shared" si="31"/>
        <v>0</v>
      </c>
      <c r="CE14" s="152">
        <f t="shared" si="32"/>
        <v>1</v>
      </c>
      <c r="CF14" s="152">
        <f t="shared" si="33"/>
        <v>1</v>
      </c>
      <c r="CG14" s="34"/>
      <c r="CI14" s="11"/>
      <c r="CJ14" s="11"/>
    </row>
    <row r="15" spans="1:88" s="152" customFormat="1" ht="16" x14ac:dyDescent="0.2">
      <c r="A15" s="228" t="s">
        <v>489</v>
      </c>
      <c r="B15" s="187" t="s">
        <v>174</v>
      </c>
      <c r="C15" s="8">
        <v>0.16200000000000001</v>
      </c>
      <c r="D15" s="8">
        <v>0</v>
      </c>
      <c r="E15" s="7">
        <v>2.1000000000000001E-2</v>
      </c>
      <c r="F15" s="7">
        <v>9.6500000000000002E-2</v>
      </c>
      <c r="G15" s="1">
        <v>6.4999999999999997E-3</v>
      </c>
      <c r="H15" s="1">
        <v>0.03</v>
      </c>
      <c r="I15" s="1">
        <v>0.18</v>
      </c>
      <c r="J15" s="1">
        <v>0.04</v>
      </c>
      <c r="K15" s="1">
        <v>0.14000000000000001</v>
      </c>
      <c r="L15" s="1">
        <v>1.4999999999999999E-2</v>
      </c>
      <c r="M15" s="2" t="s">
        <v>175</v>
      </c>
      <c r="N15" s="105">
        <v>8000</v>
      </c>
      <c r="O15" s="119">
        <v>4.3899999999999997</v>
      </c>
      <c r="P15" s="119"/>
      <c r="Q15" s="119"/>
      <c r="R15" s="119"/>
      <c r="S15" s="119"/>
      <c r="T15" s="119">
        <v>4.3899999999999997</v>
      </c>
      <c r="U15" s="119"/>
      <c r="V15" s="205"/>
      <c r="W15" s="119"/>
      <c r="X15" s="119">
        <f t="shared" si="0"/>
        <v>4.3899999999999997</v>
      </c>
      <c r="Y15" s="118">
        <f t="shared" si="1"/>
        <v>4.3899999999999997</v>
      </c>
      <c r="Z15" s="109">
        <f t="shared" si="2"/>
        <v>35120</v>
      </c>
      <c r="AA15" s="109">
        <f>'CALCULO GERAL'!$G$10</f>
        <v>6300</v>
      </c>
      <c r="AB15" s="109">
        <f t="shared" si="3"/>
        <v>41420</v>
      </c>
      <c r="AC15" s="109">
        <f>AB15*'CALCULO GERAL'!$C$11</f>
        <v>207886.98</v>
      </c>
      <c r="AD15" s="109">
        <f t="shared" si="4"/>
        <v>33677.690760000005</v>
      </c>
      <c r="AE15" s="109">
        <f t="shared" si="5"/>
        <v>0</v>
      </c>
      <c r="AF15" s="109">
        <f t="shared" si="6"/>
        <v>4365.6265800000001</v>
      </c>
      <c r="AG15" s="109">
        <f t="shared" si="7"/>
        <v>20061.093570000001</v>
      </c>
      <c r="AH15" s="109">
        <v>154.22999999999999</v>
      </c>
      <c r="AI15" s="109">
        <f>((AA15*'CALCULO GERAL'!$C$11))*0.08+20</f>
        <v>2549.576</v>
      </c>
      <c r="AJ15" s="109">
        <v>1010</v>
      </c>
      <c r="AK15" s="109">
        <v>2500</v>
      </c>
      <c r="AL15" s="109">
        <f>(AA15*('CALCULO GERAL'!$C$11*1.02))-(AA15*'CALCULO GERAL'!$C$11)</f>
        <v>632.39400000000387</v>
      </c>
      <c r="AM15" s="109">
        <v>1800</v>
      </c>
      <c r="AN15" s="109">
        <v>2600</v>
      </c>
      <c r="AO15" s="109">
        <v>9400</v>
      </c>
      <c r="AP15" s="109">
        <v>1000</v>
      </c>
      <c r="AQ15" s="109">
        <v>0</v>
      </c>
      <c r="AR15" s="109">
        <v>0</v>
      </c>
      <c r="AS15" s="109"/>
      <c r="AT15" s="109">
        <f t="shared" si="25"/>
        <v>287637.59091000003</v>
      </c>
      <c r="AU15" s="111">
        <f t="shared" si="8"/>
        <v>35.954698863750004</v>
      </c>
      <c r="AV15" s="109">
        <f>IFERROR((BS15*'CALCULO GERAL'!$E$11)/N15,0)</f>
        <v>0.98573160000000004</v>
      </c>
      <c r="AW15" s="109">
        <f>AU15/'CALCULO GERAL'!$C$11</f>
        <v>7.1637176456963543</v>
      </c>
      <c r="AX15" s="109">
        <f>BP15-BB15-BD15*'CALCULO GERAL'!$C$11</f>
        <v>48.547281300000002</v>
      </c>
      <c r="AY15" s="109">
        <f t="shared" si="9"/>
        <v>0.31555732845000001</v>
      </c>
      <c r="AZ15" s="109">
        <f t="shared" si="10"/>
        <v>1.4564184389999999</v>
      </c>
      <c r="BA15" s="109">
        <f t="shared" si="11"/>
        <v>49.286580000000001</v>
      </c>
      <c r="BB15" s="109">
        <f t="shared" si="12"/>
        <v>0.73929869999999998</v>
      </c>
      <c r="BC15" s="109">
        <f t="shared" si="13"/>
        <v>49.286580000000001</v>
      </c>
      <c r="BD15" s="109">
        <f t="shared" si="14"/>
        <v>0</v>
      </c>
      <c r="BE15" s="109">
        <f t="shared" si="15"/>
        <v>31543.411200000002</v>
      </c>
      <c r="BF15" s="109">
        <f t="shared" si="16"/>
        <v>47315.116800000003</v>
      </c>
      <c r="BG15" s="109">
        <f t="shared" si="17"/>
        <v>0.53229506400000004</v>
      </c>
      <c r="BH15" s="109">
        <f t="shared" si="18"/>
        <v>0.59143896000000007</v>
      </c>
      <c r="BI15" s="109">
        <f t="shared" si="19"/>
        <v>0</v>
      </c>
      <c r="BJ15" s="109">
        <f t="shared" si="20"/>
        <v>4.620740091450001</v>
      </c>
      <c r="BK15" s="109">
        <f t="shared" si="26"/>
        <v>40.575438955200006</v>
      </c>
      <c r="BL15" s="148">
        <v>0.74</v>
      </c>
      <c r="BM15" s="112">
        <f>ROUND((AW15/BL15)+((AW15*BL15)*'CALCULO GERAL'!$E$11)/BL15,2)</f>
        <v>9.82</v>
      </c>
      <c r="BN15" s="186">
        <f t="shared" si="21"/>
        <v>9.82</v>
      </c>
      <c r="BO15" s="186">
        <f t="shared" si="27"/>
        <v>11.506</v>
      </c>
      <c r="BP15" s="109">
        <f>BM15*'CALCULO GERAL'!$C$11</f>
        <v>49.286580000000001</v>
      </c>
      <c r="BQ15" s="109">
        <f>BO15*'CALCULO GERAL'!$C$11</f>
        <v>57.748614000000003</v>
      </c>
      <c r="BR15" s="186">
        <f>BN15*'CALCULO GERAL'!$C$11</f>
        <v>49.286580000000001</v>
      </c>
      <c r="BS15" s="109">
        <f t="shared" si="22"/>
        <v>394292.64</v>
      </c>
      <c r="BT15" s="109">
        <f t="shared" si="23"/>
        <v>394292.64</v>
      </c>
      <c r="BU15" s="109">
        <f t="shared" si="28"/>
        <v>324603.51164160005</v>
      </c>
      <c r="BV15" s="109">
        <f t="shared" si="29"/>
        <v>69689.128358399961</v>
      </c>
      <c r="BW15" s="114">
        <f t="shared" si="24"/>
        <v>0.17674468475597202</v>
      </c>
      <c r="BX15" s="152">
        <f t="shared" si="30"/>
        <v>0.74</v>
      </c>
      <c r="BZ15" s="55"/>
      <c r="CA15" s="113"/>
      <c r="CB15" s="113"/>
      <c r="CD15" s="152">
        <f t="shared" si="31"/>
        <v>0</v>
      </c>
      <c r="CE15" s="152">
        <f t="shared" si="32"/>
        <v>1</v>
      </c>
      <c r="CF15" s="152">
        <f t="shared" si="33"/>
        <v>1</v>
      </c>
      <c r="CG15" s="34"/>
      <c r="CI15" s="11"/>
      <c r="CJ15" s="11"/>
    </row>
    <row r="16" spans="1:88" s="152" customFormat="1" ht="16" x14ac:dyDescent="0.2">
      <c r="A16" s="228" t="s">
        <v>490</v>
      </c>
      <c r="B16" s="187" t="s">
        <v>174</v>
      </c>
      <c r="C16" s="8">
        <v>0.16200000000000001</v>
      </c>
      <c r="D16" s="8">
        <v>0</v>
      </c>
      <c r="E16" s="7">
        <v>2.1000000000000001E-2</v>
      </c>
      <c r="F16" s="7">
        <v>9.6500000000000002E-2</v>
      </c>
      <c r="G16" s="1">
        <v>6.4999999999999997E-3</v>
      </c>
      <c r="H16" s="1">
        <v>0.03</v>
      </c>
      <c r="I16" s="1">
        <v>0.18</v>
      </c>
      <c r="J16" s="1">
        <v>0.04</v>
      </c>
      <c r="K16" s="1">
        <v>0.14000000000000001</v>
      </c>
      <c r="L16" s="1">
        <v>1.4999999999999999E-2</v>
      </c>
      <c r="M16" s="2" t="s">
        <v>175</v>
      </c>
      <c r="N16" s="105">
        <v>8000</v>
      </c>
      <c r="O16" s="119">
        <v>4.8099999999999996</v>
      </c>
      <c r="P16" s="119"/>
      <c r="Q16" s="119"/>
      <c r="R16" s="119"/>
      <c r="S16" s="119"/>
      <c r="T16" s="119">
        <v>4.8099999999999996</v>
      </c>
      <c r="U16" s="119"/>
      <c r="V16" s="205"/>
      <c r="W16" s="119"/>
      <c r="X16" s="119">
        <f t="shared" si="0"/>
        <v>4.8099999999999996</v>
      </c>
      <c r="Y16" s="118">
        <f t="shared" si="1"/>
        <v>4.8099999999999996</v>
      </c>
      <c r="Z16" s="109">
        <f t="shared" si="2"/>
        <v>38480</v>
      </c>
      <c r="AA16" s="109">
        <f>'CALCULO GERAL'!$G$10</f>
        <v>6300</v>
      </c>
      <c r="AB16" s="109">
        <f t="shared" si="3"/>
        <v>44780</v>
      </c>
      <c r="AC16" s="109">
        <f>AB16*'CALCULO GERAL'!$C$11</f>
        <v>224750.82</v>
      </c>
      <c r="AD16" s="109">
        <f t="shared" si="4"/>
        <v>36409.632840000006</v>
      </c>
      <c r="AE16" s="109">
        <f t="shared" si="5"/>
        <v>0</v>
      </c>
      <c r="AF16" s="109">
        <f t="shared" si="6"/>
        <v>4719.7672200000006</v>
      </c>
      <c r="AG16" s="109">
        <f t="shared" si="7"/>
        <v>21688.454130000002</v>
      </c>
      <c r="AH16" s="109">
        <v>154.22999999999999</v>
      </c>
      <c r="AI16" s="109">
        <f>((AA16*'CALCULO GERAL'!$C$11))*0.08+20</f>
        <v>2549.576</v>
      </c>
      <c r="AJ16" s="109">
        <v>1010</v>
      </c>
      <c r="AK16" s="109">
        <v>2500</v>
      </c>
      <c r="AL16" s="109">
        <f>(AA16*('CALCULO GERAL'!$C$11*1.02))-(AA16*'CALCULO GERAL'!$C$11)</f>
        <v>632.39400000000387</v>
      </c>
      <c r="AM16" s="109">
        <v>1800</v>
      </c>
      <c r="AN16" s="109">
        <v>2600</v>
      </c>
      <c r="AO16" s="109">
        <v>9400</v>
      </c>
      <c r="AP16" s="109">
        <v>1000</v>
      </c>
      <c r="AQ16" s="109">
        <v>0</v>
      </c>
      <c r="AR16" s="109">
        <v>0</v>
      </c>
      <c r="AS16" s="109"/>
      <c r="AT16" s="109">
        <f t="shared" si="25"/>
        <v>309214.87419000006</v>
      </c>
      <c r="AU16" s="111">
        <f t="shared" si="8"/>
        <v>38.651859273750006</v>
      </c>
      <c r="AV16" s="109">
        <f>IFERROR((BS16*'CALCULO GERAL'!$E$11)/N16,0)</f>
        <v>1.0600128000000002</v>
      </c>
      <c r="AW16" s="109">
        <f>AU16/'CALCULO GERAL'!$C$11</f>
        <v>7.7011076456963545</v>
      </c>
      <c r="AX16" s="109">
        <f>BP16-BB16-BD16*'CALCULO GERAL'!$C$11</f>
        <v>52.205630400000004</v>
      </c>
      <c r="AY16" s="109">
        <f t="shared" si="9"/>
        <v>0.33933659760000001</v>
      </c>
      <c r="AZ16" s="109">
        <f t="shared" si="10"/>
        <v>1.566168912</v>
      </c>
      <c r="BA16" s="109">
        <f t="shared" si="11"/>
        <v>53.000640000000004</v>
      </c>
      <c r="BB16" s="109">
        <f t="shared" si="12"/>
        <v>0.79500959999999998</v>
      </c>
      <c r="BC16" s="109">
        <f t="shared" si="13"/>
        <v>53.000640000000004</v>
      </c>
      <c r="BD16" s="109">
        <f t="shared" si="14"/>
        <v>0</v>
      </c>
      <c r="BE16" s="109">
        <f t="shared" si="15"/>
        <v>33920.409600000006</v>
      </c>
      <c r="BF16" s="109">
        <f t="shared" si="16"/>
        <v>50880.614400000006</v>
      </c>
      <c r="BG16" s="109">
        <f t="shared" si="17"/>
        <v>0.57240691200000005</v>
      </c>
      <c r="BH16" s="109">
        <f t="shared" si="18"/>
        <v>0.63600768000000008</v>
      </c>
      <c r="BI16" s="109">
        <f t="shared" si="19"/>
        <v>0</v>
      </c>
      <c r="BJ16" s="109">
        <f t="shared" si="20"/>
        <v>4.9689425016000008</v>
      </c>
      <c r="BK16" s="109">
        <f t="shared" si="26"/>
        <v>43.620801775350003</v>
      </c>
      <c r="BL16" s="148">
        <v>0.74</v>
      </c>
      <c r="BM16" s="112">
        <f>ROUND((AW16/BL16)+((AW16*BL16)*'CALCULO GERAL'!$E$11)/BL16,2)</f>
        <v>10.56</v>
      </c>
      <c r="BN16" s="186">
        <f t="shared" si="21"/>
        <v>10.56</v>
      </c>
      <c r="BO16" s="186">
        <f t="shared" si="27"/>
        <v>12.372999999999999</v>
      </c>
      <c r="BP16" s="109">
        <f>BM16*'CALCULO GERAL'!$C$11</f>
        <v>53.000640000000004</v>
      </c>
      <c r="BQ16" s="109">
        <f>BO16*'CALCULO GERAL'!$C$11</f>
        <v>62.100086999999995</v>
      </c>
      <c r="BR16" s="186">
        <f>BN16*'CALCULO GERAL'!$C$11</f>
        <v>53.000640000000004</v>
      </c>
      <c r="BS16" s="109">
        <f t="shared" si="22"/>
        <v>424005.12000000005</v>
      </c>
      <c r="BT16" s="109">
        <f t="shared" si="23"/>
        <v>424005.12000000005</v>
      </c>
      <c r="BU16" s="109">
        <f t="shared" si="28"/>
        <v>348966.41420280002</v>
      </c>
      <c r="BV16" s="109">
        <f t="shared" si="29"/>
        <v>75038.705797200033</v>
      </c>
      <c r="BW16" s="114">
        <f t="shared" si="24"/>
        <v>0.17697594264239078</v>
      </c>
      <c r="BX16" s="152">
        <f t="shared" si="30"/>
        <v>0.74</v>
      </c>
      <c r="BZ16" s="55"/>
      <c r="CA16" s="113"/>
      <c r="CB16" s="113"/>
      <c r="CD16" s="152">
        <f t="shared" si="31"/>
        <v>0</v>
      </c>
      <c r="CE16" s="152">
        <f t="shared" si="32"/>
        <v>1</v>
      </c>
      <c r="CF16" s="152">
        <f t="shared" si="33"/>
        <v>1</v>
      </c>
      <c r="CG16" s="34"/>
      <c r="CI16" s="11"/>
      <c r="CJ16" s="11"/>
    </row>
    <row r="17" spans="1:88" s="152" customFormat="1" ht="16" x14ac:dyDescent="0.2">
      <c r="A17" s="228" t="s">
        <v>491</v>
      </c>
      <c r="B17" s="187" t="s">
        <v>174</v>
      </c>
      <c r="C17" s="8">
        <v>0.16200000000000001</v>
      </c>
      <c r="D17" s="8">
        <v>0</v>
      </c>
      <c r="E17" s="7">
        <v>2.1000000000000001E-2</v>
      </c>
      <c r="F17" s="7">
        <v>9.6500000000000002E-2</v>
      </c>
      <c r="G17" s="1">
        <v>6.4999999999999997E-3</v>
      </c>
      <c r="H17" s="1">
        <v>0.03</v>
      </c>
      <c r="I17" s="1">
        <v>0.18</v>
      </c>
      <c r="J17" s="1">
        <v>0.04</v>
      </c>
      <c r="K17" s="1">
        <v>0.14000000000000001</v>
      </c>
      <c r="L17" s="1">
        <v>1.4999999999999999E-2</v>
      </c>
      <c r="M17" s="2" t="s">
        <v>175</v>
      </c>
      <c r="N17" s="105">
        <v>8000</v>
      </c>
      <c r="O17" s="119">
        <v>5.29</v>
      </c>
      <c r="P17" s="119"/>
      <c r="Q17" s="119"/>
      <c r="R17" s="119"/>
      <c r="S17" s="119"/>
      <c r="T17" s="119">
        <v>5.29</v>
      </c>
      <c r="U17" s="119"/>
      <c r="V17" s="205"/>
      <c r="W17" s="119"/>
      <c r="X17" s="119">
        <f t="shared" si="0"/>
        <v>5.29</v>
      </c>
      <c r="Y17" s="118">
        <f t="shared" si="1"/>
        <v>5.29</v>
      </c>
      <c r="Z17" s="109">
        <f t="shared" si="2"/>
        <v>42320</v>
      </c>
      <c r="AA17" s="109">
        <f>'CALCULO GERAL'!$G$10</f>
        <v>6300</v>
      </c>
      <c r="AB17" s="109">
        <f t="shared" si="3"/>
        <v>48620</v>
      </c>
      <c r="AC17" s="109">
        <f>AB17*'CALCULO GERAL'!$C$11</f>
        <v>244023.78</v>
      </c>
      <c r="AD17" s="109">
        <f t="shared" si="4"/>
        <v>39531.852360000004</v>
      </c>
      <c r="AE17" s="109">
        <f t="shared" si="5"/>
        <v>0</v>
      </c>
      <c r="AF17" s="109">
        <f t="shared" si="6"/>
        <v>5124.4993800000002</v>
      </c>
      <c r="AG17" s="109">
        <f t="shared" si="7"/>
        <v>23548.29477</v>
      </c>
      <c r="AH17" s="109">
        <v>154.22999999999999</v>
      </c>
      <c r="AI17" s="109">
        <f>((AA17*'CALCULO GERAL'!$C$11))*0.08+20</f>
        <v>2549.576</v>
      </c>
      <c r="AJ17" s="109">
        <v>1010</v>
      </c>
      <c r="AK17" s="109">
        <v>2500</v>
      </c>
      <c r="AL17" s="109">
        <f>(AA17*('CALCULO GERAL'!$C$11*1.02))-(AA17*'CALCULO GERAL'!$C$11)</f>
        <v>632.39400000000387</v>
      </c>
      <c r="AM17" s="109">
        <v>1800</v>
      </c>
      <c r="AN17" s="109">
        <v>2600</v>
      </c>
      <c r="AO17" s="109">
        <v>9400</v>
      </c>
      <c r="AP17" s="109">
        <v>1000</v>
      </c>
      <c r="AQ17" s="109">
        <v>0</v>
      </c>
      <c r="AR17" s="109">
        <v>0</v>
      </c>
      <c r="AS17" s="109"/>
      <c r="AT17" s="109">
        <f t="shared" si="25"/>
        <v>333874.62650999997</v>
      </c>
      <c r="AU17" s="111">
        <f t="shared" si="8"/>
        <v>41.734328313749998</v>
      </c>
      <c r="AV17" s="109">
        <f>IFERROR((BS17*'CALCULO GERAL'!$E$11)/N17,0)</f>
        <v>1.1443320000000001</v>
      </c>
      <c r="AW17" s="109">
        <f>AU17/'CALCULO GERAL'!$C$11</f>
        <v>8.3152676456963537</v>
      </c>
      <c r="AX17" s="109">
        <f>BP17-BB17-BD17*'CALCULO GERAL'!$C$11</f>
        <v>56.358351000000006</v>
      </c>
      <c r="AY17" s="109">
        <f t="shared" si="9"/>
        <v>0.36632928150000005</v>
      </c>
      <c r="AZ17" s="109">
        <f t="shared" si="10"/>
        <v>1.6907505300000001</v>
      </c>
      <c r="BA17" s="109">
        <f t="shared" si="11"/>
        <v>57.216600000000007</v>
      </c>
      <c r="BB17" s="109">
        <f t="shared" si="12"/>
        <v>0.85824900000000004</v>
      </c>
      <c r="BC17" s="109">
        <f t="shared" si="13"/>
        <v>57.216600000000007</v>
      </c>
      <c r="BD17" s="109">
        <f t="shared" si="14"/>
        <v>0</v>
      </c>
      <c r="BE17" s="109">
        <f t="shared" si="15"/>
        <v>36618.624000000003</v>
      </c>
      <c r="BF17" s="109">
        <f t="shared" si="16"/>
        <v>54927.936000000002</v>
      </c>
      <c r="BG17" s="109">
        <f t="shared" si="17"/>
        <v>0.61793927999999998</v>
      </c>
      <c r="BH17" s="109">
        <f t="shared" si="18"/>
        <v>0.68659919999999997</v>
      </c>
      <c r="BI17" s="109">
        <f t="shared" si="19"/>
        <v>0</v>
      </c>
      <c r="BJ17" s="109">
        <f t="shared" si="20"/>
        <v>5.3641992915000003</v>
      </c>
      <c r="BK17" s="109">
        <f t="shared" si="26"/>
        <v>47.098527605249998</v>
      </c>
      <c r="BL17" s="148">
        <v>0.74</v>
      </c>
      <c r="BM17" s="112">
        <f>ROUND((AW17/BL17)+((AW17*BL17)*'CALCULO GERAL'!$E$11)/BL17,2)</f>
        <v>11.4</v>
      </c>
      <c r="BN17" s="186">
        <f t="shared" si="21"/>
        <v>11.4</v>
      </c>
      <c r="BO17" s="186">
        <f t="shared" si="27"/>
        <v>13.356999999999999</v>
      </c>
      <c r="BP17" s="109">
        <f>BM17*'CALCULO GERAL'!$C$11</f>
        <v>57.216600000000007</v>
      </c>
      <c r="BQ17" s="109">
        <f>BO17*'CALCULO GERAL'!$C$11</f>
        <v>67.038782999999995</v>
      </c>
      <c r="BR17" s="186">
        <f>BN17*'CALCULO GERAL'!$C$11</f>
        <v>57.216600000000007</v>
      </c>
      <c r="BS17" s="109">
        <f t="shared" si="22"/>
        <v>457732.80000000005</v>
      </c>
      <c r="BT17" s="109">
        <f t="shared" si="23"/>
        <v>457732.80000000005</v>
      </c>
      <c r="BU17" s="109">
        <f t="shared" si="28"/>
        <v>376788.22084199998</v>
      </c>
      <c r="BV17" s="109">
        <f t="shared" si="29"/>
        <v>80944.579158000066</v>
      </c>
      <c r="BW17" s="114">
        <f t="shared" si="24"/>
        <v>0.17683805739505681</v>
      </c>
      <c r="BX17" s="152">
        <f t="shared" si="30"/>
        <v>0.74</v>
      </c>
      <c r="BZ17" s="55"/>
      <c r="CA17" s="113"/>
      <c r="CB17" s="113"/>
      <c r="CD17" s="152">
        <f t="shared" si="31"/>
        <v>0</v>
      </c>
      <c r="CE17" s="152">
        <f t="shared" si="32"/>
        <v>1</v>
      </c>
      <c r="CF17" s="152">
        <f t="shared" si="33"/>
        <v>1</v>
      </c>
      <c r="CG17" s="34"/>
      <c r="CI17" s="11"/>
      <c r="CJ17" s="11"/>
    </row>
    <row r="18" spans="1:88" s="152" customFormat="1" ht="16" x14ac:dyDescent="0.2">
      <c r="A18" s="228" t="s">
        <v>492</v>
      </c>
      <c r="B18" s="187" t="s">
        <v>174</v>
      </c>
      <c r="C18" s="8">
        <v>0.16200000000000001</v>
      </c>
      <c r="D18" s="8">
        <v>0</v>
      </c>
      <c r="E18" s="7">
        <v>2.1000000000000001E-2</v>
      </c>
      <c r="F18" s="7">
        <v>9.6500000000000002E-2</v>
      </c>
      <c r="G18" s="1">
        <v>6.4999999999999997E-3</v>
      </c>
      <c r="H18" s="1">
        <v>0.03</v>
      </c>
      <c r="I18" s="1">
        <v>0.18</v>
      </c>
      <c r="J18" s="1">
        <v>0.04</v>
      </c>
      <c r="K18" s="1">
        <v>0.14000000000000001</v>
      </c>
      <c r="L18" s="1">
        <v>1.4999999999999999E-2</v>
      </c>
      <c r="M18" s="2" t="s">
        <v>175</v>
      </c>
      <c r="N18" s="105">
        <v>8500</v>
      </c>
      <c r="O18" s="119">
        <v>3.83</v>
      </c>
      <c r="P18" s="119"/>
      <c r="Q18" s="119"/>
      <c r="R18" s="119"/>
      <c r="S18" s="119"/>
      <c r="T18" s="119">
        <v>3.83</v>
      </c>
      <c r="U18" s="119"/>
      <c r="V18" s="205"/>
      <c r="W18" s="119"/>
      <c r="X18" s="119">
        <f t="shared" si="0"/>
        <v>3.83</v>
      </c>
      <c r="Y18" s="118">
        <f t="shared" si="1"/>
        <v>3.83</v>
      </c>
      <c r="Z18" s="109">
        <f t="shared" si="2"/>
        <v>32555</v>
      </c>
      <c r="AA18" s="109">
        <f>'CALCULO GERAL'!$G$10</f>
        <v>6300</v>
      </c>
      <c r="AB18" s="109">
        <f t="shared" si="3"/>
        <v>38855</v>
      </c>
      <c r="AC18" s="109">
        <f>AB18*'CALCULO GERAL'!$C$11</f>
        <v>195013.245</v>
      </c>
      <c r="AD18" s="109">
        <f t="shared" si="4"/>
        <v>31592.145690000001</v>
      </c>
      <c r="AE18" s="109">
        <f t="shared" si="5"/>
        <v>0</v>
      </c>
      <c r="AF18" s="109">
        <f t="shared" si="6"/>
        <v>4095.2781450000002</v>
      </c>
      <c r="AG18" s="109">
        <f t="shared" si="7"/>
        <v>18818.778142499999</v>
      </c>
      <c r="AH18" s="109">
        <v>154.22999999999999</v>
      </c>
      <c r="AI18" s="109">
        <f>((AA18*'CALCULO GERAL'!$C$11))*0.08+20</f>
        <v>2549.576</v>
      </c>
      <c r="AJ18" s="109">
        <v>1010</v>
      </c>
      <c r="AK18" s="109">
        <v>2500</v>
      </c>
      <c r="AL18" s="109">
        <f>(AA18*('CALCULO GERAL'!$C$11*1.02))-(AA18*'CALCULO GERAL'!$C$11)</f>
        <v>632.39400000000387</v>
      </c>
      <c r="AM18" s="109">
        <v>1800</v>
      </c>
      <c r="AN18" s="109">
        <v>2600</v>
      </c>
      <c r="AO18" s="109">
        <v>9400</v>
      </c>
      <c r="AP18" s="109">
        <v>1000</v>
      </c>
      <c r="AQ18" s="109">
        <v>0</v>
      </c>
      <c r="AR18" s="109">
        <v>0</v>
      </c>
      <c r="AS18" s="109"/>
      <c r="AT18" s="109">
        <f t="shared" si="25"/>
        <v>271165.6469775</v>
      </c>
      <c r="AU18" s="111">
        <f t="shared" si="8"/>
        <v>31.901840820882352</v>
      </c>
      <c r="AV18" s="109">
        <f>IFERROR((BS18*'CALCULO GERAL'!$E$11)/N18,0)</f>
        <v>0.87531360000000002</v>
      </c>
      <c r="AW18" s="109">
        <f>AU18/'CALCULO GERAL'!$C$11</f>
        <v>6.3562145488906854</v>
      </c>
      <c r="AX18" s="109">
        <f>BP18-BB18-BD18*'CALCULO GERAL'!$C$11</f>
        <v>43.109194800000004</v>
      </c>
      <c r="AY18" s="109">
        <f t="shared" si="9"/>
        <v>0.28020976620000004</v>
      </c>
      <c r="AZ18" s="109">
        <f t="shared" si="10"/>
        <v>1.2932758440000001</v>
      </c>
      <c r="BA18" s="109">
        <f t="shared" si="11"/>
        <v>43.765680000000003</v>
      </c>
      <c r="BB18" s="109">
        <f t="shared" si="12"/>
        <v>0.65648519999999999</v>
      </c>
      <c r="BC18" s="109">
        <f t="shared" si="13"/>
        <v>43.765680000000003</v>
      </c>
      <c r="BD18" s="109">
        <f t="shared" si="14"/>
        <v>0</v>
      </c>
      <c r="BE18" s="109">
        <f t="shared" si="15"/>
        <v>29760.662400000001</v>
      </c>
      <c r="BF18" s="109">
        <f t="shared" si="16"/>
        <v>44640.993600000002</v>
      </c>
      <c r="BG18" s="109">
        <f t="shared" si="17"/>
        <v>0.47266934399999999</v>
      </c>
      <c r="BH18" s="109">
        <f t="shared" si="18"/>
        <v>0.52518816000000001</v>
      </c>
      <c r="BI18" s="109">
        <f t="shared" si="19"/>
        <v>0</v>
      </c>
      <c r="BJ18" s="109">
        <f t="shared" si="20"/>
        <v>4.1031419142000001</v>
      </c>
      <c r="BK18" s="109">
        <f t="shared" si="26"/>
        <v>36.004982735082351</v>
      </c>
      <c r="BL18" s="148">
        <v>0.74</v>
      </c>
      <c r="BM18" s="112">
        <f>ROUND((AW18/BL18)+((AW18*BL18)*'CALCULO GERAL'!$E$11)/BL18,2)</f>
        <v>8.7200000000000006</v>
      </c>
      <c r="BN18" s="186">
        <f t="shared" si="21"/>
        <v>8.7200000000000006</v>
      </c>
      <c r="BO18" s="186">
        <f t="shared" si="27"/>
        <v>10.217000000000001</v>
      </c>
      <c r="BP18" s="109">
        <f>BM18*'CALCULO GERAL'!$C$11</f>
        <v>43.765680000000003</v>
      </c>
      <c r="BQ18" s="109">
        <f>BO18*'CALCULO GERAL'!$C$11</f>
        <v>51.279123000000006</v>
      </c>
      <c r="BR18" s="186">
        <f>BN18*'CALCULO GERAL'!$C$11</f>
        <v>43.765680000000003</v>
      </c>
      <c r="BS18" s="109">
        <f t="shared" si="22"/>
        <v>372008.28</v>
      </c>
      <c r="BT18" s="109">
        <f t="shared" si="23"/>
        <v>372008.28</v>
      </c>
      <c r="BU18" s="109">
        <f t="shared" si="28"/>
        <v>306042.35324819997</v>
      </c>
      <c r="BV18" s="109">
        <f t="shared" si="29"/>
        <v>65965.926751800056</v>
      </c>
      <c r="BW18" s="114">
        <f t="shared" si="24"/>
        <v>0.17732381320060955</v>
      </c>
      <c r="BX18" s="152">
        <f t="shared" si="30"/>
        <v>0.74</v>
      </c>
      <c r="BZ18" s="55"/>
      <c r="CA18" s="113"/>
      <c r="CB18" s="113"/>
      <c r="CD18" s="152">
        <f t="shared" si="31"/>
        <v>0</v>
      </c>
      <c r="CE18" s="152">
        <f t="shared" si="32"/>
        <v>1</v>
      </c>
      <c r="CF18" s="152">
        <f t="shared" si="33"/>
        <v>1</v>
      </c>
      <c r="CG18" s="34"/>
      <c r="CI18" s="11"/>
      <c r="CJ18" s="11"/>
    </row>
    <row r="19" spans="1:88" s="152" customFormat="1" ht="16" x14ac:dyDescent="0.2">
      <c r="A19" s="228" t="s">
        <v>493</v>
      </c>
      <c r="B19" s="187" t="s">
        <v>174</v>
      </c>
      <c r="C19" s="8">
        <v>0.16200000000000001</v>
      </c>
      <c r="D19" s="8">
        <v>0</v>
      </c>
      <c r="E19" s="7">
        <v>2.1000000000000001E-2</v>
      </c>
      <c r="F19" s="7">
        <v>9.6500000000000002E-2</v>
      </c>
      <c r="G19" s="1">
        <v>6.4999999999999997E-3</v>
      </c>
      <c r="H19" s="1">
        <v>0.03</v>
      </c>
      <c r="I19" s="1">
        <v>0.18</v>
      </c>
      <c r="J19" s="1">
        <v>0.04</v>
      </c>
      <c r="K19" s="1">
        <v>0.14000000000000001</v>
      </c>
      <c r="L19" s="1">
        <v>1.4999999999999999E-2</v>
      </c>
      <c r="M19" s="2" t="s">
        <v>175</v>
      </c>
      <c r="N19" s="105">
        <v>8500</v>
      </c>
      <c r="O19" s="119">
        <v>5.0999999999999996</v>
      </c>
      <c r="P19" s="119"/>
      <c r="Q19" s="119"/>
      <c r="R19" s="119"/>
      <c r="S19" s="119"/>
      <c r="T19" s="119">
        <v>5.0999999999999996</v>
      </c>
      <c r="U19" s="119"/>
      <c r="V19" s="205"/>
      <c r="W19" s="119"/>
      <c r="X19" s="119">
        <f t="shared" si="0"/>
        <v>5.0999999999999996</v>
      </c>
      <c r="Y19" s="118">
        <f t="shared" si="1"/>
        <v>5.0999999999999996</v>
      </c>
      <c r="Z19" s="109">
        <f t="shared" si="2"/>
        <v>43350</v>
      </c>
      <c r="AA19" s="109">
        <f>'CALCULO GERAL'!$G$10</f>
        <v>6300</v>
      </c>
      <c r="AB19" s="109">
        <f t="shared" si="3"/>
        <v>49650</v>
      </c>
      <c r="AC19" s="109">
        <f>AB19*'CALCULO GERAL'!$C$11</f>
        <v>249193.35</v>
      </c>
      <c r="AD19" s="109">
        <f t="shared" si="4"/>
        <v>40369.322700000004</v>
      </c>
      <c r="AE19" s="109">
        <f t="shared" si="5"/>
        <v>0</v>
      </c>
      <c r="AF19" s="109">
        <f t="shared" si="6"/>
        <v>5233.0603500000007</v>
      </c>
      <c r="AG19" s="109">
        <f t="shared" si="7"/>
        <v>24047.158275000002</v>
      </c>
      <c r="AH19" s="109">
        <v>154.22999999999999</v>
      </c>
      <c r="AI19" s="109">
        <f>((AA19*'CALCULO GERAL'!$C$11))*0.08+20</f>
        <v>2549.576</v>
      </c>
      <c r="AJ19" s="109">
        <v>1010</v>
      </c>
      <c r="AK19" s="109">
        <v>2500</v>
      </c>
      <c r="AL19" s="109">
        <f>(AA19*('CALCULO GERAL'!$C$11*1.02))-(AA19*'CALCULO GERAL'!$C$11)</f>
        <v>632.39400000000387</v>
      </c>
      <c r="AM19" s="109">
        <v>1800</v>
      </c>
      <c r="AN19" s="109">
        <v>2600</v>
      </c>
      <c r="AO19" s="109">
        <v>9400</v>
      </c>
      <c r="AP19" s="109">
        <v>1000</v>
      </c>
      <c r="AQ19" s="109">
        <v>0</v>
      </c>
      <c r="AR19" s="109">
        <v>0</v>
      </c>
      <c r="AS19" s="109"/>
      <c r="AT19" s="109">
        <f t="shared" si="25"/>
        <v>340489.09132499999</v>
      </c>
      <c r="AU19" s="111">
        <f t="shared" si="8"/>
        <v>40.05754015588235</v>
      </c>
      <c r="AV19" s="109">
        <f>IFERROR((BS19*'CALCULO GERAL'!$E$11)/N19,0)</f>
        <v>1.0991610000000001</v>
      </c>
      <c r="AW19" s="109">
        <f>AU19/'CALCULO GERAL'!$C$11</f>
        <v>7.9811795488906849</v>
      </c>
      <c r="AX19" s="109">
        <f>BP19-BB19-BD19*'CALCULO GERAL'!$C$11</f>
        <v>54.13367925</v>
      </c>
      <c r="AY19" s="109">
        <f t="shared" si="9"/>
        <v>0.35186891512499996</v>
      </c>
      <c r="AZ19" s="109">
        <f t="shared" si="10"/>
        <v>1.6240103774999999</v>
      </c>
      <c r="BA19" s="109">
        <f t="shared" si="11"/>
        <v>54.95805</v>
      </c>
      <c r="BB19" s="109">
        <f t="shared" si="12"/>
        <v>0.82437074999999993</v>
      </c>
      <c r="BC19" s="109">
        <f t="shared" si="13"/>
        <v>54.95805</v>
      </c>
      <c r="BD19" s="109">
        <f t="shared" si="14"/>
        <v>0</v>
      </c>
      <c r="BE19" s="109">
        <f t="shared" si="15"/>
        <v>37371.474000000002</v>
      </c>
      <c r="BF19" s="109">
        <f t="shared" si="16"/>
        <v>56057.210999999996</v>
      </c>
      <c r="BG19" s="109">
        <f t="shared" si="17"/>
        <v>0.59354693999999997</v>
      </c>
      <c r="BH19" s="109">
        <f t="shared" si="18"/>
        <v>0.65949659999999999</v>
      </c>
      <c r="BI19" s="109">
        <f t="shared" si="19"/>
        <v>0</v>
      </c>
      <c r="BJ19" s="109">
        <f t="shared" si="20"/>
        <v>5.1524545826249994</v>
      </c>
      <c r="BK19" s="109">
        <f t="shared" si="26"/>
        <v>45.209994738507348</v>
      </c>
      <c r="BL19" s="148">
        <v>0.74</v>
      </c>
      <c r="BM19" s="112">
        <f>ROUND((AW19/BL19)+((AW19*BL19)*'CALCULO GERAL'!$E$11)/BL19,2)</f>
        <v>10.95</v>
      </c>
      <c r="BN19" s="186">
        <f t="shared" si="21"/>
        <v>10.95</v>
      </c>
      <c r="BO19" s="186">
        <f t="shared" si="27"/>
        <v>12.83</v>
      </c>
      <c r="BP19" s="109">
        <f>BM19*'CALCULO GERAL'!$C$11</f>
        <v>54.95805</v>
      </c>
      <c r="BQ19" s="109">
        <f>BO19*'CALCULO GERAL'!$C$11</f>
        <v>64.393770000000004</v>
      </c>
      <c r="BR19" s="186">
        <f>BN19*'CALCULO GERAL'!$C$11</f>
        <v>54.95805</v>
      </c>
      <c r="BS19" s="109">
        <f t="shared" si="22"/>
        <v>467143.42499999999</v>
      </c>
      <c r="BT19" s="109">
        <f t="shared" si="23"/>
        <v>467143.42499999999</v>
      </c>
      <c r="BU19" s="109">
        <f t="shared" si="28"/>
        <v>384284.95527731243</v>
      </c>
      <c r="BV19" s="109">
        <f t="shared" si="29"/>
        <v>82858.469722687558</v>
      </c>
      <c r="BW19" s="114">
        <f t="shared" si="24"/>
        <v>0.17737265535244889</v>
      </c>
      <c r="BX19" s="152">
        <f t="shared" si="30"/>
        <v>0.74</v>
      </c>
      <c r="BZ19" s="55"/>
      <c r="CA19" s="113"/>
      <c r="CB19" s="113"/>
      <c r="CD19" s="152">
        <f t="shared" si="31"/>
        <v>0</v>
      </c>
      <c r="CE19" s="152">
        <f t="shared" si="32"/>
        <v>1</v>
      </c>
      <c r="CF19" s="152">
        <f t="shared" si="33"/>
        <v>1</v>
      </c>
      <c r="CG19" s="34"/>
      <c r="CI19" s="11"/>
      <c r="CJ19" s="11"/>
    </row>
    <row r="20" spans="1:88" s="152" customFormat="1" ht="16" x14ac:dyDescent="0.2">
      <c r="A20" s="228" t="s">
        <v>494</v>
      </c>
      <c r="B20" s="187" t="s">
        <v>174</v>
      </c>
      <c r="C20" s="8">
        <v>0.16200000000000001</v>
      </c>
      <c r="D20" s="8">
        <v>0</v>
      </c>
      <c r="E20" s="7">
        <v>2.1000000000000001E-2</v>
      </c>
      <c r="F20" s="7">
        <v>9.6500000000000002E-2</v>
      </c>
      <c r="G20" s="1">
        <v>6.4999999999999997E-3</v>
      </c>
      <c r="H20" s="1">
        <v>0.03</v>
      </c>
      <c r="I20" s="1">
        <v>0.18</v>
      </c>
      <c r="J20" s="1">
        <v>0.04</v>
      </c>
      <c r="K20" s="1">
        <v>0.14000000000000001</v>
      </c>
      <c r="L20" s="1">
        <v>1.4999999999999999E-2</v>
      </c>
      <c r="M20" s="2" t="s">
        <v>175</v>
      </c>
      <c r="N20" s="105">
        <v>8500</v>
      </c>
      <c r="O20" s="119">
        <v>5.67</v>
      </c>
      <c r="P20" s="119"/>
      <c r="Q20" s="119"/>
      <c r="R20" s="119"/>
      <c r="S20" s="119"/>
      <c r="T20" s="119">
        <v>5.67</v>
      </c>
      <c r="U20" s="119"/>
      <c r="V20" s="205"/>
      <c r="W20" s="119"/>
      <c r="X20" s="119">
        <f t="shared" si="0"/>
        <v>5.67</v>
      </c>
      <c r="Y20" s="118">
        <f t="shared" si="1"/>
        <v>5.67</v>
      </c>
      <c r="Z20" s="109">
        <f t="shared" si="2"/>
        <v>48195</v>
      </c>
      <c r="AA20" s="109">
        <f>'CALCULO GERAL'!$G$10</f>
        <v>6300</v>
      </c>
      <c r="AB20" s="109">
        <f t="shared" si="3"/>
        <v>54495</v>
      </c>
      <c r="AC20" s="109">
        <f>AB20*'CALCULO GERAL'!$C$11</f>
        <v>273510.40500000003</v>
      </c>
      <c r="AD20" s="109">
        <f t="shared" si="4"/>
        <v>44308.685610000008</v>
      </c>
      <c r="AE20" s="109">
        <f t="shared" si="5"/>
        <v>0</v>
      </c>
      <c r="AF20" s="109">
        <f t="shared" si="6"/>
        <v>5743.7185050000007</v>
      </c>
      <c r="AG20" s="109">
        <f t="shared" si="7"/>
        <v>26393.754082500003</v>
      </c>
      <c r="AH20" s="109">
        <v>154.22999999999999</v>
      </c>
      <c r="AI20" s="109">
        <f>((AA20*'CALCULO GERAL'!$C$11))*0.08+20</f>
        <v>2549.576</v>
      </c>
      <c r="AJ20" s="109">
        <v>1010</v>
      </c>
      <c r="AK20" s="109">
        <v>2500</v>
      </c>
      <c r="AL20" s="109">
        <f>(AA20*('CALCULO GERAL'!$C$11*1.02))-(AA20*'CALCULO GERAL'!$C$11)</f>
        <v>632.39400000000387</v>
      </c>
      <c r="AM20" s="109">
        <v>1800</v>
      </c>
      <c r="AN20" s="109">
        <v>2600</v>
      </c>
      <c r="AO20" s="109">
        <v>9400</v>
      </c>
      <c r="AP20" s="109">
        <v>1000</v>
      </c>
      <c r="AQ20" s="109">
        <v>0</v>
      </c>
      <c r="AR20" s="109">
        <v>0</v>
      </c>
      <c r="AS20" s="109"/>
      <c r="AT20" s="109">
        <f t="shared" si="25"/>
        <v>371602.76319750003</v>
      </c>
      <c r="AU20" s="111">
        <f t="shared" si="8"/>
        <v>43.717972140882353</v>
      </c>
      <c r="AV20" s="109">
        <f>IFERROR((BS20*'CALCULO GERAL'!$E$11)/N20,0)</f>
        <v>1.199541</v>
      </c>
      <c r="AW20" s="109">
        <f>AU20/'CALCULO GERAL'!$C$11</f>
        <v>8.7104945488906864</v>
      </c>
      <c r="AX20" s="109">
        <f>BP20-BB20-BD20*'CALCULO GERAL'!$C$11</f>
        <v>59.077394249999998</v>
      </c>
      <c r="AY20" s="109">
        <f t="shared" si="9"/>
        <v>0.38400306262499995</v>
      </c>
      <c r="AZ20" s="109">
        <f t="shared" si="10"/>
        <v>1.7723218274999999</v>
      </c>
      <c r="BA20" s="109">
        <f t="shared" si="11"/>
        <v>59.977049999999998</v>
      </c>
      <c r="BB20" s="109">
        <f t="shared" si="12"/>
        <v>0.89965574999999998</v>
      </c>
      <c r="BC20" s="109">
        <f t="shared" si="13"/>
        <v>59.977049999999998</v>
      </c>
      <c r="BD20" s="109">
        <f t="shared" si="14"/>
        <v>0</v>
      </c>
      <c r="BE20" s="109">
        <f t="shared" si="15"/>
        <v>40784.394</v>
      </c>
      <c r="BF20" s="109">
        <f t="shared" si="16"/>
        <v>61176.590999999993</v>
      </c>
      <c r="BG20" s="109">
        <f t="shared" si="17"/>
        <v>0.64775213999999992</v>
      </c>
      <c r="BH20" s="109">
        <f t="shared" si="18"/>
        <v>0.71972459999999994</v>
      </c>
      <c r="BI20" s="109">
        <f t="shared" si="19"/>
        <v>0</v>
      </c>
      <c r="BJ20" s="109">
        <f t="shared" si="20"/>
        <v>5.6229983801249999</v>
      </c>
      <c r="BK20" s="109">
        <f t="shared" si="26"/>
        <v>49.34097052100735</v>
      </c>
      <c r="BL20" s="148">
        <v>0.74</v>
      </c>
      <c r="BM20" s="112">
        <f>ROUND((AW20/BL20)+((AW20*BL20)*'CALCULO GERAL'!$E$11)/BL20,2)</f>
        <v>11.95</v>
      </c>
      <c r="BN20" s="186">
        <f t="shared" si="21"/>
        <v>11.95</v>
      </c>
      <c r="BO20" s="186">
        <f t="shared" si="27"/>
        <v>14.000999999999999</v>
      </c>
      <c r="BP20" s="109">
        <f>BM20*'CALCULO GERAL'!$C$11</f>
        <v>59.977049999999998</v>
      </c>
      <c r="BQ20" s="109">
        <f>BO20*'CALCULO GERAL'!$C$11</f>
        <v>70.271018999999995</v>
      </c>
      <c r="BR20" s="186">
        <f>BN20*'CALCULO GERAL'!$C$11</f>
        <v>59.977049999999998</v>
      </c>
      <c r="BS20" s="109">
        <f t="shared" si="22"/>
        <v>509804.92499999999</v>
      </c>
      <c r="BT20" s="109">
        <f t="shared" si="23"/>
        <v>509804.92499999999</v>
      </c>
      <c r="BU20" s="109">
        <f t="shared" si="28"/>
        <v>419398.24942856247</v>
      </c>
      <c r="BV20" s="109">
        <f t="shared" si="29"/>
        <v>90406.675571437518</v>
      </c>
      <c r="BW20" s="114">
        <f t="shared" si="24"/>
        <v>0.17733582226856187</v>
      </c>
      <c r="BX20" s="152">
        <f t="shared" si="30"/>
        <v>0.74</v>
      </c>
      <c r="BZ20" s="55"/>
      <c r="CA20" s="113"/>
      <c r="CB20" s="113"/>
      <c r="CD20" s="152">
        <f t="shared" si="31"/>
        <v>0</v>
      </c>
      <c r="CE20" s="152">
        <f t="shared" si="32"/>
        <v>1</v>
      </c>
      <c r="CF20" s="152">
        <f t="shared" si="33"/>
        <v>1</v>
      </c>
      <c r="CG20" s="34"/>
      <c r="CI20" s="11"/>
      <c r="CJ20" s="11"/>
    </row>
    <row r="21" spans="1:88" s="152" customFormat="1" ht="16" x14ac:dyDescent="0.2">
      <c r="A21" s="228" t="s">
        <v>495</v>
      </c>
      <c r="B21" s="187" t="s">
        <v>174</v>
      </c>
      <c r="C21" s="8">
        <v>0.16200000000000001</v>
      </c>
      <c r="D21" s="8">
        <v>0</v>
      </c>
      <c r="E21" s="7">
        <v>2.1000000000000001E-2</v>
      </c>
      <c r="F21" s="7">
        <v>9.6500000000000002E-2</v>
      </c>
      <c r="G21" s="1">
        <v>6.4999999999999997E-3</v>
      </c>
      <c r="H21" s="1">
        <v>0.03</v>
      </c>
      <c r="I21" s="1">
        <v>0.18</v>
      </c>
      <c r="J21" s="1">
        <v>0.04</v>
      </c>
      <c r="K21" s="1">
        <v>0.14000000000000001</v>
      </c>
      <c r="L21" s="1">
        <v>1.4999999999999999E-2</v>
      </c>
      <c r="M21" s="2" t="s">
        <v>175</v>
      </c>
      <c r="N21" s="105">
        <v>8500</v>
      </c>
      <c r="O21" s="119">
        <v>6.29</v>
      </c>
      <c r="P21" s="119"/>
      <c r="Q21" s="119"/>
      <c r="R21" s="119"/>
      <c r="S21" s="119"/>
      <c r="T21" s="119">
        <v>6.29</v>
      </c>
      <c r="U21" s="119"/>
      <c r="V21" s="205"/>
      <c r="W21" s="119"/>
      <c r="X21" s="119">
        <f t="shared" si="0"/>
        <v>6.29</v>
      </c>
      <c r="Y21" s="118">
        <f t="shared" si="1"/>
        <v>6.29</v>
      </c>
      <c r="Z21" s="109">
        <f t="shared" si="2"/>
        <v>53465</v>
      </c>
      <c r="AA21" s="109">
        <f>'CALCULO GERAL'!$G$10</f>
        <v>6300</v>
      </c>
      <c r="AB21" s="109">
        <f t="shared" si="3"/>
        <v>59765</v>
      </c>
      <c r="AC21" s="109">
        <f>AB21*'CALCULO GERAL'!$C$11</f>
        <v>299960.53500000003</v>
      </c>
      <c r="AD21" s="109">
        <f t="shared" si="4"/>
        <v>48593.606670000008</v>
      </c>
      <c r="AE21" s="109">
        <f t="shared" si="5"/>
        <v>0</v>
      </c>
      <c r="AF21" s="109">
        <f t="shared" si="6"/>
        <v>6299.1712350000007</v>
      </c>
      <c r="AG21" s="109">
        <f t="shared" si="7"/>
        <v>28946.191627500004</v>
      </c>
      <c r="AH21" s="109">
        <v>154.22999999999999</v>
      </c>
      <c r="AI21" s="109">
        <f>((AA21*'CALCULO GERAL'!$C$11))*0.08+20</f>
        <v>2549.576</v>
      </c>
      <c r="AJ21" s="109">
        <v>1010</v>
      </c>
      <c r="AK21" s="109">
        <v>2500</v>
      </c>
      <c r="AL21" s="109">
        <f>(AA21*('CALCULO GERAL'!$C$11*1.02))-(AA21*'CALCULO GERAL'!$C$11)</f>
        <v>632.39400000000387</v>
      </c>
      <c r="AM21" s="109">
        <v>1800</v>
      </c>
      <c r="AN21" s="109">
        <v>2600</v>
      </c>
      <c r="AO21" s="109">
        <v>9400</v>
      </c>
      <c r="AP21" s="109">
        <v>1000</v>
      </c>
      <c r="AQ21" s="109">
        <v>0</v>
      </c>
      <c r="AR21" s="109">
        <v>0</v>
      </c>
      <c r="AS21" s="109"/>
      <c r="AT21" s="109">
        <f t="shared" si="25"/>
        <v>405445.70453250007</v>
      </c>
      <c r="AU21" s="111">
        <f t="shared" si="8"/>
        <v>47.699494650882357</v>
      </c>
      <c r="AV21" s="109">
        <f>IFERROR((BS21*'CALCULO GERAL'!$E$11)/N21,0)</f>
        <v>1.3079514000000001</v>
      </c>
      <c r="AW21" s="109">
        <f>AU21/'CALCULO GERAL'!$C$11</f>
        <v>9.5037845488906871</v>
      </c>
      <c r="AX21" s="109">
        <f>BP21-BB21-BD21*'CALCULO GERAL'!$C$11</f>
        <v>64.416606450000003</v>
      </c>
      <c r="AY21" s="109">
        <f t="shared" si="9"/>
        <v>0.41870794192499999</v>
      </c>
      <c r="AZ21" s="109">
        <f t="shared" si="10"/>
        <v>1.9324981935000001</v>
      </c>
      <c r="BA21" s="109">
        <f t="shared" si="11"/>
        <v>65.397570000000002</v>
      </c>
      <c r="BB21" s="109">
        <f t="shared" si="12"/>
        <v>0.98096355000000002</v>
      </c>
      <c r="BC21" s="109">
        <f t="shared" si="13"/>
        <v>65.397570000000002</v>
      </c>
      <c r="BD21" s="109">
        <f t="shared" si="14"/>
        <v>0</v>
      </c>
      <c r="BE21" s="109">
        <f t="shared" si="15"/>
        <v>44470.347600000001</v>
      </c>
      <c r="BF21" s="109">
        <f t="shared" si="16"/>
        <v>66705.521399999998</v>
      </c>
      <c r="BG21" s="109">
        <f t="shared" si="17"/>
        <v>0.70629375599999999</v>
      </c>
      <c r="BH21" s="109">
        <f t="shared" si="18"/>
        <v>0.78477083999999997</v>
      </c>
      <c r="BI21" s="109">
        <f t="shared" si="19"/>
        <v>0</v>
      </c>
      <c r="BJ21" s="109">
        <f t="shared" si="20"/>
        <v>6.1311856814250003</v>
      </c>
      <c r="BK21" s="109">
        <f t="shared" si="26"/>
        <v>53.830680332307359</v>
      </c>
      <c r="BL21" s="148">
        <v>0.74</v>
      </c>
      <c r="BM21" s="112">
        <f>ROUND((AW21/BL21)+((AW21*BL21)*'CALCULO GERAL'!$E$11)/BL21,2)</f>
        <v>13.03</v>
      </c>
      <c r="BN21" s="186">
        <f t="shared" si="21"/>
        <v>13.03</v>
      </c>
      <c r="BO21" s="186">
        <f t="shared" si="27"/>
        <v>15.266999999999999</v>
      </c>
      <c r="BP21" s="109">
        <f>BM21*'CALCULO GERAL'!$C$11</f>
        <v>65.397570000000002</v>
      </c>
      <c r="BQ21" s="109">
        <f>BO21*'CALCULO GERAL'!$C$11</f>
        <v>76.625073</v>
      </c>
      <c r="BR21" s="186">
        <f>BN21*'CALCULO GERAL'!$C$11</f>
        <v>65.397570000000002</v>
      </c>
      <c r="BS21" s="109">
        <f t="shared" si="22"/>
        <v>555879.34499999997</v>
      </c>
      <c r="BT21" s="109">
        <f t="shared" si="23"/>
        <v>555879.34499999997</v>
      </c>
      <c r="BU21" s="109">
        <f t="shared" si="28"/>
        <v>457560.78282461257</v>
      </c>
      <c r="BV21" s="109">
        <f t="shared" si="29"/>
        <v>98318.5621753874</v>
      </c>
      <c r="BW21" s="114">
        <f t="shared" si="24"/>
        <v>0.17687032817416054</v>
      </c>
      <c r="BX21" s="152">
        <f t="shared" si="30"/>
        <v>0.74</v>
      </c>
      <c r="BZ21" s="55"/>
      <c r="CA21" s="113"/>
      <c r="CB21" s="113"/>
      <c r="CD21" s="152">
        <f t="shared" si="31"/>
        <v>0</v>
      </c>
      <c r="CE21" s="152">
        <f t="shared" si="32"/>
        <v>1</v>
      </c>
      <c r="CF21" s="152">
        <f t="shared" si="33"/>
        <v>1</v>
      </c>
      <c r="CG21" s="34"/>
      <c r="CI21" s="11"/>
      <c r="CJ21" s="11"/>
    </row>
    <row r="22" spans="1:88" s="152" customFormat="1" ht="16" x14ac:dyDescent="0.2">
      <c r="A22" s="228" t="s">
        <v>496</v>
      </c>
      <c r="B22" s="187" t="s">
        <v>174</v>
      </c>
      <c r="C22" s="8">
        <v>0.16200000000000001</v>
      </c>
      <c r="D22" s="8">
        <v>0</v>
      </c>
      <c r="E22" s="7">
        <v>2.1000000000000001E-2</v>
      </c>
      <c r="F22" s="7">
        <v>9.6500000000000002E-2</v>
      </c>
      <c r="G22" s="1">
        <v>6.4999999999999997E-3</v>
      </c>
      <c r="H22" s="1">
        <v>0.03</v>
      </c>
      <c r="I22" s="1">
        <v>0.18</v>
      </c>
      <c r="J22" s="1">
        <v>0.04</v>
      </c>
      <c r="K22" s="1">
        <v>0.14000000000000001</v>
      </c>
      <c r="L22" s="1">
        <v>1.4999999999999999E-2</v>
      </c>
      <c r="M22" s="2" t="s">
        <v>175</v>
      </c>
      <c r="N22" s="105">
        <v>5000</v>
      </c>
      <c r="O22" s="119">
        <v>3.61</v>
      </c>
      <c r="P22" s="119"/>
      <c r="Q22" s="119"/>
      <c r="R22" s="119"/>
      <c r="S22" s="119"/>
      <c r="T22" s="119">
        <v>3.61</v>
      </c>
      <c r="U22" s="119"/>
      <c r="V22" s="205"/>
      <c r="W22" s="119"/>
      <c r="X22" s="119">
        <f t="shared" si="0"/>
        <v>3.61</v>
      </c>
      <c r="Y22" s="118">
        <f t="shared" si="1"/>
        <v>3.61</v>
      </c>
      <c r="Z22" s="109">
        <f t="shared" si="2"/>
        <v>18050</v>
      </c>
      <c r="AA22" s="109">
        <f>'CALCULO GERAL'!$G$10</f>
        <v>6300</v>
      </c>
      <c r="AB22" s="109">
        <f t="shared" si="3"/>
        <v>24350</v>
      </c>
      <c r="AC22" s="109">
        <f>AB22*'CALCULO GERAL'!$C$11</f>
        <v>122212.65000000001</v>
      </c>
      <c r="AD22" s="109">
        <f t="shared" si="4"/>
        <v>19798.4493</v>
      </c>
      <c r="AE22" s="109">
        <f t="shared" si="5"/>
        <v>0</v>
      </c>
      <c r="AF22" s="109">
        <f t="shared" si="6"/>
        <v>2566.4656500000006</v>
      </c>
      <c r="AG22" s="109">
        <f t="shared" si="7"/>
        <v>11793.520725</v>
      </c>
      <c r="AH22" s="109">
        <v>154.22999999999999</v>
      </c>
      <c r="AI22" s="109">
        <f>((AA22*'CALCULO GERAL'!$C$11))*0.08+20</f>
        <v>2549.576</v>
      </c>
      <c r="AJ22" s="109">
        <v>1010</v>
      </c>
      <c r="AK22" s="109">
        <v>2500</v>
      </c>
      <c r="AL22" s="109">
        <f>(AA22*('CALCULO GERAL'!$C$11*1.02))-(AA22*'CALCULO GERAL'!$C$11)</f>
        <v>632.39400000000387</v>
      </c>
      <c r="AM22" s="109">
        <v>1800</v>
      </c>
      <c r="AN22" s="109">
        <v>2600</v>
      </c>
      <c r="AO22" s="109">
        <v>9400</v>
      </c>
      <c r="AP22" s="109">
        <v>1000</v>
      </c>
      <c r="AQ22" s="109">
        <v>0</v>
      </c>
      <c r="AR22" s="109">
        <v>0</v>
      </c>
      <c r="AS22" s="109"/>
      <c r="AT22" s="109">
        <f t="shared" si="25"/>
        <v>178017.28567500002</v>
      </c>
      <c r="AU22" s="111">
        <f t="shared" si="8"/>
        <v>35.603457135000006</v>
      </c>
      <c r="AV22" s="109">
        <f>IFERROR((BS22*'CALCULO GERAL'!$E$11)/N22,0)</f>
        <v>0.97669740000000005</v>
      </c>
      <c r="AW22" s="109">
        <f>AU22/'CALCULO GERAL'!$C$11</f>
        <v>7.0937352331141676</v>
      </c>
      <c r="AX22" s="109">
        <f>BP22-BB22-BD22*'CALCULO GERAL'!$C$11</f>
        <v>48.102346950000005</v>
      </c>
      <c r="AY22" s="109">
        <f t="shared" si="9"/>
        <v>0.31266525517499999</v>
      </c>
      <c r="AZ22" s="109">
        <f t="shared" si="10"/>
        <v>1.4430704085000001</v>
      </c>
      <c r="BA22" s="109">
        <f t="shared" si="11"/>
        <v>48.834870000000002</v>
      </c>
      <c r="BB22" s="109">
        <f t="shared" si="12"/>
        <v>0.73252304999999995</v>
      </c>
      <c r="BC22" s="109">
        <f t="shared" si="13"/>
        <v>48.834870000000002</v>
      </c>
      <c r="BD22" s="109">
        <f t="shared" si="14"/>
        <v>0</v>
      </c>
      <c r="BE22" s="109">
        <f t="shared" si="15"/>
        <v>19533.948</v>
      </c>
      <c r="BF22" s="109">
        <f t="shared" si="16"/>
        <v>29300.921999999999</v>
      </c>
      <c r="BG22" s="109">
        <f t="shared" si="17"/>
        <v>0.5274165959999999</v>
      </c>
      <c r="BH22" s="109">
        <f t="shared" si="18"/>
        <v>0.58601844000000003</v>
      </c>
      <c r="BI22" s="109">
        <f t="shared" si="19"/>
        <v>0</v>
      </c>
      <c r="BJ22" s="109">
        <f t="shared" si="20"/>
        <v>4.5783911496750003</v>
      </c>
      <c r="BK22" s="109">
        <f t="shared" si="26"/>
        <v>40.181848284675006</v>
      </c>
      <c r="BL22" s="148">
        <v>0.74</v>
      </c>
      <c r="BM22" s="112">
        <f>ROUND((AW22/BL22)+((AW22*BL22)*'CALCULO GERAL'!$E$11)/BL22,2)</f>
        <v>9.73</v>
      </c>
      <c r="BN22" s="186">
        <f t="shared" si="21"/>
        <v>9.73</v>
      </c>
      <c r="BO22" s="186">
        <f t="shared" si="27"/>
        <v>11.4</v>
      </c>
      <c r="BP22" s="109">
        <f>BM22*'CALCULO GERAL'!$C$11</f>
        <v>48.834870000000002</v>
      </c>
      <c r="BQ22" s="109">
        <f>BO22*'CALCULO GERAL'!$C$11</f>
        <v>57.216600000000007</v>
      </c>
      <c r="BR22" s="186">
        <f>BN22*'CALCULO GERAL'!$C$11</f>
        <v>48.834870000000002</v>
      </c>
      <c r="BS22" s="109">
        <f t="shared" si="22"/>
        <v>244174.35</v>
      </c>
      <c r="BT22" s="109">
        <f t="shared" si="23"/>
        <v>244174.35</v>
      </c>
      <c r="BU22" s="109">
        <f t="shared" si="28"/>
        <v>200909.24142337503</v>
      </c>
      <c r="BV22" s="109">
        <f t="shared" si="29"/>
        <v>43265.108576624974</v>
      </c>
      <c r="BW22" s="114">
        <f t="shared" si="24"/>
        <v>0.1771894082102603</v>
      </c>
      <c r="BX22" s="152">
        <f t="shared" si="30"/>
        <v>0.74</v>
      </c>
      <c r="BZ22" s="55"/>
      <c r="CA22" s="113"/>
      <c r="CB22" s="113"/>
      <c r="CD22" s="152">
        <f t="shared" si="31"/>
        <v>0</v>
      </c>
      <c r="CE22" s="152">
        <f t="shared" si="32"/>
        <v>1</v>
      </c>
      <c r="CF22" s="152">
        <f t="shared" si="33"/>
        <v>1</v>
      </c>
      <c r="CG22" s="34"/>
      <c r="CI22" s="11"/>
      <c r="CJ22" s="11"/>
    </row>
    <row r="23" spans="1:88" s="152" customFormat="1" ht="16" x14ac:dyDescent="0.2">
      <c r="A23" s="228" t="s">
        <v>497</v>
      </c>
      <c r="B23" s="187" t="s">
        <v>174</v>
      </c>
      <c r="C23" s="8">
        <v>0.16200000000000001</v>
      </c>
      <c r="D23" s="8">
        <v>0</v>
      </c>
      <c r="E23" s="7">
        <v>2.1000000000000001E-2</v>
      </c>
      <c r="F23" s="7">
        <v>9.6500000000000002E-2</v>
      </c>
      <c r="G23" s="1">
        <v>6.4999999999999997E-3</v>
      </c>
      <c r="H23" s="1">
        <v>0.03</v>
      </c>
      <c r="I23" s="1">
        <v>0.18</v>
      </c>
      <c r="J23" s="1">
        <v>0.04</v>
      </c>
      <c r="K23" s="1">
        <v>0.14000000000000001</v>
      </c>
      <c r="L23" s="1">
        <v>1.4999999999999999E-2</v>
      </c>
      <c r="M23" s="2" t="s">
        <v>175</v>
      </c>
      <c r="N23" s="105">
        <v>6000</v>
      </c>
      <c r="O23" s="119">
        <v>4.92</v>
      </c>
      <c r="P23" s="119"/>
      <c r="Q23" s="119"/>
      <c r="R23" s="119"/>
      <c r="S23" s="119"/>
      <c r="T23" s="119">
        <v>4.92</v>
      </c>
      <c r="U23" s="119"/>
      <c r="V23" s="205"/>
      <c r="W23" s="119"/>
      <c r="X23" s="119">
        <f t="shared" si="0"/>
        <v>4.92</v>
      </c>
      <c r="Y23" s="118">
        <f t="shared" si="1"/>
        <v>4.92</v>
      </c>
      <c r="Z23" s="109">
        <f t="shared" si="2"/>
        <v>29520</v>
      </c>
      <c r="AA23" s="109">
        <f>'CALCULO GERAL'!$G$10</f>
        <v>6300</v>
      </c>
      <c r="AB23" s="109">
        <f t="shared" si="3"/>
        <v>35820</v>
      </c>
      <c r="AC23" s="109">
        <f>AB23*'CALCULO GERAL'!$C$11</f>
        <v>179780.58000000002</v>
      </c>
      <c r="AD23" s="109">
        <f t="shared" si="4"/>
        <v>29124.453960000003</v>
      </c>
      <c r="AE23" s="109">
        <f t="shared" si="5"/>
        <v>0</v>
      </c>
      <c r="AF23" s="109">
        <f t="shared" si="6"/>
        <v>3775.3921800000007</v>
      </c>
      <c r="AG23" s="109">
        <f t="shared" si="7"/>
        <v>17348.825970000002</v>
      </c>
      <c r="AH23" s="109">
        <v>154.22999999999999</v>
      </c>
      <c r="AI23" s="109">
        <f>((AA23*'CALCULO GERAL'!$C$11))*0.08+20</f>
        <v>2549.576</v>
      </c>
      <c r="AJ23" s="109">
        <v>1010</v>
      </c>
      <c r="AK23" s="109">
        <v>2500</v>
      </c>
      <c r="AL23" s="109">
        <f>(AA23*('CALCULO GERAL'!$C$11*1.02))-(AA23*'CALCULO GERAL'!$C$11)</f>
        <v>632.39400000000387</v>
      </c>
      <c r="AM23" s="109">
        <v>1800</v>
      </c>
      <c r="AN23" s="109">
        <v>2600</v>
      </c>
      <c r="AO23" s="109">
        <v>9400</v>
      </c>
      <c r="AP23" s="109">
        <v>1000</v>
      </c>
      <c r="AQ23" s="109">
        <v>0</v>
      </c>
      <c r="AR23" s="109">
        <v>0</v>
      </c>
      <c r="AS23" s="109"/>
      <c r="AT23" s="109">
        <f t="shared" si="25"/>
        <v>251675.45211000004</v>
      </c>
      <c r="AU23" s="111">
        <f t="shared" si="8"/>
        <v>41.945908685000006</v>
      </c>
      <c r="AV23" s="109">
        <f>IFERROR((BS23*'CALCULO GERAL'!$E$11)/N23,0)</f>
        <v>1.1503548000000001</v>
      </c>
      <c r="AW23" s="109">
        <f>AU23/'CALCULO GERAL'!$C$11</f>
        <v>8.3574235275951398</v>
      </c>
      <c r="AX23" s="109">
        <f>BP23-BB23-BD23*'CALCULO GERAL'!$C$11</f>
        <v>56.654973900000002</v>
      </c>
      <c r="AY23" s="109">
        <f t="shared" si="9"/>
        <v>0.36825733034999997</v>
      </c>
      <c r="AZ23" s="109">
        <f t="shared" si="10"/>
        <v>1.6996492169999999</v>
      </c>
      <c r="BA23" s="109">
        <f t="shared" si="11"/>
        <v>57.517740000000003</v>
      </c>
      <c r="BB23" s="109">
        <f t="shared" si="12"/>
        <v>0.86276609999999998</v>
      </c>
      <c r="BC23" s="109">
        <f t="shared" si="13"/>
        <v>57.517740000000003</v>
      </c>
      <c r="BD23" s="109">
        <f t="shared" si="14"/>
        <v>0</v>
      </c>
      <c r="BE23" s="109">
        <f t="shared" si="15"/>
        <v>27608.515200000002</v>
      </c>
      <c r="BF23" s="109">
        <f t="shared" si="16"/>
        <v>41412.772799999999</v>
      </c>
      <c r="BG23" s="109">
        <f t="shared" si="17"/>
        <v>0.62119159199999996</v>
      </c>
      <c r="BH23" s="109">
        <f t="shared" si="18"/>
        <v>0.69021288000000003</v>
      </c>
      <c r="BI23" s="109">
        <f t="shared" si="19"/>
        <v>0</v>
      </c>
      <c r="BJ23" s="109">
        <f t="shared" si="20"/>
        <v>5.392431919349999</v>
      </c>
      <c r="BK23" s="109">
        <f t="shared" si="26"/>
        <v>47.338340604350009</v>
      </c>
      <c r="BL23" s="148">
        <v>0.74</v>
      </c>
      <c r="BM23" s="112">
        <f>ROUND((AW23/BL23)+((AW23*BL23)*'CALCULO GERAL'!$E$11)/BL23,2)</f>
        <v>11.46</v>
      </c>
      <c r="BN23" s="186">
        <f t="shared" si="21"/>
        <v>11.46</v>
      </c>
      <c r="BO23" s="186">
        <f t="shared" si="27"/>
        <v>13.427</v>
      </c>
      <c r="BP23" s="109">
        <f>BM23*'CALCULO GERAL'!$C$11</f>
        <v>57.517740000000003</v>
      </c>
      <c r="BQ23" s="109">
        <f>BO23*'CALCULO GERAL'!$C$11</f>
        <v>67.390112999999999</v>
      </c>
      <c r="BR23" s="186">
        <f>BN23*'CALCULO GERAL'!$C$11</f>
        <v>57.517740000000003</v>
      </c>
      <c r="BS23" s="109">
        <f t="shared" si="22"/>
        <v>345106.44</v>
      </c>
      <c r="BT23" s="109">
        <f t="shared" si="23"/>
        <v>345106.44</v>
      </c>
      <c r="BU23" s="109">
        <f t="shared" si="28"/>
        <v>284030.04362610006</v>
      </c>
      <c r="BV23" s="109">
        <f t="shared" si="29"/>
        <v>61076.396373899945</v>
      </c>
      <c r="BW23" s="114">
        <f t="shared" si="24"/>
        <v>0.17697843127442056</v>
      </c>
      <c r="BX23" s="152">
        <f t="shared" si="30"/>
        <v>0.74</v>
      </c>
      <c r="BZ23" s="55"/>
      <c r="CA23" s="113"/>
      <c r="CB23" s="113"/>
      <c r="CD23" s="152">
        <f t="shared" si="31"/>
        <v>0</v>
      </c>
      <c r="CE23" s="152">
        <f t="shared" si="32"/>
        <v>1</v>
      </c>
      <c r="CF23" s="152">
        <f t="shared" si="33"/>
        <v>1</v>
      </c>
      <c r="CG23" s="34"/>
      <c r="CI23" s="11"/>
      <c r="CJ23" s="11"/>
    </row>
    <row r="24" spans="1:88" s="152" customFormat="1" ht="16" x14ac:dyDescent="0.2">
      <c r="A24" s="228" t="s">
        <v>498</v>
      </c>
      <c r="B24" s="187" t="s">
        <v>174</v>
      </c>
      <c r="C24" s="8">
        <v>0.16200000000000001</v>
      </c>
      <c r="D24" s="8">
        <v>0</v>
      </c>
      <c r="E24" s="7">
        <v>2.1000000000000001E-2</v>
      </c>
      <c r="F24" s="7">
        <v>9.6500000000000002E-2</v>
      </c>
      <c r="G24" s="1">
        <v>6.4999999999999997E-3</v>
      </c>
      <c r="H24" s="1">
        <v>0.03</v>
      </c>
      <c r="I24" s="1">
        <v>0.18</v>
      </c>
      <c r="J24" s="1">
        <v>0.04</v>
      </c>
      <c r="K24" s="1">
        <v>0.14000000000000001</v>
      </c>
      <c r="L24" s="1">
        <v>1.4999999999999999E-2</v>
      </c>
      <c r="M24" s="2" t="s">
        <v>175</v>
      </c>
      <c r="N24" s="105">
        <v>6000</v>
      </c>
      <c r="O24" s="119">
        <v>5.49</v>
      </c>
      <c r="P24" s="119"/>
      <c r="Q24" s="119"/>
      <c r="R24" s="119"/>
      <c r="S24" s="119"/>
      <c r="T24" s="119">
        <v>5.49</v>
      </c>
      <c r="U24" s="119"/>
      <c r="V24" s="205"/>
      <c r="W24" s="119"/>
      <c r="X24" s="119">
        <f t="shared" si="0"/>
        <v>5.49</v>
      </c>
      <c r="Y24" s="118">
        <f t="shared" si="1"/>
        <v>5.49</v>
      </c>
      <c r="Z24" s="109">
        <f t="shared" si="2"/>
        <v>32940</v>
      </c>
      <c r="AA24" s="109">
        <f>'CALCULO GERAL'!$G$10</f>
        <v>6300</v>
      </c>
      <c r="AB24" s="109">
        <f t="shared" si="3"/>
        <v>39240</v>
      </c>
      <c r="AC24" s="109">
        <f>AB24*'CALCULO GERAL'!$C$11</f>
        <v>196945.56</v>
      </c>
      <c r="AD24" s="109">
        <f t="shared" si="4"/>
        <v>31905.18072</v>
      </c>
      <c r="AE24" s="109">
        <f t="shared" si="5"/>
        <v>0</v>
      </c>
      <c r="AF24" s="109">
        <f t="shared" si="6"/>
        <v>4135.8567600000006</v>
      </c>
      <c r="AG24" s="109">
        <f t="shared" si="7"/>
        <v>19005.24654</v>
      </c>
      <c r="AH24" s="109">
        <v>154.22999999999999</v>
      </c>
      <c r="AI24" s="109">
        <f>((AA24*'CALCULO GERAL'!$C$11))*0.08+20</f>
        <v>2549.576</v>
      </c>
      <c r="AJ24" s="109">
        <v>1010</v>
      </c>
      <c r="AK24" s="109">
        <v>2500</v>
      </c>
      <c r="AL24" s="109">
        <f>(AA24*('CALCULO GERAL'!$C$11*1.02))-(AA24*'CALCULO GERAL'!$C$11)</f>
        <v>632.39400000000387</v>
      </c>
      <c r="AM24" s="109">
        <v>1800</v>
      </c>
      <c r="AN24" s="109">
        <v>2600</v>
      </c>
      <c r="AO24" s="109">
        <v>9400</v>
      </c>
      <c r="AP24" s="109">
        <v>1000</v>
      </c>
      <c r="AQ24" s="109">
        <v>0</v>
      </c>
      <c r="AR24" s="109">
        <v>0</v>
      </c>
      <c r="AS24" s="109"/>
      <c r="AT24" s="109">
        <f t="shared" si="25"/>
        <v>273638.04402000003</v>
      </c>
      <c r="AU24" s="111">
        <f t="shared" si="8"/>
        <v>45.606340670000002</v>
      </c>
      <c r="AV24" s="109">
        <f>IFERROR((BS24*'CALCULO GERAL'!$E$11)/N24,0)</f>
        <v>1.2507348000000003</v>
      </c>
      <c r="AW24" s="109">
        <f>AU24/'CALCULO GERAL'!$C$11</f>
        <v>9.0867385275951378</v>
      </c>
      <c r="AX24" s="109">
        <f>BP24-BB24-BD24*'CALCULO GERAL'!$C$11</f>
        <v>61.598688900000006</v>
      </c>
      <c r="AY24" s="109">
        <f t="shared" si="9"/>
        <v>0.40039147785000001</v>
      </c>
      <c r="AZ24" s="109">
        <f t="shared" si="10"/>
        <v>1.8479606670000002</v>
      </c>
      <c r="BA24" s="109">
        <f t="shared" si="11"/>
        <v>62.536740000000009</v>
      </c>
      <c r="BB24" s="109">
        <f t="shared" si="12"/>
        <v>0.93805110000000014</v>
      </c>
      <c r="BC24" s="109">
        <f t="shared" si="13"/>
        <v>62.536740000000009</v>
      </c>
      <c r="BD24" s="109">
        <f t="shared" si="14"/>
        <v>0</v>
      </c>
      <c r="BE24" s="109">
        <f t="shared" si="15"/>
        <v>30017.635200000004</v>
      </c>
      <c r="BF24" s="109">
        <f t="shared" si="16"/>
        <v>45026.452800000006</v>
      </c>
      <c r="BG24" s="109">
        <f t="shared" si="17"/>
        <v>0.67539679200000013</v>
      </c>
      <c r="BH24" s="109">
        <f t="shared" si="18"/>
        <v>0.75044088000000009</v>
      </c>
      <c r="BI24" s="109">
        <f t="shared" si="19"/>
        <v>0</v>
      </c>
      <c r="BJ24" s="109">
        <f t="shared" si="20"/>
        <v>5.8629757168500003</v>
      </c>
      <c r="BK24" s="109">
        <f t="shared" si="26"/>
        <v>51.469316386850004</v>
      </c>
      <c r="BL24" s="148">
        <v>0.74</v>
      </c>
      <c r="BM24" s="112">
        <f>ROUND((AW24/BL24)+((AW24*BL24)*'CALCULO GERAL'!$E$11)/BL24,2)</f>
        <v>12.46</v>
      </c>
      <c r="BN24" s="186">
        <f t="shared" si="21"/>
        <v>12.46</v>
      </c>
      <c r="BO24" s="186">
        <f t="shared" si="27"/>
        <v>14.599</v>
      </c>
      <c r="BP24" s="109">
        <f>BM24*'CALCULO GERAL'!$C$11</f>
        <v>62.536740000000009</v>
      </c>
      <c r="BQ24" s="109">
        <f>BO24*'CALCULO GERAL'!$C$11</f>
        <v>73.272380999999996</v>
      </c>
      <c r="BR24" s="186">
        <f>BN24*'CALCULO GERAL'!$C$11</f>
        <v>62.536740000000009</v>
      </c>
      <c r="BS24" s="109">
        <f t="shared" si="22"/>
        <v>375220.44000000006</v>
      </c>
      <c r="BT24" s="109">
        <f t="shared" si="23"/>
        <v>375220.44000000006</v>
      </c>
      <c r="BU24" s="109">
        <f t="shared" si="28"/>
        <v>308815.89832110004</v>
      </c>
      <c r="BV24" s="109">
        <f t="shared" si="29"/>
        <v>66404.541678900016</v>
      </c>
      <c r="BW24" s="114">
        <f t="shared" si="24"/>
        <v>0.17697474497631313</v>
      </c>
      <c r="BX24" s="152">
        <f t="shared" si="30"/>
        <v>0.74</v>
      </c>
      <c r="BZ24" s="55"/>
      <c r="CA24" s="113"/>
      <c r="CB24" s="113"/>
      <c r="CD24" s="152">
        <f t="shared" si="31"/>
        <v>0</v>
      </c>
      <c r="CE24" s="152">
        <f t="shared" si="32"/>
        <v>1</v>
      </c>
      <c r="CF24" s="152">
        <f t="shared" si="33"/>
        <v>1</v>
      </c>
      <c r="CG24" s="34"/>
      <c r="CI24" s="11"/>
      <c r="CJ24" s="11"/>
    </row>
    <row r="25" spans="1:88" s="152" customFormat="1" ht="16" x14ac:dyDescent="0.2">
      <c r="A25" s="228" t="s">
        <v>499</v>
      </c>
      <c r="B25" s="187" t="s">
        <v>174</v>
      </c>
      <c r="C25" s="8">
        <v>0.16200000000000001</v>
      </c>
      <c r="D25" s="8">
        <v>0</v>
      </c>
      <c r="E25" s="7">
        <v>2.1000000000000001E-2</v>
      </c>
      <c r="F25" s="7">
        <v>9.6500000000000002E-2</v>
      </c>
      <c r="G25" s="1">
        <v>6.4999999999999997E-3</v>
      </c>
      <c r="H25" s="1">
        <v>0.03</v>
      </c>
      <c r="I25" s="1">
        <v>0.18</v>
      </c>
      <c r="J25" s="1">
        <v>0.04</v>
      </c>
      <c r="K25" s="1">
        <v>0.14000000000000001</v>
      </c>
      <c r="L25" s="1">
        <v>1.4999999999999999E-2</v>
      </c>
      <c r="M25" s="2" t="s">
        <v>175</v>
      </c>
      <c r="N25" s="105">
        <v>6000</v>
      </c>
      <c r="O25" s="119">
        <v>6.15</v>
      </c>
      <c r="P25" s="119"/>
      <c r="Q25" s="119"/>
      <c r="R25" s="119"/>
      <c r="S25" s="119"/>
      <c r="T25" s="119">
        <v>6.15</v>
      </c>
      <c r="U25" s="119"/>
      <c r="V25" s="205"/>
      <c r="W25" s="119"/>
      <c r="X25" s="119">
        <f t="shared" si="0"/>
        <v>6.15</v>
      </c>
      <c r="Y25" s="118">
        <f t="shared" si="1"/>
        <v>6.15</v>
      </c>
      <c r="Z25" s="109">
        <f t="shared" si="2"/>
        <v>36900</v>
      </c>
      <c r="AA25" s="109">
        <f>'CALCULO GERAL'!$G$10</f>
        <v>6300</v>
      </c>
      <c r="AB25" s="109">
        <f t="shared" si="3"/>
        <v>43200</v>
      </c>
      <c r="AC25" s="109">
        <f>AB25*'CALCULO GERAL'!$C$11</f>
        <v>216820.80000000002</v>
      </c>
      <c r="AD25" s="109">
        <f t="shared" si="4"/>
        <v>35124.969600000004</v>
      </c>
      <c r="AE25" s="109">
        <f t="shared" si="5"/>
        <v>0</v>
      </c>
      <c r="AF25" s="109">
        <f t="shared" si="6"/>
        <v>4553.2368000000006</v>
      </c>
      <c r="AG25" s="109">
        <f t="shared" si="7"/>
        <v>20923.207200000001</v>
      </c>
      <c r="AH25" s="109">
        <v>154.22999999999999</v>
      </c>
      <c r="AI25" s="109">
        <f>((AA25*'CALCULO GERAL'!$C$11))*0.08+20</f>
        <v>2549.576</v>
      </c>
      <c r="AJ25" s="109">
        <v>1010</v>
      </c>
      <c r="AK25" s="109">
        <v>2500</v>
      </c>
      <c r="AL25" s="109">
        <f>(AA25*('CALCULO GERAL'!$C$11*1.02))-(AA25*'CALCULO GERAL'!$C$11)</f>
        <v>632.39400000000387</v>
      </c>
      <c r="AM25" s="109">
        <v>1800</v>
      </c>
      <c r="AN25" s="109">
        <v>2600</v>
      </c>
      <c r="AO25" s="109">
        <v>9400</v>
      </c>
      <c r="AP25" s="109">
        <v>1000</v>
      </c>
      <c r="AQ25" s="109">
        <v>0</v>
      </c>
      <c r="AR25" s="109">
        <v>0</v>
      </c>
      <c r="AS25" s="109"/>
      <c r="AT25" s="109">
        <f t="shared" si="25"/>
        <v>299068.41360000003</v>
      </c>
      <c r="AU25" s="111">
        <f t="shared" si="8"/>
        <v>49.844735600000007</v>
      </c>
      <c r="AV25" s="109">
        <f>IFERROR((BS25*'CALCULO GERAL'!$E$11)/N25,0)</f>
        <v>1.3671755999999999</v>
      </c>
      <c r="AW25" s="109">
        <f>AU25/'CALCULO GERAL'!$C$11</f>
        <v>9.9312085275951389</v>
      </c>
      <c r="AX25" s="109">
        <f>BP25-BB25-BD25*'CALCULO GERAL'!$C$11</f>
        <v>67.333398299999999</v>
      </c>
      <c r="AY25" s="109">
        <f t="shared" si="9"/>
        <v>0.43766708894999995</v>
      </c>
      <c r="AZ25" s="109">
        <f t="shared" si="10"/>
        <v>2.0200019490000001</v>
      </c>
      <c r="BA25" s="109">
        <f t="shared" si="11"/>
        <v>68.358779999999996</v>
      </c>
      <c r="BB25" s="109">
        <f t="shared" si="12"/>
        <v>1.0253816999999998</v>
      </c>
      <c r="BC25" s="109">
        <f t="shared" si="13"/>
        <v>68.358779999999996</v>
      </c>
      <c r="BD25" s="109">
        <f t="shared" si="14"/>
        <v>0</v>
      </c>
      <c r="BE25" s="109">
        <f t="shared" si="15"/>
        <v>32812.214399999997</v>
      </c>
      <c r="BF25" s="109">
        <f t="shared" si="16"/>
        <v>49218.321599999996</v>
      </c>
      <c r="BG25" s="109">
        <f t="shared" si="17"/>
        <v>0.73827482399999989</v>
      </c>
      <c r="BH25" s="109">
        <f t="shared" si="18"/>
        <v>0.82030535999999987</v>
      </c>
      <c r="BI25" s="109">
        <f t="shared" si="19"/>
        <v>0</v>
      </c>
      <c r="BJ25" s="109">
        <f t="shared" si="20"/>
        <v>6.408806521949999</v>
      </c>
      <c r="BK25" s="109">
        <f t="shared" si="26"/>
        <v>56.253542121950005</v>
      </c>
      <c r="BL25" s="148">
        <v>0.74</v>
      </c>
      <c r="BM25" s="112">
        <f>ROUND((AW25/BL25)+((AW25*BL25)*'CALCULO GERAL'!$E$11)/BL25,2)</f>
        <v>13.62</v>
      </c>
      <c r="BN25" s="186">
        <f t="shared" si="21"/>
        <v>13.62</v>
      </c>
      <c r="BO25" s="186">
        <f t="shared" si="27"/>
        <v>15.958</v>
      </c>
      <c r="BP25" s="109">
        <f>BM25*'CALCULO GERAL'!$C$11</f>
        <v>68.358779999999996</v>
      </c>
      <c r="BQ25" s="109">
        <f>BO25*'CALCULO GERAL'!$C$11</f>
        <v>80.093202000000005</v>
      </c>
      <c r="BR25" s="186">
        <f>BN25*'CALCULO GERAL'!$C$11</f>
        <v>68.358779999999996</v>
      </c>
      <c r="BS25" s="109">
        <f t="shared" si="22"/>
        <v>410152.68</v>
      </c>
      <c r="BT25" s="109">
        <f t="shared" si="23"/>
        <v>410152.68</v>
      </c>
      <c r="BU25" s="109">
        <f t="shared" si="28"/>
        <v>337521.25273170002</v>
      </c>
      <c r="BV25" s="109">
        <f t="shared" si="29"/>
        <v>72631.427268299973</v>
      </c>
      <c r="BW25" s="114">
        <f t="shared" si="24"/>
        <v>0.1770838782969795</v>
      </c>
      <c r="BX25" s="152">
        <f t="shared" si="30"/>
        <v>0.74</v>
      </c>
      <c r="BZ25" s="55"/>
      <c r="CA25" s="113"/>
      <c r="CB25" s="113"/>
      <c r="CD25" s="152">
        <f t="shared" si="31"/>
        <v>0</v>
      </c>
      <c r="CE25" s="152">
        <f t="shared" si="32"/>
        <v>1</v>
      </c>
      <c r="CF25" s="152">
        <f t="shared" si="33"/>
        <v>1</v>
      </c>
      <c r="CG25" s="34"/>
      <c r="CI25" s="11"/>
      <c r="CJ25" s="11"/>
    </row>
    <row r="26" spans="1:88" s="152" customFormat="1" ht="16" x14ac:dyDescent="0.2">
      <c r="A26" s="228" t="s">
        <v>500</v>
      </c>
      <c r="B26" s="187" t="s">
        <v>174</v>
      </c>
      <c r="C26" s="8">
        <v>0.16200000000000001</v>
      </c>
      <c r="D26" s="8">
        <v>0</v>
      </c>
      <c r="E26" s="7">
        <v>2.1000000000000001E-2</v>
      </c>
      <c r="F26" s="7">
        <v>9.6500000000000002E-2</v>
      </c>
      <c r="G26" s="1">
        <v>6.4999999999999997E-3</v>
      </c>
      <c r="H26" s="1">
        <v>0.03</v>
      </c>
      <c r="I26" s="1">
        <v>0.18</v>
      </c>
      <c r="J26" s="1">
        <v>0.04</v>
      </c>
      <c r="K26" s="1">
        <v>0.14000000000000001</v>
      </c>
      <c r="L26" s="1">
        <v>1.4999999999999999E-2</v>
      </c>
      <c r="M26" s="2" t="s">
        <v>175</v>
      </c>
      <c r="N26" s="105">
        <v>6700</v>
      </c>
      <c r="O26" s="119">
        <v>5.6</v>
      </c>
      <c r="P26" s="119"/>
      <c r="Q26" s="119"/>
      <c r="R26" s="119"/>
      <c r="S26" s="119"/>
      <c r="T26" s="119"/>
      <c r="U26" s="119"/>
      <c r="V26" s="205"/>
      <c r="W26" s="119"/>
      <c r="X26" s="119">
        <f t="shared" si="0"/>
        <v>5.6</v>
      </c>
      <c r="Y26" s="118">
        <f t="shared" si="1"/>
        <v>5.6</v>
      </c>
      <c r="Z26" s="109">
        <f t="shared" si="2"/>
        <v>37520</v>
      </c>
      <c r="AA26" s="109">
        <f>'CALCULO GERAL'!$G$10</f>
        <v>6300</v>
      </c>
      <c r="AB26" s="109">
        <f t="shared" si="3"/>
        <v>43820</v>
      </c>
      <c r="AC26" s="109">
        <f>AB26*'CALCULO GERAL'!$C$11</f>
        <v>219932.58000000002</v>
      </c>
      <c r="AD26" s="109">
        <f t="shared" si="4"/>
        <v>35629.077960000002</v>
      </c>
      <c r="AE26" s="109">
        <f t="shared" si="5"/>
        <v>0</v>
      </c>
      <c r="AF26" s="109">
        <f t="shared" si="6"/>
        <v>4618.5841800000007</v>
      </c>
      <c r="AG26" s="109">
        <f t="shared" si="7"/>
        <v>21223.493970000003</v>
      </c>
      <c r="AH26" s="109">
        <v>154.22999999999999</v>
      </c>
      <c r="AI26" s="109">
        <f>((AA26*'CALCULO GERAL'!$C$11))*0.08+20</f>
        <v>2549.576</v>
      </c>
      <c r="AJ26" s="109">
        <v>1010</v>
      </c>
      <c r="AK26" s="109">
        <v>2500</v>
      </c>
      <c r="AL26" s="109">
        <f>(AA26*('CALCULO GERAL'!$C$11*1.02))-(AA26*'CALCULO GERAL'!$C$11)</f>
        <v>632.39400000000387</v>
      </c>
      <c r="AM26" s="109">
        <v>1800</v>
      </c>
      <c r="AN26" s="109">
        <v>2600</v>
      </c>
      <c r="AO26" s="109">
        <v>9400</v>
      </c>
      <c r="AP26" s="109">
        <v>1000</v>
      </c>
      <c r="AQ26" s="109">
        <v>0</v>
      </c>
      <c r="AR26" s="109">
        <v>0</v>
      </c>
      <c r="AS26" s="109"/>
      <c r="AT26" s="109">
        <f t="shared" si="25"/>
        <v>303049.93611000001</v>
      </c>
      <c r="AU26" s="111">
        <f t="shared" si="8"/>
        <v>45.231333747761198</v>
      </c>
      <c r="AV26" s="109">
        <f>IFERROR((BS26*'CALCULO GERAL'!$E$11)/N26,0)</f>
        <v>1.2406968</v>
      </c>
      <c r="AW26" s="109">
        <f>AU26/'CALCULO GERAL'!$C$11</f>
        <v>9.0120210694881848</v>
      </c>
      <c r="AX26" s="109">
        <f>BP26-BB26-BD26*'CALCULO GERAL'!$C$11</f>
        <v>61.104317399999992</v>
      </c>
      <c r="AY26" s="109">
        <f t="shared" si="9"/>
        <v>0.39717806309999992</v>
      </c>
      <c r="AZ26" s="109">
        <f t="shared" si="10"/>
        <v>1.8331295219999997</v>
      </c>
      <c r="BA26" s="109">
        <f t="shared" si="11"/>
        <v>62.034839999999996</v>
      </c>
      <c r="BB26" s="109">
        <f t="shared" si="12"/>
        <v>0.93052259999999987</v>
      </c>
      <c r="BC26" s="109">
        <f t="shared" si="13"/>
        <v>62.034839999999996</v>
      </c>
      <c r="BD26" s="109">
        <f t="shared" si="14"/>
        <v>0</v>
      </c>
      <c r="BE26" s="109">
        <f t="shared" si="15"/>
        <v>33250.67424</v>
      </c>
      <c r="BF26" s="109">
        <f t="shared" si="16"/>
        <v>49876.01135999999</v>
      </c>
      <c r="BG26" s="109">
        <f t="shared" si="17"/>
        <v>0.66997627199999987</v>
      </c>
      <c r="BH26" s="109">
        <f t="shared" si="18"/>
        <v>0.74441807999999998</v>
      </c>
      <c r="BI26" s="109">
        <f t="shared" si="19"/>
        <v>0</v>
      </c>
      <c r="BJ26" s="109">
        <f t="shared" si="20"/>
        <v>5.8159213370999989</v>
      </c>
      <c r="BK26" s="109">
        <f t="shared" si="26"/>
        <v>51.047255084861199</v>
      </c>
      <c r="BL26" s="148">
        <v>0.74</v>
      </c>
      <c r="BM26" s="112">
        <f>ROUND((AW26/BL26)+((AW26*BL26)*'CALCULO GERAL'!$E$11)/BL26,2)</f>
        <v>12.36</v>
      </c>
      <c r="BN26" s="186">
        <f t="shared" si="21"/>
        <v>12.36</v>
      </c>
      <c r="BO26" s="186">
        <f t="shared" si="27"/>
        <v>14.481999999999999</v>
      </c>
      <c r="BP26" s="109">
        <f>BM26*'CALCULO GERAL'!$C$11</f>
        <v>62.034839999999996</v>
      </c>
      <c r="BQ26" s="109">
        <f>BO26*'CALCULO GERAL'!$C$11</f>
        <v>72.685158000000001</v>
      </c>
      <c r="BR26" s="186">
        <f>BN26*'CALCULO GERAL'!$C$11</f>
        <v>62.034839999999996</v>
      </c>
      <c r="BS26" s="109">
        <f t="shared" si="22"/>
        <v>415633.42799999996</v>
      </c>
      <c r="BT26" s="109">
        <f t="shared" si="23"/>
        <v>415633.42799999996</v>
      </c>
      <c r="BU26" s="109">
        <f t="shared" si="28"/>
        <v>342016.60906857002</v>
      </c>
      <c r="BV26" s="109">
        <f t="shared" si="29"/>
        <v>73616.818931429938</v>
      </c>
      <c r="BW26" s="114">
        <f t="shared" si="24"/>
        <v>0.17711958175661932</v>
      </c>
      <c r="BX26" s="152">
        <f t="shared" si="30"/>
        <v>0.74</v>
      </c>
      <c r="BZ26" s="55"/>
      <c r="CA26" s="113"/>
      <c r="CB26" s="113"/>
      <c r="CD26" s="152">
        <f t="shared" si="31"/>
        <v>0</v>
      </c>
      <c r="CE26" s="152">
        <f t="shared" si="32"/>
        <v>1</v>
      </c>
      <c r="CF26" s="152">
        <f t="shared" si="33"/>
        <v>1</v>
      </c>
      <c r="CG26" s="34"/>
      <c r="CI26" s="11"/>
      <c r="CJ26" s="11"/>
    </row>
    <row r="27" spans="1:88" s="152" customFormat="1" ht="16" x14ac:dyDescent="0.2">
      <c r="A27" s="228" t="s">
        <v>501</v>
      </c>
      <c r="B27" s="187" t="s">
        <v>174</v>
      </c>
      <c r="C27" s="8">
        <v>0.16200000000000001</v>
      </c>
      <c r="D27" s="8">
        <v>0</v>
      </c>
      <c r="E27" s="7">
        <v>2.1000000000000001E-2</v>
      </c>
      <c r="F27" s="7">
        <v>9.6500000000000002E-2</v>
      </c>
      <c r="G27" s="1">
        <v>6.4999999999999997E-3</v>
      </c>
      <c r="H27" s="1">
        <v>0.03</v>
      </c>
      <c r="I27" s="1">
        <v>0.18</v>
      </c>
      <c r="J27" s="1">
        <v>0.04</v>
      </c>
      <c r="K27" s="1">
        <v>0.14000000000000001</v>
      </c>
      <c r="L27" s="1">
        <v>1.4999999999999999E-2</v>
      </c>
      <c r="M27" s="2" t="s">
        <v>175</v>
      </c>
      <c r="N27" s="105">
        <v>6700</v>
      </c>
      <c r="O27" s="119">
        <v>7.5</v>
      </c>
      <c r="P27" s="119"/>
      <c r="Q27" s="119"/>
      <c r="R27" s="119"/>
      <c r="S27" s="119"/>
      <c r="T27" s="119"/>
      <c r="U27" s="119"/>
      <c r="V27" s="205"/>
      <c r="W27" s="119"/>
      <c r="X27" s="119">
        <f t="shared" si="0"/>
        <v>7.5</v>
      </c>
      <c r="Y27" s="118">
        <f t="shared" si="1"/>
        <v>7.5</v>
      </c>
      <c r="Z27" s="109">
        <f t="shared" si="2"/>
        <v>50250</v>
      </c>
      <c r="AA27" s="109">
        <f>'CALCULO GERAL'!$G$10</f>
        <v>6300</v>
      </c>
      <c r="AB27" s="109">
        <f t="shared" si="3"/>
        <v>56550</v>
      </c>
      <c r="AC27" s="109">
        <f>AB27*'CALCULO GERAL'!$C$11</f>
        <v>283824.45</v>
      </c>
      <c r="AD27" s="109">
        <f t="shared" si="4"/>
        <v>45979.560900000004</v>
      </c>
      <c r="AE27" s="109">
        <f t="shared" si="5"/>
        <v>0</v>
      </c>
      <c r="AF27" s="109">
        <f t="shared" si="6"/>
        <v>5960.3134500000006</v>
      </c>
      <c r="AG27" s="109">
        <f t="shared" si="7"/>
        <v>27389.059425000003</v>
      </c>
      <c r="AH27" s="109">
        <v>154.22999999999999</v>
      </c>
      <c r="AI27" s="109">
        <f>((AA27*'CALCULO GERAL'!$C$11))*0.08+20</f>
        <v>2549.576</v>
      </c>
      <c r="AJ27" s="109">
        <v>1010</v>
      </c>
      <c r="AK27" s="109">
        <v>2500</v>
      </c>
      <c r="AL27" s="109">
        <f>(AA27*('CALCULO GERAL'!$C$11*1.02))-(AA27*'CALCULO GERAL'!$C$11)</f>
        <v>632.39400000000387</v>
      </c>
      <c r="AM27" s="109">
        <v>1800</v>
      </c>
      <c r="AN27" s="109">
        <v>2600</v>
      </c>
      <c r="AO27" s="109">
        <v>9400</v>
      </c>
      <c r="AP27" s="109">
        <v>1000</v>
      </c>
      <c r="AQ27" s="109">
        <v>0</v>
      </c>
      <c r="AR27" s="109">
        <v>0</v>
      </c>
      <c r="AS27" s="109"/>
      <c r="AT27" s="109">
        <f t="shared" si="25"/>
        <v>384799.58377500001</v>
      </c>
      <c r="AU27" s="111">
        <f t="shared" si="8"/>
        <v>57.432773697761192</v>
      </c>
      <c r="AV27" s="109">
        <f>IFERROR((BS27*'CALCULO GERAL'!$E$11)/N27,0)</f>
        <v>1.5749621999999999</v>
      </c>
      <c r="AW27" s="109">
        <f>AU27/'CALCULO GERAL'!$C$11</f>
        <v>11.443071069488184</v>
      </c>
      <c r="AX27" s="109">
        <f>BP27-BB27-BD27*'CALCULO GERAL'!$C$11</f>
        <v>77.566888349999999</v>
      </c>
      <c r="AY27" s="109">
        <f t="shared" si="9"/>
        <v>0.50418477427499997</v>
      </c>
      <c r="AZ27" s="109">
        <f t="shared" si="10"/>
        <v>2.3270066505</v>
      </c>
      <c r="BA27" s="109">
        <f t="shared" si="11"/>
        <v>78.748109999999997</v>
      </c>
      <c r="BB27" s="109">
        <f t="shared" si="12"/>
        <v>1.1812216499999999</v>
      </c>
      <c r="BC27" s="109">
        <f t="shared" si="13"/>
        <v>78.748109999999997</v>
      </c>
      <c r="BD27" s="109">
        <f t="shared" si="14"/>
        <v>0</v>
      </c>
      <c r="BE27" s="109">
        <f t="shared" si="15"/>
        <v>42208.986959999995</v>
      </c>
      <c r="BF27" s="109">
        <f t="shared" si="16"/>
        <v>63313.480439999992</v>
      </c>
      <c r="BG27" s="109">
        <f t="shared" si="17"/>
        <v>0.85047958799999979</v>
      </c>
      <c r="BH27" s="109">
        <f t="shared" si="18"/>
        <v>0.9449773199999999</v>
      </c>
      <c r="BI27" s="109">
        <f t="shared" si="19"/>
        <v>0</v>
      </c>
      <c r="BJ27" s="109">
        <f t="shared" si="20"/>
        <v>7.3828321827749992</v>
      </c>
      <c r="BK27" s="109">
        <f t="shared" si="26"/>
        <v>64.815605880536197</v>
      </c>
      <c r="BL27" s="148">
        <v>0.74</v>
      </c>
      <c r="BM27" s="112">
        <f>ROUND((AW27/BL27)+((AW27*BL27)*'CALCULO GERAL'!$E$11)/BL27,2)</f>
        <v>15.69</v>
      </c>
      <c r="BN27" s="186">
        <f t="shared" si="21"/>
        <v>15.69</v>
      </c>
      <c r="BO27" s="186">
        <f t="shared" si="27"/>
        <v>18.382999999999999</v>
      </c>
      <c r="BP27" s="109">
        <f>BM27*'CALCULO GERAL'!$C$11</f>
        <v>78.748109999999997</v>
      </c>
      <c r="BQ27" s="109">
        <f>BO27*'CALCULO GERAL'!$C$11</f>
        <v>92.264276999999993</v>
      </c>
      <c r="BR27" s="186">
        <f>BN27*'CALCULO GERAL'!$C$11</f>
        <v>78.748109999999997</v>
      </c>
      <c r="BS27" s="109">
        <f t="shared" si="22"/>
        <v>527612.33699999994</v>
      </c>
      <c r="BT27" s="109">
        <f t="shared" si="23"/>
        <v>527612.33699999994</v>
      </c>
      <c r="BU27" s="109">
        <f t="shared" si="28"/>
        <v>434264.55939959252</v>
      </c>
      <c r="BV27" s="109">
        <f t="shared" si="29"/>
        <v>93347.777600407426</v>
      </c>
      <c r="BW27" s="114">
        <f t="shared" si="24"/>
        <v>0.17692493342968862</v>
      </c>
      <c r="BX27" s="152">
        <f t="shared" si="30"/>
        <v>0.74</v>
      </c>
      <c r="BZ27" s="55"/>
      <c r="CA27" s="113"/>
      <c r="CB27" s="113"/>
      <c r="CD27" s="152">
        <f t="shared" si="31"/>
        <v>0</v>
      </c>
      <c r="CE27" s="152">
        <f t="shared" si="32"/>
        <v>1</v>
      </c>
      <c r="CF27" s="152">
        <f t="shared" si="33"/>
        <v>1</v>
      </c>
      <c r="CG27" s="34"/>
      <c r="CI27" s="11"/>
      <c r="CJ27" s="11"/>
    </row>
    <row r="28" spans="1:88" s="152" customFormat="1" ht="16" x14ac:dyDescent="0.2">
      <c r="A28" s="228" t="s">
        <v>502</v>
      </c>
      <c r="B28" s="187" t="s">
        <v>174</v>
      </c>
      <c r="C28" s="8">
        <v>0.16200000000000001</v>
      </c>
      <c r="D28" s="8">
        <v>0</v>
      </c>
      <c r="E28" s="7">
        <v>2.1000000000000001E-2</v>
      </c>
      <c r="F28" s="7">
        <v>9.6500000000000002E-2</v>
      </c>
      <c r="G28" s="1">
        <v>6.4999999999999997E-3</v>
      </c>
      <c r="H28" s="1">
        <v>0.03</v>
      </c>
      <c r="I28" s="1">
        <v>0.18</v>
      </c>
      <c r="J28" s="1">
        <v>0.04</v>
      </c>
      <c r="K28" s="1">
        <v>0.14000000000000001</v>
      </c>
      <c r="L28" s="1">
        <v>1.4999999999999999E-2</v>
      </c>
      <c r="M28" s="2" t="s">
        <v>175</v>
      </c>
      <c r="N28" s="105">
        <v>6700</v>
      </c>
      <c r="O28" s="119">
        <v>8.4</v>
      </c>
      <c r="P28" s="119"/>
      <c r="Q28" s="119"/>
      <c r="R28" s="119"/>
      <c r="S28" s="119"/>
      <c r="T28" s="119"/>
      <c r="U28" s="119"/>
      <c r="V28" s="205"/>
      <c r="W28" s="119"/>
      <c r="X28" s="119">
        <f t="shared" si="0"/>
        <v>8.4</v>
      </c>
      <c r="Y28" s="118">
        <f t="shared" si="1"/>
        <v>8.4</v>
      </c>
      <c r="Z28" s="109">
        <f t="shared" si="2"/>
        <v>56280</v>
      </c>
      <c r="AA28" s="109">
        <f>'CALCULO GERAL'!$G$10</f>
        <v>6300</v>
      </c>
      <c r="AB28" s="109">
        <f t="shared" si="3"/>
        <v>62580</v>
      </c>
      <c r="AC28" s="109">
        <f>AB28*'CALCULO GERAL'!$C$11</f>
        <v>314089.02</v>
      </c>
      <c r="AD28" s="109">
        <f t="shared" si="4"/>
        <v>50882.421240000003</v>
      </c>
      <c r="AE28" s="109">
        <f t="shared" si="5"/>
        <v>0</v>
      </c>
      <c r="AF28" s="109">
        <f t="shared" si="6"/>
        <v>6595.8694200000009</v>
      </c>
      <c r="AG28" s="109">
        <f t="shared" si="7"/>
        <v>30309.590430000004</v>
      </c>
      <c r="AH28" s="109">
        <v>154.22999999999999</v>
      </c>
      <c r="AI28" s="109">
        <f>((AA28*'CALCULO GERAL'!$C$11))*0.08+20</f>
        <v>2549.576</v>
      </c>
      <c r="AJ28" s="109">
        <v>1010</v>
      </c>
      <c r="AK28" s="109">
        <v>2500</v>
      </c>
      <c r="AL28" s="109">
        <f>(AA28*('CALCULO GERAL'!$C$11*1.02))-(AA28*'CALCULO GERAL'!$C$11)</f>
        <v>632.39400000000387</v>
      </c>
      <c r="AM28" s="109">
        <v>1800</v>
      </c>
      <c r="AN28" s="109">
        <v>2600</v>
      </c>
      <c r="AO28" s="109">
        <v>9400</v>
      </c>
      <c r="AP28" s="109">
        <v>1000</v>
      </c>
      <c r="AQ28" s="109">
        <v>0</v>
      </c>
      <c r="AR28" s="109">
        <v>0</v>
      </c>
      <c r="AS28" s="109"/>
      <c r="AT28" s="109">
        <f t="shared" si="25"/>
        <v>423523.10109000001</v>
      </c>
      <c r="AU28" s="111">
        <f t="shared" si="8"/>
        <v>63.212403147761194</v>
      </c>
      <c r="AV28" s="109">
        <f>IFERROR((BS28*'CALCULO GERAL'!$E$11)/N28,0)</f>
        <v>1.7335626000000002</v>
      </c>
      <c r="AW28" s="109">
        <f>AU28/'CALCULO GERAL'!$C$11</f>
        <v>12.594621069488184</v>
      </c>
      <c r="AX28" s="109">
        <f>BP28-BB28-BD28*'CALCULO GERAL'!$C$11</f>
        <v>85.377958049999989</v>
      </c>
      <c r="AY28" s="109">
        <f t="shared" si="9"/>
        <v>0.5549567273249999</v>
      </c>
      <c r="AZ28" s="109">
        <f t="shared" si="10"/>
        <v>2.5613387414999997</v>
      </c>
      <c r="BA28" s="109">
        <f t="shared" si="11"/>
        <v>86.678129999999996</v>
      </c>
      <c r="BB28" s="109">
        <f t="shared" si="12"/>
        <v>1.30017195</v>
      </c>
      <c r="BC28" s="109">
        <f t="shared" si="13"/>
        <v>86.678129999999996</v>
      </c>
      <c r="BD28" s="109">
        <f t="shared" si="14"/>
        <v>0</v>
      </c>
      <c r="BE28" s="109">
        <f t="shared" si="15"/>
        <v>46459.477680000004</v>
      </c>
      <c r="BF28" s="109">
        <f t="shared" si="16"/>
        <v>69689.216520000002</v>
      </c>
      <c r="BG28" s="109">
        <f t="shared" si="17"/>
        <v>0.93612380400000006</v>
      </c>
      <c r="BH28" s="109">
        <f t="shared" si="18"/>
        <v>1.04013756</v>
      </c>
      <c r="BI28" s="109">
        <f t="shared" si="19"/>
        <v>0</v>
      </c>
      <c r="BJ28" s="109">
        <f t="shared" si="20"/>
        <v>8.1262913828250003</v>
      </c>
      <c r="BK28" s="109">
        <f t="shared" si="26"/>
        <v>71.338694530586196</v>
      </c>
      <c r="BL28" s="148">
        <v>0.74</v>
      </c>
      <c r="BM28" s="112">
        <f>ROUND((AW28/BL28)+((AW28*BL28)*'CALCULO GERAL'!$E$11)/BL28,2)</f>
        <v>17.27</v>
      </c>
      <c r="BN28" s="186">
        <f t="shared" si="21"/>
        <v>17.27</v>
      </c>
      <c r="BO28" s="186">
        <f t="shared" si="27"/>
        <v>20.234999999999999</v>
      </c>
      <c r="BP28" s="109">
        <f>BM28*'CALCULO GERAL'!$C$11</f>
        <v>86.678129999999996</v>
      </c>
      <c r="BQ28" s="109">
        <f>BO28*'CALCULO GERAL'!$C$11</f>
        <v>101.559465</v>
      </c>
      <c r="BR28" s="186">
        <f>BN28*'CALCULO GERAL'!$C$11</f>
        <v>86.678129999999996</v>
      </c>
      <c r="BS28" s="109">
        <f t="shared" si="22"/>
        <v>580743.47100000002</v>
      </c>
      <c r="BT28" s="109">
        <f t="shared" si="23"/>
        <v>580743.47100000002</v>
      </c>
      <c r="BU28" s="109">
        <f t="shared" si="28"/>
        <v>477969.25335492752</v>
      </c>
      <c r="BV28" s="109">
        <f t="shared" si="29"/>
        <v>102774.21764507249</v>
      </c>
      <c r="BW28" s="114">
        <f t="shared" si="24"/>
        <v>0.17697007848939295</v>
      </c>
      <c r="BX28" s="152">
        <f t="shared" si="30"/>
        <v>0.74</v>
      </c>
      <c r="BZ28" s="55"/>
      <c r="CA28" s="113"/>
      <c r="CB28" s="113"/>
      <c r="CD28" s="152">
        <f t="shared" si="31"/>
        <v>0</v>
      </c>
      <c r="CE28" s="152">
        <f t="shared" si="32"/>
        <v>1</v>
      </c>
      <c r="CF28" s="152">
        <f t="shared" si="33"/>
        <v>1</v>
      </c>
      <c r="CG28" s="34"/>
      <c r="CI28" s="11"/>
      <c r="CJ28" s="11"/>
    </row>
    <row r="29" spans="1:88" s="152" customFormat="1" ht="16" x14ac:dyDescent="0.2">
      <c r="A29" s="228" t="s">
        <v>503</v>
      </c>
      <c r="B29" s="187" t="s">
        <v>174</v>
      </c>
      <c r="C29" s="8">
        <v>0.16200000000000001</v>
      </c>
      <c r="D29" s="8">
        <v>0</v>
      </c>
      <c r="E29" s="7">
        <v>2.1000000000000001E-2</v>
      </c>
      <c r="F29" s="7">
        <v>9.6500000000000002E-2</v>
      </c>
      <c r="G29" s="1">
        <v>6.4999999999999997E-3</v>
      </c>
      <c r="H29" s="1">
        <v>0.03</v>
      </c>
      <c r="I29" s="1">
        <v>0.18</v>
      </c>
      <c r="J29" s="1">
        <v>0.04</v>
      </c>
      <c r="K29" s="1">
        <v>0.14000000000000001</v>
      </c>
      <c r="L29" s="1">
        <v>1.4999999999999999E-2</v>
      </c>
      <c r="M29" s="2" t="s">
        <v>175</v>
      </c>
      <c r="N29" s="105">
        <v>6700</v>
      </c>
      <c r="O29" s="119">
        <v>9.5399999999999991</v>
      </c>
      <c r="P29" s="119"/>
      <c r="Q29" s="119"/>
      <c r="R29" s="119"/>
      <c r="S29" s="119"/>
      <c r="T29" s="119"/>
      <c r="U29" s="119"/>
      <c r="V29" s="205"/>
      <c r="W29" s="119"/>
      <c r="X29" s="119">
        <f t="shared" si="0"/>
        <v>9.5399999999999991</v>
      </c>
      <c r="Y29" s="118">
        <f t="shared" si="1"/>
        <v>9.5399999999999991</v>
      </c>
      <c r="Z29" s="109">
        <f t="shared" si="2"/>
        <v>63917.999999999993</v>
      </c>
      <c r="AA29" s="109">
        <f>'CALCULO GERAL'!$G$10</f>
        <v>6300</v>
      </c>
      <c r="AB29" s="109">
        <f t="shared" si="3"/>
        <v>70218</v>
      </c>
      <c r="AC29" s="109">
        <f>AB29*'CALCULO GERAL'!$C$11</f>
        <v>352424.14199999999</v>
      </c>
      <c r="AD29" s="109">
        <f t="shared" si="4"/>
        <v>57092.711003999997</v>
      </c>
      <c r="AE29" s="109">
        <f t="shared" si="5"/>
        <v>0</v>
      </c>
      <c r="AF29" s="109">
        <f t="shared" si="6"/>
        <v>7400.9069820000004</v>
      </c>
      <c r="AG29" s="109">
        <f t="shared" si="7"/>
        <v>34008.929703000002</v>
      </c>
      <c r="AH29" s="109">
        <v>154.22999999999999</v>
      </c>
      <c r="AI29" s="109">
        <f>((AA29*'CALCULO GERAL'!$C$11))*0.08+20</f>
        <v>2549.576</v>
      </c>
      <c r="AJ29" s="109">
        <v>1010</v>
      </c>
      <c r="AK29" s="109">
        <v>2500</v>
      </c>
      <c r="AL29" s="109">
        <f>(AA29*('CALCULO GERAL'!$C$11*1.02))-(AA29*'CALCULO GERAL'!$C$11)</f>
        <v>632.39400000000387</v>
      </c>
      <c r="AM29" s="109">
        <v>1800</v>
      </c>
      <c r="AN29" s="109">
        <v>2600</v>
      </c>
      <c r="AO29" s="109">
        <v>9400</v>
      </c>
      <c r="AP29" s="109">
        <v>1000</v>
      </c>
      <c r="AQ29" s="109">
        <v>0</v>
      </c>
      <c r="AR29" s="109">
        <v>0</v>
      </c>
      <c r="AS29" s="109"/>
      <c r="AT29" s="109">
        <f t="shared" si="25"/>
        <v>472572.88968899997</v>
      </c>
      <c r="AU29" s="111">
        <f t="shared" si="8"/>
        <v>70.533267117761184</v>
      </c>
      <c r="AV29" s="109">
        <f>IFERROR((BS29*'CALCULO GERAL'!$E$11)/N29,0)</f>
        <v>1.9343226</v>
      </c>
      <c r="AW29" s="109">
        <f>AU29/'CALCULO GERAL'!$C$11</f>
        <v>14.053251069488182</v>
      </c>
      <c r="AX29" s="109">
        <f>BP29-BB29-BD29*'CALCULO GERAL'!$C$11</f>
        <v>95.265388050000013</v>
      </c>
      <c r="AY29" s="109">
        <f t="shared" si="9"/>
        <v>0.6192250223250001</v>
      </c>
      <c r="AZ29" s="109">
        <f t="shared" si="10"/>
        <v>2.8579616415000002</v>
      </c>
      <c r="BA29" s="109">
        <f t="shared" si="11"/>
        <v>96.716130000000007</v>
      </c>
      <c r="BB29" s="109">
        <f t="shared" si="12"/>
        <v>1.4507419500000001</v>
      </c>
      <c r="BC29" s="109">
        <f t="shared" si="13"/>
        <v>96.716130000000007</v>
      </c>
      <c r="BD29" s="109">
        <f t="shared" si="14"/>
        <v>0</v>
      </c>
      <c r="BE29" s="109">
        <f t="shared" si="15"/>
        <v>51839.845679999999</v>
      </c>
      <c r="BF29" s="109">
        <f t="shared" si="16"/>
        <v>77759.768519999998</v>
      </c>
      <c r="BG29" s="109">
        <f t="shared" si="17"/>
        <v>1.0445342039999999</v>
      </c>
      <c r="BH29" s="109">
        <f t="shared" si="18"/>
        <v>1.1605935599999999</v>
      </c>
      <c r="BI29" s="109">
        <f t="shared" si="19"/>
        <v>0</v>
      </c>
      <c r="BJ29" s="109">
        <f t="shared" si="20"/>
        <v>9.0673789778249994</v>
      </c>
      <c r="BK29" s="109">
        <f t="shared" si="26"/>
        <v>79.600646095586185</v>
      </c>
      <c r="BL29" s="148">
        <v>0.74</v>
      </c>
      <c r="BM29" s="112">
        <f>ROUND((AW29/BL29)+((AW29*BL29)*'CALCULO GERAL'!$E$11)/BL29,2)</f>
        <v>19.27</v>
      </c>
      <c r="BN29" s="186">
        <f t="shared" si="21"/>
        <v>19.27</v>
      </c>
      <c r="BO29" s="186">
        <f t="shared" si="27"/>
        <v>22.577999999999999</v>
      </c>
      <c r="BP29" s="109">
        <f>BM29*'CALCULO GERAL'!$C$11</f>
        <v>96.716130000000007</v>
      </c>
      <c r="BQ29" s="109">
        <f>BO29*'CALCULO GERAL'!$C$11</f>
        <v>113.31898200000001</v>
      </c>
      <c r="BR29" s="186">
        <f>BN29*'CALCULO GERAL'!$C$11</f>
        <v>96.716130000000007</v>
      </c>
      <c r="BS29" s="109">
        <f t="shared" si="22"/>
        <v>647998.071</v>
      </c>
      <c r="BT29" s="109">
        <f t="shared" si="23"/>
        <v>647998.071</v>
      </c>
      <c r="BU29" s="109">
        <f t="shared" si="28"/>
        <v>533324.32884042745</v>
      </c>
      <c r="BV29" s="109">
        <f t="shared" si="29"/>
        <v>114673.74215957255</v>
      </c>
      <c r="BW29" s="114">
        <f t="shared" si="24"/>
        <v>0.17696617828291736</v>
      </c>
      <c r="BX29" s="152">
        <f t="shared" si="30"/>
        <v>0.74</v>
      </c>
      <c r="BZ29" s="55"/>
      <c r="CA29" s="113"/>
      <c r="CB29" s="113"/>
      <c r="CD29" s="152">
        <f t="shared" si="31"/>
        <v>0</v>
      </c>
      <c r="CE29" s="152">
        <f t="shared" si="32"/>
        <v>1</v>
      </c>
      <c r="CF29" s="152">
        <f t="shared" si="33"/>
        <v>1</v>
      </c>
      <c r="CG29" s="34"/>
      <c r="CI29" s="11"/>
      <c r="CJ29" s="11"/>
    </row>
    <row r="30" spans="1:88" s="152" customFormat="1" ht="16" x14ac:dyDescent="0.2">
      <c r="A30" s="228" t="s">
        <v>504</v>
      </c>
      <c r="B30" s="187" t="s">
        <v>174</v>
      </c>
      <c r="C30" s="8">
        <v>0.16200000000000001</v>
      </c>
      <c r="D30" s="8">
        <v>0</v>
      </c>
      <c r="E30" s="7">
        <v>2.1000000000000001E-2</v>
      </c>
      <c r="F30" s="7">
        <v>9.6500000000000002E-2</v>
      </c>
      <c r="G30" s="1">
        <v>6.4999999999999997E-3</v>
      </c>
      <c r="H30" s="1">
        <v>0.03</v>
      </c>
      <c r="I30" s="1">
        <v>0.18</v>
      </c>
      <c r="J30" s="1">
        <v>0.04</v>
      </c>
      <c r="K30" s="1">
        <v>0.14000000000000001</v>
      </c>
      <c r="L30" s="1">
        <v>1.4999999999999999E-2</v>
      </c>
      <c r="M30" s="2" t="s">
        <v>175</v>
      </c>
      <c r="N30" s="105">
        <v>6700</v>
      </c>
      <c r="O30" s="119">
        <v>10.95</v>
      </c>
      <c r="P30" s="119"/>
      <c r="Q30" s="119"/>
      <c r="R30" s="119"/>
      <c r="S30" s="119"/>
      <c r="T30" s="119"/>
      <c r="U30" s="119"/>
      <c r="V30" s="205"/>
      <c r="W30" s="119"/>
      <c r="X30" s="119">
        <f t="shared" si="0"/>
        <v>10.95</v>
      </c>
      <c r="Y30" s="118">
        <f t="shared" si="1"/>
        <v>10.95</v>
      </c>
      <c r="Z30" s="109">
        <f t="shared" si="2"/>
        <v>73365</v>
      </c>
      <c r="AA30" s="109">
        <f>'CALCULO GERAL'!$G$10</f>
        <v>6300</v>
      </c>
      <c r="AB30" s="109">
        <f t="shared" si="3"/>
        <v>79665</v>
      </c>
      <c r="AC30" s="109">
        <f>AB30*'CALCULO GERAL'!$C$11</f>
        <v>399838.63500000001</v>
      </c>
      <c r="AD30" s="109">
        <f t="shared" si="4"/>
        <v>64773.858870000004</v>
      </c>
      <c r="AE30" s="109">
        <f t="shared" si="5"/>
        <v>0</v>
      </c>
      <c r="AF30" s="109">
        <f t="shared" si="6"/>
        <v>8396.6113350000014</v>
      </c>
      <c r="AG30" s="109">
        <f t="shared" si="7"/>
        <v>38584.428277500003</v>
      </c>
      <c r="AH30" s="109">
        <v>154.22999999999999</v>
      </c>
      <c r="AI30" s="109">
        <f>((AA30*'CALCULO GERAL'!$C$11))*0.08+20</f>
        <v>2549.576</v>
      </c>
      <c r="AJ30" s="109">
        <v>1010</v>
      </c>
      <c r="AK30" s="109">
        <v>2500</v>
      </c>
      <c r="AL30" s="109">
        <f>(AA30*('CALCULO GERAL'!$C$11*1.02))-(AA30*'CALCULO GERAL'!$C$11)</f>
        <v>632.39400000000387</v>
      </c>
      <c r="AM30" s="109">
        <v>1800</v>
      </c>
      <c r="AN30" s="109">
        <v>2600</v>
      </c>
      <c r="AO30" s="109">
        <v>9400</v>
      </c>
      <c r="AP30" s="109">
        <v>1000</v>
      </c>
      <c r="AQ30" s="109">
        <v>0</v>
      </c>
      <c r="AR30" s="109">
        <v>0</v>
      </c>
      <c r="AS30" s="109"/>
      <c r="AT30" s="109">
        <f t="shared" si="25"/>
        <v>533239.73348250007</v>
      </c>
      <c r="AU30" s="111">
        <f t="shared" si="8"/>
        <v>79.588019922761205</v>
      </c>
      <c r="AV30" s="109">
        <f>IFERROR((BS30*'CALCULO GERAL'!$E$11)/N30,0)</f>
        <v>2.183265</v>
      </c>
      <c r="AW30" s="109">
        <f>AU30/'CALCULO GERAL'!$C$11</f>
        <v>15.857346069488186</v>
      </c>
      <c r="AX30" s="109">
        <f>BP30-BB30-BD30*'CALCULO GERAL'!$C$11</f>
        <v>107.52580125</v>
      </c>
      <c r="AY30" s="109">
        <f t="shared" si="9"/>
        <v>0.69891770812499998</v>
      </c>
      <c r="AZ30" s="109">
        <f t="shared" si="10"/>
        <v>3.2257740374999999</v>
      </c>
      <c r="BA30" s="109">
        <f t="shared" si="11"/>
        <v>109.16325000000001</v>
      </c>
      <c r="BB30" s="109">
        <f t="shared" si="12"/>
        <v>1.6374487500000001</v>
      </c>
      <c r="BC30" s="109">
        <f t="shared" si="13"/>
        <v>109.16325000000001</v>
      </c>
      <c r="BD30" s="109">
        <f t="shared" si="14"/>
        <v>0</v>
      </c>
      <c r="BE30" s="109">
        <f t="shared" si="15"/>
        <v>58511.502</v>
      </c>
      <c r="BF30" s="109">
        <f t="shared" si="16"/>
        <v>87767.252999999997</v>
      </c>
      <c r="BG30" s="109">
        <f t="shared" si="17"/>
        <v>1.1789630999999998</v>
      </c>
      <c r="BH30" s="109">
        <f t="shared" si="18"/>
        <v>1.3099590000000001</v>
      </c>
      <c r="BI30" s="109">
        <f t="shared" si="19"/>
        <v>0</v>
      </c>
      <c r="BJ30" s="109">
        <f t="shared" si="20"/>
        <v>10.234327595625</v>
      </c>
      <c r="BK30" s="109">
        <f t="shared" si="26"/>
        <v>89.822347518386209</v>
      </c>
      <c r="BL30" s="148">
        <v>0.74</v>
      </c>
      <c r="BM30" s="112">
        <f>ROUND((AW30/BL30)+((AW30*BL30)*'CALCULO GERAL'!$E$11)/BL30,2)</f>
        <v>21.75</v>
      </c>
      <c r="BN30" s="186">
        <f t="shared" si="21"/>
        <v>21.75</v>
      </c>
      <c r="BO30" s="186">
        <f t="shared" si="27"/>
        <v>25.484000000000002</v>
      </c>
      <c r="BP30" s="109">
        <f>BM30*'CALCULO GERAL'!$C$11</f>
        <v>109.16325000000001</v>
      </c>
      <c r="BQ30" s="109">
        <f>BO30*'CALCULO GERAL'!$C$11</f>
        <v>127.90419600000001</v>
      </c>
      <c r="BR30" s="186">
        <f>BN30*'CALCULO GERAL'!$C$11</f>
        <v>109.16325000000001</v>
      </c>
      <c r="BS30" s="109">
        <f t="shared" si="22"/>
        <v>731393.77500000002</v>
      </c>
      <c r="BT30" s="109">
        <f t="shared" si="23"/>
        <v>731393.77500000002</v>
      </c>
      <c r="BU30" s="109">
        <f t="shared" si="28"/>
        <v>601809.72837318759</v>
      </c>
      <c r="BV30" s="109">
        <f t="shared" si="29"/>
        <v>129584.04662681243</v>
      </c>
      <c r="BW30" s="114">
        <f t="shared" si="24"/>
        <v>0.17717411749479606</v>
      </c>
      <c r="BX30" s="152">
        <f t="shared" si="30"/>
        <v>0.74</v>
      </c>
      <c r="BZ30" s="55"/>
      <c r="CA30" s="113"/>
      <c r="CB30" s="113"/>
      <c r="CD30" s="152">
        <f t="shared" si="31"/>
        <v>0</v>
      </c>
      <c r="CE30" s="152">
        <f t="shared" si="32"/>
        <v>1</v>
      </c>
      <c r="CF30" s="152">
        <f t="shared" si="33"/>
        <v>1</v>
      </c>
      <c r="CG30" s="34"/>
      <c r="CI30" s="11"/>
      <c r="CJ30" s="11"/>
    </row>
    <row r="31" spans="1:88" s="152" customFormat="1" ht="16" x14ac:dyDescent="0.2">
      <c r="A31" s="228" t="s">
        <v>505</v>
      </c>
      <c r="B31" s="187" t="s">
        <v>174</v>
      </c>
      <c r="C31" s="8">
        <v>0.16200000000000001</v>
      </c>
      <c r="D31" s="8">
        <v>0</v>
      </c>
      <c r="E31" s="7">
        <v>2.1000000000000001E-2</v>
      </c>
      <c r="F31" s="7">
        <v>9.6500000000000002E-2</v>
      </c>
      <c r="G31" s="1">
        <v>6.4999999999999997E-3</v>
      </c>
      <c r="H31" s="1">
        <v>0.03</v>
      </c>
      <c r="I31" s="1">
        <v>0.18</v>
      </c>
      <c r="J31" s="1">
        <v>0.04</v>
      </c>
      <c r="K31" s="1">
        <v>0.14000000000000001</v>
      </c>
      <c r="L31" s="1">
        <v>1.4999999999999999E-2</v>
      </c>
      <c r="M31" s="2" t="s">
        <v>175</v>
      </c>
      <c r="N31" s="105">
        <v>6700</v>
      </c>
      <c r="O31" s="119">
        <v>5.6</v>
      </c>
      <c r="P31" s="119"/>
      <c r="Q31" s="119"/>
      <c r="R31" s="119"/>
      <c r="S31" s="119"/>
      <c r="T31" s="119"/>
      <c r="U31" s="119"/>
      <c r="V31" s="205"/>
      <c r="W31" s="119"/>
      <c r="X31" s="119">
        <f t="shared" si="0"/>
        <v>5.6</v>
      </c>
      <c r="Y31" s="118">
        <f t="shared" si="1"/>
        <v>5.6</v>
      </c>
      <c r="Z31" s="109">
        <f t="shared" si="2"/>
        <v>37520</v>
      </c>
      <c r="AA31" s="109">
        <f>'CALCULO GERAL'!$G$10</f>
        <v>6300</v>
      </c>
      <c r="AB31" s="109">
        <f t="shared" si="3"/>
        <v>43820</v>
      </c>
      <c r="AC31" s="109">
        <f>AB31*'CALCULO GERAL'!$C$11</f>
        <v>219932.58000000002</v>
      </c>
      <c r="AD31" s="109">
        <f t="shared" si="4"/>
        <v>35629.077960000002</v>
      </c>
      <c r="AE31" s="109">
        <f t="shared" si="5"/>
        <v>0</v>
      </c>
      <c r="AF31" s="109">
        <f t="shared" si="6"/>
        <v>4618.5841800000007</v>
      </c>
      <c r="AG31" s="109">
        <f t="shared" si="7"/>
        <v>21223.493970000003</v>
      </c>
      <c r="AH31" s="109">
        <v>154.22999999999999</v>
      </c>
      <c r="AI31" s="109">
        <f>((AA31*'CALCULO GERAL'!$C$11))*0.08+20</f>
        <v>2549.576</v>
      </c>
      <c r="AJ31" s="109">
        <v>1010</v>
      </c>
      <c r="AK31" s="109">
        <v>2500</v>
      </c>
      <c r="AL31" s="109">
        <f>(AA31*('CALCULO GERAL'!$C$11*1.02))-(AA31*'CALCULO GERAL'!$C$11)</f>
        <v>632.39400000000387</v>
      </c>
      <c r="AM31" s="109">
        <v>1800</v>
      </c>
      <c r="AN31" s="109">
        <v>2600</v>
      </c>
      <c r="AO31" s="109">
        <v>9400</v>
      </c>
      <c r="AP31" s="109">
        <v>1000</v>
      </c>
      <c r="AQ31" s="109">
        <v>0</v>
      </c>
      <c r="AR31" s="109">
        <v>0</v>
      </c>
      <c r="AS31" s="109"/>
      <c r="AT31" s="109">
        <f t="shared" si="25"/>
        <v>303049.93611000001</v>
      </c>
      <c r="AU31" s="111">
        <f t="shared" si="8"/>
        <v>45.231333747761198</v>
      </c>
      <c r="AV31" s="109">
        <f>IFERROR((BS31*'CALCULO GERAL'!$E$11)/N31,0)</f>
        <v>1.2406968</v>
      </c>
      <c r="AW31" s="109">
        <f>AU31/'CALCULO GERAL'!$C$11</f>
        <v>9.0120210694881848</v>
      </c>
      <c r="AX31" s="109">
        <f>BP31-BB31-BD31*'CALCULO GERAL'!$C$11</f>
        <v>61.104317399999992</v>
      </c>
      <c r="AY31" s="109">
        <f t="shared" si="9"/>
        <v>0.39717806309999992</v>
      </c>
      <c r="AZ31" s="109">
        <f t="shared" si="10"/>
        <v>1.8331295219999997</v>
      </c>
      <c r="BA31" s="109">
        <f t="shared" si="11"/>
        <v>62.034839999999996</v>
      </c>
      <c r="BB31" s="109">
        <f t="shared" si="12"/>
        <v>0.93052259999999987</v>
      </c>
      <c r="BC31" s="109">
        <f t="shared" si="13"/>
        <v>62.034839999999996</v>
      </c>
      <c r="BD31" s="109">
        <f t="shared" si="14"/>
        <v>0</v>
      </c>
      <c r="BE31" s="109">
        <f t="shared" si="15"/>
        <v>33250.67424</v>
      </c>
      <c r="BF31" s="109">
        <f t="shared" si="16"/>
        <v>49876.01135999999</v>
      </c>
      <c r="BG31" s="109">
        <f t="shared" si="17"/>
        <v>0.66997627199999987</v>
      </c>
      <c r="BH31" s="109">
        <f t="shared" si="18"/>
        <v>0.74441807999999998</v>
      </c>
      <c r="BI31" s="109">
        <f t="shared" si="19"/>
        <v>0</v>
      </c>
      <c r="BJ31" s="109">
        <f t="shared" si="20"/>
        <v>5.8159213370999989</v>
      </c>
      <c r="BK31" s="109">
        <f t="shared" si="26"/>
        <v>51.047255084861199</v>
      </c>
      <c r="BL31" s="148">
        <v>0.74</v>
      </c>
      <c r="BM31" s="112">
        <f>ROUND((AW31/BL31)+((AW31*BL31)*'CALCULO GERAL'!$E$11)/BL31,2)</f>
        <v>12.36</v>
      </c>
      <c r="BN31" s="186">
        <f t="shared" si="21"/>
        <v>12.36</v>
      </c>
      <c r="BO31" s="186">
        <f t="shared" si="27"/>
        <v>14.481999999999999</v>
      </c>
      <c r="BP31" s="109">
        <f>BM31*'CALCULO GERAL'!$C$11</f>
        <v>62.034839999999996</v>
      </c>
      <c r="BQ31" s="109">
        <f>BO31*'CALCULO GERAL'!$C$11</f>
        <v>72.685158000000001</v>
      </c>
      <c r="BR31" s="186">
        <f>BN31*'CALCULO GERAL'!$C$11</f>
        <v>62.034839999999996</v>
      </c>
      <c r="BS31" s="109">
        <f t="shared" si="22"/>
        <v>415633.42799999996</v>
      </c>
      <c r="BT31" s="109">
        <f t="shared" si="23"/>
        <v>415633.42799999996</v>
      </c>
      <c r="BU31" s="109">
        <f t="shared" si="28"/>
        <v>342016.60906857002</v>
      </c>
      <c r="BV31" s="109">
        <f t="shared" si="29"/>
        <v>73616.818931429938</v>
      </c>
      <c r="BW31" s="114">
        <f t="shared" si="24"/>
        <v>0.17711958175661932</v>
      </c>
      <c r="BX31" s="152">
        <f t="shared" si="30"/>
        <v>0.74</v>
      </c>
      <c r="BZ31" s="55"/>
      <c r="CA31" s="113"/>
      <c r="CB31" s="113"/>
      <c r="CD31" s="152">
        <f t="shared" si="31"/>
        <v>0</v>
      </c>
      <c r="CE31" s="152">
        <f t="shared" si="32"/>
        <v>1</v>
      </c>
      <c r="CF31" s="152">
        <f t="shared" si="33"/>
        <v>1</v>
      </c>
      <c r="CG31" s="34"/>
      <c r="CI31" s="11"/>
      <c r="CJ31" s="11"/>
    </row>
    <row r="32" spans="1:88" s="152" customFormat="1" ht="16" x14ac:dyDescent="0.2">
      <c r="A32" s="228" t="s">
        <v>506</v>
      </c>
      <c r="B32" s="187" t="s">
        <v>174</v>
      </c>
      <c r="C32" s="8">
        <v>0.16200000000000001</v>
      </c>
      <c r="D32" s="8">
        <v>0</v>
      </c>
      <c r="E32" s="7">
        <v>2.1000000000000001E-2</v>
      </c>
      <c r="F32" s="7">
        <v>9.6500000000000002E-2</v>
      </c>
      <c r="G32" s="1">
        <v>6.4999999999999997E-3</v>
      </c>
      <c r="H32" s="1">
        <v>0.03</v>
      </c>
      <c r="I32" s="1">
        <v>0.18</v>
      </c>
      <c r="J32" s="1">
        <v>0.04</v>
      </c>
      <c r="K32" s="1">
        <v>0.14000000000000001</v>
      </c>
      <c r="L32" s="1">
        <v>1.4999999999999999E-2</v>
      </c>
      <c r="M32" s="2" t="s">
        <v>175</v>
      </c>
      <c r="N32" s="105">
        <v>6700</v>
      </c>
      <c r="O32" s="119">
        <v>7.5</v>
      </c>
      <c r="P32" s="119"/>
      <c r="Q32" s="119"/>
      <c r="R32" s="119"/>
      <c r="S32" s="119"/>
      <c r="T32" s="119"/>
      <c r="U32" s="119"/>
      <c r="V32" s="205"/>
      <c r="W32" s="119"/>
      <c r="X32" s="119">
        <f t="shared" si="0"/>
        <v>7.5</v>
      </c>
      <c r="Y32" s="118">
        <f t="shared" si="1"/>
        <v>7.5</v>
      </c>
      <c r="Z32" s="109">
        <f t="shared" si="2"/>
        <v>50250</v>
      </c>
      <c r="AA32" s="109">
        <f>'CALCULO GERAL'!$G$10</f>
        <v>6300</v>
      </c>
      <c r="AB32" s="109">
        <f t="shared" si="3"/>
        <v>56550</v>
      </c>
      <c r="AC32" s="109">
        <f>AB32*'CALCULO GERAL'!$C$11</f>
        <v>283824.45</v>
      </c>
      <c r="AD32" s="109">
        <f t="shared" si="4"/>
        <v>45979.560900000004</v>
      </c>
      <c r="AE32" s="109">
        <f t="shared" si="5"/>
        <v>0</v>
      </c>
      <c r="AF32" s="109">
        <f t="shared" si="6"/>
        <v>5960.3134500000006</v>
      </c>
      <c r="AG32" s="109">
        <f t="shared" si="7"/>
        <v>27389.059425000003</v>
      </c>
      <c r="AH32" s="109">
        <v>154.22999999999999</v>
      </c>
      <c r="AI32" s="109">
        <f>((AA32*'CALCULO GERAL'!$C$11))*0.08+20</f>
        <v>2549.576</v>
      </c>
      <c r="AJ32" s="109">
        <v>1010</v>
      </c>
      <c r="AK32" s="109">
        <v>2500</v>
      </c>
      <c r="AL32" s="109">
        <f>(AA32*('CALCULO GERAL'!$C$11*1.02))-(AA32*'CALCULO GERAL'!$C$11)</f>
        <v>632.39400000000387</v>
      </c>
      <c r="AM32" s="109">
        <v>1800</v>
      </c>
      <c r="AN32" s="109">
        <v>2600</v>
      </c>
      <c r="AO32" s="109">
        <v>9400</v>
      </c>
      <c r="AP32" s="109">
        <v>1000</v>
      </c>
      <c r="AQ32" s="109">
        <v>0</v>
      </c>
      <c r="AR32" s="109">
        <v>0</v>
      </c>
      <c r="AS32" s="109"/>
      <c r="AT32" s="109">
        <f t="shared" si="25"/>
        <v>384799.58377500001</v>
      </c>
      <c r="AU32" s="111">
        <f t="shared" si="8"/>
        <v>57.432773697761192</v>
      </c>
      <c r="AV32" s="109">
        <f>IFERROR((BS32*'CALCULO GERAL'!$E$11)/N32,0)</f>
        <v>1.5749621999999999</v>
      </c>
      <c r="AW32" s="109">
        <f>AU32/'CALCULO GERAL'!$C$11</f>
        <v>11.443071069488184</v>
      </c>
      <c r="AX32" s="109">
        <f>BP32-BB32-BD32*'CALCULO GERAL'!$C$11</f>
        <v>77.566888349999999</v>
      </c>
      <c r="AY32" s="109">
        <f t="shared" si="9"/>
        <v>0.50418477427499997</v>
      </c>
      <c r="AZ32" s="109">
        <f t="shared" si="10"/>
        <v>2.3270066505</v>
      </c>
      <c r="BA32" s="109">
        <f t="shared" si="11"/>
        <v>78.748109999999997</v>
      </c>
      <c r="BB32" s="109">
        <f t="shared" si="12"/>
        <v>1.1812216499999999</v>
      </c>
      <c r="BC32" s="109">
        <f t="shared" si="13"/>
        <v>78.748109999999997</v>
      </c>
      <c r="BD32" s="109">
        <f t="shared" si="14"/>
        <v>0</v>
      </c>
      <c r="BE32" s="109">
        <f t="shared" si="15"/>
        <v>42208.986959999995</v>
      </c>
      <c r="BF32" s="109">
        <f t="shared" si="16"/>
        <v>63313.480439999992</v>
      </c>
      <c r="BG32" s="109">
        <f t="shared" si="17"/>
        <v>0.85047958799999979</v>
      </c>
      <c r="BH32" s="109">
        <f t="shared" si="18"/>
        <v>0.9449773199999999</v>
      </c>
      <c r="BI32" s="109">
        <f t="shared" si="19"/>
        <v>0</v>
      </c>
      <c r="BJ32" s="109">
        <f t="shared" si="20"/>
        <v>7.3828321827749992</v>
      </c>
      <c r="BK32" s="109">
        <f t="shared" si="26"/>
        <v>64.815605880536197</v>
      </c>
      <c r="BL32" s="148">
        <v>0.74</v>
      </c>
      <c r="BM32" s="112">
        <f>ROUND((AW32/BL32)+((AW32*BL32)*'CALCULO GERAL'!$E$11)/BL32,2)</f>
        <v>15.69</v>
      </c>
      <c r="BN32" s="186">
        <f t="shared" si="21"/>
        <v>15.69</v>
      </c>
      <c r="BO32" s="186">
        <f t="shared" si="27"/>
        <v>18.382999999999999</v>
      </c>
      <c r="BP32" s="109">
        <f>BM32*'CALCULO GERAL'!$C$11</f>
        <v>78.748109999999997</v>
      </c>
      <c r="BQ32" s="109">
        <f>BO32*'CALCULO GERAL'!$C$11</f>
        <v>92.264276999999993</v>
      </c>
      <c r="BR32" s="186">
        <f>BN32*'CALCULO GERAL'!$C$11</f>
        <v>78.748109999999997</v>
      </c>
      <c r="BS32" s="109">
        <f t="shared" si="22"/>
        <v>527612.33699999994</v>
      </c>
      <c r="BT32" s="109">
        <f t="shared" si="23"/>
        <v>527612.33699999994</v>
      </c>
      <c r="BU32" s="109">
        <f t="shared" si="28"/>
        <v>434264.55939959252</v>
      </c>
      <c r="BV32" s="109">
        <f t="shared" si="29"/>
        <v>93347.777600407426</v>
      </c>
      <c r="BW32" s="114">
        <f t="shared" si="24"/>
        <v>0.17692493342968862</v>
      </c>
      <c r="BX32" s="152">
        <f t="shared" si="30"/>
        <v>0.74</v>
      </c>
      <c r="BZ32" s="55"/>
      <c r="CA32" s="113"/>
      <c r="CB32" s="113"/>
      <c r="CD32" s="152">
        <f t="shared" si="31"/>
        <v>0</v>
      </c>
      <c r="CE32" s="152">
        <f t="shared" si="32"/>
        <v>1</v>
      </c>
      <c r="CF32" s="152">
        <f t="shared" si="33"/>
        <v>1</v>
      </c>
      <c r="CG32" s="34"/>
      <c r="CI32" s="11"/>
      <c r="CJ32" s="11"/>
    </row>
    <row r="33" spans="1:88" s="152" customFormat="1" ht="16" x14ac:dyDescent="0.2">
      <c r="A33" s="228" t="s">
        <v>507</v>
      </c>
      <c r="B33" s="187" t="s">
        <v>174</v>
      </c>
      <c r="C33" s="8">
        <v>0.16200000000000001</v>
      </c>
      <c r="D33" s="8">
        <v>0</v>
      </c>
      <c r="E33" s="7">
        <v>2.1000000000000001E-2</v>
      </c>
      <c r="F33" s="7">
        <v>9.6500000000000002E-2</v>
      </c>
      <c r="G33" s="1">
        <v>6.4999999999999997E-3</v>
      </c>
      <c r="H33" s="1">
        <v>0.03</v>
      </c>
      <c r="I33" s="1">
        <v>0.18</v>
      </c>
      <c r="J33" s="1">
        <v>0.04</v>
      </c>
      <c r="K33" s="1">
        <v>0.14000000000000001</v>
      </c>
      <c r="L33" s="1">
        <v>1.4999999999999999E-2</v>
      </c>
      <c r="M33" s="2" t="s">
        <v>175</v>
      </c>
      <c r="N33" s="105">
        <v>6700</v>
      </c>
      <c r="O33" s="119">
        <v>8.4</v>
      </c>
      <c r="P33" s="119"/>
      <c r="Q33" s="119"/>
      <c r="R33" s="119"/>
      <c r="S33" s="119"/>
      <c r="T33" s="119"/>
      <c r="U33" s="119"/>
      <c r="V33" s="205"/>
      <c r="W33" s="119"/>
      <c r="X33" s="119">
        <f t="shared" si="0"/>
        <v>8.4</v>
      </c>
      <c r="Y33" s="118">
        <f t="shared" si="1"/>
        <v>8.4</v>
      </c>
      <c r="Z33" s="109">
        <f t="shared" si="2"/>
        <v>56280</v>
      </c>
      <c r="AA33" s="109">
        <f>'CALCULO GERAL'!$G$10</f>
        <v>6300</v>
      </c>
      <c r="AB33" s="109">
        <f t="shared" si="3"/>
        <v>62580</v>
      </c>
      <c r="AC33" s="109">
        <f>AB33*'CALCULO GERAL'!$C$11</f>
        <v>314089.02</v>
      </c>
      <c r="AD33" s="109">
        <f t="shared" si="4"/>
        <v>50882.421240000003</v>
      </c>
      <c r="AE33" s="109">
        <f t="shared" si="5"/>
        <v>0</v>
      </c>
      <c r="AF33" s="109">
        <f t="shared" si="6"/>
        <v>6595.8694200000009</v>
      </c>
      <c r="AG33" s="109">
        <f t="shared" si="7"/>
        <v>30309.590430000004</v>
      </c>
      <c r="AH33" s="109">
        <v>154.22999999999999</v>
      </c>
      <c r="AI33" s="109">
        <f>((AA33*'CALCULO GERAL'!$C$11))*0.08+20</f>
        <v>2549.576</v>
      </c>
      <c r="AJ33" s="109">
        <v>1010</v>
      </c>
      <c r="AK33" s="109">
        <v>2500</v>
      </c>
      <c r="AL33" s="109">
        <f>(AA33*('CALCULO GERAL'!$C$11*1.02))-(AA33*'CALCULO GERAL'!$C$11)</f>
        <v>632.39400000000387</v>
      </c>
      <c r="AM33" s="109">
        <v>1800</v>
      </c>
      <c r="AN33" s="109">
        <v>2600</v>
      </c>
      <c r="AO33" s="109">
        <v>9400</v>
      </c>
      <c r="AP33" s="109">
        <v>1000</v>
      </c>
      <c r="AQ33" s="109">
        <v>0</v>
      </c>
      <c r="AR33" s="109">
        <v>0</v>
      </c>
      <c r="AS33" s="109"/>
      <c r="AT33" s="109">
        <f t="shared" si="25"/>
        <v>423523.10109000001</v>
      </c>
      <c r="AU33" s="111">
        <f t="shared" si="8"/>
        <v>63.212403147761194</v>
      </c>
      <c r="AV33" s="109">
        <f>IFERROR((BS33*'CALCULO GERAL'!$E$11)/N33,0)</f>
        <v>1.7335626000000002</v>
      </c>
      <c r="AW33" s="109">
        <f>AU33/'CALCULO GERAL'!$C$11</f>
        <v>12.594621069488184</v>
      </c>
      <c r="AX33" s="109">
        <f>BP33-BB33-BD33*'CALCULO GERAL'!$C$11</f>
        <v>85.377958049999989</v>
      </c>
      <c r="AY33" s="109">
        <f t="shared" si="9"/>
        <v>0.5549567273249999</v>
      </c>
      <c r="AZ33" s="109">
        <f t="shared" si="10"/>
        <v>2.5613387414999997</v>
      </c>
      <c r="BA33" s="109">
        <f t="shared" si="11"/>
        <v>86.678129999999996</v>
      </c>
      <c r="BB33" s="109">
        <f t="shared" si="12"/>
        <v>1.30017195</v>
      </c>
      <c r="BC33" s="109">
        <f t="shared" si="13"/>
        <v>86.678129999999996</v>
      </c>
      <c r="BD33" s="109">
        <f t="shared" si="14"/>
        <v>0</v>
      </c>
      <c r="BE33" s="109">
        <f t="shared" si="15"/>
        <v>46459.477680000004</v>
      </c>
      <c r="BF33" s="109">
        <f t="shared" si="16"/>
        <v>69689.216520000002</v>
      </c>
      <c r="BG33" s="109">
        <f t="shared" si="17"/>
        <v>0.93612380400000006</v>
      </c>
      <c r="BH33" s="109">
        <f t="shared" si="18"/>
        <v>1.04013756</v>
      </c>
      <c r="BI33" s="109">
        <f t="shared" si="19"/>
        <v>0</v>
      </c>
      <c r="BJ33" s="109">
        <f t="shared" si="20"/>
        <v>8.1262913828250003</v>
      </c>
      <c r="BK33" s="109">
        <f t="shared" si="26"/>
        <v>71.338694530586196</v>
      </c>
      <c r="BL33" s="148">
        <v>0.74</v>
      </c>
      <c r="BM33" s="112">
        <f>ROUND((AW33/BL33)+((AW33*BL33)*'CALCULO GERAL'!$E$11)/BL33,2)</f>
        <v>17.27</v>
      </c>
      <c r="BN33" s="186">
        <f t="shared" si="21"/>
        <v>17.27</v>
      </c>
      <c r="BO33" s="186">
        <f t="shared" si="27"/>
        <v>20.234999999999999</v>
      </c>
      <c r="BP33" s="109">
        <f>BM33*'CALCULO GERAL'!$C$11</f>
        <v>86.678129999999996</v>
      </c>
      <c r="BQ33" s="109">
        <f>BO33*'CALCULO GERAL'!$C$11</f>
        <v>101.559465</v>
      </c>
      <c r="BR33" s="186">
        <f>BN33*'CALCULO GERAL'!$C$11</f>
        <v>86.678129999999996</v>
      </c>
      <c r="BS33" s="109">
        <f t="shared" si="22"/>
        <v>580743.47100000002</v>
      </c>
      <c r="BT33" s="109">
        <f t="shared" si="23"/>
        <v>580743.47100000002</v>
      </c>
      <c r="BU33" s="109">
        <f t="shared" si="28"/>
        <v>477969.25335492752</v>
      </c>
      <c r="BV33" s="109">
        <f t="shared" si="29"/>
        <v>102774.21764507249</v>
      </c>
      <c r="BW33" s="114">
        <f t="shared" si="24"/>
        <v>0.17697007848939295</v>
      </c>
      <c r="BX33" s="152">
        <f t="shared" si="30"/>
        <v>0.74</v>
      </c>
      <c r="BZ33" s="55"/>
      <c r="CA33" s="113"/>
      <c r="CB33" s="113"/>
      <c r="CD33" s="152">
        <f t="shared" si="31"/>
        <v>0</v>
      </c>
      <c r="CE33" s="152">
        <f t="shared" si="32"/>
        <v>1</v>
      </c>
      <c r="CF33" s="152">
        <f t="shared" si="33"/>
        <v>1</v>
      </c>
      <c r="CG33" s="34"/>
      <c r="CI33" s="11"/>
      <c r="CJ33" s="11"/>
    </row>
    <row r="34" spans="1:88" s="152" customFormat="1" ht="16" x14ac:dyDescent="0.2">
      <c r="A34" s="228" t="s">
        <v>508</v>
      </c>
      <c r="B34" s="187" t="s">
        <v>174</v>
      </c>
      <c r="C34" s="8">
        <v>0.16200000000000001</v>
      </c>
      <c r="D34" s="8">
        <v>0</v>
      </c>
      <c r="E34" s="7">
        <v>2.1000000000000001E-2</v>
      </c>
      <c r="F34" s="7">
        <v>9.6500000000000002E-2</v>
      </c>
      <c r="G34" s="1">
        <v>6.4999999999999997E-3</v>
      </c>
      <c r="H34" s="1">
        <v>0.03</v>
      </c>
      <c r="I34" s="1">
        <v>0.18</v>
      </c>
      <c r="J34" s="1">
        <v>0.04</v>
      </c>
      <c r="K34" s="1">
        <v>0.14000000000000001</v>
      </c>
      <c r="L34" s="1">
        <v>1.4999999999999999E-2</v>
      </c>
      <c r="M34" s="2" t="s">
        <v>175</v>
      </c>
      <c r="N34" s="105">
        <v>6700</v>
      </c>
      <c r="O34" s="119">
        <v>9.5399999999999991</v>
      </c>
      <c r="P34" s="119"/>
      <c r="Q34" s="119"/>
      <c r="R34" s="119"/>
      <c r="S34" s="119"/>
      <c r="T34" s="119"/>
      <c r="U34" s="119"/>
      <c r="V34" s="205"/>
      <c r="W34" s="119"/>
      <c r="X34" s="119">
        <f t="shared" si="0"/>
        <v>9.5399999999999991</v>
      </c>
      <c r="Y34" s="118">
        <f t="shared" si="1"/>
        <v>9.5399999999999991</v>
      </c>
      <c r="Z34" s="109">
        <f t="shared" si="2"/>
        <v>63917.999999999993</v>
      </c>
      <c r="AA34" s="109">
        <f>'CALCULO GERAL'!$G$10</f>
        <v>6300</v>
      </c>
      <c r="AB34" s="109">
        <f t="shared" si="3"/>
        <v>70218</v>
      </c>
      <c r="AC34" s="109">
        <f>AB34*'CALCULO GERAL'!$C$11</f>
        <v>352424.14199999999</v>
      </c>
      <c r="AD34" s="109">
        <f t="shared" si="4"/>
        <v>57092.711003999997</v>
      </c>
      <c r="AE34" s="109">
        <f t="shared" si="5"/>
        <v>0</v>
      </c>
      <c r="AF34" s="109">
        <f t="shared" si="6"/>
        <v>7400.9069820000004</v>
      </c>
      <c r="AG34" s="109">
        <f t="shared" si="7"/>
        <v>34008.929703000002</v>
      </c>
      <c r="AH34" s="109">
        <v>154.22999999999999</v>
      </c>
      <c r="AI34" s="109">
        <f>((AA34*'CALCULO GERAL'!$C$11))*0.08+20</f>
        <v>2549.576</v>
      </c>
      <c r="AJ34" s="109">
        <v>1010</v>
      </c>
      <c r="AK34" s="109">
        <v>2500</v>
      </c>
      <c r="AL34" s="109">
        <f>(AA34*('CALCULO GERAL'!$C$11*1.02))-(AA34*'CALCULO GERAL'!$C$11)</f>
        <v>632.39400000000387</v>
      </c>
      <c r="AM34" s="109">
        <v>1800</v>
      </c>
      <c r="AN34" s="109">
        <v>2600</v>
      </c>
      <c r="AO34" s="109">
        <v>9400</v>
      </c>
      <c r="AP34" s="109">
        <v>1000</v>
      </c>
      <c r="AQ34" s="109">
        <v>0</v>
      </c>
      <c r="AR34" s="109">
        <v>0</v>
      </c>
      <c r="AS34" s="109"/>
      <c r="AT34" s="109">
        <f t="shared" si="25"/>
        <v>472572.88968899997</v>
      </c>
      <c r="AU34" s="111">
        <f t="shared" si="8"/>
        <v>70.533267117761184</v>
      </c>
      <c r="AV34" s="109">
        <f>IFERROR((BS34*'CALCULO GERAL'!$E$11)/N34,0)</f>
        <v>1.9343226</v>
      </c>
      <c r="AW34" s="109">
        <f>AU34/'CALCULO GERAL'!$C$11</f>
        <v>14.053251069488182</v>
      </c>
      <c r="AX34" s="109">
        <f>BP34-BB34-BD34*'CALCULO GERAL'!$C$11</f>
        <v>95.265388050000013</v>
      </c>
      <c r="AY34" s="109">
        <f t="shared" si="9"/>
        <v>0.6192250223250001</v>
      </c>
      <c r="AZ34" s="109">
        <f t="shared" si="10"/>
        <v>2.8579616415000002</v>
      </c>
      <c r="BA34" s="109">
        <f t="shared" si="11"/>
        <v>96.716130000000007</v>
      </c>
      <c r="BB34" s="109">
        <f t="shared" si="12"/>
        <v>1.4507419500000001</v>
      </c>
      <c r="BC34" s="109">
        <f t="shared" si="13"/>
        <v>96.716130000000007</v>
      </c>
      <c r="BD34" s="109">
        <f t="shared" si="14"/>
        <v>0</v>
      </c>
      <c r="BE34" s="109">
        <f t="shared" si="15"/>
        <v>51839.845679999999</v>
      </c>
      <c r="BF34" s="109">
        <f t="shared" si="16"/>
        <v>77759.768519999998</v>
      </c>
      <c r="BG34" s="109">
        <f t="shared" si="17"/>
        <v>1.0445342039999999</v>
      </c>
      <c r="BH34" s="109">
        <f t="shared" si="18"/>
        <v>1.1605935599999999</v>
      </c>
      <c r="BI34" s="109">
        <f t="shared" si="19"/>
        <v>0</v>
      </c>
      <c r="BJ34" s="109">
        <f t="shared" si="20"/>
        <v>9.0673789778249994</v>
      </c>
      <c r="BK34" s="109">
        <f t="shared" si="26"/>
        <v>79.600646095586185</v>
      </c>
      <c r="BL34" s="148">
        <v>0.74</v>
      </c>
      <c r="BM34" s="112">
        <f>ROUND((AW34/BL34)+((AW34*BL34)*'CALCULO GERAL'!$E$11)/BL34,2)</f>
        <v>19.27</v>
      </c>
      <c r="BN34" s="186">
        <f t="shared" si="21"/>
        <v>19.27</v>
      </c>
      <c r="BO34" s="186">
        <f t="shared" si="27"/>
        <v>22.577999999999999</v>
      </c>
      <c r="BP34" s="109">
        <f>BM34*'CALCULO GERAL'!$C$11</f>
        <v>96.716130000000007</v>
      </c>
      <c r="BQ34" s="109">
        <f>BO34*'CALCULO GERAL'!$C$11</f>
        <v>113.31898200000001</v>
      </c>
      <c r="BR34" s="186">
        <f>BN34*'CALCULO GERAL'!$C$11</f>
        <v>96.716130000000007</v>
      </c>
      <c r="BS34" s="109">
        <f t="shared" si="22"/>
        <v>647998.071</v>
      </c>
      <c r="BT34" s="109">
        <f t="shared" si="23"/>
        <v>647998.071</v>
      </c>
      <c r="BU34" s="109">
        <f t="shared" si="28"/>
        <v>533324.32884042745</v>
      </c>
      <c r="BV34" s="109">
        <f t="shared" si="29"/>
        <v>114673.74215957255</v>
      </c>
      <c r="BW34" s="114">
        <f t="shared" si="24"/>
        <v>0.17696617828291736</v>
      </c>
      <c r="BX34" s="152">
        <f t="shared" si="30"/>
        <v>0.74</v>
      </c>
      <c r="BZ34" s="55"/>
      <c r="CA34" s="113"/>
      <c r="CB34" s="113"/>
      <c r="CD34" s="152">
        <f t="shared" si="31"/>
        <v>0</v>
      </c>
      <c r="CE34" s="152">
        <f t="shared" si="32"/>
        <v>1</v>
      </c>
      <c r="CF34" s="152">
        <f t="shared" si="33"/>
        <v>1</v>
      </c>
      <c r="CG34" s="34"/>
      <c r="CI34" s="11"/>
      <c r="CJ34" s="11"/>
    </row>
    <row r="35" spans="1:88" s="152" customFormat="1" ht="16" x14ac:dyDescent="0.2">
      <c r="A35" s="228" t="s">
        <v>509</v>
      </c>
      <c r="B35" s="187" t="s">
        <v>174</v>
      </c>
      <c r="C35" s="8">
        <v>0.16200000000000001</v>
      </c>
      <c r="D35" s="8">
        <v>0</v>
      </c>
      <c r="E35" s="7">
        <v>2.1000000000000001E-2</v>
      </c>
      <c r="F35" s="7">
        <v>9.6500000000000002E-2</v>
      </c>
      <c r="G35" s="1">
        <v>6.4999999999999997E-3</v>
      </c>
      <c r="H35" s="1">
        <v>0.03</v>
      </c>
      <c r="I35" s="1">
        <v>0.18</v>
      </c>
      <c r="J35" s="1">
        <v>0.04</v>
      </c>
      <c r="K35" s="1">
        <v>0.14000000000000001</v>
      </c>
      <c r="L35" s="1">
        <v>1.4999999999999999E-2</v>
      </c>
      <c r="M35" s="2" t="s">
        <v>175</v>
      </c>
      <c r="N35" s="105">
        <v>6700</v>
      </c>
      <c r="O35" s="119">
        <v>10.95</v>
      </c>
      <c r="P35" s="119"/>
      <c r="Q35" s="119"/>
      <c r="R35" s="119"/>
      <c r="S35" s="119"/>
      <c r="T35" s="119"/>
      <c r="U35" s="119"/>
      <c r="V35" s="205"/>
      <c r="W35" s="119"/>
      <c r="X35" s="119">
        <f t="shared" si="0"/>
        <v>10.95</v>
      </c>
      <c r="Y35" s="118">
        <f t="shared" si="1"/>
        <v>10.95</v>
      </c>
      <c r="Z35" s="109">
        <f t="shared" si="2"/>
        <v>73365</v>
      </c>
      <c r="AA35" s="109">
        <f>'CALCULO GERAL'!$G$10</f>
        <v>6300</v>
      </c>
      <c r="AB35" s="109">
        <f t="shared" si="3"/>
        <v>79665</v>
      </c>
      <c r="AC35" s="109">
        <f>AB35*'CALCULO GERAL'!$C$11</f>
        <v>399838.63500000001</v>
      </c>
      <c r="AD35" s="109">
        <f t="shared" si="4"/>
        <v>64773.858870000004</v>
      </c>
      <c r="AE35" s="109">
        <f t="shared" si="5"/>
        <v>0</v>
      </c>
      <c r="AF35" s="109">
        <f t="shared" si="6"/>
        <v>8396.6113350000014</v>
      </c>
      <c r="AG35" s="109">
        <f t="shared" si="7"/>
        <v>38584.428277500003</v>
      </c>
      <c r="AH35" s="109">
        <v>154.22999999999999</v>
      </c>
      <c r="AI35" s="109">
        <f>((AA35*'CALCULO GERAL'!$C$11))*0.08+20</f>
        <v>2549.576</v>
      </c>
      <c r="AJ35" s="109">
        <v>1010</v>
      </c>
      <c r="AK35" s="109">
        <v>2500</v>
      </c>
      <c r="AL35" s="109">
        <f>(AA35*('CALCULO GERAL'!$C$11*1.02))-(AA35*'CALCULO GERAL'!$C$11)</f>
        <v>632.39400000000387</v>
      </c>
      <c r="AM35" s="109">
        <v>1800</v>
      </c>
      <c r="AN35" s="109">
        <v>2600</v>
      </c>
      <c r="AO35" s="109">
        <v>9400</v>
      </c>
      <c r="AP35" s="109">
        <v>1000</v>
      </c>
      <c r="AQ35" s="109">
        <v>0</v>
      </c>
      <c r="AR35" s="109">
        <v>0</v>
      </c>
      <c r="AS35" s="109"/>
      <c r="AT35" s="109">
        <f t="shared" si="25"/>
        <v>533239.73348250007</v>
      </c>
      <c r="AU35" s="111">
        <f t="shared" si="8"/>
        <v>79.588019922761205</v>
      </c>
      <c r="AV35" s="109">
        <f>IFERROR((BS35*'CALCULO GERAL'!$E$11)/N35,0)</f>
        <v>2.183265</v>
      </c>
      <c r="AW35" s="109">
        <f>AU35/'CALCULO GERAL'!$C$11</f>
        <v>15.857346069488186</v>
      </c>
      <c r="AX35" s="109">
        <f>BP35-BB35-BD35*'CALCULO GERAL'!$C$11</f>
        <v>107.52580125</v>
      </c>
      <c r="AY35" s="109">
        <f t="shared" si="9"/>
        <v>0.69891770812499998</v>
      </c>
      <c r="AZ35" s="109">
        <f t="shared" si="10"/>
        <v>3.2257740374999999</v>
      </c>
      <c r="BA35" s="109">
        <f t="shared" si="11"/>
        <v>109.16325000000001</v>
      </c>
      <c r="BB35" s="109">
        <f t="shared" si="12"/>
        <v>1.6374487500000001</v>
      </c>
      <c r="BC35" s="109">
        <f t="shared" si="13"/>
        <v>109.16325000000001</v>
      </c>
      <c r="BD35" s="109">
        <f t="shared" si="14"/>
        <v>0</v>
      </c>
      <c r="BE35" s="109">
        <f t="shared" si="15"/>
        <v>58511.502</v>
      </c>
      <c r="BF35" s="109">
        <f t="shared" si="16"/>
        <v>87767.252999999997</v>
      </c>
      <c r="BG35" s="109">
        <f t="shared" si="17"/>
        <v>1.1789630999999998</v>
      </c>
      <c r="BH35" s="109">
        <f t="shared" si="18"/>
        <v>1.3099590000000001</v>
      </c>
      <c r="BI35" s="109">
        <f t="shared" si="19"/>
        <v>0</v>
      </c>
      <c r="BJ35" s="109">
        <f t="shared" si="20"/>
        <v>10.234327595625</v>
      </c>
      <c r="BK35" s="109">
        <f t="shared" si="26"/>
        <v>89.822347518386209</v>
      </c>
      <c r="BL35" s="148">
        <v>0.74</v>
      </c>
      <c r="BM35" s="112">
        <f>ROUND((AW35/BL35)+((AW35*BL35)*'CALCULO GERAL'!$E$11)/BL35,2)</f>
        <v>21.75</v>
      </c>
      <c r="BN35" s="186">
        <f t="shared" si="21"/>
        <v>21.75</v>
      </c>
      <c r="BO35" s="186">
        <f t="shared" si="27"/>
        <v>25.484000000000002</v>
      </c>
      <c r="BP35" s="109">
        <f>BM35*'CALCULO GERAL'!$C$11</f>
        <v>109.16325000000001</v>
      </c>
      <c r="BQ35" s="109">
        <f>BO35*'CALCULO GERAL'!$C$11</f>
        <v>127.90419600000001</v>
      </c>
      <c r="BR35" s="186">
        <f>BN35*'CALCULO GERAL'!$C$11</f>
        <v>109.16325000000001</v>
      </c>
      <c r="BS35" s="109">
        <f t="shared" si="22"/>
        <v>731393.77500000002</v>
      </c>
      <c r="BT35" s="109">
        <f t="shared" si="23"/>
        <v>731393.77500000002</v>
      </c>
      <c r="BU35" s="109">
        <f t="shared" si="28"/>
        <v>601809.72837318759</v>
      </c>
      <c r="BV35" s="109">
        <f t="shared" si="29"/>
        <v>129584.04662681243</v>
      </c>
      <c r="BW35" s="114">
        <f t="shared" si="24"/>
        <v>0.17717411749479606</v>
      </c>
      <c r="BX35" s="152">
        <f t="shared" si="30"/>
        <v>0.74</v>
      </c>
      <c r="BZ35" s="55"/>
      <c r="CA35" s="113"/>
      <c r="CB35" s="113"/>
      <c r="CD35" s="152">
        <f t="shared" si="31"/>
        <v>0</v>
      </c>
      <c r="CE35" s="152">
        <f t="shared" si="32"/>
        <v>1</v>
      </c>
      <c r="CF35" s="152">
        <f t="shared" si="33"/>
        <v>1</v>
      </c>
      <c r="CG35" s="34"/>
      <c r="CI35" s="11"/>
      <c r="CJ35" s="11"/>
    </row>
    <row r="36" spans="1:88" s="152" customFormat="1" ht="16" x14ac:dyDescent="0.2">
      <c r="A36" s="228" t="s">
        <v>510</v>
      </c>
      <c r="B36" s="187" t="s">
        <v>174</v>
      </c>
      <c r="C36" s="8">
        <v>0.16200000000000001</v>
      </c>
      <c r="D36" s="8">
        <v>0</v>
      </c>
      <c r="E36" s="7">
        <v>2.1000000000000001E-2</v>
      </c>
      <c r="F36" s="7">
        <v>9.6500000000000002E-2</v>
      </c>
      <c r="G36" s="1">
        <v>6.4999999999999997E-3</v>
      </c>
      <c r="H36" s="1">
        <v>0.03</v>
      </c>
      <c r="I36" s="1">
        <v>0.18</v>
      </c>
      <c r="J36" s="1">
        <v>0.04</v>
      </c>
      <c r="K36" s="1">
        <v>0.14000000000000001</v>
      </c>
      <c r="L36" s="1">
        <v>1.4999999999999999E-2</v>
      </c>
      <c r="M36" s="2" t="s">
        <v>175</v>
      </c>
      <c r="N36" s="105">
        <v>6700</v>
      </c>
      <c r="O36" s="119">
        <v>10.199999999999999</v>
      </c>
      <c r="P36" s="119"/>
      <c r="Q36" s="119"/>
      <c r="R36" s="119"/>
      <c r="S36" s="119"/>
      <c r="T36" s="119"/>
      <c r="U36" s="119"/>
      <c r="V36" s="205"/>
      <c r="W36" s="119"/>
      <c r="X36" s="119">
        <f t="shared" si="0"/>
        <v>10.199999999999999</v>
      </c>
      <c r="Y36" s="118">
        <f t="shared" si="1"/>
        <v>10.199999999999999</v>
      </c>
      <c r="Z36" s="109">
        <f t="shared" si="2"/>
        <v>68340</v>
      </c>
      <c r="AA36" s="109">
        <f>'CALCULO GERAL'!$G$10</f>
        <v>6300</v>
      </c>
      <c r="AB36" s="109">
        <f t="shared" si="3"/>
        <v>74640</v>
      </c>
      <c r="AC36" s="109">
        <f>AB36*'CALCULO GERAL'!$C$11</f>
        <v>374618.16000000003</v>
      </c>
      <c r="AD36" s="109">
        <f t="shared" si="4"/>
        <v>60688.141920000009</v>
      </c>
      <c r="AE36" s="109">
        <f t="shared" si="5"/>
        <v>0</v>
      </c>
      <c r="AF36" s="109">
        <f t="shared" si="6"/>
        <v>7866.9813600000016</v>
      </c>
      <c r="AG36" s="109">
        <f t="shared" si="7"/>
        <v>36150.652440000005</v>
      </c>
      <c r="AH36" s="109">
        <v>154.22999999999999</v>
      </c>
      <c r="AI36" s="109">
        <f>((AA36*'CALCULO GERAL'!$C$11))*0.08+20</f>
        <v>2549.576</v>
      </c>
      <c r="AJ36" s="109">
        <v>1010</v>
      </c>
      <c r="AK36" s="109">
        <v>2500</v>
      </c>
      <c r="AL36" s="109">
        <f>(AA36*('CALCULO GERAL'!$C$11*1.02))-(AA36*'CALCULO GERAL'!$C$11)</f>
        <v>632.39400000000387</v>
      </c>
      <c r="AM36" s="109">
        <v>1800</v>
      </c>
      <c r="AN36" s="109">
        <v>2600</v>
      </c>
      <c r="AO36" s="109">
        <v>9400</v>
      </c>
      <c r="AP36" s="109">
        <v>1000</v>
      </c>
      <c r="AQ36" s="109">
        <v>0</v>
      </c>
      <c r="AR36" s="109">
        <v>0</v>
      </c>
      <c r="AS36" s="109"/>
      <c r="AT36" s="109">
        <f t="shared" si="25"/>
        <v>500970.13572000008</v>
      </c>
      <c r="AU36" s="111">
        <f t="shared" si="8"/>
        <v>74.771662047761211</v>
      </c>
      <c r="AV36" s="109">
        <f>IFERROR((BS36*'CALCULO GERAL'!$E$11)/N36,0)</f>
        <v>2.0507634000000001</v>
      </c>
      <c r="AW36" s="109">
        <f>AU36/'CALCULO GERAL'!$C$11</f>
        <v>14.897721069488187</v>
      </c>
      <c r="AX36" s="109">
        <f>BP36-BB36-BD36*'CALCULO GERAL'!$C$11</f>
        <v>101.00009745000001</v>
      </c>
      <c r="AY36" s="109">
        <f t="shared" si="9"/>
        <v>0.65650063342500009</v>
      </c>
      <c r="AZ36" s="109">
        <f t="shared" si="10"/>
        <v>3.0300029235000001</v>
      </c>
      <c r="BA36" s="109">
        <f t="shared" si="11"/>
        <v>102.53817000000001</v>
      </c>
      <c r="BB36" s="109">
        <f t="shared" si="12"/>
        <v>1.5380725500000001</v>
      </c>
      <c r="BC36" s="109">
        <f t="shared" si="13"/>
        <v>102.53817000000001</v>
      </c>
      <c r="BD36" s="109">
        <f t="shared" si="14"/>
        <v>0</v>
      </c>
      <c r="BE36" s="109">
        <f t="shared" si="15"/>
        <v>54960.459120000007</v>
      </c>
      <c r="BF36" s="109">
        <f t="shared" si="16"/>
        <v>82440.688680000007</v>
      </c>
      <c r="BG36" s="109">
        <f t="shared" si="17"/>
        <v>1.107412236</v>
      </c>
      <c r="BH36" s="109">
        <f t="shared" si="18"/>
        <v>1.23045804</v>
      </c>
      <c r="BI36" s="109">
        <f t="shared" si="19"/>
        <v>0</v>
      </c>
      <c r="BJ36" s="109">
        <f t="shared" si="20"/>
        <v>9.6132097829250007</v>
      </c>
      <c r="BK36" s="109">
        <f t="shared" si="26"/>
        <v>84.384871830686208</v>
      </c>
      <c r="BL36" s="148">
        <v>0.74</v>
      </c>
      <c r="BM36" s="112">
        <f>ROUND((AW36/BL36)+((AW36*BL36)*'CALCULO GERAL'!$E$11)/BL36,2)</f>
        <v>20.43</v>
      </c>
      <c r="BN36" s="186">
        <f t="shared" si="21"/>
        <v>20.43</v>
      </c>
      <c r="BO36" s="186">
        <f t="shared" si="27"/>
        <v>23.937000000000001</v>
      </c>
      <c r="BP36" s="109">
        <f>BM36*'CALCULO GERAL'!$C$11</f>
        <v>102.53817000000001</v>
      </c>
      <c r="BQ36" s="109">
        <f>BO36*'CALCULO GERAL'!$C$11</f>
        <v>120.13980300000001</v>
      </c>
      <c r="BR36" s="186">
        <f>BN36*'CALCULO GERAL'!$C$11</f>
        <v>102.53817000000001</v>
      </c>
      <c r="BS36" s="109">
        <f t="shared" si="22"/>
        <v>687005.73900000006</v>
      </c>
      <c r="BT36" s="109">
        <f t="shared" si="23"/>
        <v>687005.73900000006</v>
      </c>
      <c r="BU36" s="109">
        <f t="shared" si="28"/>
        <v>565378.64126559754</v>
      </c>
      <c r="BV36" s="109">
        <f t="shared" si="29"/>
        <v>121627.09773440252</v>
      </c>
      <c r="BW36" s="114">
        <f t="shared" si="24"/>
        <v>0.17703942024042177</v>
      </c>
      <c r="BX36" s="152">
        <f t="shared" si="30"/>
        <v>0.74</v>
      </c>
      <c r="BZ36" s="55"/>
      <c r="CA36" s="113"/>
      <c r="CB36" s="113"/>
      <c r="CD36" s="152">
        <f t="shared" si="31"/>
        <v>0</v>
      </c>
      <c r="CE36" s="152">
        <f t="shared" si="32"/>
        <v>1</v>
      </c>
      <c r="CF36" s="152">
        <f t="shared" si="33"/>
        <v>1</v>
      </c>
      <c r="CG36" s="34"/>
      <c r="CI36" s="11"/>
      <c r="CJ36" s="11"/>
    </row>
    <row r="37" spans="1:88" s="152" customFormat="1" ht="16" x14ac:dyDescent="0.2">
      <c r="A37" s="228" t="s">
        <v>511</v>
      </c>
      <c r="B37" s="187" t="s">
        <v>174</v>
      </c>
      <c r="C37" s="8">
        <v>0.16200000000000001</v>
      </c>
      <c r="D37" s="8">
        <v>0</v>
      </c>
      <c r="E37" s="7">
        <v>2.1000000000000001E-2</v>
      </c>
      <c r="F37" s="7">
        <v>9.6500000000000002E-2</v>
      </c>
      <c r="G37" s="1">
        <v>6.4999999999999997E-3</v>
      </c>
      <c r="H37" s="1">
        <v>0.03</v>
      </c>
      <c r="I37" s="1">
        <v>0.18</v>
      </c>
      <c r="J37" s="1">
        <v>0.04</v>
      </c>
      <c r="K37" s="1">
        <v>0.14000000000000001</v>
      </c>
      <c r="L37" s="1">
        <v>1.4999999999999999E-2</v>
      </c>
      <c r="M37" s="2" t="s">
        <v>175</v>
      </c>
      <c r="N37" s="105">
        <v>6700</v>
      </c>
      <c r="O37" s="119">
        <v>13.25</v>
      </c>
      <c r="P37" s="119"/>
      <c r="Q37" s="119"/>
      <c r="R37" s="119"/>
      <c r="S37" s="119"/>
      <c r="T37" s="119"/>
      <c r="U37" s="119"/>
      <c r="V37" s="205"/>
      <c r="W37" s="119"/>
      <c r="X37" s="119">
        <f t="shared" si="0"/>
        <v>13.25</v>
      </c>
      <c r="Y37" s="118">
        <f t="shared" si="1"/>
        <v>13.25</v>
      </c>
      <c r="Z37" s="109">
        <f t="shared" si="2"/>
        <v>88775</v>
      </c>
      <c r="AA37" s="109">
        <f>'CALCULO GERAL'!$G$10</f>
        <v>6300</v>
      </c>
      <c r="AB37" s="109">
        <f t="shared" si="3"/>
        <v>95075</v>
      </c>
      <c r="AC37" s="109">
        <f>AB37*'CALCULO GERAL'!$C$11</f>
        <v>477181.42499999999</v>
      </c>
      <c r="AD37" s="109">
        <f t="shared" si="4"/>
        <v>77303.390849999996</v>
      </c>
      <c r="AE37" s="109">
        <f t="shared" si="5"/>
        <v>0</v>
      </c>
      <c r="AF37" s="109">
        <f t="shared" si="6"/>
        <v>10020.809925</v>
      </c>
      <c r="AG37" s="109">
        <f t="shared" si="7"/>
        <v>46048.0075125</v>
      </c>
      <c r="AH37" s="109">
        <v>154.22999999999999</v>
      </c>
      <c r="AI37" s="109">
        <f>((AA37*'CALCULO GERAL'!$C$11))*0.08+20</f>
        <v>2549.576</v>
      </c>
      <c r="AJ37" s="109">
        <v>1010</v>
      </c>
      <c r="AK37" s="109">
        <v>2500</v>
      </c>
      <c r="AL37" s="109">
        <f>(AA37*('CALCULO GERAL'!$C$11*1.02))-(AA37*'CALCULO GERAL'!$C$11)</f>
        <v>632.39400000000387</v>
      </c>
      <c r="AM37" s="109">
        <v>1800</v>
      </c>
      <c r="AN37" s="109">
        <v>2600</v>
      </c>
      <c r="AO37" s="109">
        <v>9400</v>
      </c>
      <c r="AP37" s="109">
        <v>1000</v>
      </c>
      <c r="AQ37" s="109">
        <v>0</v>
      </c>
      <c r="AR37" s="109">
        <v>0</v>
      </c>
      <c r="AS37" s="109"/>
      <c r="AT37" s="109">
        <f t="shared" si="25"/>
        <v>632199.83328749996</v>
      </c>
      <c r="AU37" s="111">
        <f t="shared" si="8"/>
        <v>94.35818407276119</v>
      </c>
      <c r="AV37" s="109">
        <f>IFERROR((BS37*'CALCULO GERAL'!$E$11)/N37,0)</f>
        <v>2.5877964000000007</v>
      </c>
      <c r="AW37" s="109">
        <f>AU37/'CALCULO GERAL'!$C$11</f>
        <v>18.800196069488184</v>
      </c>
      <c r="AX37" s="109">
        <f>BP37-BB37-BD37*'CALCULO GERAL'!$C$11</f>
        <v>127.44897270000001</v>
      </c>
      <c r="AY37" s="109">
        <f t="shared" si="9"/>
        <v>0.82841832255000003</v>
      </c>
      <c r="AZ37" s="109">
        <f t="shared" si="10"/>
        <v>3.8234691810000001</v>
      </c>
      <c r="BA37" s="109">
        <f t="shared" si="11"/>
        <v>129.38982000000001</v>
      </c>
      <c r="BB37" s="109">
        <f t="shared" si="12"/>
        <v>1.9408473000000002</v>
      </c>
      <c r="BC37" s="109">
        <f t="shared" si="13"/>
        <v>129.38982000000001</v>
      </c>
      <c r="BD37" s="109">
        <f t="shared" si="14"/>
        <v>0</v>
      </c>
      <c r="BE37" s="109">
        <f t="shared" si="15"/>
        <v>69352.943520000015</v>
      </c>
      <c r="BF37" s="109">
        <f t="shared" si="16"/>
        <v>104029.41528000002</v>
      </c>
      <c r="BG37" s="109">
        <f t="shared" si="17"/>
        <v>1.397410056</v>
      </c>
      <c r="BH37" s="109">
        <f t="shared" si="18"/>
        <v>1.5526778400000001</v>
      </c>
      <c r="BI37" s="109">
        <f t="shared" si="19"/>
        <v>-0.13959632119403012</v>
      </c>
      <c r="BJ37" s="109">
        <f t="shared" si="20"/>
        <v>11.991022778355969</v>
      </c>
      <c r="BK37" s="109">
        <f t="shared" si="26"/>
        <v>106.34920685111716</v>
      </c>
      <c r="BL37" s="148">
        <v>0.74</v>
      </c>
      <c r="BM37" s="112">
        <f>ROUND((AW37/BL37)+((AW37*BL37)*'CALCULO GERAL'!$E$11)/BL37,2)</f>
        <v>25.78</v>
      </c>
      <c r="BN37" s="186">
        <f t="shared" si="21"/>
        <v>25.78</v>
      </c>
      <c r="BO37" s="186">
        <f t="shared" si="27"/>
        <v>30.204999999999998</v>
      </c>
      <c r="BP37" s="109">
        <f>BM37*'CALCULO GERAL'!$C$11</f>
        <v>129.38982000000001</v>
      </c>
      <c r="BQ37" s="109">
        <f>BO37*'CALCULO GERAL'!$C$11</f>
        <v>151.598895</v>
      </c>
      <c r="BR37" s="186">
        <f>BN37*'CALCULO GERAL'!$C$11</f>
        <v>129.38982000000001</v>
      </c>
      <c r="BS37" s="109">
        <f t="shared" si="22"/>
        <v>866911.79400000011</v>
      </c>
      <c r="BT37" s="109">
        <f t="shared" si="23"/>
        <v>866911.79400000011</v>
      </c>
      <c r="BU37" s="109">
        <f t="shared" si="28"/>
        <v>712539.68590248493</v>
      </c>
      <c r="BV37" s="109">
        <f t="shared" si="29"/>
        <v>154372.10809751519</v>
      </c>
      <c r="BW37" s="114">
        <f t="shared" si="24"/>
        <v>0.17807129764059385</v>
      </c>
      <c r="BX37" s="152">
        <f t="shared" si="30"/>
        <v>0.74</v>
      </c>
      <c r="BZ37" s="55"/>
      <c r="CA37" s="113"/>
      <c r="CB37" s="113"/>
      <c r="CD37" s="152">
        <f t="shared" si="31"/>
        <v>0</v>
      </c>
      <c r="CE37" s="152">
        <f t="shared" si="32"/>
        <v>1</v>
      </c>
      <c r="CF37" s="152">
        <f t="shared" si="33"/>
        <v>1</v>
      </c>
      <c r="CG37" s="34"/>
      <c r="CI37" s="11"/>
      <c r="CJ37" s="11"/>
    </row>
    <row r="38" spans="1:88" s="152" customFormat="1" ht="16" x14ac:dyDescent="0.2">
      <c r="A38" s="228" t="s">
        <v>512</v>
      </c>
      <c r="B38" s="187" t="s">
        <v>174</v>
      </c>
      <c r="C38" s="8">
        <v>0.16200000000000001</v>
      </c>
      <c r="D38" s="8">
        <v>0</v>
      </c>
      <c r="E38" s="7">
        <v>2.1000000000000001E-2</v>
      </c>
      <c r="F38" s="7">
        <v>9.6500000000000002E-2</v>
      </c>
      <c r="G38" s="1">
        <v>6.4999999999999997E-3</v>
      </c>
      <c r="H38" s="1">
        <v>0.03</v>
      </c>
      <c r="I38" s="1">
        <v>0.18</v>
      </c>
      <c r="J38" s="1">
        <v>0.04</v>
      </c>
      <c r="K38" s="1">
        <v>0.14000000000000001</v>
      </c>
      <c r="L38" s="1">
        <v>1.4999999999999999E-2</v>
      </c>
      <c r="M38" s="2" t="s">
        <v>175</v>
      </c>
      <c r="N38" s="105">
        <v>6700</v>
      </c>
      <c r="O38" s="119">
        <v>7.5</v>
      </c>
      <c r="P38" s="119"/>
      <c r="Q38" s="119"/>
      <c r="R38" s="119"/>
      <c r="S38" s="119"/>
      <c r="T38" s="119"/>
      <c r="U38" s="119"/>
      <c r="V38" s="205"/>
      <c r="W38" s="119"/>
      <c r="X38" s="119">
        <f t="shared" si="0"/>
        <v>7.5</v>
      </c>
      <c r="Y38" s="118">
        <f t="shared" si="1"/>
        <v>7.5</v>
      </c>
      <c r="Z38" s="109">
        <f t="shared" si="2"/>
        <v>50250</v>
      </c>
      <c r="AA38" s="109">
        <f>'CALCULO GERAL'!$G$10</f>
        <v>6300</v>
      </c>
      <c r="AB38" s="109">
        <f t="shared" si="3"/>
        <v>56550</v>
      </c>
      <c r="AC38" s="109">
        <f>AB38*'CALCULO GERAL'!$C$11</f>
        <v>283824.45</v>
      </c>
      <c r="AD38" s="109">
        <f t="shared" si="4"/>
        <v>45979.560900000004</v>
      </c>
      <c r="AE38" s="109">
        <f t="shared" si="5"/>
        <v>0</v>
      </c>
      <c r="AF38" s="109">
        <f t="shared" si="6"/>
        <v>5960.3134500000006</v>
      </c>
      <c r="AG38" s="109">
        <f t="shared" si="7"/>
        <v>27389.059425000003</v>
      </c>
      <c r="AH38" s="109">
        <v>154.22999999999999</v>
      </c>
      <c r="AI38" s="109">
        <f>((AA38*'CALCULO GERAL'!$C$11))*0.08+20</f>
        <v>2549.576</v>
      </c>
      <c r="AJ38" s="109">
        <v>1010</v>
      </c>
      <c r="AK38" s="109">
        <v>2500</v>
      </c>
      <c r="AL38" s="109">
        <f>(AA38*('CALCULO GERAL'!$C$11*1.02))-(AA38*'CALCULO GERAL'!$C$11)</f>
        <v>632.39400000000387</v>
      </c>
      <c r="AM38" s="109">
        <v>1800</v>
      </c>
      <c r="AN38" s="109">
        <v>2600</v>
      </c>
      <c r="AO38" s="109">
        <v>9400</v>
      </c>
      <c r="AP38" s="109">
        <v>1000</v>
      </c>
      <c r="AQ38" s="109">
        <v>0</v>
      </c>
      <c r="AR38" s="109">
        <v>0</v>
      </c>
      <c r="AS38" s="109"/>
      <c r="AT38" s="109">
        <f t="shared" si="25"/>
        <v>384799.58377500001</v>
      </c>
      <c r="AU38" s="111">
        <f t="shared" si="8"/>
        <v>57.432773697761192</v>
      </c>
      <c r="AV38" s="109">
        <f>IFERROR((BS38*'CALCULO GERAL'!$E$11)/N38,0)</f>
        <v>1.5749621999999999</v>
      </c>
      <c r="AW38" s="109">
        <f>AU38/'CALCULO GERAL'!$C$11</f>
        <v>11.443071069488184</v>
      </c>
      <c r="AX38" s="109">
        <f>BP38-BB38-BD38*'CALCULO GERAL'!$C$11</f>
        <v>77.566888349999999</v>
      </c>
      <c r="AY38" s="109">
        <f t="shared" si="9"/>
        <v>0.50418477427499997</v>
      </c>
      <c r="AZ38" s="109">
        <f t="shared" si="10"/>
        <v>2.3270066505</v>
      </c>
      <c r="BA38" s="109">
        <f t="shared" si="11"/>
        <v>78.748109999999997</v>
      </c>
      <c r="BB38" s="109">
        <f t="shared" si="12"/>
        <v>1.1812216499999999</v>
      </c>
      <c r="BC38" s="109">
        <f t="shared" si="13"/>
        <v>78.748109999999997</v>
      </c>
      <c r="BD38" s="109">
        <f t="shared" si="14"/>
        <v>0</v>
      </c>
      <c r="BE38" s="109">
        <f t="shared" si="15"/>
        <v>42208.986959999995</v>
      </c>
      <c r="BF38" s="109">
        <f t="shared" si="16"/>
        <v>63313.480439999992</v>
      </c>
      <c r="BG38" s="109">
        <f t="shared" si="17"/>
        <v>0.85047958799999979</v>
      </c>
      <c r="BH38" s="109">
        <f t="shared" si="18"/>
        <v>0.9449773199999999</v>
      </c>
      <c r="BI38" s="109">
        <f t="shared" si="19"/>
        <v>0</v>
      </c>
      <c r="BJ38" s="109">
        <f t="shared" si="20"/>
        <v>7.3828321827749992</v>
      </c>
      <c r="BK38" s="109">
        <f t="shared" si="26"/>
        <v>64.815605880536197</v>
      </c>
      <c r="BL38" s="148">
        <v>0.74</v>
      </c>
      <c r="BM38" s="112">
        <f>ROUND((AW38/BL38)+((AW38*BL38)*'CALCULO GERAL'!$E$11)/BL38,2)</f>
        <v>15.69</v>
      </c>
      <c r="BN38" s="186">
        <f t="shared" si="21"/>
        <v>15.69</v>
      </c>
      <c r="BO38" s="186">
        <f t="shared" si="27"/>
        <v>18.382999999999999</v>
      </c>
      <c r="BP38" s="109">
        <f>BM38*'CALCULO GERAL'!$C$11</f>
        <v>78.748109999999997</v>
      </c>
      <c r="BQ38" s="109">
        <f>BO38*'CALCULO GERAL'!$C$11</f>
        <v>92.264276999999993</v>
      </c>
      <c r="BR38" s="186">
        <f>BN38*'CALCULO GERAL'!$C$11</f>
        <v>78.748109999999997</v>
      </c>
      <c r="BS38" s="109">
        <f t="shared" si="22"/>
        <v>527612.33699999994</v>
      </c>
      <c r="BT38" s="109">
        <f t="shared" si="23"/>
        <v>527612.33699999994</v>
      </c>
      <c r="BU38" s="109">
        <f t="shared" si="28"/>
        <v>434264.55939959252</v>
      </c>
      <c r="BV38" s="109">
        <f t="shared" si="29"/>
        <v>93347.777600407426</v>
      </c>
      <c r="BW38" s="114">
        <f t="shared" si="24"/>
        <v>0.17692493342968862</v>
      </c>
      <c r="BX38" s="152">
        <f t="shared" si="30"/>
        <v>0.74</v>
      </c>
      <c r="BZ38" s="55"/>
      <c r="CA38" s="113"/>
      <c r="CB38" s="113"/>
      <c r="CD38" s="152">
        <f t="shared" si="31"/>
        <v>0</v>
      </c>
      <c r="CE38" s="152">
        <f t="shared" si="32"/>
        <v>1</v>
      </c>
      <c r="CF38" s="152">
        <f t="shared" si="33"/>
        <v>1</v>
      </c>
      <c r="CG38" s="34"/>
      <c r="CI38" s="11"/>
      <c r="CJ38" s="11"/>
    </row>
    <row r="39" spans="1:88" s="152" customFormat="1" ht="16" x14ac:dyDescent="0.2">
      <c r="A39" s="228" t="s">
        <v>513</v>
      </c>
      <c r="B39" s="187" t="s">
        <v>174</v>
      </c>
      <c r="C39" s="8">
        <v>0.16200000000000001</v>
      </c>
      <c r="D39" s="8">
        <v>0</v>
      </c>
      <c r="E39" s="7">
        <v>2.1000000000000001E-2</v>
      </c>
      <c r="F39" s="7">
        <v>9.6500000000000002E-2</v>
      </c>
      <c r="G39" s="1">
        <v>6.4999999999999997E-3</v>
      </c>
      <c r="H39" s="1">
        <v>0.03</v>
      </c>
      <c r="I39" s="1">
        <v>0.18</v>
      </c>
      <c r="J39" s="1">
        <v>0.04</v>
      </c>
      <c r="K39" s="1">
        <v>0.14000000000000001</v>
      </c>
      <c r="L39" s="1">
        <v>1.4999999999999999E-2</v>
      </c>
      <c r="M39" s="2" t="s">
        <v>175</v>
      </c>
      <c r="N39" s="105">
        <v>6700</v>
      </c>
      <c r="O39" s="119">
        <v>8.4</v>
      </c>
      <c r="P39" s="119"/>
      <c r="Q39" s="119"/>
      <c r="R39" s="119"/>
      <c r="S39" s="119"/>
      <c r="T39" s="119"/>
      <c r="U39" s="119"/>
      <c r="V39" s="205"/>
      <c r="W39" s="119"/>
      <c r="X39" s="119">
        <f t="shared" si="0"/>
        <v>8.4</v>
      </c>
      <c r="Y39" s="118">
        <f t="shared" si="1"/>
        <v>8.4</v>
      </c>
      <c r="Z39" s="109">
        <f t="shared" si="2"/>
        <v>56280</v>
      </c>
      <c r="AA39" s="109">
        <f>'CALCULO GERAL'!$G$10</f>
        <v>6300</v>
      </c>
      <c r="AB39" s="109">
        <f t="shared" si="3"/>
        <v>62580</v>
      </c>
      <c r="AC39" s="109">
        <f>AB39*'CALCULO GERAL'!$C$11</f>
        <v>314089.02</v>
      </c>
      <c r="AD39" s="109">
        <f t="shared" si="4"/>
        <v>50882.421240000003</v>
      </c>
      <c r="AE39" s="109">
        <f t="shared" si="5"/>
        <v>0</v>
      </c>
      <c r="AF39" s="109">
        <f t="shared" si="6"/>
        <v>6595.8694200000009</v>
      </c>
      <c r="AG39" s="109">
        <f t="shared" si="7"/>
        <v>30309.590430000004</v>
      </c>
      <c r="AH39" s="109">
        <v>154.22999999999999</v>
      </c>
      <c r="AI39" s="109">
        <f>((AA39*'CALCULO GERAL'!$C$11))*0.08+20</f>
        <v>2549.576</v>
      </c>
      <c r="AJ39" s="109">
        <v>1010</v>
      </c>
      <c r="AK39" s="109">
        <v>2500</v>
      </c>
      <c r="AL39" s="109">
        <f>(AA39*('CALCULO GERAL'!$C$11*1.02))-(AA39*'CALCULO GERAL'!$C$11)</f>
        <v>632.39400000000387</v>
      </c>
      <c r="AM39" s="109">
        <v>1800</v>
      </c>
      <c r="AN39" s="109">
        <v>2600</v>
      </c>
      <c r="AO39" s="109">
        <v>9400</v>
      </c>
      <c r="AP39" s="109">
        <v>1000</v>
      </c>
      <c r="AQ39" s="109">
        <v>0</v>
      </c>
      <c r="AR39" s="109">
        <v>0</v>
      </c>
      <c r="AS39" s="109"/>
      <c r="AT39" s="109">
        <f t="shared" si="25"/>
        <v>423523.10109000001</v>
      </c>
      <c r="AU39" s="111">
        <f t="shared" si="8"/>
        <v>63.212403147761194</v>
      </c>
      <c r="AV39" s="109">
        <f>IFERROR((BS39*'CALCULO GERAL'!$E$11)/N39,0)</f>
        <v>1.7335626000000002</v>
      </c>
      <c r="AW39" s="109">
        <f>AU39/'CALCULO GERAL'!$C$11</f>
        <v>12.594621069488184</v>
      </c>
      <c r="AX39" s="109">
        <f>BP39-BB39-BD39*'CALCULO GERAL'!$C$11</f>
        <v>85.377958049999989</v>
      </c>
      <c r="AY39" s="109">
        <f t="shared" si="9"/>
        <v>0.5549567273249999</v>
      </c>
      <c r="AZ39" s="109">
        <f t="shared" si="10"/>
        <v>2.5613387414999997</v>
      </c>
      <c r="BA39" s="109">
        <f t="shared" si="11"/>
        <v>86.678129999999996</v>
      </c>
      <c r="BB39" s="109">
        <f t="shared" si="12"/>
        <v>1.30017195</v>
      </c>
      <c r="BC39" s="109">
        <f t="shared" si="13"/>
        <v>86.678129999999996</v>
      </c>
      <c r="BD39" s="109">
        <f t="shared" si="14"/>
        <v>0</v>
      </c>
      <c r="BE39" s="109">
        <f t="shared" si="15"/>
        <v>46459.477680000004</v>
      </c>
      <c r="BF39" s="109">
        <f t="shared" si="16"/>
        <v>69689.216520000002</v>
      </c>
      <c r="BG39" s="109">
        <f t="shared" si="17"/>
        <v>0.93612380400000006</v>
      </c>
      <c r="BH39" s="109">
        <f t="shared" si="18"/>
        <v>1.04013756</v>
      </c>
      <c r="BI39" s="109">
        <f t="shared" si="19"/>
        <v>0</v>
      </c>
      <c r="BJ39" s="109">
        <f t="shared" si="20"/>
        <v>8.1262913828250003</v>
      </c>
      <c r="BK39" s="109">
        <f t="shared" si="26"/>
        <v>71.338694530586196</v>
      </c>
      <c r="BL39" s="148">
        <v>0.74</v>
      </c>
      <c r="BM39" s="112">
        <f>ROUND((AW39/BL39)+((AW39*BL39)*'CALCULO GERAL'!$E$11)/BL39,2)</f>
        <v>17.27</v>
      </c>
      <c r="BN39" s="186">
        <f t="shared" si="21"/>
        <v>17.27</v>
      </c>
      <c r="BO39" s="186">
        <f t="shared" si="27"/>
        <v>20.234999999999999</v>
      </c>
      <c r="BP39" s="109">
        <f>BM39*'CALCULO GERAL'!$C$11</f>
        <v>86.678129999999996</v>
      </c>
      <c r="BQ39" s="109">
        <f>BO39*'CALCULO GERAL'!$C$11</f>
        <v>101.559465</v>
      </c>
      <c r="BR39" s="186">
        <f>BN39*'CALCULO GERAL'!$C$11</f>
        <v>86.678129999999996</v>
      </c>
      <c r="BS39" s="109">
        <f t="shared" si="22"/>
        <v>580743.47100000002</v>
      </c>
      <c r="BT39" s="109">
        <f t="shared" si="23"/>
        <v>580743.47100000002</v>
      </c>
      <c r="BU39" s="109">
        <f t="shared" si="28"/>
        <v>477969.25335492752</v>
      </c>
      <c r="BV39" s="109">
        <f t="shared" si="29"/>
        <v>102774.21764507249</v>
      </c>
      <c r="BW39" s="114">
        <f t="shared" si="24"/>
        <v>0.17697007848939295</v>
      </c>
      <c r="BX39" s="152">
        <f t="shared" si="30"/>
        <v>0.74</v>
      </c>
      <c r="BZ39" s="55"/>
      <c r="CA39" s="113"/>
      <c r="CB39" s="113"/>
      <c r="CD39" s="152">
        <f t="shared" si="31"/>
        <v>0</v>
      </c>
      <c r="CE39" s="152">
        <f t="shared" si="32"/>
        <v>1</v>
      </c>
      <c r="CF39" s="152">
        <f t="shared" si="33"/>
        <v>1</v>
      </c>
      <c r="CG39" s="34"/>
      <c r="CI39" s="11"/>
      <c r="CJ39" s="11"/>
    </row>
    <row r="40" spans="1:88" s="152" customFormat="1" ht="16" x14ac:dyDescent="0.2">
      <c r="A40" s="228" t="s">
        <v>514</v>
      </c>
      <c r="B40" s="187" t="s">
        <v>174</v>
      </c>
      <c r="C40" s="8">
        <v>0.16200000000000001</v>
      </c>
      <c r="D40" s="8">
        <v>0</v>
      </c>
      <c r="E40" s="7">
        <v>2.1000000000000001E-2</v>
      </c>
      <c r="F40" s="7">
        <v>9.6500000000000002E-2</v>
      </c>
      <c r="G40" s="1">
        <v>6.4999999999999997E-3</v>
      </c>
      <c r="H40" s="1">
        <v>0.03</v>
      </c>
      <c r="I40" s="1">
        <v>0.18</v>
      </c>
      <c r="J40" s="1">
        <v>0.04</v>
      </c>
      <c r="K40" s="1">
        <v>0.14000000000000001</v>
      </c>
      <c r="L40" s="1">
        <v>1.4999999999999999E-2</v>
      </c>
      <c r="M40" s="2" t="s">
        <v>175</v>
      </c>
      <c r="N40" s="105">
        <v>6700</v>
      </c>
      <c r="O40" s="119">
        <v>9.5399999999999991</v>
      </c>
      <c r="P40" s="119"/>
      <c r="Q40" s="119"/>
      <c r="R40" s="119"/>
      <c r="S40" s="119"/>
      <c r="T40" s="119"/>
      <c r="U40" s="119"/>
      <c r="V40" s="205"/>
      <c r="W40" s="119"/>
      <c r="X40" s="119">
        <f t="shared" si="0"/>
        <v>9.5399999999999991</v>
      </c>
      <c r="Y40" s="118">
        <f t="shared" si="1"/>
        <v>9.5399999999999991</v>
      </c>
      <c r="Z40" s="109">
        <f t="shared" si="2"/>
        <v>63917.999999999993</v>
      </c>
      <c r="AA40" s="109">
        <f>'CALCULO GERAL'!$G$10</f>
        <v>6300</v>
      </c>
      <c r="AB40" s="109">
        <f t="shared" si="3"/>
        <v>70218</v>
      </c>
      <c r="AC40" s="109">
        <f>AB40*'CALCULO GERAL'!$C$11</f>
        <v>352424.14199999999</v>
      </c>
      <c r="AD40" s="109">
        <f t="shared" si="4"/>
        <v>57092.711003999997</v>
      </c>
      <c r="AE40" s="109">
        <f t="shared" si="5"/>
        <v>0</v>
      </c>
      <c r="AF40" s="109">
        <f t="shared" si="6"/>
        <v>7400.9069820000004</v>
      </c>
      <c r="AG40" s="109">
        <f t="shared" si="7"/>
        <v>34008.929703000002</v>
      </c>
      <c r="AH40" s="109">
        <v>154.22999999999999</v>
      </c>
      <c r="AI40" s="109">
        <f>((AA40*'CALCULO GERAL'!$C$11))*0.08+20</f>
        <v>2549.576</v>
      </c>
      <c r="AJ40" s="109">
        <v>1010</v>
      </c>
      <c r="AK40" s="109">
        <v>2500</v>
      </c>
      <c r="AL40" s="109">
        <f>(AA40*('CALCULO GERAL'!$C$11*1.02))-(AA40*'CALCULO GERAL'!$C$11)</f>
        <v>632.39400000000387</v>
      </c>
      <c r="AM40" s="109">
        <v>1800</v>
      </c>
      <c r="AN40" s="109">
        <v>2600</v>
      </c>
      <c r="AO40" s="109">
        <v>9400</v>
      </c>
      <c r="AP40" s="109">
        <v>1000</v>
      </c>
      <c r="AQ40" s="109">
        <v>0</v>
      </c>
      <c r="AR40" s="109">
        <v>0</v>
      </c>
      <c r="AS40" s="109"/>
      <c r="AT40" s="109">
        <f t="shared" si="25"/>
        <v>472572.88968899997</v>
      </c>
      <c r="AU40" s="111">
        <f t="shared" si="8"/>
        <v>70.533267117761184</v>
      </c>
      <c r="AV40" s="109">
        <f>IFERROR((BS40*'CALCULO GERAL'!$E$11)/N40,0)</f>
        <v>1.9343226</v>
      </c>
      <c r="AW40" s="109">
        <f>AU40/'CALCULO GERAL'!$C$11</f>
        <v>14.053251069488182</v>
      </c>
      <c r="AX40" s="109">
        <f>BP40-BB40-BD40*'CALCULO GERAL'!$C$11</f>
        <v>95.265388050000013</v>
      </c>
      <c r="AY40" s="109">
        <f t="shared" si="9"/>
        <v>0.6192250223250001</v>
      </c>
      <c r="AZ40" s="109">
        <f t="shared" si="10"/>
        <v>2.8579616415000002</v>
      </c>
      <c r="BA40" s="109">
        <f t="shared" si="11"/>
        <v>96.716130000000007</v>
      </c>
      <c r="BB40" s="109">
        <f t="shared" si="12"/>
        <v>1.4507419500000001</v>
      </c>
      <c r="BC40" s="109">
        <f t="shared" si="13"/>
        <v>96.716130000000007</v>
      </c>
      <c r="BD40" s="109">
        <f t="shared" si="14"/>
        <v>0</v>
      </c>
      <c r="BE40" s="109">
        <f t="shared" si="15"/>
        <v>51839.845679999999</v>
      </c>
      <c r="BF40" s="109">
        <f t="shared" si="16"/>
        <v>77759.768519999998</v>
      </c>
      <c r="BG40" s="109">
        <f t="shared" si="17"/>
        <v>1.0445342039999999</v>
      </c>
      <c r="BH40" s="109">
        <f t="shared" si="18"/>
        <v>1.1605935599999999</v>
      </c>
      <c r="BI40" s="109">
        <f t="shared" si="19"/>
        <v>0</v>
      </c>
      <c r="BJ40" s="109">
        <f t="shared" si="20"/>
        <v>9.0673789778249994</v>
      </c>
      <c r="BK40" s="109">
        <f t="shared" si="26"/>
        <v>79.600646095586185</v>
      </c>
      <c r="BL40" s="148">
        <v>0.74</v>
      </c>
      <c r="BM40" s="112">
        <f>ROUND((AW40/BL40)+((AW40*BL40)*'CALCULO GERAL'!$E$11)/BL40,2)</f>
        <v>19.27</v>
      </c>
      <c r="BN40" s="186">
        <f t="shared" si="21"/>
        <v>19.27</v>
      </c>
      <c r="BO40" s="186">
        <f t="shared" si="27"/>
        <v>22.577999999999999</v>
      </c>
      <c r="BP40" s="109">
        <f>BM40*'CALCULO GERAL'!$C$11</f>
        <v>96.716130000000007</v>
      </c>
      <c r="BQ40" s="109">
        <f>BO40*'CALCULO GERAL'!$C$11</f>
        <v>113.31898200000001</v>
      </c>
      <c r="BR40" s="186">
        <f>BN40*'CALCULO GERAL'!$C$11</f>
        <v>96.716130000000007</v>
      </c>
      <c r="BS40" s="109">
        <f t="shared" si="22"/>
        <v>647998.071</v>
      </c>
      <c r="BT40" s="109">
        <f t="shared" si="23"/>
        <v>647998.071</v>
      </c>
      <c r="BU40" s="109">
        <f t="shared" si="28"/>
        <v>533324.32884042745</v>
      </c>
      <c r="BV40" s="109">
        <f t="shared" si="29"/>
        <v>114673.74215957255</v>
      </c>
      <c r="BW40" s="114">
        <f t="shared" si="24"/>
        <v>0.17696617828291736</v>
      </c>
      <c r="BX40" s="152">
        <f t="shared" si="30"/>
        <v>0.74</v>
      </c>
      <c r="BZ40" s="55"/>
      <c r="CA40" s="113"/>
      <c r="CB40" s="113"/>
      <c r="CD40" s="152">
        <f t="shared" si="31"/>
        <v>0</v>
      </c>
      <c r="CE40" s="152">
        <f t="shared" si="32"/>
        <v>1</v>
      </c>
      <c r="CF40" s="152">
        <f t="shared" si="33"/>
        <v>1</v>
      </c>
      <c r="CG40" s="34"/>
      <c r="CI40" s="11"/>
      <c r="CJ40" s="11"/>
    </row>
    <row r="41" spans="1:88" s="152" customFormat="1" ht="16" x14ac:dyDescent="0.2">
      <c r="A41" s="228" t="s">
        <v>515</v>
      </c>
      <c r="B41" s="187" t="s">
        <v>174</v>
      </c>
      <c r="C41" s="8">
        <v>0.16200000000000001</v>
      </c>
      <c r="D41" s="8">
        <v>0</v>
      </c>
      <c r="E41" s="7">
        <v>2.1000000000000001E-2</v>
      </c>
      <c r="F41" s="7">
        <v>9.6500000000000002E-2</v>
      </c>
      <c r="G41" s="1">
        <v>6.4999999999999997E-3</v>
      </c>
      <c r="H41" s="1">
        <v>0.03</v>
      </c>
      <c r="I41" s="1">
        <v>0.18</v>
      </c>
      <c r="J41" s="1">
        <v>0.04</v>
      </c>
      <c r="K41" s="1">
        <v>0.14000000000000001</v>
      </c>
      <c r="L41" s="1">
        <v>1.4999999999999999E-2</v>
      </c>
      <c r="M41" s="2" t="s">
        <v>175</v>
      </c>
      <c r="N41" s="105">
        <v>6700</v>
      </c>
      <c r="O41" s="119">
        <v>10.95</v>
      </c>
      <c r="P41" s="119"/>
      <c r="Q41" s="119"/>
      <c r="R41" s="119"/>
      <c r="S41" s="119"/>
      <c r="T41" s="119"/>
      <c r="U41" s="119"/>
      <c r="V41" s="205"/>
      <c r="W41" s="119"/>
      <c r="X41" s="119">
        <f t="shared" si="0"/>
        <v>10.95</v>
      </c>
      <c r="Y41" s="118">
        <f t="shared" si="1"/>
        <v>10.95</v>
      </c>
      <c r="Z41" s="109">
        <f t="shared" si="2"/>
        <v>73365</v>
      </c>
      <c r="AA41" s="109">
        <f>'CALCULO GERAL'!$G$10</f>
        <v>6300</v>
      </c>
      <c r="AB41" s="109">
        <f t="shared" si="3"/>
        <v>79665</v>
      </c>
      <c r="AC41" s="109">
        <f>AB41*'CALCULO GERAL'!$C$11</f>
        <v>399838.63500000001</v>
      </c>
      <c r="AD41" s="109">
        <f t="shared" si="4"/>
        <v>64773.858870000004</v>
      </c>
      <c r="AE41" s="109">
        <f t="shared" si="5"/>
        <v>0</v>
      </c>
      <c r="AF41" s="109">
        <f t="shared" si="6"/>
        <v>8396.6113350000014</v>
      </c>
      <c r="AG41" s="109">
        <f t="shared" si="7"/>
        <v>38584.428277500003</v>
      </c>
      <c r="AH41" s="109">
        <v>154.22999999999999</v>
      </c>
      <c r="AI41" s="109">
        <f>((AA41*'CALCULO GERAL'!$C$11))*0.08+20</f>
        <v>2549.576</v>
      </c>
      <c r="AJ41" s="109">
        <v>1010</v>
      </c>
      <c r="AK41" s="109">
        <v>2500</v>
      </c>
      <c r="AL41" s="109">
        <f>(AA41*('CALCULO GERAL'!$C$11*1.02))-(AA41*'CALCULO GERAL'!$C$11)</f>
        <v>632.39400000000387</v>
      </c>
      <c r="AM41" s="109">
        <v>1800</v>
      </c>
      <c r="AN41" s="109">
        <v>2600</v>
      </c>
      <c r="AO41" s="109">
        <v>9400</v>
      </c>
      <c r="AP41" s="109">
        <v>1000</v>
      </c>
      <c r="AQ41" s="109">
        <v>0</v>
      </c>
      <c r="AR41" s="109">
        <v>0</v>
      </c>
      <c r="AS41" s="109"/>
      <c r="AT41" s="109">
        <f t="shared" si="25"/>
        <v>533239.73348250007</v>
      </c>
      <c r="AU41" s="111">
        <f t="shared" si="8"/>
        <v>79.588019922761205</v>
      </c>
      <c r="AV41" s="109">
        <f>IFERROR((BS41*'CALCULO GERAL'!$E$11)/N41,0)</f>
        <v>2.183265</v>
      </c>
      <c r="AW41" s="109">
        <f>AU41/'CALCULO GERAL'!$C$11</f>
        <v>15.857346069488186</v>
      </c>
      <c r="AX41" s="109">
        <f>BP41-BB41-BD41*'CALCULO GERAL'!$C$11</f>
        <v>107.52580125</v>
      </c>
      <c r="AY41" s="109">
        <f t="shared" si="9"/>
        <v>0.69891770812499998</v>
      </c>
      <c r="AZ41" s="109">
        <f t="shared" si="10"/>
        <v>3.2257740374999999</v>
      </c>
      <c r="BA41" s="109">
        <f t="shared" si="11"/>
        <v>109.16325000000001</v>
      </c>
      <c r="BB41" s="109">
        <f t="shared" si="12"/>
        <v>1.6374487500000001</v>
      </c>
      <c r="BC41" s="109">
        <f t="shared" si="13"/>
        <v>109.16325000000001</v>
      </c>
      <c r="BD41" s="109">
        <f t="shared" si="14"/>
        <v>0</v>
      </c>
      <c r="BE41" s="109">
        <f t="shared" si="15"/>
        <v>58511.502</v>
      </c>
      <c r="BF41" s="109">
        <f t="shared" si="16"/>
        <v>87767.252999999997</v>
      </c>
      <c r="BG41" s="109">
        <f t="shared" si="17"/>
        <v>1.1789630999999998</v>
      </c>
      <c r="BH41" s="109">
        <f t="shared" si="18"/>
        <v>1.3099590000000001</v>
      </c>
      <c r="BI41" s="109">
        <f t="shared" si="19"/>
        <v>0</v>
      </c>
      <c r="BJ41" s="109">
        <f t="shared" si="20"/>
        <v>10.234327595625</v>
      </c>
      <c r="BK41" s="109">
        <f t="shared" si="26"/>
        <v>89.822347518386209</v>
      </c>
      <c r="BL41" s="148">
        <v>0.74</v>
      </c>
      <c r="BM41" s="112">
        <f>ROUND((AW41/BL41)+((AW41*BL41)*'CALCULO GERAL'!$E$11)/BL41,2)</f>
        <v>21.75</v>
      </c>
      <c r="BN41" s="186">
        <f t="shared" si="21"/>
        <v>21.75</v>
      </c>
      <c r="BO41" s="186">
        <f t="shared" si="27"/>
        <v>25.484000000000002</v>
      </c>
      <c r="BP41" s="109">
        <f>BM41*'CALCULO GERAL'!$C$11</f>
        <v>109.16325000000001</v>
      </c>
      <c r="BQ41" s="109">
        <f>BO41*'CALCULO GERAL'!$C$11</f>
        <v>127.90419600000001</v>
      </c>
      <c r="BR41" s="186">
        <f>BN41*'CALCULO GERAL'!$C$11</f>
        <v>109.16325000000001</v>
      </c>
      <c r="BS41" s="109">
        <f t="shared" si="22"/>
        <v>731393.77500000002</v>
      </c>
      <c r="BT41" s="109">
        <f t="shared" si="23"/>
        <v>731393.77500000002</v>
      </c>
      <c r="BU41" s="109">
        <f t="shared" si="28"/>
        <v>601809.72837318759</v>
      </c>
      <c r="BV41" s="109">
        <f t="shared" si="29"/>
        <v>129584.04662681243</v>
      </c>
      <c r="BW41" s="114">
        <f t="shared" si="24"/>
        <v>0.17717411749479606</v>
      </c>
      <c r="BX41" s="152">
        <f t="shared" si="30"/>
        <v>0.74</v>
      </c>
      <c r="BZ41" s="55"/>
      <c r="CA41" s="113"/>
      <c r="CB41" s="113"/>
      <c r="CD41" s="152">
        <f t="shared" si="31"/>
        <v>0</v>
      </c>
      <c r="CE41" s="152">
        <f t="shared" si="32"/>
        <v>1</v>
      </c>
      <c r="CF41" s="152">
        <f t="shared" si="33"/>
        <v>1</v>
      </c>
      <c r="CG41" s="34"/>
      <c r="CI41" s="11"/>
      <c r="CJ41" s="11"/>
    </row>
    <row r="42" spans="1:88" s="152" customFormat="1" ht="16" x14ac:dyDescent="0.2">
      <c r="A42" s="228" t="s">
        <v>187</v>
      </c>
      <c r="B42" s="187" t="s">
        <v>188</v>
      </c>
      <c r="C42" s="8">
        <v>0.35</v>
      </c>
      <c r="D42" s="8">
        <v>0</v>
      </c>
      <c r="E42" s="7">
        <v>2.1000000000000001E-2</v>
      </c>
      <c r="F42" s="7">
        <v>0.1065</v>
      </c>
      <c r="G42" s="1">
        <v>6.4999999999999997E-3</v>
      </c>
      <c r="H42" s="1">
        <v>0.03</v>
      </c>
      <c r="I42" s="1">
        <v>0.18</v>
      </c>
      <c r="J42" s="1">
        <v>0.04</v>
      </c>
      <c r="K42" s="1">
        <v>0.14000000000000001</v>
      </c>
      <c r="L42" s="1">
        <v>1.4999999999999999E-2</v>
      </c>
      <c r="M42" s="2" t="s">
        <v>175</v>
      </c>
      <c r="N42" s="105">
        <v>24000</v>
      </c>
      <c r="O42" s="119"/>
      <c r="P42" s="119"/>
      <c r="Q42" s="119"/>
      <c r="R42" s="119"/>
      <c r="S42" s="119"/>
      <c r="T42" s="119"/>
      <c r="U42" s="119">
        <v>6.75</v>
      </c>
      <c r="V42" s="205"/>
      <c r="W42" s="119"/>
      <c r="X42" s="119">
        <f t="shared" si="0"/>
        <v>6.75</v>
      </c>
      <c r="Y42" s="118">
        <f t="shared" si="1"/>
        <v>6.75</v>
      </c>
      <c r="Z42" s="109">
        <f t="shared" si="2"/>
        <v>162000</v>
      </c>
      <c r="AA42" s="109">
        <f>'CALCULO GERAL'!$G$10</f>
        <v>6300</v>
      </c>
      <c r="AB42" s="109">
        <f t="shared" si="3"/>
        <v>168300</v>
      </c>
      <c r="AC42" s="109">
        <f>AB42*'CALCULO GERAL'!$C$11</f>
        <v>844697.70000000007</v>
      </c>
      <c r="AD42" s="109">
        <f t="shared" si="4"/>
        <v>295644.19500000001</v>
      </c>
      <c r="AE42" s="109">
        <f t="shared" si="5"/>
        <v>0</v>
      </c>
      <c r="AF42" s="109">
        <f t="shared" si="6"/>
        <v>17738.651700000002</v>
      </c>
      <c r="AG42" s="109">
        <f t="shared" si="7"/>
        <v>89960.30505000001</v>
      </c>
      <c r="AH42" s="109">
        <v>154.22999999999999</v>
      </c>
      <c r="AI42" s="109">
        <f>((AA42*'CALCULO GERAL'!$C$11))*0.08+20</f>
        <v>2549.576</v>
      </c>
      <c r="AJ42" s="109">
        <v>1010</v>
      </c>
      <c r="AK42" s="109">
        <v>2500</v>
      </c>
      <c r="AL42" s="109">
        <f>(AA42*('CALCULO GERAL'!$C$11*1.02))-(AA42*'CALCULO GERAL'!$C$11)</f>
        <v>632.39400000000387</v>
      </c>
      <c r="AM42" s="109">
        <v>1800</v>
      </c>
      <c r="AN42" s="109">
        <v>2600</v>
      </c>
      <c r="AO42" s="109">
        <v>9400</v>
      </c>
      <c r="AP42" s="109">
        <v>1000</v>
      </c>
      <c r="AQ42" s="109">
        <v>0</v>
      </c>
      <c r="AR42" s="109">
        <v>0</v>
      </c>
      <c r="AS42" s="109"/>
      <c r="AT42" s="109">
        <f t="shared" si="25"/>
        <v>1269687.0517500001</v>
      </c>
      <c r="AU42" s="111">
        <f t="shared" si="8"/>
        <v>52.903627156250003</v>
      </c>
      <c r="AV42" s="109">
        <f>IFERROR((BS42*'CALCULO GERAL'!$E$11)/N42,0)</f>
        <v>1.4504910000000002</v>
      </c>
      <c r="AW42" s="109">
        <f>AU42/'CALCULO GERAL'!$C$11</f>
        <v>10.540670881898786</v>
      </c>
      <c r="AX42" s="109">
        <f>BP42-BB42-BD42*'CALCULO GERAL'!$C$11</f>
        <v>71.436681750000005</v>
      </c>
      <c r="AY42" s="109">
        <f t="shared" si="9"/>
        <v>0.46433843137500003</v>
      </c>
      <c r="AZ42" s="109">
        <f t="shared" si="10"/>
        <v>2.1431004525000001</v>
      </c>
      <c r="BA42" s="109">
        <f t="shared" si="11"/>
        <v>72.524550000000005</v>
      </c>
      <c r="BB42" s="109">
        <f t="shared" si="12"/>
        <v>1.0878682500000001</v>
      </c>
      <c r="BC42" s="109">
        <f t="shared" si="13"/>
        <v>72.524550000000005</v>
      </c>
      <c r="BD42" s="109">
        <f t="shared" si="14"/>
        <v>0</v>
      </c>
      <c r="BE42" s="109">
        <f t="shared" si="15"/>
        <v>139247.13600000003</v>
      </c>
      <c r="BF42" s="109">
        <f t="shared" si="16"/>
        <v>208870.70400000003</v>
      </c>
      <c r="BG42" s="109">
        <f t="shared" si="17"/>
        <v>0.78326514000000014</v>
      </c>
      <c r="BH42" s="109">
        <f t="shared" si="18"/>
        <v>0.87029460000000014</v>
      </c>
      <c r="BI42" s="109">
        <f t="shared" si="19"/>
        <v>-0.33019644166666684</v>
      </c>
      <c r="BJ42" s="109">
        <f t="shared" si="20"/>
        <v>6.4691614322083337</v>
      </c>
      <c r="BK42" s="109">
        <f t="shared" si="26"/>
        <v>59.372788588458334</v>
      </c>
      <c r="BL42" s="148">
        <v>0.74</v>
      </c>
      <c r="BM42" s="112">
        <f>ROUND((AW42/BL42)+((AW42*BL42)*'CALCULO GERAL'!$E$11)/BL42,2)</f>
        <v>14.45</v>
      </c>
      <c r="BN42" s="186">
        <f t="shared" si="21"/>
        <v>14.45</v>
      </c>
      <c r="BO42" s="186">
        <f t="shared" si="27"/>
        <v>16.93</v>
      </c>
      <c r="BP42" s="109">
        <f>BM42*'CALCULO GERAL'!$C$11</f>
        <v>72.524550000000005</v>
      </c>
      <c r="BQ42" s="109">
        <f>BO42*'CALCULO GERAL'!$C$11</f>
        <v>84.971670000000003</v>
      </c>
      <c r="BR42" s="186">
        <f>BN42*'CALCULO GERAL'!$C$11</f>
        <v>72.524550000000005</v>
      </c>
      <c r="BS42" s="109">
        <f t="shared" si="22"/>
        <v>1740589.2000000002</v>
      </c>
      <c r="BT42" s="109">
        <f t="shared" si="23"/>
        <v>1740589.2000000002</v>
      </c>
      <c r="BU42" s="109">
        <f t="shared" si="28"/>
        <v>1424946.926123</v>
      </c>
      <c r="BV42" s="109">
        <f t="shared" si="29"/>
        <v>315642.2738770002</v>
      </c>
      <c r="BW42" s="114">
        <f t="shared" si="24"/>
        <v>0.18134219945579358</v>
      </c>
      <c r="BX42" s="152">
        <f t="shared" si="30"/>
        <v>0.74</v>
      </c>
      <c r="BZ42" s="55"/>
      <c r="CA42" s="113"/>
      <c r="CB42" s="113"/>
      <c r="CD42" s="152">
        <f t="shared" si="31"/>
        <v>0</v>
      </c>
      <c r="CE42" s="152">
        <f t="shared" si="32"/>
        <v>1</v>
      </c>
      <c r="CF42" s="152">
        <f t="shared" si="33"/>
        <v>1</v>
      </c>
      <c r="CG42" s="34"/>
      <c r="CI42" s="11"/>
      <c r="CJ42" s="11"/>
    </row>
    <row r="43" spans="1:88" s="152" customFormat="1" ht="16" x14ac:dyDescent="0.2">
      <c r="A43" s="228" t="s">
        <v>189</v>
      </c>
      <c r="B43" s="187" t="s">
        <v>190</v>
      </c>
      <c r="C43" s="8">
        <v>0.125</v>
      </c>
      <c r="D43" s="8">
        <v>0</v>
      </c>
      <c r="E43" s="7">
        <v>2.1000000000000001E-2</v>
      </c>
      <c r="F43" s="7">
        <v>0.1065</v>
      </c>
      <c r="G43" s="1">
        <v>6.4999999999999997E-3</v>
      </c>
      <c r="H43" s="1">
        <v>0.03</v>
      </c>
      <c r="I43" s="1">
        <v>0.18</v>
      </c>
      <c r="J43" s="1">
        <v>0.04</v>
      </c>
      <c r="K43" s="1">
        <v>0.14000000000000001</v>
      </c>
      <c r="L43" s="1">
        <v>1.4999999999999999E-2</v>
      </c>
      <c r="M43" s="2" t="s">
        <v>175</v>
      </c>
      <c r="N43" s="105">
        <v>24000</v>
      </c>
      <c r="O43" s="119"/>
      <c r="P43" s="119"/>
      <c r="Q43" s="119"/>
      <c r="R43" s="119"/>
      <c r="S43" s="119"/>
      <c r="T43" s="119"/>
      <c r="U43" s="119"/>
      <c r="V43" s="205">
        <v>0.92</v>
      </c>
      <c r="W43" s="119"/>
      <c r="X43" s="119">
        <f t="shared" si="0"/>
        <v>0.92</v>
      </c>
      <c r="Y43" s="118">
        <f t="shared" si="1"/>
        <v>0.92</v>
      </c>
      <c r="Z43" s="109">
        <f t="shared" si="2"/>
        <v>22080</v>
      </c>
      <c r="AA43" s="109">
        <f>'CALCULO GERAL'!$G$10</f>
        <v>6300</v>
      </c>
      <c r="AB43" s="109">
        <f t="shared" si="3"/>
        <v>28380</v>
      </c>
      <c r="AC43" s="109">
        <f>AB43*'CALCULO GERAL'!$C$11</f>
        <v>142439.22</v>
      </c>
      <c r="AD43" s="109">
        <f t="shared" si="4"/>
        <v>17804.9025</v>
      </c>
      <c r="AE43" s="109">
        <f t="shared" si="5"/>
        <v>0</v>
      </c>
      <c r="AF43" s="109">
        <f t="shared" si="6"/>
        <v>2991.2236200000002</v>
      </c>
      <c r="AG43" s="109">
        <f t="shared" si="7"/>
        <v>15169.77693</v>
      </c>
      <c r="AH43" s="109">
        <v>154.22999999999999</v>
      </c>
      <c r="AI43" s="109">
        <f>((AA43*'CALCULO GERAL'!$C$11))*0.08+20</f>
        <v>2549.576</v>
      </c>
      <c r="AJ43" s="109">
        <v>1010</v>
      </c>
      <c r="AK43" s="109">
        <v>2500</v>
      </c>
      <c r="AL43" s="109">
        <f>(AA43*('CALCULO GERAL'!$C$11*1.02))-(AA43*'CALCULO GERAL'!$C$11)</f>
        <v>632.39400000000387</v>
      </c>
      <c r="AM43" s="109">
        <v>1800</v>
      </c>
      <c r="AN43" s="109">
        <v>2600</v>
      </c>
      <c r="AO43" s="109">
        <v>9400</v>
      </c>
      <c r="AP43" s="109">
        <v>1000</v>
      </c>
      <c r="AQ43" s="109">
        <v>0</v>
      </c>
      <c r="AR43" s="109">
        <v>0</v>
      </c>
      <c r="AS43" s="109"/>
      <c r="AT43" s="109">
        <f t="shared" si="25"/>
        <v>200051.32305000001</v>
      </c>
      <c r="AU43" s="111">
        <f t="shared" si="8"/>
        <v>8.3354717937500009</v>
      </c>
      <c r="AV43" s="109">
        <f>IFERROR((BS43*'CALCULO GERAL'!$E$11)/N43,0)</f>
        <v>0.2288664</v>
      </c>
      <c r="AW43" s="109">
        <f>AU43/'CALCULO GERAL'!$C$11</f>
        <v>1.6607833818987847</v>
      </c>
      <c r="AX43" s="109">
        <f>BP43-BB43-BD43*'CALCULO GERAL'!$C$11</f>
        <v>11.271670199999999</v>
      </c>
      <c r="AY43" s="109">
        <f t="shared" si="9"/>
        <v>7.3265856299999987E-2</v>
      </c>
      <c r="AZ43" s="109">
        <f t="shared" si="10"/>
        <v>0.33815010599999995</v>
      </c>
      <c r="BA43" s="109">
        <f t="shared" si="11"/>
        <v>11.44332</v>
      </c>
      <c r="BB43" s="109">
        <f t="shared" si="12"/>
        <v>0.17164979999999999</v>
      </c>
      <c r="BC43" s="109">
        <f t="shared" si="13"/>
        <v>11.44332</v>
      </c>
      <c r="BD43" s="109">
        <f t="shared" si="14"/>
        <v>0</v>
      </c>
      <c r="BE43" s="109">
        <f t="shared" si="15"/>
        <v>21971.1744</v>
      </c>
      <c r="BF43" s="109">
        <f t="shared" si="16"/>
        <v>32956.761599999998</v>
      </c>
      <c r="BG43" s="109">
        <f t="shared" si="17"/>
        <v>0.12358785599999998</v>
      </c>
      <c r="BH43" s="109">
        <f t="shared" si="18"/>
        <v>0.13731984</v>
      </c>
      <c r="BI43" s="109">
        <f t="shared" si="19"/>
        <v>0</v>
      </c>
      <c r="BJ43" s="109">
        <f t="shared" si="20"/>
        <v>1.0728398583000001</v>
      </c>
      <c r="BK43" s="109">
        <f t="shared" si="26"/>
        <v>9.408311652050001</v>
      </c>
      <c r="BL43" s="148">
        <v>0.74</v>
      </c>
      <c r="BM43" s="112">
        <f>ROUND((AW43/BL43)+((AW43*BL43)*'CALCULO GERAL'!$E$11)/BL43,2)</f>
        <v>2.2799999999999998</v>
      </c>
      <c r="BN43" s="186">
        <f t="shared" si="21"/>
        <v>2.2799999999999998</v>
      </c>
      <c r="BO43" s="186">
        <f t="shared" si="27"/>
        <v>2.6709999999999998</v>
      </c>
      <c r="BP43" s="109">
        <f>BM43*'CALCULO GERAL'!$C$11</f>
        <v>11.44332</v>
      </c>
      <c r="BQ43" s="109">
        <f>BO43*'CALCULO GERAL'!$C$11</f>
        <v>13.405749</v>
      </c>
      <c r="BR43" s="186">
        <f>BN43*'CALCULO GERAL'!$C$11</f>
        <v>11.44332</v>
      </c>
      <c r="BS43" s="109">
        <f t="shared" si="22"/>
        <v>274639.68</v>
      </c>
      <c r="BT43" s="109">
        <f t="shared" si="23"/>
        <v>274639.68</v>
      </c>
      <c r="BU43" s="109">
        <f t="shared" si="28"/>
        <v>225799.47964920002</v>
      </c>
      <c r="BV43" s="109">
        <f t="shared" si="29"/>
        <v>48840.200350799976</v>
      </c>
      <c r="BW43" s="114">
        <f t="shared" si="24"/>
        <v>0.17783373600930491</v>
      </c>
      <c r="BX43" s="152">
        <f t="shared" si="30"/>
        <v>0.74</v>
      </c>
      <c r="BZ43" s="55"/>
      <c r="CA43" s="113"/>
      <c r="CB43" s="113"/>
      <c r="CD43" s="152">
        <f t="shared" si="31"/>
        <v>0</v>
      </c>
      <c r="CE43" s="152">
        <f t="shared" si="32"/>
        <v>1</v>
      </c>
      <c r="CF43" s="152">
        <f t="shared" si="33"/>
        <v>1</v>
      </c>
      <c r="CG43" s="34"/>
      <c r="CI43" s="11"/>
      <c r="CJ43" s="11"/>
    </row>
    <row r="44" spans="1:88" s="152" customFormat="1" ht="16" x14ac:dyDescent="0.2">
      <c r="A44" s="228" t="s">
        <v>468</v>
      </c>
      <c r="B44" s="187" t="s">
        <v>469</v>
      </c>
      <c r="C44" s="8">
        <v>0.02</v>
      </c>
      <c r="D44" s="8">
        <v>0</v>
      </c>
      <c r="E44" s="7">
        <v>2.1000000000000001E-2</v>
      </c>
      <c r="F44" s="7">
        <v>0.1065</v>
      </c>
      <c r="G44" s="1">
        <v>6.4999999999999997E-3</v>
      </c>
      <c r="H44" s="1">
        <v>0.03</v>
      </c>
      <c r="I44" s="1">
        <v>0.18</v>
      </c>
      <c r="J44" s="1">
        <v>0.04</v>
      </c>
      <c r="K44" s="1">
        <v>0.14000000000000001</v>
      </c>
      <c r="L44" s="1">
        <v>1.4999999999999999E-2</v>
      </c>
      <c r="M44" s="2" t="s">
        <v>175</v>
      </c>
      <c r="N44" s="105">
        <v>24000</v>
      </c>
      <c r="O44" s="119"/>
      <c r="P44" s="119"/>
      <c r="Q44" s="119"/>
      <c r="R44" s="119"/>
      <c r="S44" s="119"/>
      <c r="T44" s="119"/>
      <c r="U44" s="119"/>
      <c r="V44" s="205">
        <v>0.92</v>
      </c>
      <c r="W44" s="119"/>
      <c r="X44" s="119">
        <f t="shared" si="0"/>
        <v>0.92</v>
      </c>
      <c r="Y44" s="118">
        <f t="shared" si="1"/>
        <v>0.92</v>
      </c>
      <c r="Z44" s="109">
        <f t="shared" si="2"/>
        <v>22080</v>
      </c>
      <c r="AA44" s="109">
        <f>'CALCULO GERAL'!$G$10</f>
        <v>6300</v>
      </c>
      <c r="AB44" s="109">
        <f t="shared" si="3"/>
        <v>28380</v>
      </c>
      <c r="AC44" s="109">
        <f>AB44*'CALCULO GERAL'!$C$11</f>
        <v>142439.22</v>
      </c>
      <c r="AD44" s="109">
        <f t="shared" si="4"/>
        <v>2848.7844</v>
      </c>
      <c r="AE44" s="109">
        <f t="shared" si="5"/>
        <v>0</v>
      </c>
      <c r="AF44" s="109">
        <f t="shared" si="6"/>
        <v>2991.2236200000002</v>
      </c>
      <c r="AG44" s="109">
        <f t="shared" si="7"/>
        <v>15169.77693</v>
      </c>
      <c r="AH44" s="109">
        <v>154.22999999999999</v>
      </c>
      <c r="AI44" s="109">
        <f>((AA44*'CALCULO GERAL'!$C$11))*0.08+20</f>
        <v>2549.576</v>
      </c>
      <c r="AJ44" s="109">
        <v>1010</v>
      </c>
      <c r="AK44" s="109">
        <v>2500</v>
      </c>
      <c r="AL44" s="109">
        <f>(AA44*('CALCULO GERAL'!$C$11*1.02))-(AA44*'CALCULO GERAL'!$C$11)</f>
        <v>632.39400000000387</v>
      </c>
      <c r="AM44" s="109">
        <v>1800</v>
      </c>
      <c r="AN44" s="109">
        <v>2600</v>
      </c>
      <c r="AO44" s="109">
        <v>9400</v>
      </c>
      <c r="AP44" s="109">
        <v>1000</v>
      </c>
      <c r="AQ44" s="109">
        <v>0</v>
      </c>
      <c r="AR44" s="109">
        <v>0</v>
      </c>
      <c r="AS44" s="109"/>
      <c r="AT44" s="109">
        <f t="shared" si="25"/>
        <v>185095.20495000001</v>
      </c>
      <c r="AU44" s="111">
        <f t="shared" si="8"/>
        <v>7.712300206250001</v>
      </c>
      <c r="AV44" s="109">
        <f>IFERROR((BS44*'CALCULO GERAL'!$E$11)/N44,0)</f>
        <v>0.21180179999999998</v>
      </c>
      <c r="AW44" s="109">
        <f>AU44/'CALCULO GERAL'!$C$11</f>
        <v>1.5366208818987848</v>
      </c>
      <c r="AX44" s="109">
        <f>BP44-BB44-BD44*'CALCULO GERAL'!$C$11</f>
        <v>10.431238649999999</v>
      </c>
      <c r="AY44" s="109">
        <f t="shared" si="9"/>
        <v>6.7803051224999994E-2</v>
      </c>
      <c r="AZ44" s="109">
        <f t="shared" si="10"/>
        <v>0.31293715949999995</v>
      </c>
      <c r="BA44" s="109">
        <f t="shared" si="11"/>
        <v>10.59009</v>
      </c>
      <c r="BB44" s="109">
        <f t="shared" si="12"/>
        <v>0.15885135</v>
      </c>
      <c r="BC44" s="109">
        <f t="shared" si="13"/>
        <v>10.59009</v>
      </c>
      <c r="BD44" s="109">
        <f t="shared" si="14"/>
        <v>0</v>
      </c>
      <c r="BE44" s="109">
        <f t="shared" si="15"/>
        <v>20332.9728</v>
      </c>
      <c r="BF44" s="109">
        <f t="shared" si="16"/>
        <v>30499.459199999998</v>
      </c>
      <c r="BG44" s="109">
        <f t="shared" si="17"/>
        <v>0.11437297199999999</v>
      </c>
      <c r="BH44" s="109">
        <f t="shared" si="18"/>
        <v>0.12708107999999999</v>
      </c>
      <c r="BI44" s="109">
        <f t="shared" si="19"/>
        <v>0</v>
      </c>
      <c r="BJ44" s="109">
        <f t="shared" si="20"/>
        <v>0.99284741272499977</v>
      </c>
      <c r="BK44" s="109">
        <f t="shared" si="26"/>
        <v>8.7051476189750012</v>
      </c>
      <c r="BL44" s="148">
        <v>0.74</v>
      </c>
      <c r="BM44" s="112">
        <f>ROUND((AW44/BL44)+((AW44*BL44)*'CALCULO GERAL'!$E$11)/BL44,2)</f>
        <v>2.11</v>
      </c>
      <c r="BN44" s="186">
        <f t="shared" si="21"/>
        <v>2.11</v>
      </c>
      <c r="BO44" s="186">
        <f t="shared" si="27"/>
        <v>2.472</v>
      </c>
      <c r="BP44" s="109">
        <f>BM44*'CALCULO GERAL'!$C$11</f>
        <v>10.59009</v>
      </c>
      <c r="BQ44" s="109">
        <f>BO44*'CALCULO GERAL'!$C$11</f>
        <v>12.406968000000001</v>
      </c>
      <c r="BR44" s="186">
        <f>BN44*'CALCULO GERAL'!$C$11</f>
        <v>10.59009</v>
      </c>
      <c r="BS44" s="109">
        <f t="shared" si="22"/>
        <v>254162.16</v>
      </c>
      <c r="BT44" s="109">
        <f t="shared" si="23"/>
        <v>254162.16</v>
      </c>
      <c r="BU44" s="109">
        <f t="shared" si="28"/>
        <v>208923.54285540004</v>
      </c>
      <c r="BV44" s="109">
        <f t="shared" si="29"/>
        <v>45238.617144599964</v>
      </c>
      <c r="BW44" s="114">
        <f t="shared" si="24"/>
        <v>0.17799115786787445</v>
      </c>
      <c r="BX44" s="152">
        <f t="shared" si="30"/>
        <v>0.74</v>
      </c>
      <c r="BZ44" s="55"/>
      <c r="CA44" s="113"/>
      <c r="CB44" s="113"/>
      <c r="CD44" s="152">
        <f t="shared" si="31"/>
        <v>0</v>
      </c>
      <c r="CE44" s="152">
        <f t="shared" si="32"/>
        <v>1</v>
      </c>
      <c r="CF44" s="152">
        <f t="shared" si="33"/>
        <v>1</v>
      </c>
      <c r="CG44" s="34"/>
      <c r="CI44" s="11"/>
      <c r="CJ44" s="11"/>
    </row>
    <row r="45" spans="1:88" x14ac:dyDescent="0.2">
      <c r="A45" s="228" t="s">
        <v>191</v>
      </c>
      <c r="B45" s="187" t="s">
        <v>192</v>
      </c>
      <c r="C45" s="6">
        <v>0.18</v>
      </c>
      <c r="D45" s="8">
        <v>0</v>
      </c>
      <c r="E45" s="7">
        <v>2.1000000000000001E-2</v>
      </c>
      <c r="F45" s="7">
        <v>9.6500000000000002E-2</v>
      </c>
      <c r="G45" s="1">
        <v>6.4999999999999997E-3</v>
      </c>
      <c r="H45" s="1">
        <v>0.03</v>
      </c>
      <c r="I45" s="1">
        <v>0.18</v>
      </c>
      <c r="J45" s="1">
        <v>0.04</v>
      </c>
      <c r="K45" s="1">
        <v>0.14000000000000001</v>
      </c>
      <c r="L45" s="1">
        <v>1.4999999999999999E-2</v>
      </c>
      <c r="M45" s="2" t="s">
        <v>175</v>
      </c>
      <c r="N45" s="105">
        <v>22000</v>
      </c>
      <c r="O45" s="119"/>
      <c r="P45" s="119"/>
      <c r="Q45" s="119"/>
      <c r="R45" s="119"/>
      <c r="S45" s="119">
        <v>1.34</v>
      </c>
      <c r="T45" s="119"/>
      <c r="U45" s="119"/>
      <c r="V45" s="119"/>
      <c r="W45" s="119"/>
      <c r="X45" s="119">
        <f>MIN(O45:W45)</f>
        <v>1.34</v>
      </c>
      <c r="Y45" s="118">
        <f>AVERAGE(O45:W45)</f>
        <v>1.34</v>
      </c>
      <c r="Z45" s="109">
        <f>Y45*N45</f>
        <v>29480</v>
      </c>
      <c r="AA45" s="109">
        <f>'CALCULO GERAL'!$G$10</f>
        <v>6300</v>
      </c>
      <c r="AB45" s="109">
        <f>Z45+AA45</f>
        <v>35780</v>
      </c>
      <c r="AC45" s="109">
        <f>AB45*'CALCULO GERAL'!$C$11</f>
        <v>179579.82</v>
      </c>
      <c r="AD45" s="109">
        <f>AC45*C45</f>
        <v>32324.367600000001</v>
      </c>
      <c r="AE45" s="109">
        <f>(AC45+AD45)*D45</f>
        <v>0</v>
      </c>
      <c r="AF45" s="109">
        <f>AC45*E45</f>
        <v>3771.1762200000003</v>
      </c>
      <c r="AG45" s="109">
        <f>AC45*F45</f>
        <v>17329.45263</v>
      </c>
      <c r="AH45" s="109">
        <v>154.22999999999999</v>
      </c>
      <c r="AI45" s="109">
        <f>((AA45*'CALCULO GERAL'!$C$11))*0.08+20</f>
        <v>2549.576</v>
      </c>
      <c r="AJ45" s="109">
        <v>1010</v>
      </c>
      <c r="AK45" s="109">
        <v>2500</v>
      </c>
      <c r="AL45" s="109">
        <f>(AA45*('CALCULO GERAL'!$C$11*1.02))-(AA45*'CALCULO GERAL'!$C$11)</f>
        <v>632.39400000000387</v>
      </c>
      <c r="AM45" s="109">
        <v>1800</v>
      </c>
      <c r="AN45" s="109">
        <v>2600</v>
      </c>
      <c r="AO45" s="109">
        <v>9400</v>
      </c>
      <c r="AP45" s="109">
        <v>1000</v>
      </c>
      <c r="AQ45" s="109">
        <v>0</v>
      </c>
      <c r="AR45" s="109">
        <v>0</v>
      </c>
      <c r="AS45" s="109"/>
      <c r="AT45" s="109">
        <f t="shared" si="25"/>
        <v>254651.01645</v>
      </c>
      <c r="AU45" s="111">
        <f>IFERROR((AT45/N45),0)</f>
        <v>11.575046202272727</v>
      </c>
      <c r="AV45" s="109">
        <f>IFERROR((BS45*'CALCULO GERAL'!$E$11)/N45,0)</f>
        <v>0.29812860000000002</v>
      </c>
      <c r="AW45" s="109">
        <f>AU45/'CALCULO GERAL'!$C$11</f>
        <v>2.3062455075259467</v>
      </c>
      <c r="AX45" s="109">
        <f>BP45-BB45-BD45*'CALCULO GERAL'!$C$11</f>
        <v>14.682833550000002</v>
      </c>
      <c r="AY45" s="109">
        <f>AX45*G45</f>
        <v>9.5438418075000003E-2</v>
      </c>
      <c r="AZ45" s="109">
        <f>AX45*H45</f>
        <v>0.44048500650000005</v>
      </c>
      <c r="BA45" s="109">
        <f>BP45-BD45</f>
        <v>14.906430000000002</v>
      </c>
      <c r="BB45" s="109">
        <f>BA45*L45</f>
        <v>0.22359645000000003</v>
      </c>
      <c r="BC45" s="109">
        <f>BP45/(1+D45)</f>
        <v>14.906430000000002</v>
      </c>
      <c r="BD45" s="109">
        <f>BC45*D45</f>
        <v>0</v>
      </c>
      <c r="BE45" s="109">
        <f>BT45*0.08</f>
        <v>26235.316800000001</v>
      </c>
      <c r="BF45" s="109">
        <f>BT45*0.12</f>
        <v>39352.975200000001</v>
      </c>
      <c r="BG45" s="109">
        <f>(BF45*0.09)/N45</f>
        <v>0.16098944400000001</v>
      </c>
      <c r="BH45" s="109">
        <f>(BE45*0.15)/N45</f>
        <v>0.17887716000000001</v>
      </c>
      <c r="BI45" s="109">
        <f>IF(BE45&gt;=$BX$1,($BX$1-BE45)*0.1,IF(BE45&lt;=$BX$1,($BX$1*0)))/N45</f>
        <v>0</v>
      </c>
      <c r="BJ45" s="109">
        <f>(AY45+AZ45+BB45+AV45+BD45+BG45+BH45+BI45)</f>
        <v>1.3975150785750001</v>
      </c>
      <c r="BK45" s="109">
        <f>BJ45+AU45</f>
        <v>12.972561280847728</v>
      </c>
      <c r="BL45" s="148">
        <v>0.79</v>
      </c>
      <c r="BM45" s="112">
        <f>ROUND((AW45/BL45)+((AW45*BL45)*'CALCULO GERAL'!$E$11)/BL45,2)</f>
        <v>2.97</v>
      </c>
      <c r="BN45" s="186">
        <f t="shared" si="21"/>
        <v>2.97</v>
      </c>
      <c r="BO45" s="186">
        <f t="shared" si="27"/>
        <v>3.48</v>
      </c>
      <c r="BP45" s="109">
        <f>BM45*'CALCULO GERAL'!$C$11</f>
        <v>14.906430000000002</v>
      </c>
      <c r="BQ45" s="109">
        <f>BO45*'CALCULO GERAL'!$C$11</f>
        <v>17.46612</v>
      </c>
      <c r="BR45" s="186">
        <f>BN45*'CALCULO GERAL'!$C$11</f>
        <v>14.906430000000002</v>
      </c>
      <c r="BS45" s="109">
        <f>BP45*N45</f>
        <v>327941.46000000002</v>
      </c>
      <c r="BT45" s="109">
        <f>BR45*N45</f>
        <v>327941.46000000002</v>
      </c>
      <c r="BU45" s="109">
        <f t="shared" si="28"/>
        <v>285396.34817865002</v>
      </c>
      <c r="BV45" s="109">
        <f t="shared" si="29"/>
        <v>42545.111821350001</v>
      </c>
      <c r="BW45" s="114">
        <f>(((BK45*N45)-BS45)/BS45*-1)</f>
        <v>0.12973386110237478</v>
      </c>
      <c r="BX45" s="152">
        <f t="shared" si="30"/>
        <v>0.79</v>
      </c>
      <c r="BY45" s="152"/>
      <c r="BZ45" s="55"/>
      <c r="CA45" s="113"/>
      <c r="CB45" s="113"/>
      <c r="CC45" s="152"/>
      <c r="CD45" s="152">
        <f t="shared" si="31"/>
        <v>0</v>
      </c>
      <c r="CE45" s="152">
        <f t="shared" si="32"/>
        <v>1</v>
      </c>
      <c r="CF45" s="152">
        <f t="shared" si="33"/>
        <v>1</v>
      </c>
      <c r="CG45" s="34"/>
    </row>
    <row r="46" spans="1:88" s="152" customFormat="1" ht="16" x14ac:dyDescent="0.2">
      <c r="A46" s="344" t="s">
        <v>562</v>
      </c>
      <c r="B46" s="338" t="s">
        <v>194</v>
      </c>
      <c r="C46" s="346">
        <v>0.35</v>
      </c>
      <c r="D46" s="346">
        <v>0</v>
      </c>
      <c r="E46" s="339">
        <v>2.1000000000000001E-2</v>
      </c>
      <c r="F46" s="339">
        <v>0.1065</v>
      </c>
      <c r="G46" s="1">
        <v>6.4999999999999997E-3</v>
      </c>
      <c r="H46" s="1">
        <v>0.03</v>
      </c>
      <c r="I46" s="1">
        <v>0.18</v>
      </c>
      <c r="J46" s="1">
        <v>0.04</v>
      </c>
      <c r="K46" s="1">
        <v>0.14000000000000001</v>
      </c>
      <c r="L46" s="1">
        <v>1.4999999999999999E-2</v>
      </c>
      <c r="M46" s="2" t="s">
        <v>175</v>
      </c>
      <c r="N46" s="105">
        <v>9000</v>
      </c>
      <c r="O46" s="119"/>
      <c r="P46" s="119"/>
      <c r="Q46" s="119"/>
      <c r="R46" s="119"/>
      <c r="S46" s="119"/>
      <c r="T46" s="119">
        <v>3.28</v>
      </c>
      <c r="U46" s="119"/>
      <c r="V46" s="205"/>
      <c r="W46" s="119"/>
      <c r="X46" s="119">
        <f>MIN(O46:W46)</f>
        <v>3.28</v>
      </c>
      <c r="Y46" s="118">
        <f>AVERAGE(O46:W46)</f>
        <v>3.28</v>
      </c>
      <c r="Z46" s="109">
        <f>Y46*N46</f>
        <v>29520</v>
      </c>
      <c r="AA46" s="109">
        <f>'CALCULO GERAL'!$G$10</f>
        <v>6300</v>
      </c>
      <c r="AB46" s="109">
        <f>Z46+AA46</f>
        <v>35820</v>
      </c>
      <c r="AC46" s="109">
        <f>AB46*'CALCULO GERAL'!$C$11</f>
        <v>179780.58000000002</v>
      </c>
      <c r="AD46" s="109">
        <f>AC46*C46</f>
        <v>62923.203000000001</v>
      </c>
      <c r="AE46" s="109">
        <f>(AC46+AD46)*D46</f>
        <v>0</v>
      </c>
      <c r="AF46" s="109">
        <f>AC46*E46</f>
        <v>3775.3921800000007</v>
      </c>
      <c r="AG46" s="109">
        <f>AC46*F46</f>
        <v>19146.63177</v>
      </c>
      <c r="AH46" s="109">
        <v>154.22999999999999</v>
      </c>
      <c r="AI46" s="109">
        <f>((AA46*'CALCULO GERAL'!$C$11))*0.08+20</f>
        <v>2549.576</v>
      </c>
      <c r="AJ46" s="109">
        <v>1010</v>
      </c>
      <c r="AK46" s="109">
        <v>2500</v>
      </c>
      <c r="AL46" s="109">
        <f>(AA46*('CALCULO GERAL'!$C$11*1.02))-(AA46*'CALCULO GERAL'!$C$11)</f>
        <v>632.39400000000387</v>
      </c>
      <c r="AM46" s="109">
        <v>1800</v>
      </c>
      <c r="AN46" s="109">
        <v>2600</v>
      </c>
      <c r="AO46" s="109">
        <v>9400</v>
      </c>
      <c r="AP46" s="109">
        <v>1000</v>
      </c>
      <c r="AQ46" s="109">
        <v>0</v>
      </c>
      <c r="AR46" s="109">
        <v>0</v>
      </c>
      <c r="AS46" s="109"/>
      <c r="AT46" s="109">
        <f>SUM(AC46:AS46)</f>
        <v>287272.00695000001</v>
      </c>
      <c r="AU46" s="111">
        <f>IFERROR((AT46/N46),0)</f>
        <v>31.919111883333333</v>
      </c>
      <c r="AV46" s="109">
        <f>IFERROR((BS46*'CALCULO GERAL'!$E$11)/N46,0)</f>
        <v>0.87531360000000014</v>
      </c>
      <c r="AW46" s="109">
        <f>AU46/'CALCULO GERAL'!$C$11</f>
        <v>6.3596556850634256</v>
      </c>
      <c r="AX46" s="109">
        <f>BP46-BB46-BD46*'CALCULO GERAL'!$C$11</f>
        <v>43.109194800000004</v>
      </c>
      <c r="AY46" s="109">
        <f>AX46*G46</f>
        <v>0.28020976620000004</v>
      </c>
      <c r="AZ46" s="109">
        <f>AX46*H46</f>
        <v>1.2932758440000001</v>
      </c>
      <c r="BA46" s="109">
        <f>BP46-BD46</f>
        <v>43.765680000000003</v>
      </c>
      <c r="BB46" s="109">
        <f>BA46*L46</f>
        <v>0.65648519999999999</v>
      </c>
      <c r="BC46" s="109">
        <f>BP46/(1+D46)</f>
        <v>43.765680000000003</v>
      </c>
      <c r="BD46" s="109">
        <f>BC46*D46</f>
        <v>0</v>
      </c>
      <c r="BE46" s="109">
        <f>BT46*0.08</f>
        <v>31511.289600000004</v>
      </c>
      <c r="BF46" s="109">
        <f>BT46*0.12</f>
        <v>47266.934400000006</v>
      </c>
      <c r="BG46" s="109">
        <f>(BF46*0.09)/N46</f>
        <v>0.47266934399999999</v>
      </c>
      <c r="BH46" s="109">
        <f>(BE46*0.15)/N46</f>
        <v>0.52518816000000001</v>
      </c>
      <c r="BI46" s="109">
        <f>IF(BE46&gt;=$BX$1,($BX$1-BE46)*0.1,IF(BE46&lt;=$BX$1,($BX$1*0)))/N46</f>
        <v>0</v>
      </c>
      <c r="BJ46" s="109">
        <f>(AY46+AZ46+BB46+AV46+BD46+BG46+BH46+BI46)</f>
        <v>4.1031419142000001</v>
      </c>
      <c r="BK46" s="109">
        <f>BJ46+AU46</f>
        <v>36.022253797533331</v>
      </c>
      <c r="BL46" s="148">
        <v>0.74</v>
      </c>
      <c r="BM46" s="112">
        <f>ROUND((AW46/BL46)+((AW46*BL46)*'CALCULO GERAL'!$E$11)/BL46,2)</f>
        <v>8.7200000000000006</v>
      </c>
      <c r="BN46" s="186">
        <f>BM46</f>
        <v>8.7200000000000006</v>
      </c>
      <c r="BO46" s="186">
        <f>ROUND(FV(0.02,8,,BN46)*-1,3)</f>
        <v>10.217000000000001</v>
      </c>
      <c r="BP46" s="109">
        <f>BM46*'CALCULO GERAL'!$C$11</f>
        <v>43.765680000000003</v>
      </c>
      <c r="BQ46" s="109">
        <f>BO46*'CALCULO GERAL'!$C$11</f>
        <v>51.279123000000006</v>
      </c>
      <c r="BR46" s="186">
        <f>BN46*'CALCULO GERAL'!$C$11</f>
        <v>43.765680000000003</v>
      </c>
      <c r="BS46" s="109">
        <f>BP46*N46</f>
        <v>393891.12000000005</v>
      </c>
      <c r="BT46" s="109">
        <f>BR46*N46</f>
        <v>393891.12000000005</v>
      </c>
      <c r="BU46" s="109">
        <f>BK46*N46</f>
        <v>324200.2841778</v>
      </c>
      <c r="BV46" s="109">
        <f>BS46-BU46</f>
        <v>69690.835822200053</v>
      </c>
      <c r="BW46" s="114">
        <f>(((BK46*N46)-BS46)/BS46*-1)</f>
        <v>0.17692918749272651</v>
      </c>
      <c r="BX46" s="152">
        <f>ROUND(BL46,2)</f>
        <v>0.74</v>
      </c>
      <c r="BZ46" s="55"/>
      <c r="CA46" s="113"/>
      <c r="CB46" s="113"/>
      <c r="CD46" s="152">
        <f>CB46/BX46</f>
        <v>0</v>
      </c>
      <c r="CE46" s="152">
        <f>100%-CD46</f>
        <v>1</v>
      </c>
      <c r="CF46" s="152">
        <f>AVERAGE(CE46,CC46)</f>
        <v>1</v>
      </c>
      <c r="CG46" s="34"/>
      <c r="CI46" s="11"/>
      <c r="CJ46" s="11"/>
    </row>
    <row r="47" spans="1:88" s="152" customFormat="1" ht="16" x14ac:dyDescent="0.2">
      <c r="A47" s="344" t="s">
        <v>563</v>
      </c>
      <c r="B47" s="338" t="s">
        <v>194</v>
      </c>
      <c r="C47" s="346">
        <v>0.35</v>
      </c>
      <c r="D47" s="346">
        <v>0</v>
      </c>
      <c r="E47" s="339">
        <v>2.1000000000000001E-2</v>
      </c>
      <c r="F47" s="339">
        <v>0.1065</v>
      </c>
      <c r="G47" s="1">
        <v>6.4999999999999997E-3</v>
      </c>
      <c r="H47" s="1">
        <v>0.03</v>
      </c>
      <c r="I47" s="1">
        <v>0.18</v>
      </c>
      <c r="J47" s="1">
        <v>0.04</v>
      </c>
      <c r="K47" s="1">
        <v>0.14000000000000001</v>
      </c>
      <c r="L47" s="1">
        <v>1.4999999999999999E-2</v>
      </c>
      <c r="M47" s="2" t="s">
        <v>175</v>
      </c>
      <c r="N47" s="105">
        <v>9000</v>
      </c>
      <c r="O47" s="119"/>
      <c r="P47" s="119"/>
      <c r="Q47" s="119"/>
      <c r="R47" s="119"/>
      <c r="S47" s="119"/>
      <c r="T47" s="119">
        <v>4.04</v>
      </c>
      <c r="U47" s="119"/>
      <c r="V47" s="205"/>
      <c r="W47" s="119"/>
      <c r="X47" s="119">
        <f>MIN(O47:W47)</f>
        <v>4.04</v>
      </c>
      <c r="Y47" s="118">
        <f>AVERAGE(O47:W47)</f>
        <v>4.04</v>
      </c>
      <c r="Z47" s="109">
        <f>Y47*N47</f>
        <v>36360</v>
      </c>
      <c r="AA47" s="109">
        <f>'CALCULO GERAL'!$G$10</f>
        <v>6300</v>
      </c>
      <c r="AB47" s="109">
        <f>Z47+AA47</f>
        <v>42660</v>
      </c>
      <c r="AC47" s="109">
        <f>AB47*'CALCULO GERAL'!$C$11</f>
        <v>214110.54</v>
      </c>
      <c r="AD47" s="109">
        <f>AC47*C47</f>
        <v>74938.688999999998</v>
      </c>
      <c r="AE47" s="109">
        <f>(AC47+AD47)*D47</f>
        <v>0</v>
      </c>
      <c r="AF47" s="109">
        <f>AC47*E47</f>
        <v>4496.3213400000004</v>
      </c>
      <c r="AG47" s="109">
        <f>AC47*F47</f>
        <v>22802.772509999999</v>
      </c>
      <c r="AH47" s="109">
        <v>154.22999999999999</v>
      </c>
      <c r="AI47" s="109">
        <f>((AA47*'CALCULO GERAL'!$C$11))*0.08+20</f>
        <v>2549.576</v>
      </c>
      <c r="AJ47" s="109">
        <v>1010</v>
      </c>
      <c r="AK47" s="109">
        <v>2500</v>
      </c>
      <c r="AL47" s="109">
        <f>(AA47*('CALCULO GERAL'!$C$11*1.02))-(AA47*'CALCULO GERAL'!$C$11)</f>
        <v>632.39400000000387</v>
      </c>
      <c r="AM47" s="109">
        <v>1800</v>
      </c>
      <c r="AN47" s="109">
        <v>2600</v>
      </c>
      <c r="AO47" s="109">
        <v>9400</v>
      </c>
      <c r="AP47" s="109">
        <v>1000</v>
      </c>
      <c r="AQ47" s="109">
        <v>0</v>
      </c>
      <c r="AR47" s="109">
        <v>0</v>
      </c>
      <c r="AS47" s="109"/>
      <c r="AT47" s="109">
        <f>SUM(AC47:AS47)</f>
        <v>337994.52285000001</v>
      </c>
      <c r="AU47" s="111">
        <f>IFERROR((AT47/N47),0)</f>
        <v>37.554946983333338</v>
      </c>
      <c r="AV47" s="109">
        <f>IFERROR((BS47*'CALCULO GERAL'!$E$11)/N47,0)</f>
        <v>1.0298988</v>
      </c>
      <c r="AW47" s="109">
        <f>AU47/'CALCULO GERAL'!$C$11</f>
        <v>7.4825556850634261</v>
      </c>
      <c r="AX47" s="109">
        <f>BP47-BB47-BD47*'CALCULO GERAL'!$C$11</f>
        <v>50.722515899999998</v>
      </c>
      <c r="AY47" s="109">
        <f>AX47*G47</f>
        <v>0.32969635334999997</v>
      </c>
      <c r="AZ47" s="109">
        <f>AX47*H47</f>
        <v>1.5216754769999998</v>
      </c>
      <c r="BA47" s="109">
        <f>BP47-BD47</f>
        <v>51.49494</v>
      </c>
      <c r="BB47" s="109">
        <f>BA47*L47</f>
        <v>0.77242409999999995</v>
      </c>
      <c r="BC47" s="109">
        <f>BP47/(1+D47)</f>
        <v>51.49494</v>
      </c>
      <c r="BD47" s="109">
        <f>BC47*D47</f>
        <v>0</v>
      </c>
      <c r="BE47" s="109">
        <f>BT47*0.08</f>
        <v>37076.356800000001</v>
      </c>
      <c r="BF47" s="109">
        <f>BT47*0.12</f>
        <v>55614.535199999998</v>
      </c>
      <c r="BG47" s="109">
        <f>(BF47*0.09)/N47</f>
        <v>0.55614535199999993</v>
      </c>
      <c r="BH47" s="109">
        <f>(BE47*0.15)/N47</f>
        <v>0.61793927999999998</v>
      </c>
      <c r="BI47" s="109">
        <f>IF(BE47&gt;=$BX$1,($BX$1-BE47)*0.1,IF(BE47&lt;=$BX$1,($BX$1*0)))/N47</f>
        <v>0</v>
      </c>
      <c r="BJ47" s="109">
        <f>(AY47+AZ47+BB47+AV47+BD47+BG47+BH47+BI47)</f>
        <v>4.8277793623499994</v>
      </c>
      <c r="BK47" s="109">
        <f>BJ47+AU47</f>
        <v>42.382726345683338</v>
      </c>
      <c r="BL47" s="148">
        <v>0.74</v>
      </c>
      <c r="BM47" s="112">
        <f>ROUND((AW47/BL47)+((AW47*BL47)*'CALCULO GERAL'!$E$11)/BL47,2)</f>
        <v>10.26</v>
      </c>
      <c r="BN47" s="186">
        <f>BM47</f>
        <v>10.26</v>
      </c>
      <c r="BO47" s="186">
        <f>ROUND(FV(0.02,8,,BN47)*-1,3)</f>
        <v>12.021000000000001</v>
      </c>
      <c r="BP47" s="109">
        <f>BM47*'CALCULO GERAL'!$C$11</f>
        <v>51.49494</v>
      </c>
      <c r="BQ47" s="109">
        <f>BO47*'CALCULO GERAL'!$C$11</f>
        <v>60.333399000000007</v>
      </c>
      <c r="BR47" s="186">
        <f>BN47*'CALCULO GERAL'!$C$11</f>
        <v>51.49494</v>
      </c>
      <c r="BS47" s="109">
        <f>BP47*N47</f>
        <v>463454.46</v>
      </c>
      <c r="BT47" s="109">
        <f>BR47*N47</f>
        <v>463454.46</v>
      </c>
      <c r="BU47" s="109">
        <f>BK47*N47</f>
        <v>381444.53711115004</v>
      </c>
      <c r="BV47" s="109">
        <f>BS47-BU47</f>
        <v>82009.922888849978</v>
      </c>
      <c r="BW47" s="114">
        <f>(((BK47*N47)-BS47)/BS47*-1)</f>
        <v>0.17695357358056274</v>
      </c>
      <c r="BX47" s="152">
        <f>ROUND(BL47,2)</f>
        <v>0.74</v>
      </c>
      <c r="BZ47" s="55"/>
      <c r="CA47" s="113"/>
      <c r="CB47" s="113"/>
      <c r="CD47" s="152">
        <f>CB47/BX47</f>
        <v>0</v>
      </c>
      <c r="CE47" s="152">
        <f>100%-CD47</f>
        <v>1</v>
      </c>
      <c r="CF47" s="152">
        <f>AVERAGE(CE47,CC47)</f>
        <v>1</v>
      </c>
      <c r="CG47" s="34"/>
      <c r="CI47" s="11"/>
      <c r="CJ47" s="11"/>
    </row>
    <row r="48" spans="1:88" s="152" customFormat="1" ht="16" x14ac:dyDescent="0.2">
      <c r="A48" s="344" t="s">
        <v>564</v>
      </c>
      <c r="B48" s="338" t="s">
        <v>194</v>
      </c>
      <c r="C48" s="346">
        <v>0.35</v>
      </c>
      <c r="D48" s="346">
        <v>0</v>
      </c>
      <c r="E48" s="339">
        <v>2.1000000000000001E-2</v>
      </c>
      <c r="F48" s="339">
        <v>0.1065</v>
      </c>
      <c r="G48" s="1">
        <v>6.4999999999999997E-3</v>
      </c>
      <c r="H48" s="1">
        <v>0.03</v>
      </c>
      <c r="I48" s="1">
        <v>0.18</v>
      </c>
      <c r="J48" s="1">
        <v>0.04</v>
      </c>
      <c r="K48" s="1">
        <v>0.14000000000000001</v>
      </c>
      <c r="L48" s="1">
        <v>1.4999999999999999E-2</v>
      </c>
      <c r="M48" s="2" t="s">
        <v>175</v>
      </c>
      <c r="N48" s="105">
        <v>9000</v>
      </c>
      <c r="O48" s="119"/>
      <c r="P48" s="119"/>
      <c r="Q48" s="119"/>
      <c r="R48" s="119"/>
      <c r="S48" s="119"/>
      <c r="T48" s="119">
        <v>4.4000000000000004</v>
      </c>
      <c r="U48" s="119"/>
      <c r="V48" s="205"/>
      <c r="W48" s="119"/>
      <c r="X48" s="119">
        <f>MIN(O48:W48)</f>
        <v>4.4000000000000004</v>
      </c>
      <c r="Y48" s="118">
        <f>AVERAGE(O48:W48)</f>
        <v>4.4000000000000004</v>
      </c>
      <c r="Z48" s="109">
        <f>Y48*N48</f>
        <v>39600</v>
      </c>
      <c r="AA48" s="109">
        <f>'CALCULO GERAL'!$G$10</f>
        <v>6300</v>
      </c>
      <c r="AB48" s="109">
        <f>Z48+AA48</f>
        <v>45900</v>
      </c>
      <c r="AC48" s="109">
        <f>AB48*'CALCULO GERAL'!$C$11</f>
        <v>230372.1</v>
      </c>
      <c r="AD48" s="109">
        <f>AC48*C48</f>
        <v>80630.235000000001</v>
      </c>
      <c r="AE48" s="109">
        <f>(AC48+AD48)*D48</f>
        <v>0</v>
      </c>
      <c r="AF48" s="109">
        <f>AC48*E48</f>
        <v>4837.8141000000005</v>
      </c>
      <c r="AG48" s="109">
        <f>AC48*F48</f>
        <v>24534.628649999999</v>
      </c>
      <c r="AH48" s="109">
        <v>154.22999999999999</v>
      </c>
      <c r="AI48" s="109">
        <f>((AA48*'CALCULO GERAL'!$C$11))*0.08+20</f>
        <v>2549.576</v>
      </c>
      <c r="AJ48" s="109">
        <v>1010</v>
      </c>
      <c r="AK48" s="109">
        <v>2500</v>
      </c>
      <c r="AL48" s="109">
        <f>(AA48*('CALCULO GERAL'!$C$11*1.02))-(AA48*'CALCULO GERAL'!$C$11)</f>
        <v>632.39400000000387</v>
      </c>
      <c r="AM48" s="109">
        <v>1800</v>
      </c>
      <c r="AN48" s="109">
        <v>2600</v>
      </c>
      <c r="AO48" s="109">
        <v>9400</v>
      </c>
      <c r="AP48" s="109">
        <v>1000</v>
      </c>
      <c r="AQ48" s="109">
        <v>0</v>
      </c>
      <c r="AR48" s="109">
        <v>0</v>
      </c>
      <c r="AS48" s="109"/>
      <c r="AT48" s="109">
        <f>SUM(AC48:AS48)</f>
        <v>362020.97775000002</v>
      </c>
      <c r="AU48" s="111">
        <f>IFERROR((AT48/N48),0)</f>
        <v>40.224553083333333</v>
      </c>
      <c r="AV48" s="109">
        <f>IFERROR((BS48*'CALCULO GERAL'!$E$11)/N48,0)</f>
        <v>1.1031762000000001</v>
      </c>
      <c r="AW48" s="109">
        <f>AU48/'CALCULO GERAL'!$C$11</f>
        <v>8.0144556850634263</v>
      </c>
      <c r="AX48" s="109">
        <f>BP48-BB48-BD48*'CALCULO GERAL'!$C$11</f>
        <v>54.331427850000004</v>
      </c>
      <c r="AY48" s="109">
        <f>AX48*G48</f>
        <v>0.35315428102500002</v>
      </c>
      <c r="AZ48" s="109">
        <f>AX48*H48</f>
        <v>1.6299428355000001</v>
      </c>
      <c r="BA48" s="109">
        <f>BP48-BD48</f>
        <v>55.158810000000003</v>
      </c>
      <c r="BB48" s="109">
        <f>BA48*L48</f>
        <v>0.82738215000000004</v>
      </c>
      <c r="BC48" s="109">
        <f>BP48/(1+D48)</f>
        <v>55.158810000000003</v>
      </c>
      <c r="BD48" s="109">
        <f>BC48*D48</f>
        <v>0</v>
      </c>
      <c r="BE48" s="109">
        <f>BT48*0.08</f>
        <v>39714.343200000003</v>
      </c>
      <c r="BF48" s="109">
        <f>BT48*0.12</f>
        <v>59571.514800000004</v>
      </c>
      <c r="BG48" s="109">
        <f>(BF48*0.09)/N48</f>
        <v>0.59571514800000003</v>
      </c>
      <c r="BH48" s="109">
        <f>(BE48*0.15)/N48</f>
        <v>0.66190572000000003</v>
      </c>
      <c r="BI48" s="109">
        <f>IF(BE48&gt;=$BX$1,($BX$1-BE48)*0.1,IF(BE48&lt;=$BX$1,($BX$1*0)))/N48</f>
        <v>0</v>
      </c>
      <c r="BJ48" s="109">
        <f>(AY48+AZ48+BB48+AV48+BD48+BG48+BH48+BI48)</f>
        <v>5.1712763345250004</v>
      </c>
      <c r="BK48" s="109">
        <f>BJ48+AU48</f>
        <v>45.395829417858337</v>
      </c>
      <c r="BL48" s="148">
        <v>0.74</v>
      </c>
      <c r="BM48" s="112">
        <f>ROUND((AW48/BL48)+((AW48*BL48)*'CALCULO GERAL'!$E$11)/BL48,2)</f>
        <v>10.99</v>
      </c>
      <c r="BN48" s="186">
        <f>BM48</f>
        <v>10.99</v>
      </c>
      <c r="BO48" s="186">
        <f>ROUND(FV(0.02,8,,BN48)*-1,3)</f>
        <v>12.877000000000001</v>
      </c>
      <c r="BP48" s="109">
        <f>BM48*'CALCULO GERAL'!$C$11</f>
        <v>55.158810000000003</v>
      </c>
      <c r="BQ48" s="109">
        <f>BO48*'CALCULO GERAL'!$C$11</f>
        <v>64.629663000000008</v>
      </c>
      <c r="BR48" s="186">
        <f>BN48*'CALCULO GERAL'!$C$11</f>
        <v>55.158810000000003</v>
      </c>
      <c r="BS48" s="109">
        <f>BP48*N48</f>
        <v>496429.29000000004</v>
      </c>
      <c r="BT48" s="109">
        <f>BR48*N48</f>
        <v>496429.29000000004</v>
      </c>
      <c r="BU48" s="109">
        <f>BK48*N48</f>
        <v>408562.46476072504</v>
      </c>
      <c r="BV48" s="109">
        <f>BS48-BU48</f>
        <v>87866.825239275</v>
      </c>
      <c r="BW48" s="114">
        <f>(((BK48*N48)-BS48)/BS48*-1)</f>
        <v>0.17699766514436527</v>
      </c>
      <c r="BX48" s="152">
        <f>ROUND(BL48,2)</f>
        <v>0.74</v>
      </c>
      <c r="BZ48" s="55"/>
      <c r="CA48" s="113"/>
      <c r="CB48" s="113"/>
      <c r="CD48" s="152">
        <f>CB48/BX48</f>
        <v>0</v>
      </c>
      <c r="CE48" s="152">
        <f>100%-CD48</f>
        <v>1</v>
      </c>
      <c r="CF48" s="152">
        <f>AVERAGE(CE48,CC48)</f>
        <v>1</v>
      </c>
      <c r="CG48" s="34"/>
      <c r="CI48" s="11"/>
      <c r="CJ48" s="11"/>
    </row>
    <row r="49" spans="1:88" s="152" customFormat="1" ht="16" x14ac:dyDescent="0.2">
      <c r="A49" s="344" t="s">
        <v>565</v>
      </c>
      <c r="B49" s="338" t="s">
        <v>194</v>
      </c>
      <c r="C49" s="346">
        <v>0.35</v>
      </c>
      <c r="D49" s="346">
        <v>0</v>
      </c>
      <c r="E49" s="339">
        <v>2.1000000000000001E-2</v>
      </c>
      <c r="F49" s="339">
        <v>0.1065</v>
      </c>
      <c r="G49" s="1">
        <v>6.4999999999999997E-3</v>
      </c>
      <c r="H49" s="1">
        <v>0.03</v>
      </c>
      <c r="I49" s="1">
        <v>0.18</v>
      </c>
      <c r="J49" s="1">
        <v>0.04</v>
      </c>
      <c r="K49" s="1">
        <v>0.14000000000000001</v>
      </c>
      <c r="L49" s="1">
        <v>1.4999999999999999E-2</v>
      </c>
      <c r="M49" s="2" t="s">
        <v>175</v>
      </c>
      <c r="N49" s="105">
        <v>9000</v>
      </c>
      <c r="O49" s="119"/>
      <c r="P49" s="119"/>
      <c r="Q49" s="119"/>
      <c r="R49" s="119"/>
      <c r="S49" s="119"/>
      <c r="T49" s="119">
        <v>5.34</v>
      </c>
      <c r="U49" s="119"/>
      <c r="V49" s="205"/>
      <c r="W49" s="119"/>
      <c r="X49" s="119">
        <f>MIN(O49:W49)</f>
        <v>5.34</v>
      </c>
      <c r="Y49" s="118">
        <f>AVERAGE(O49:W49)</f>
        <v>5.34</v>
      </c>
      <c r="Z49" s="109">
        <f>Y49*N49</f>
        <v>48060</v>
      </c>
      <c r="AA49" s="109">
        <f>'CALCULO GERAL'!$G$10</f>
        <v>6300</v>
      </c>
      <c r="AB49" s="109">
        <f>Z49+AA49</f>
        <v>54360</v>
      </c>
      <c r="AC49" s="109">
        <f>AB49*'CALCULO GERAL'!$C$11</f>
        <v>272832.84000000003</v>
      </c>
      <c r="AD49" s="109">
        <f>AC49*C49</f>
        <v>95491.494000000006</v>
      </c>
      <c r="AE49" s="109">
        <f>(AC49+AD49)*D49</f>
        <v>0</v>
      </c>
      <c r="AF49" s="109">
        <f>AC49*E49</f>
        <v>5729.4896400000007</v>
      </c>
      <c r="AG49" s="109">
        <f>AC49*F49</f>
        <v>29056.697460000003</v>
      </c>
      <c r="AH49" s="109">
        <v>154.22999999999999</v>
      </c>
      <c r="AI49" s="109">
        <f>((AA49*'CALCULO GERAL'!$C$11))*0.08+20</f>
        <v>2549.576</v>
      </c>
      <c r="AJ49" s="109">
        <v>1010</v>
      </c>
      <c r="AK49" s="109">
        <v>2500</v>
      </c>
      <c r="AL49" s="109">
        <f>(AA49*('CALCULO GERAL'!$C$11*1.02))-(AA49*'CALCULO GERAL'!$C$11)</f>
        <v>632.39400000000387</v>
      </c>
      <c r="AM49" s="109">
        <v>1800</v>
      </c>
      <c r="AN49" s="109">
        <v>2600</v>
      </c>
      <c r="AO49" s="109">
        <v>9400</v>
      </c>
      <c r="AP49" s="109">
        <v>1000</v>
      </c>
      <c r="AQ49" s="109">
        <v>0</v>
      </c>
      <c r="AR49" s="109">
        <v>0</v>
      </c>
      <c r="AS49" s="109"/>
      <c r="AT49" s="109">
        <f>SUM(AC49:AS49)</f>
        <v>424756.72110000002</v>
      </c>
      <c r="AU49" s="111">
        <f>IFERROR((AT49/N49),0)</f>
        <v>47.195191233333333</v>
      </c>
      <c r="AV49" s="109">
        <f>IFERROR((BS49*'CALCULO GERAL'!$E$11)/N49,0)</f>
        <v>1.294902</v>
      </c>
      <c r="AW49" s="109">
        <f>AU49/'CALCULO GERAL'!$C$11</f>
        <v>9.403305685063426</v>
      </c>
      <c r="AX49" s="109">
        <f>BP49-BB49-BD49*'CALCULO GERAL'!$C$11</f>
        <v>63.773923500000009</v>
      </c>
      <c r="AY49" s="109">
        <f>AX49*G49</f>
        <v>0.41453050275000003</v>
      </c>
      <c r="AZ49" s="109">
        <f>AX49*H49</f>
        <v>1.9132177050000001</v>
      </c>
      <c r="BA49" s="109">
        <f>BP49-BD49</f>
        <v>64.745100000000008</v>
      </c>
      <c r="BB49" s="109">
        <f>BA49*L49</f>
        <v>0.97117650000000011</v>
      </c>
      <c r="BC49" s="109">
        <f>BP49/(1+D49)</f>
        <v>64.745100000000008</v>
      </c>
      <c r="BD49" s="109">
        <f>BC49*D49</f>
        <v>0</v>
      </c>
      <c r="BE49" s="109">
        <f>BT49*0.08</f>
        <v>46616.472000000002</v>
      </c>
      <c r="BF49" s="109">
        <f>BT49*0.12</f>
        <v>69924.707999999999</v>
      </c>
      <c r="BG49" s="109">
        <f>(BF49*0.09)/N49</f>
        <v>0.69924708000000002</v>
      </c>
      <c r="BH49" s="109">
        <f>(BE49*0.15)/N49</f>
        <v>0.7769412</v>
      </c>
      <c r="BI49" s="109">
        <f>IF(BE49&gt;=$BX$1,($BX$1-BE49)*0.1,IF(BE49&lt;=$BX$1,($BX$1*0)))/N49</f>
        <v>0</v>
      </c>
      <c r="BJ49" s="109">
        <f>(AY49+AZ49+BB49+AV49+BD49+BG49+BH49+BI49)</f>
        <v>6.0700149877500014</v>
      </c>
      <c r="BK49" s="109">
        <f>BJ49+AU49</f>
        <v>53.265206221083332</v>
      </c>
      <c r="BL49" s="148">
        <v>0.74</v>
      </c>
      <c r="BM49" s="112">
        <f>ROUND((AW49/BL49)+((AW49*BL49)*'CALCULO GERAL'!$E$11)/BL49,2)</f>
        <v>12.9</v>
      </c>
      <c r="BN49" s="186">
        <f>BM49</f>
        <v>12.9</v>
      </c>
      <c r="BO49" s="186">
        <f>ROUND(FV(0.02,8,,BN49)*-1,3)</f>
        <v>15.114000000000001</v>
      </c>
      <c r="BP49" s="109">
        <f>BM49*'CALCULO GERAL'!$C$11</f>
        <v>64.745100000000008</v>
      </c>
      <c r="BQ49" s="109">
        <f>BO49*'CALCULO GERAL'!$C$11</f>
        <v>75.857166000000007</v>
      </c>
      <c r="BR49" s="186">
        <f>BN49*'CALCULO GERAL'!$C$11</f>
        <v>64.745100000000008</v>
      </c>
      <c r="BS49" s="109">
        <f>BP49*N49</f>
        <v>582705.9</v>
      </c>
      <c r="BT49" s="109">
        <f>BR49*N49</f>
        <v>582705.9</v>
      </c>
      <c r="BU49" s="109">
        <f>BK49*N49</f>
        <v>479386.85598975001</v>
      </c>
      <c r="BV49" s="109">
        <f>BS49-BU49</f>
        <v>103319.04401025001</v>
      </c>
      <c r="BW49" s="114">
        <f>(((BK49*N49)-BS49)/BS49*-1)</f>
        <v>0.17730907480128485</v>
      </c>
      <c r="BX49" s="152">
        <f>ROUND(BL49,2)</f>
        <v>0.74</v>
      </c>
      <c r="BZ49" s="55"/>
      <c r="CA49" s="113"/>
      <c r="CB49" s="113"/>
      <c r="CD49" s="152">
        <f>CB49/BX49</f>
        <v>0</v>
      </c>
      <c r="CE49" s="152">
        <f>100%-CD49</f>
        <v>1</v>
      </c>
      <c r="CF49" s="152">
        <f>AVERAGE(CE49,CC49)</f>
        <v>1</v>
      </c>
      <c r="CG49" s="34"/>
      <c r="CI49" s="11"/>
      <c r="CJ49" s="11"/>
    </row>
    <row r="50" spans="1:88" s="152" customFormat="1" ht="16" x14ac:dyDescent="0.2">
      <c r="A50" s="228" t="s">
        <v>193</v>
      </c>
      <c r="B50" s="187" t="s">
        <v>194</v>
      </c>
      <c r="C50" s="8">
        <v>0.35</v>
      </c>
      <c r="D50" s="8">
        <v>0</v>
      </c>
      <c r="E50" s="7">
        <v>2.1000000000000001E-2</v>
      </c>
      <c r="F50" s="7">
        <v>0.1065</v>
      </c>
      <c r="G50" s="1">
        <v>6.4999999999999997E-3</v>
      </c>
      <c r="H50" s="1">
        <v>0.03</v>
      </c>
      <c r="I50" s="1">
        <v>0.18</v>
      </c>
      <c r="J50" s="1">
        <v>0.04</v>
      </c>
      <c r="K50" s="1">
        <v>0.14000000000000001</v>
      </c>
      <c r="L50" s="1">
        <v>1.4999999999999999E-2</v>
      </c>
      <c r="M50" s="2" t="s">
        <v>175</v>
      </c>
      <c r="N50" s="105">
        <v>16000</v>
      </c>
      <c r="O50" s="119"/>
      <c r="P50" s="119"/>
      <c r="Q50" s="119"/>
      <c r="R50" s="119"/>
      <c r="S50" s="119"/>
      <c r="T50" s="119">
        <v>3.5</v>
      </c>
      <c r="U50" s="119"/>
      <c r="V50" s="205"/>
      <c r="W50" s="119"/>
      <c r="X50" s="119">
        <f t="shared" si="0"/>
        <v>3.5</v>
      </c>
      <c r="Y50" s="118">
        <f t="shared" si="1"/>
        <v>3.5</v>
      </c>
      <c r="Z50" s="109">
        <f t="shared" si="2"/>
        <v>56000</v>
      </c>
      <c r="AA50" s="109">
        <f>'CALCULO GERAL'!$G$10</f>
        <v>6300</v>
      </c>
      <c r="AB50" s="109">
        <f t="shared" si="3"/>
        <v>62300</v>
      </c>
      <c r="AC50" s="109">
        <f>AB50*'CALCULO GERAL'!$C$11</f>
        <v>312683.7</v>
      </c>
      <c r="AD50" s="109">
        <f t="shared" si="4"/>
        <v>109439.295</v>
      </c>
      <c r="AE50" s="109">
        <f t="shared" si="5"/>
        <v>0</v>
      </c>
      <c r="AF50" s="109">
        <f t="shared" si="6"/>
        <v>6566.3577000000005</v>
      </c>
      <c r="AG50" s="109">
        <f t="shared" si="7"/>
        <v>33300.814050000001</v>
      </c>
      <c r="AH50" s="109">
        <v>154.22999999999999</v>
      </c>
      <c r="AI50" s="109">
        <f>((AA50*'CALCULO GERAL'!$C$11))*0.08+20</f>
        <v>2549.576</v>
      </c>
      <c r="AJ50" s="109">
        <v>1010</v>
      </c>
      <c r="AK50" s="109">
        <v>2500</v>
      </c>
      <c r="AL50" s="109">
        <f>(AA50*('CALCULO GERAL'!$C$11*1.02))-(AA50*'CALCULO GERAL'!$C$11)</f>
        <v>632.39400000000387</v>
      </c>
      <c r="AM50" s="109">
        <v>1800</v>
      </c>
      <c r="AN50" s="109">
        <v>2600</v>
      </c>
      <c r="AO50" s="109">
        <v>9400</v>
      </c>
      <c r="AP50" s="109">
        <v>1000</v>
      </c>
      <c r="AQ50" s="109">
        <v>0</v>
      </c>
      <c r="AR50" s="109">
        <v>0</v>
      </c>
      <c r="AS50" s="109"/>
      <c r="AT50" s="109">
        <f t="shared" si="25"/>
        <v>483636.36674999999</v>
      </c>
      <c r="AU50" s="111">
        <f t="shared" si="8"/>
        <v>30.227272921874999</v>
      </c>
      <c r="AV50" s="109">
        <f>IFERROR((BS50*'CALCULO GERAL'!$E$11)/N50,0)</f>
        <v>0.82913880000000006</v>
      </c>
      <c r="AW50" s="109">
        <f>AU50/'CALCULO GERAL'!$C$11</f>
        <v>6.0225688228481769</v>
      </c>
      <c r="AX50" s="109">
        <f>BP50-BB50-BD50*'CALCULO GERAL'!$C$11</f>
        <v>40.835085900000003</v>
      </c>
      <c r="AY50" s="109">
        <f t="shared" si="9"/>
        <v>0.26542805835</v>
      </c>
      <c r="AZ50" s="109">
        <f t="shared" si="10"/>
        <v>1.225052577</v>
      </c>
      <c r="BA50" s="109">
        <f t="shared" si="11"/>
        <v>41.456940000000003</v>
      </c>
      <c r="BB50" s="109">
        <f t="shared" si="12"/>
        <v>0.62185410000000008</v>
      </c>
      <c r="BC50" s="109">
        <f t="shared" si="13"/>
        <v>41.456940000000003</v>
      </c>
      <c r="BD50" s="109">
        <f t="shared" si="14"/>
        <v>0</v>
      </c>
      <c r="BE50" s="109">
        <f t="shared" si="15"/>
        <v>53064.883200000004</v>
      </c>
      <c r="BF50" s="109">
        <f t="shared" si="16"/>
        <v>79597.324800000002</v>
      </c>
      <c r="BG50" s="109">
        <f t="shared" si="17"/>
        <v>0.44773495200000002</v>
      </c>
      <c r="BH50" s="109">
        <f t="shared" si="18"/>
        <v>0.49748328000000003</v>
      </c>
      <c r="BI50" s="109">
        <f t="shared" si="19"/>
        <v>0</v>
      </c>
      <c r="BJ50" s="109">
        <f t="shared" si="20"/>
        <v>3.8866917673500003</v>
      </c>
      <c r="BK50" s="109">
        <f t="shared" si="26"/>
        <v>34.113964689225</v>
      </c>
      <c r="BL50" s="148">
        <v>0.74</v>
      </c>
      <c r="BM50" s="112">
        <f>ROUND((AW50/BL50)+((AW50*BL50)*'CALCULO GERAL'!$E$11)/BL50,2)</f>
        <v>8.26</v>
      </c>
      <c r="BN50" s="186">
        <f t="shared" si="21"/>
        <v>8.26</v>
      </c>
      <c r="BO50" s="186">
        <f t="shared" si="27"/>
        <v>9.6780000000000008</v>
      </c>
      <c r="BP50" s="109">
        <f>BM50*'CALCULO GERAL'!$C$11</f>
        <v>41.456940000000003</v>
      </c>
      <c r="BQ50" s="109">
        <f>BO50*'CALCULO GERAL'!$C$11</f>
        <v>48.573882000000005</v>
      </c>
      <c r="BR50" s="186">
        <f>BN50*'CALCULO GERAL'!$C$11</f>
        <v>41.456940000000003</v>
      </c>
      <c r="BS50" s="109">
        <f t="shared" si="22"/>
        <v>663311.04</v>
      </c>
      <c r="BT50" s="109">
        <f t="shared" si="23"/>
        <v>663311.04</v>
      </c>
      <c r="BU50" s="109">
        <f t="shared" si="28"/>
        <v>545823.43502760003</v>
      </c>
      <c r="BV50" s="109">
        <f t="shared" si="29"/>
        <v>117487.6049724</v>
      </c>
      <c r="BW50" s="114">
        <f t="shared" si="24"/>
        <v>0.17712294517576549</v>
      </c>
      <c r="BX50" s="152">
        <f t="shared" si="30"/>
        <v>0.74</v>
      </c>
      <c r="BZ50" s="55"/>
      <c r="CA50" s="113"/>
      <c r="CB50" s="113"/>
      <c r="CD50" s="152">
        <f t="shared" si="31"/>
        <v>0</v>
      </c>
      <c r="CE50" s="152">
        <f t="shared" si="32"/>
        <v>1</v>
      </c>
      <c r="CF50" s="152">
        <f t="shared" si="33"/>
        <v>1</v>
      </c>
      <c r="CG50" s="34"/>
      <c r="CI50" s="11"/>
      <c r="CJ50" s="11"/>
    </row>
    <row r="51" spans="1:88" s="152" customFormat="1" ht="16" x14ac:dyDescent="0.2">
      <c r="A51" s="228" t="s">
        <v>195</v>
      </c>
      <c r="B51" s="187" t="s">
        <v>194</v>
      </c>
      <c r="C51" s="8">
        <v>0.35</v>
      </c>
      <c r="D51" s="8">
        <v>0</v>
      </c>
      <c r="E51" s="7">
        <v>2.1000000000000001E-2</v>
      </c>
      <c r="F51" s="7">
        <v>0.1065</v>
      </c>
      <c r="G51" s="1">
        <v>6.4999999999999997E-3</v>
      </c>
      <c r="H51" s="1">
        <v>0.03</v>
      </c>
      <c r="I51" s="1">
        <v>0.18</v>
      </c>
      <c r="J51" s="1">
        <v>0.04</v>
      </c>
      <c r="K51" s="1">
        <v>0.14000000000000001</v>
      </c>
      <c r="L51" s="1">
        <v>1.4999999999999999E-2</v>
      </c>
      <c r="M51" s="2" t="s">
        <v>175</v>
      </c>
      <c r="N51" s="105">
        <v>16000</v>
      </c>
      <c r="O51" s="119"/>
      <c r="P51" s="119"/>
      <c r="Q51" s="119"/>
      <c r="R51" s="119"/>
      <c r="S51" s="119"/>
      <c r="T51" s="119">
        <v>3.95</v>
      </c>
      <c r="U51" s="119"/>
      <c r="V51" s="205"/>
      <c r="W51" s="119"/>
      <c r="X51" s="119">
        <f t="shared" si="0"/>
        <v>3.95</v>
      </c>
      <c r="Y51" s="118">
        <f t="shared" si="1"/>
        <v>3.95</v>
      </c>
      <c r="Z51" s="109">
        <f t="shared" si="2"/>
        <v>63200</v>
      </c>
      <c r="AA51" s="109">
        <f>'CALCULO GERAL'!$G$10</f>
        <v>6300</v>
      </c>
      <c r="AB51" s="109">
        <f t="shared" si="3"/>
        <v>69500</v>
      </c>
      <c r="AC51" s="109">
        <f>AB51*'CALCULO GERAL'!$C$11</f>
        <v>348820.5</v>
      </c>
      <c r="AD51" s="109">
        <f t="shared" si="4"/>
        <v>122087.17499999999</v>
      </c>
      <c r="AE51" s="109">
        <f t="shared" si="5"/>
        <v>0</v>
      </c>
      <c r="AF51" s="109">
        <f t="shared" si="6"/>
        <v>7325.2305000000006</v>
      </c>
      <c r="AG51" s="109">
        <f t="shared" si="7"/>
        <v>37149.383249999999</v>
      </c>
      <c r="AH51" s="109">
        <v>154.22999999999999</v>
      </c>
      <c r="AI51" s="109">
        <f>((AA51*'CALCULO GERAL'!$C$11))*0.08+20</f>
        <v>2549.576</v>
      </c>
      <c r="AJ51" s="109">
        <v>1010</v>
      </c>
      <c r="AK51" s="109">
        <v>2500</v>
      </c>
      <c r="AL51" s="109">
        <f>(AA51*('CALCULO GERAL'!$C$11*1.02))-(AA51*'CALCULO GERAL'!$C$11)</f>
        <v>632.39400000000387</v>
      </c>
      <c r="AM51" s="109">
        <v>1800</v>
      </c>
      <c r="AN51" s="109">
        <v>2600</v>
      </c>
      <c r="AO51" s="109">
        <v>9400</v>
      </c>
      <c r="AP51" s="109">
        <v>1000</v>
      </c>
      <c r="AQ51" s="109">
        <v>0</v>
      </c>
      <c r="AR51" s="109">
        <v>0</v>
      </c>
      <c r="AS51" s="109"/>
      <c r="AT51" s="109">
        <f t="shared" si="25"/>
        <v>537028.48875000002</v>
      </c>
      <c r="AU51" s="111">
        <f t="shared" si="8"/>
        <v>33.564280546875004</v>
      </c>
      <c r="AV51" s="109">
        <f>IFERROR((BS51*'CALCULO GERAL'!$E$11)/N51,0)</f>
        <v>0.9204846000000001</v>
      </c>
      <c r="AW51" s="109">
        <f>AU51/'CALCULO GERAL'!$C$11</f>
        <v>6.6874438228481772</v>
      </c>
      <c r="AX51" s="109">
        <f>BP51-BB51-BD51*'CALCULO GERAL'!$C$11</f>
        <v>45.333866550000003</v>
      </c>
      <c r="AY51" s="109">
        <f t="shared" si="9"/>
        <v>0.29467013257500002</v>
      </c>
      <c r="AZ51" s="109">
        <f t="shared" si="10"/>
        <v>1.3600159965</v>
      </c>
      <c r="BA51" s="109">
        <f t="shared" si="11"/>
        <v>46.024230000000003</v>
      </c>
      <c r="BB51" s="109">
        <f t="shared" si="12"/>
        <v>0.69036344999999999</v>
      </c>
      <c r="BC51" s="109">
        <f t="shared" si="13"/>
        <v>46.024230000000003</v>
      </c>
      <c r="BD51" s="109">
        <f t="shared" si="14"/>
        <v>0</v>
      </c>
      <c r="BE51" s="109">
        <f t="shared" si="15"/>
        <v>58911.014400000007</v>
      </c>
      <c r="BF51" s="109">
        <f t="shared" si="16"/>
        <v>88366.521600000007</v>
      </c>
      <c r="BG51" s="109">
        <f t="shared" si="17"/>
        <v>0.497061684</v>
      </c>
      <c r="BH51" s="109">
        <f t="shared" si="18"/>
        <v>0.5522907600000001</v>
      </c>
      <c r="BI51" s="109">
        <f t="shared" si="19"/>
        <v>0</v>
      </c>
      <c r="BJ51" s="109">
        <f t="shared" si="20"/>
        <v>4.314886623075</v>
      </c>
      <c r="BK51" s="109">
        <f t="shared" si="26"/>
        <v>37.879167169950001</v>
      </c>
      <c r="BL51" s="148">
        <v>0.74</v>
      </c>
      <c r="BM51" s="112">
        <f>ROUND((AW51/BL51)+((AW51*BL51)*'CALCULO GERAL'!$E$11)/BL51,2)</f>
        <v>9.17</v>
      </c>
      <c r="BN51" s="186">
        <f t="shared" si="21"/>
        <v>9.17</v>
      </c>
      <c r="BO51" s="186">
        <f t="shared" si="27"/>
        <v>10.744</v>
      </c>
      <c r="BP51" s="109">
        <f>BM51*'CALCULO GERAL'!$C$11</f>
        <v>46.024230000000003</v>
      </c>
      <c r="BQ51" s="109">
        <f>BO51*'CALCULO GERAL'!$C$11</f>
        <v>53.924135999999997</v>
      </c>
      <c r="BR51" s="186">
        <f>BN51*'CALCULO GERAL'!$C$11</f>
        <v>46.024230000000003</v>
      </c>
      <c r="BS51" s="109">
        <f t="shared" si="22"/>
        <v>736387.68</v>
      </c>
      <c r="BT51" s="109">
        <f t="shared" si="23"/>
        <v>736387.68</v>
      </c>
      <c r="BU51" s="109">
        <f t="shared" si="28"/>
        <v>606066.6747192</v>
      </c>
      <c r="BV51" s="109">
        <f t="shared" si="29"/>
        <v>130321.00528080005</v>
      </c>
      <c r="BW51" s="114">
        <f t="shared" si="24"/>
        <v>0.17697336446584772</v>
      </c>
      <c r="BX51" s="152">
        <f t="shared" si="30"/>
        <v>0.74</v>
      </c>
      <c r="BZ51" s="55"/>
      <c r="CA51" s="113"/>
      <c r="CB51" s="113"/>
      <c r="CD51" s="152">
        <f t="shared" si="31"/>
        <v>0</v>
      </c>
      <c r="CE51" s="152">
        <f t="shared" si="32"/>
        <v>1</v>
      </c>
      <c r="CF51" s="152">
        <f t="shared" si="33"/>
        <v>1</v>
      </c>
      <c r="CG51" s="34"/>
      <c r="CI51" s="11"/>
      <c r="CJ51" s="11"/>
    </row>
    <row r="52" spans="1:88" s="152" customFormat="1" ht="16" x14ac:dyDescent="0.2">
      <c r="A52" s="228" t="s">
        <v>196</v>
      </c>
      <c r="B52" s="187" t="s">
        <v>194</v>
      </c>
      <c r="C52" s="8">
        <v>0.35</v>
      </c>
      <c r="D52" s="8">
        <v>0</v>
      </c>
      <c r="E52" s="7">
        <v>2.1000000000000001E-2</v>
      </c>
      <c r="F52" s="7">
        <v>0.1065</v>
      </c>
      <c r="G52" s="1">
        <v>6.4999999999999997E-3</v>
      </c>
      <c r="H52" s="1">
        <v>0.03</v>
      </c>
      <c r="I52" s="1">
        <v>0.18</v>
      </c>
      <c r="J52" s="1">
        <v>0.04</v>
      </c>
      <c r="K52" s="1">
        <v>0.14000000000000001</v>
      </c>
      <c r="L52" s="1">
        <v>1.4999999999999999E-2</v>
      </c>
      <c r="M52" s="2" t="s">
        <v>175</v>
      </c>
      <c r="N52" s="105">
        <v>16000</v>
      </c>
      <c r="O52" s="119"/>
      <c r="P52" s="119"/>
      <c r="Q52" s="119"/>
      <c r="R52" s="119"/>
      <c r="S52" s="119"/>
      <c r="T52" s="119">
        <v>4.42</v>
      </c>
      <c r="U52" s="119"/>
      <c r="V52" s="205"/>
      <c r="W52" s="119"/>
      <c r="X52" s="119">
        <f t="shared" si="0"/>
        <v>4.42</v>
      </c>
      <c r="Y52" s="118">
        <f t="shared" si="1"/>
        <v>4.42</v>
      </c>
      <c r="Z52" s="109">
        <f t="shared" si="2"/>
        <v>70720</v>
      </c>
      <c r="AA52" s="109">
        <f>'CALCULO GERAL'!$G$10</f>
        <v>6300</v>
      </c>
      <c r="AB52" s="109">
        <f t="shared" si="3"/>
        <v>77020</v>
      </c>
      <c r="AC52" s="109">
        <f>AB52*'CALCULO GERAL'!$C$11</f>
        <v>386563.38</v>
      </c>
      <c r="AD52" s="109">
        <f t="shared" si="4"/>
        <v>135297.18299999999</v>
      </c>
      <c r="AE52" s="109">
        <f t="shared" si="5"/>
        <v>0</v>
      </c>
      <c r="AF52" s="109">
        <f t="shared" si="6"/>
        <v>8117.8309800000006</v>
      </c>
      <c r="AG52" s="109">
        <f t="shared" si="7"/>
        <v>41168.999969999997</v>
      </c>
      <c r="AH52" s="109">
        <v>154.22999999999999</v>
      </c>
      <c r="AI52" s="109">
        <f>((AA52*'CALCULO GERAL'!$C$11))*0.08+20</f>
        <v>2549.576</v>
      </c>
      <c r="AJ52" s="109">
        <v>1010</v>
      </c>
      <c r="AK52" s="109">
        <v>2500</v>
      </c>
      <c r="AL52" s="109">
        <f>(AA52*('CALCULO GERAL'!$C$11*1.02))-(AA52*'CALCULO GERAL'!$C$11)</f>
        <v>632.39400000000387</v>
      </c>
      <c r="AM52" s="109">
        <v>1800</v>
      </c>
      <c r="AN52" s="109">
        <v>2600</v>
      </c>
      <c r="AO52" s="109">
        <v>9400</v>
      </c>
      <c r="AP52" s="109">
        <v>1000</v>
      </c>
      <c r="AQ52" s="109">
        <v>0</v>
      </c>
      <c r="AR52" s="109">
        <v>0</v>
      </c>
      <c r="AS52" s="109"/>
      <c r="AT52" s="109">
        <f t="shared" si="25"/>
        <v>592793.59394999989</v>
      </c>
      <c r="AU52" s="111">
        <f t="shared" si="8"/>
        <v>37.049599621874997</v>
      </c>
      <c r="AV52" s="109">
        <f>IFERROR((BS52*'CALCULO GERAL'!$E$11)/N52,0)</f>
        <v>1.0158456</v>
      </c>
      <c r="AW52" s="109">
        <f>AU52/'CALCULO GERAL'!$C$11</f>
        <v>7.3818688228481761</v>
      </c>
      <c r="AX52" s="109">
        <f>BP52-BB52-BD52*'CALCULO GERAL'!$C$11</f>
        <v>50.030395800000001</v>
      </c>
      <c r="AY52" s="109">
        <f t="shared" si="9"/>
        <v>0.32519757269999999</v>
      </c>
      <c r="AZ52" s="109">
        <f t="shared" si="10"/>
        <v>1.500911874</v>
      </c>
      <c r="BA52" s="109">
        <f t="shared" si="11"/>
        <v>50.792279999999998</v>
      </c>
      <c r="BB52" s="109">
        <f t="shared" si="12"/>
        <v>0.7618841999999999</v>
      </c>
      <c r="BC52" s="109">
        <f t="shared" si="13"/>
        <v>50.792279999999998</v>
      </c>
      <c r="BD52" s="109">
        <f t="shared" si="14"/>
        <v>0</v>
      </c>
      <c r="BE52" s="109">
        <f t="shared" si="15"/>
        <v>65014.118399999999</v>
      </c>
      <c r="BF52" s="109">
        <f t="shared" si="16"/>
        <v>97521.177599999995</v>
      </c>
      <c r="BG52" s="109">
        <f t="shared" si="17"/>
        <v>0.54855662399999994</v>
      </c>
      <c r="BH52" s="109">
        <f t="shared" si="18"/>
        <v>0.60950735999999994</v>
      </c>
      <c r="BI52" s="109">
        <f t="shared" si="19"/>
        <v>-3.1338302500000012E-2</v>
      </c>
      <c r="BJ52" s="109">
        <f t="shared" si="20"/>
        <v>4.7305649282000006</v>
      </c>
      <c r="BK52" s="109">
        <f t="shared" si="26"/>
        <v>41.780164550075</v>
      </c>
      <c r="BL52" s="148">
        <v>0.74</v>
      </c>
      <c r="BM52" s="112">
        <f>ROUND((AW52/BL52)+((AW52*BL52)*'CALCULO GERAL'!$E$11)/BL52,2)</f>
        <v>10.119999999999999</v>
      </c>
      <c r="BN52" s="186">
        <f t="shared" si="21"/>
        <v>10.119999999999999</v>
      </c>
      <c r="BO52" s="186">
        <f t="shared" si="27"/>
        <v>11.856999999999999</v>
      </c>
      <c r="BP52" s="109">
        <f>BM52*'CALCULO GERAL'!$C$11</f>
        <v>50.792279999999998</v>
      </c>
      <c r="BQ52" s="109">
        <f>BO52*'CALCULO GERAL'!$C$11</f>
        <v>59.510283000000001</v>
      </c>
      <c r="BR52" s="186">
        <f>BN52*'CALCULO GERAL'!$C$11</f>
        <v>50.792279999999998</v>
      </c>
      <c r="BS52" s="109">
        <f t="shared" si="22"/>
        <v>812676.48</v>
      </c>
      <c r="BT52" s="109">
        <f t="shared" si="23"/>
        <v>812676.48</v>
      </c>
      <c r="BU52" s="109">
        <f t="shared" si="28"/>
        <v>668482.63280120003</v>
      </c>
      <c r="BV52" s="109">
        <f t="shared" si="29"/>
        <v>144193.84719879995</v>
      </c>
      <c r="BW52" s="114">
        <f t="shared" si="24"/>
        <v>0.17743081133441926</v>
      </c>
      <c r="BX52" s="152">
        <f t="shared" si="30"/>
        <v>0.74</v>
      </c>
      <c r="BZ52" s="55"/>
      <c r="CA52" s="113"/>
      <c r="CB52" s="113"/>
      <c r="CD52" s="152">
        <f t="shared" si="31"/>
        <v>0</v>
      </c>
      <c r="CE52" s="152">
        <f t="shared" si="32"/>
        <v>1</v>
      </c>
      <c r="CF52" s="152">
        <f t="shared" si="33"/>
        <v>1</v>
      </c>
      <c r="CG52" s="34"/>
      <c r="CI52" s="11"/>
      <c r="CJ52" s="11"/>
    </row>
    <row r="53" spans="1:88" s="152" customFormat="1" ht="16" x14ac:dyDescent="0.2">
      <c r="A53" s="228" t="s">
        <v>197</v>
      </c>
      <c r="B53" s="187" t="s">
        <v>194</v>
      </c>
      <c r="C53" s="8">
        <v>0.35</v>
      </c>
      <c r="D53" s="8">
        <v>0</v>
      </c>
      <c r="E53" s="7">
        <v>2.1000000000000001E-2</v>
      </c>
      <c r="F53" s="7">
        <v>0.1065</v>
      </c>
      <c r="G53" s="1">
        <v>6.4999999999999997E-3</v>
      </c>
      <c r="H53" s="1">
        <v>0.03</v>
      </c>
      <c r="I53" s="1">
        <v>0.18</v>
      </c>
      <c r="J53" s="1">
        <v>0.04</v>
      </c>
      <c r="K53" s="1">
        <v>0.14000000000000001</v>
      </c>
      <c r="L53" s="1">
        <v>1.4999999999999999E-2</v>
      </c>
      <c r="M53" s="2" t="s">
        <v>175</v>
      </c>
      <c r="N53" s="105">
        <v>16000</v>
      </c>
      <c r="O53" s="119"/>
      <c r="P53" s="119"/>
      <c r="Q53" s="119"/>
      <c r="R53" s="119"/>
      <c r="S53" s="119"/>
      <c r="T53" s="119">
        <v>5.0599999999999996</v>
      </c>
      <c r="U53" s="119"/>
      <c r="V53" s="205"/>
      <c r="W53" s="119"/>
      <c r="X53" s="119">
        <f t="shared" si="0"/>
        <v>5.0599999999999996</v>
      </c>
      <c r="Y53" s="118">
        <f t="shared" si="1"/>
        <v>5.0599999999999996</v>
      </c>
      <c r="Z53" s="109">
        <f t="shared" si="2"/>
        <v>80960</v>
      </c>
      <c r="AA53" s="109">
        <f>'CALCULO GERAL'!$G$10</f>
        <v>6300</v>
      </c>
      <c r="AB53" s="109">
        <f t="shared" si="3"/>
        <v>87260</v>
      </c>
      <c r="AC53" s="109">
        <f>AB53*'CALCULO GERAL'!$C$11</f>
        <v>437957.94</v>
      </c>
      <c r="AD53" s="109">
        <f t="shared" si="4"/>
        <v>153285.27899999998</v>
      </c>
      <c r="AE53" s="109">
        <f t="shared" si="5"/>
        <v>0</v>
      </c>
      <c r="AF53" s="109">
        <f t="shared" si="6"/>
        <v>9197.1167400000013</v>
      </c>
      <c r="AG53" s="109">
        <f t="shared" si="7"/>
        <v>46642.52061</v>
      </c>
      <c r="AH53" s="109">
        <v>154.22999999999999</v>
      </c>
      <c r="AI53" s="109">
        <f>((AA53*'CALCULO GERAL'!$C$11))*0.08+20</f>
        <v>2549.576</v>
      </c>
      <c r="AJ53" s="109">
        <v>1010</v>
      </c>
      <c r="AK53" s="109">
        <v>2500</v>
      </c>
      <c r="AL53" s="109">
        <f>(AA53*('CALCULO GERAL'!$C$11*1.02))-(AA53*'CALCULO GERAL'!$C$11)</f>
        <v>632.39400000000387</v>
      </c>
      <c r="AM53" s="109">
        <v>1800</v>
      </c>
      <c r="AN53" s="109">
        <v>2600</v>
      </c>
      <c r="AO53" s="109">
        <v>9400</v>
      </c>
      <c r="AP53" s="109">
        <v>1000</v>
      </c>
      <c r="AQ53" s="109">
        <v>0</v>
      </c>
      <c r="AR53" s="109">
        <v>0</v>
      </c>
      <c r="AS53" s="109"/>
      <c r="AT53" s="109">
        <f t="shared" si="25"/>
        <v>668729.05634999997</v>
      </c>
      <c r="AU53" s="111">
        <f t="shared" si="8"/>
        <v>41.795566021874997</v>
      </c>
      <c r="AV53" s="109">
        <f>IFERROR((BS53*'CALCULO GERAL'!$E$11)/N53,0)</f>
        <v>1.1463396000000001</v>
      </c>
      <c r="AW53" s="109">
        <f>AU53/'CALCULO GERAL'!$C$11</f>
        <v>8.3274688228481768</v>
      </c>
      <c r="AX53" s="109">
        <f>BP53-BB53-BD53*'CALCULO GERAL'!$C$11</f>
        <v>56.457225299999998</v>
      </c>
      <c r="AY53" s="109">
        <f t="shared" si="9"/>
        <v>0.36697196444999997</v>
      </c>
      <c r="AZ53" s="109">
        <f t="shared" si="10"/>
        <v>1.693716759</v>
      </c>
      <c r="BA53" s="109">
        <f t="shared" si="11"/>
        <v>57.316980000000001</v>
      </c>
      <c r="BB53" s="109">
        <f t="shared" si="12"/>
        <v>0.85975469999999998</v>
      </c>
      <c r="BC53" s="109">
        <f t="shared" si="13"/>
        <v>57.316980000000001</v>
      </c>
      <c r="BD53" s="109">
        <f t="shared" si="14"/>
        <v>0</v>
      </c>
      <c r="BE53" s="109">
        <f t="shared" si="15"/>
        <v>73365.734400000001</v>
      </c>
      <c r="BF53" s="109">
        <f t="shared" si="16"/>
        <v>110048.60160000001</v>
      </c>
      <c r="BG53" s="109">
        <f t="shared" si="17"/>
        <v>0.61902338400000012</v>
      </c>
      <c r="BH53" s="109">
        <f t="shared" si="18"/>
        <v>0.68780375999999999</v>
      </c>
      <c r="BI53" s="109">
        <f t="shared" si="19"/>
        <v>-8.3535902500000023E-2</v>
      </c>
      <c r="BJ53" s="109">
        <f t="shared" si="20"/>
        <v>5.2900742649499994</v>
      </c>
      <c r="BK53" s="109">
        <f t="shared" si="26"/>
        <v>47.085640286824997</v>
      </c>
      <c r="BL53" s="148">
        <v>0.74</v>
      </c>
      <c r="BM53" s="112">
        <f>ROUND((AW53/BL53)+((AW53*BL53)*'CALCULO GERAL'!$E$11)/BL53,2)</f>
        <v>11.42</v>
      </c>
      <c r="BN53" s="186">
        <f t="shared" si="21"/>
        <v>11.42</v>
      </c>
      <c r="BO53" s="186">
        <f t="shared" si="27"/>
        <v>13.38</v>
      </c>
      <c r="BP53" s="109">
        <f>BM53*'CALCULO GERAL'!$C$11</f>
        <v>57.316980000000001</v>
      </c>
      <c r="BQ53" s="109">
        <f>BO53*'CALCULO GERAL'!$C$11</f>
        <v>67.154220000000009</v>
      </c>
      <c r="BR53" s="186">
        <f>BN53*'CALCULO GERAL'!$C$11</f>
        <v>57.316980000000001</v>
      </c>
      <c r="BS53" s="109">
        <f t="shared" si="22"/>
        <v>917071.68</v>
      </c>
      <c r="BT53" s="109">
        <f t="shared" si="23"/>
        <v>917071.68</v>
      </c>
      <c r="BU53" s="109">
        <f t="shared" si="28"/>
        <v>753370.24458920001</v>
      </c>
      <c r="BV53" s="109">
        <f t="shared" si="29"/>
        <v>163701.43541080004</v>
      </c>
      <c r="BW53" s="114">
        <f t="shared" si="24"/>
        <v>0.17850451494783923</v>
      </c>
      <c r="BX53" s="152">
        <f t="shared" si="30"/>
        <v>0.74</v>
      </c>
      <c r="BZ53" s="55"/>
      <c r="CA53" s="113"/>
      <c r="CB53" s="113"/>
      <c r="CD53" s="152">
        <f t="shared" si="31"/>
        <v>0</v>
      </c>
      <c r="CE53" s="152">
        <f t="shared" si="32"/>
        <v>1</v>
      </c>
      <c r="CF53" s="152">
        <f t="shared" si="33"/>
        <v>1</v>
      </c>
      <c r="CG53" s="34"/>
      <c r="CI53" s="11"/>
      <c r="CJ53" s="11"/>
    </row>
    <row r="54" spans="1:88" s="152" customFormat="1" ht="16" x14ac:dyDescent="0.2">
      <c r="A54" s="228" t="s">
        <v>516</v>
      </c>
      <c r="B54" s="187" t="s">
        <v>194</v>
      </c>
      <c r="C54" s="8">
        <v>0.35</v>
      </c>
      <c r="D54" s="8">
        <v>0</v>
      </c>
      <c r="E54" s="7">
        <v>2.1000000000000001E-2</v>
      </c>
      <c r="F54" s="7">
        <v>0.1065</v>
      </c>
      <c r="G54" s="1">
        <v>6.4999999999999997E-3</v>
      </c>
      <c r="H54" s="1">
        <v>0.03</v>
      </c>
      <c r="I54" s="1">
        <v>0.18</v>
      </c>
      <c r="J54" s="1">
        <v>0.04</v>
      </c>
      <c r="K54" s="1">
        <v>0.14000000000000001</v>
      </c>
      <c r="L54" s="1">
        <v>1.4999999999999999E-2</v>
      </c>
      <c r="M54" s="2" t="s">
        <v>175</v>
      </c>
      <c r="N54" s="105">
        <v>16000</v>
      </c>
      <c r="O54" s="119"/>
      <c r="P54" s="119"/>
      <c r="Q54" s="119"/>
      <c r="R54" s="119"/>
      <c r="S54" s="119"/>
      <c r="T54" s="119">
        <v>5.01</v>
      </c>
      <c r="U54" s="119"/>
      <c r="V54" s="205"/>
      <c r="W54" s="119"/>
      <c r="X54" s="119">
        <f t="shared" si="0"/>
        <v>5.01</v>
      </c>
      <c r="Y54" s="118">
        <f t="shared" si="1"/>
        <v>5.01</v>
      </c>
      <c r="Z54" s="109">
        <f t="shared" si="2"/>
        <v>80160</v>
      </c>
      <c r="AA54" s="109">
        <f>'CALCULO GERAL'!$G$10</f>
        <v>6300</v>
      </c>
      <c r="AB54" s="109">
        <f t="shared" si="3"/>
        <v>86460</v>
      </c>
      <c r="AC54" s="109">
        <f>AB54*'CALCULO GERAL'!$C$11</f>
        <v>433942.74</v>
      </c>
      <c r="AD54" s="109">
        <f t="shared" si="4"/>
        <v>151879.95899999997</v>
      </c>
      <c r="AE54" s="109">
        <f t="shared" si="5"/>
        <v>0</v>
      </c>
      <c r="AF54" s="109">
        <f t="shared" si="6"/>
        <v>9112.7975399999996</v>
      </c>
      <c r="AG54" s="109">
        <f t="shared" si="7"/>
        <v>46214.901809999996</v>
      </c>
      <c r="AH54" s="109">
        <v>154.22999999999999</v>
      </c>
      <c r="AI54" s="109">
        <f>((AA54*'CALCULO GERAL'!$C$11))*0.08+20</f>
        <v>2549.576</v>
      </c>
      <c r="AJ54" s="109">
        <v>1010</v>
      </c>
      <c r="AK54" s="109">
        <v>2500</v>
      </c>
      <c r="AL54" s="109">
        <f>(AA54*('CALCULO GERAL'!$C$11*1.02))-(AA54*'CALCULO GERAL'!$C$11)</f>
        <v>632.39400000000387</v>
      </c>
      <c r="AM54" s="109">
        <v>1800</v>
      </c>
      <c r="AN54" s="109">
        <v>2600</v>
      </c>
      <c r="AO54" s="109">
        <v>9400</v>
      </c>
      <c r="AP54" s="109">
        <v>1000</v>
      </c>
      <c r="AQ54" s="109">
        <v>0</v>
      </c>
      <c r="AR54" s="109">
        <v>0</v>
      </c>
      <c r="AS54" s="109"/>
      <c r="AT54" s="109">
        <f t="shared" si="25"/>
        <v>662796.59834999987</v>
      </c>
      <c r="AU54" s="111">
        <f t="shared" si="8"/>
        <v>41.42478739687499</v>
      </c>
      <c r="AV54" s="109">
        <f>IFERROR((BS54*'CALCULO GERAL'!$E$11)/N54,0)</f>
        <v>1.1363015999999999</v>
      </c>
      <c r="AW54" s="109">
        <f>AU54/'CALCULO GERAL'!$C$11</f>
        <v>8.253593822848174</v>
      </c>
      <c r="AX54" s="109">
        <f>BP54-BB54-BD54*'CALCULO GERAL'!$C$11</f>
        <v>55.962853800000005</v>
      </c>
      <c r="AY54" s="109">
        <f t="shared" si="9"/>
        <v>0.36375854969999999</v>
      </c>
      <c r="AZ54" s="109">
        <f t="shared" si="10"/>
        <v>1.6788856140000001</v>
      </c>
      <c r="BA54" s="109">
        <f t="shared" si="11"/>
        <v>56.815080000000002</v>
      </c>
      <c r="BB54" s="109">
        <f t="shared" si="12"/>
        <v>0.85222620000000004</v>
      </c>
      <c r="BC54" s="109">
        <f t="shared" si="13"/>
        <v>56.815080000000002</v>
      </c>
      <c r="BD54" s="109">
        <f t="shared" si="14"/>
        <v>0</v>
      </c>
      <c r="BE54" s="109">
        <f t="shared" si="15"/>
        <v>72723.3024</v>
      </c>
      <c r="BF54" s="109">
        <f t="shared" si="16"/>
        <v>109084.95359999999</v>
      </c>
      <c r="BG54" s="109">
        <f t="shared" si="17"/>
        <v>0.61360286399999997</v>
      </c>
      <c r="BH54" s="109">
        <f t="shared" si="18"/>
        <v>0.68178095999999999</v>
      </c>
      <c r="BI54" s="109">
        <f t="shared" si="19"/>
        <v>-7.9520702500000026E-2</v>
      </c>
      <c r="BJ54" s="109">
        <f t="shared" si="20"/>
        <v>5.2470350852000003</v>
      </c>
      <c r="BK54" s="109">
        <f t="shared" si="26"/>
        <v>46.671822482074987</v>
      </c>
      <c r="BL54" s="148">
        <v>0.74</v>
      </c>
      <c r="BM54" s="112">
        <f>ROUND((AW54/BL54)+((AW54*BL54)*'CALCULO GERAL'!$E$11)/BL54,2)</f>
        <v>11.32</v>
      </c>
      <c r="BN54" s="186">
        <f t="shared" si="21"/>
        <v>11.32</v>
      </c>
      <c r="BO54" s="186">
        <f t="shared" si="27"/>
        <v>13.263</v>
      </c>
      <c r="BP54" s="109">
        <f>BM54*'CALCULO GERAL'!$C$11</f>
        <v>56.815080000000002</v>
      </c>
      <c r="BQ54" s="109">
        <f>BO54*'CALCULO GERAL'!$C$11</f>
        <v>66.566997000000001</v>
      </c>
      <c r="BR54" s="186">
        <f>BN54*'CALCULO GERAL'!$C$11</f>
        <v>56.815080000000002</v>
      </c>
      <c r="BS54" s="109">
        <f t="shared" si="22"/>
        <v>909041.28</v>
      </c>
      <c r="BT54" s="109">
        <f t="shared" si="23"/>
        <v>909041.28</v>
      </c>
      <c r="BU54" s="109">
        <f t="shared" si="28"/>
        <v>746749.15971319983</v>
      </c>
      <c r="BV54" s="109">
        <f t="shared" si="29"/>
        <v>162292.1202868002</v>
      </c>
      <c r="BW54" s="114">
        <f t="shared" si="24"/>
        <v>0.17853107868412774</v>
      </c>
      <c r="BX54" s="152">
        <f t="shared" si="30"/>
        <v>0.74</v>
      </c>
      <c r="BZ54" s="55"/>
      <c r="CA54" s="113"/>
      <c r="CB54" s="113"/>
      <c r="CD54" s="152">
        <f t="shared" si="31"/>
        <v>0</v>
      </c>
      <c r="CE54" s="152">
        <f t="shared" si="32"/>
        <v>1</v>
      </c>
      <c r="CF54" s="152">
        <f t="shared" si="33"/>
        <v>1</v>
      </c>
      <c r="CG54" s="34"/>
      <c r="CI54" s="11"/>
      <c r="CJ54" s="11"/>
    </row>
    <row r="55" spans="1:88" s="152" customFormat="1" ht="16" x14ac:dyDescent="0.2">
      <c r="A55" s="228" t="s">
        <v>517</v>
      </c>
      <c r="B55" s="187" t="s">
        <v>194</v>
      </c>
      <c r="C55" s="8">
        <v>0.35</v>
      </c>
      <c r="D55" s="8">
        <v>0</v>
      </c>
      <c r="E55" s="7">
        <v>2.1000000000000001E-2</v>
      </c>
      <c r="F55" s="7">
        <v>0.1065</v>
      </c>
      <c r="G55" s="1">
        <v>6.4999999999999997E-3</v>
      </c>
      <c r="H55" s="1">
        <v>0.03</v>
      </c>
      <c r="I55" s="1">
        <v>0.18</v>
      </c>
      <c r="J55" s="1">
        <v>0.04</v>
      </c>
      <c r="K55" s="1">
        <v>0.14000000000000001</v>
      </c>
      <c r="L55" s="1">
        <v>1.4999999999999999E-2</v>
      </c>
      <c r="M55" s="2" t="s">
        <v>175</v>
      </c>
      <c r="N55" s="105">
        <v>16000</v>
      </c>
      <c r="O55" s="119"/>
      <c r="P55" s="119"/>
      <c r="Q55" s="119"/>
      <c r="R55" s="119"/>
      <c r="S55" s="119"/>
      <c r="T55" s="119">
        <v>5.58</v>
      </c>
      <c r="U55" s="119"/>
      <c r="V55" s="205"/>
      <c r="W55" s="119"/>
      <c r="X55" s="119">
        <f t="shared" si="0"/>
        <v>5.58</v>
      </c>
      <c r="Y55" s="118">
        <f t="shared" si="1"/>
        <v>5.58</v>
      </c>
      <c r="Z55" s="109">
        <f t="shared" si="2"/>
        <v>89280</v>
      </c>
      <c r="AA55" s="109">
        <f>'CALCULO GERAL'!$G$10</f>
        <v>6300</v>
      </c>
      <c r="AB55" s="109">
        <f t="shared" si="3"/>
        <v>95580</v>
      </c>
      <c r="AC55" s="109">
        <f>AB55*'CALCULO GERAL'!$C$11</f>
        <v>479716.02</v>
      </c>
      <c r="AD55" s="109">
        <f t="shared" si="4"/>
        <v>167900.60699999999</v>
      </c>
      <c r="AE55" s="109">
        <f t="shared" si="5"/>
        <v>0</v>
      </c>
      <c r="AF55" s="109">
        <f t="shared" si="6"/>
        <v>10074.03642</v>
      </c>
      <c r="AG55" s="109">
        <f t="shared" si="7"/>
        <v>51089.756130000002</v>
      </c>
      <c r="AH55" s="109">
        <v>154.22999999999999</v>
      </c>
      <c r="AI55" s="109">
        <f>((AA55*'CALCULO GERAL'!$C$11))*0.08+20</f>
        <v>2549.576</v>
      </c>
      <c r="AJ55" s="109">
        <v>1010</v>
      </c>
      <c r="AK55" s="109">
        <v>2500</v>
      </c>
      <c r="AL55" s="109">
        <f>(AA55*('CALCULO GERAL'!$C$11*1.02))-(AA55*'CALCULO GERAL'!$C$11)</f>
        <v>632.39400000000387</v>
      </c>
      <c r="AM55" s="109">
        <v>1800</v>
      </c>
      <c r="AN55" s="109">
        <v>2600</v>
      </c>
      <c r="AO55" s="109">
        <v>9400</v>
      </c>
      <c r="AP55" s="109">
        <v>1000</v>
      </c>
      <c r="AQ55" s="109">
        <v>0</v>
      </c>
      <c r="AR55" s="109">
        <v>0</v>
      </c>
      <c r="AS55" s="109"/>
      <c r="AT55" s="109">
        <f t="shared" si="25"/>
        <v>730426.61954999994</v>
      </c>
      <c r="AU55" s="111">
        <f t="shared" si="8"/>
        <v>45.651663721874996</v>
      </c>
      <c r="AV55" s="109">
        <f>IFERROR((BS55*'CALCULO GERAL'!$E$11)/N55,0)</f>
        <v>1.2517386000000001</v>
      </c>
      <c r="AW55" s="109">
        <f>AU55/'CALCULO GERAL'!$C$11</f>
        <v>9.0957688228481768</v>
      </c>
      <c r="AX55" s="109">
        <f>BP55-BB55-BD55*'CALCULO GERAL'!$C$11</f>
        <v>61.648126050000002</v>
      </c>
      <c r="AY55" s="109">
        <f t="shared" si="9"/>
        <v>0.40071281932499997</v>
      </c>
      <c r="AZ55" s="109">
        <f t="shared" si="10"/>
        <v>1.8494437815</v>
      </c>
      <c r="BA55" s="109">
        <f t="shared" si="11"/>
        <v>62.586930000000002</v>
      </c>
      <c r="BB55" s="109">
        <f t="shared" si="12"/>
        <v>0.93880395000000005</v>
      </c>
      <c r="BC55" s="109">
        <f t="shared" si="13"/>
        <v>62.586930000000002</v>
      </c>
      <c r="BD55" s="109">
        <f t="shared" si="14"/>
        <v>0</v>
      </c>
      <c r="BE55" s="109">
        <f t="shared" si="15"/>
        <v>80111.270400000009</v>
      </c>
      <c r="BF55" s="109">
        <f t="shared" si="16"/>
        <v>120166.9056</v>
      </c>
      <c r="BG55" s="109">
        <f t="shared" si="17"/>
        <v>0.67593884400000004</v>
      </c>
      <c r="BH55" s="109">
        <f t="shared" si="18"/>
        <v>0.75104316000000004</v>
      </c>
      <c r="BI55" s="109">
        <f t="shared" si="19"/>
        <v>-0.12569550250000008</v>
      </c>
      <c r="BJ55" s="109">
        <f t="shared" si="20"/>
        <v>5.7419856523249999</v>
      </c>
      <c r="BK55" s="109">
        <f t="shared" si="26"/>
        <v>51.393649374199995</v>
      </c>
      <c r="BL55" s="148">
        <v>0.74</v>
      </c>
      <c r="BM55" s="112">
        <f>ROUND((AW55/BL55)+((AW55*BL55)*'CALCULO GERAL'!$E$11)/BL55,2)</f>
        <v>12.47</v>
      </c>
      <c r="BN55" s="186">
        <f t="shared" si="21"/>
        <v>12.47</v>
      </c>
      <c r="BO55" s="186">
        <f t="shared" si="27"/>
        <v>14.611000000000001</v>
      </c>
      <c r="BP55" s="109">
        <f>BM55*'CALCULO GERAL'!$C$11</f>
        <v>62.586930000000002</v>
      </c>
      <c r="BQ55" s="109">
        <f>BO55*'CALCULO GERAL'!$C$11</f>
        <v>73.332609000000005</v>
      </c>
      <c r="BR55" s="186">
        <f>BN55*'CALCULO GERAL'!$C$11</f>
        <v>62.586930000000002</v>
      </c>
      <c r="BS55" s="109">
        <f t="shared" si="22"/>
        <v>1001390.88</v>
      </c>
      <c r="BT55" s="109">
        <f t="shared" si="23"/>
        <v>1001390.88</v>
      </c>
      <c r="BU55" s="109">
        <f t="shared" si="28"/>
        <v>822298.38998719992</v>
      </c>
      <c r="BV55" s="109">
        <f t="shared" si="29"/>
        <v>179092.49001280009</v>
      </c>
      <c r="BW55" s="114">
        <f t="shared" si="24"/>
        <v>0.17884373983194263</v>
      </c>
      <c r="BX55" s="152">
        <f t="shared" si="30"/>
        <v>0.74</v>
      </c>
      <c r="BZ55" s="55"/>
      <c r="CA55" s="113"/>
      <c r="CB55" s="113"/>
      <c r="CD55" s="152">
        <f t="shared" si="31"/>
        <v>0</v>
      </c>
      <c r="CE55" s="152">
        <f t="shared" si="32"/>
        <v>1</v>
      </c>
      <c r="CF55" s="152">
        <f t="shared" si="33"/>
        <v>1</v>
      </c>
      <c r="CG55" s="34"/>
      <c r="CI55" s="11"/>
      <c r="CJ55" s="11"/>
    </row>
    <row r="56" spans="1:88" s="152" customFormat="1" ht="16" x14ac:dyDescent="0.2">
      <c r="A56" s="228" t="s">
        <v>518</v>
      </c>
      <c r="B56" s="187" t="s">
        <v>194</v>
      </c>
      <c r="C56" s="8">
        <v>0.35</v>
      </c>
      <c r="D56" s="8">
        <v>0</v>
      </c>
      <c r="E56" s="7">
        <v>2.1000000000000001E-2</v>
      </c>
      <c r="F56" s="7">
        <v>0.1065</v>
      </c>
      <c r="G56" s="1">
        <v>6.4999999999999997E-3</v>
      </c>
      <c r="H56" s="1">
        <v>0.03</v>
      </c>
      <c r="I56" s="1">
        <v>0.18</v>
      </c>
      <c r="J56" s="1">
        <v>0.04</v>
      </c>
      <c r="K56" s="1">
        <v>0.14000000000000001</v>
      </c>
      <c r="L56" s="1">
        <v>1.4999999999999999E-2</v>
      </c>
      <c r="M56" s="2" t="s">
        <v>175</v>
      </c>
      <c r="N56" s="105">
        <v>16000</v>
      </c>
      <c r="O56" s="119"/>
      <c r="P56" s="119"/>
      <c r="Q56" s="119"/>
      <c r="R56" s="119"/>
      <c r="S56" s="119"/>
      <c r="T56" s="119">
        <v>6.19</v>
      </c>
      <c r="U56" s="119"/>
      <c r="V56" s="205"/>
      <c r="W56" s="119"/>
      <c r="X56" s="119">
        <f t="shared" si="0"/>
        <v>6.19</v>
      </c>
      <c r="Y56" s="118">
        <f t="shared" si="1"/>
        <v>6.19</v>
      </c>
      <c r="Z56" s="109">
        <f t="shared" si="2"/>
        <v>99040</v>
      </c>
      <c r="AA56" s="109">
        <f>'CALCULO GERAL'!$G$10</f>
        <v>6300</v>
      </c>
      <c r="AB56" s="109">
        <f t="shared" si="3"/>
        <v>105340</v>
      </c>
      <c r="AC56" s="109">
        <f>AB56*'CALCULO GERAL'!$C$11</f>
        <v>528701.46</v>
      </c>
      <c r="AD56" s="109">
        <f t="shared" si="4"/>
        <v>185045.51099999997</v>
      </c>
      <c r="AE56" s="109">
        <f t="shared" si="5"/>
        <v>0</v>
      </c>
      <c r="AF56" s="109">
        <f t="shared" si="6"/>
        <v>11102.730659999999</v>
      </c>
      <c r="AG56" s="109">
        <f t="shared" si="7"/>
        <v>56306.705489999993</v>
      </c>
      <c r="AH56" s="109">
        <v>154.22999999999999</v>
      </c>
      <c r="AI56" s="109">
        <f>((AA56*'CALCULO GERAL'!$C$11))*0.08+20</f>
        <v>2549.576</v>
      </c>
      <c r="AJ56" s="109">
        <v>1010</v>
      </c>
      <c r="AK56" s="109">
        <v>2500</v>
      </c>
      <c r="AL56" s="109">
        <f>(AA56*('CALCULO GERAL'!$C$11*1.02))-(AA56*'CALCULO GERAL'!$C$11)</f>
        <v>632.39400000000387</v>
      </c>
      <c r="AM56" s="109">
        <v>1800</v>
      </c>
      <c r="AN56" s="109">
        <v>2600</v>
      </c>
      <c r="AO56" s="109">
        <v>9400</v>
      </c>
      <c r="AP56" s="109">
        <v>1000</v>
      </c>
      <c r="AQ56" s="109">
        <v>0</v>
      </c>
      <c r="AR56" s="109">
        <v>0</v>
      </c>
      <c r="AS56" s="109"/>
      <c r="AT56" s="109">
        <f t="shared" si="25"/>
        <v>802802.60714999982</v>
      </c>
      <c r="AU56" s="111">
        <f t="shared" si="8"/>
        <v>50.175162946874991</v>
      </c>
      <c r="AV56" s="109">
        <f>IFERROR((BS56*'CALCULO GERAL'!$E$11)/N56,0)</f>
        <v>1.3762098</v>
      </c>
      <c r="AW56" s="109">
        <f>AU56/'CALCULO GERAL'!$C$11</f>
        <v>9.9970438228481751</v>
      </c>
      <c r="AX56" s="109">
        <f>BP56-BB56-BD56*'CALCULO GERAL'!$C$11</f>
        <v>67.778332649999996</v>
      </c>
      <c r="AY56" s="109">
        <f t="shared" si="9"/>
        <v>0.44055916222499997</v>
      </c>
      <c r="AZ56" s="109">
        <f t="shared" si="10"/>
        <v>2.0333499794999996</v>
      </c>
      <c r="BA56" s="109">
        <f t="shared" si="11"/>
        <v>68.810490000000001</v>
      </c>
      <c r="BB56" s="109">
        <f t="shared" si="12"/>
        <v>1.0321573500000001</v>
      </c>
      <c r="BC56" s="109">
        <f t="shared" si="13"/>
        <v>68.810490000000001</v>
      </c>
      <c r="BD56" s="109">
        <f t="shared" si="14"/>
        <v>0</v>
      </c>
      <c r="BE56" s="109">
        <f t="shared" si="15"/>
        <v>88077.427200000006</v>
      </c>
      <c r="BF56" s="109">
        <f t="shared" si="16"/>
        <v>132116.14079999999</v>
      </c>
      <c r="BG56" s="109">
        <f t="shared" si="17"/>
        <v>0.74315329199999991</v>
      </c>
      <c r="BH56" s="109">
        <f t="shared" si="18"/>
        <v>0.82572588000000002</v>
      </c>
      <c r="BI56" s="109">
        <f t="shared" si="19"/>
        <v>-0.17548398250000005</v>
      </c>
      <c r="BJ56" s="109">
        <f t="shared" si="20"/>
        <v>6.2756714812249994</v>
      </c>
      <c r="BK56" s="109">
        <f t="shared" si="26"/>
        <v>56.450834428099988</v>
      </c>
      <c r="BL56" s="148">
        <v>0.74</v>
      </c>
      <c r="BM56" s="112">
        <f>ROUND((AW56/BL56)+((AW56*BL56)*'CALCULO GERAL'!$E$11)/BL56,2)</f>
        <v>13.71</v>
      </c>
      <c r="BN56" s="186">
        <f t="shared" si="21"/>
        <v>13.71</v>
      </c>
      <c r="BO56" s="186">
        <f t="shared" si="27"/>
        <v>16.062999999999999</v>
      </c>
      <c r="BP56" s="109">
        <f>BM56*'CALCULO GERAL'!$C$11</f>
        <v>68.810490000000001</v>
      </c>
      <c r="BQ56" s="109">
        <f>BO56*'CALCULO GERAL'!$C$11</f>
        <v>80.62019699999999</v>
      </c>
      <c r="BR56" s="186">
        <f>BN56*'CALCULO GERAL'!$C$11</f>
        <v>68.810490000000001</v>
      </c>
      <c r="BS56" s="109">
        <f t="shared" si="22"/>
        <v>1100967.8400000001</v>
      </c>
      <c r="BT56" s="109">
        <f t="shared" si="23"/>
        <v>1100967.8400000001</v>
      </c>
      <c r="BU56" s="109">
        <f t="shared" si="28"/>
        <v>903213.35084959981</v>
      </c>
      <c r="BV56" s="109">
        <f t="shared" si="29"/>
        <v>197754.48915040027</v>
      </c>
      <c r="BW56" s="114">
        <f t="shared" si="24"/>
        <v>0.17961876992737613</v>
      </c>
      <c r="BX56" s="152">
        <f t="shared" si="30"/>
        <v>0.74</v>
      </c>
      <c r="BZ56" s="55"/>
      <c r="CA56" s="113"/>
      <c r="CB56" s="113"/>
      <c r="CD56" s="152">
        <f t="shared" si="31"/>
        <v>0</v>
      </c>
      <c r="CE56" s="152">
        <f t="shared" si="32"/>
        <v>1</v>
      </c>
      <c r="CF56" s="152">
        <f t="shared" si="33"/>
        <v>1</v>
      </c>
      <c r="CG56" s="34"/>
      <c r="CI56" s="11"/>
      <c r="CJ56" s="11"/>
    </row>
    <row r="57" spans="1:88" s="152" customFormat="1" ht="16" x14ac:dyDescent="0.2">
      <c r="A57" s="228" t="s">
        <v>519</v>
      </c>
      <c r="B57" s="187" t="s">
        <v>194</v>
      </c>
      <c r="C57" s="8">
        <v>0.35</v>
      </c>
      <c r="D57" s="8">
        <v>0</v>
      </c>
      <c r="E57" s="7">
        <v>2.1000000000000001E-2</v>
      </c>
      <c r="F57" s="7">
        <v>0.1065</v>
      </c>
      <c r="G57" s="1">
        <v>6.4999999999999997E-3</v>
      </c>
      <c r="H57" s="1">
        <v>0.03</v>
      </c>
      <c r="I57" s="1">
        <v>0.18</v>
      </c>
      <c r="J57" s="1">
        <v>0.04</v>
      </c>
      <c r="K57" s="1">
        <v>0.14000000000000001</v>
      </c>
      <c r="L57" s="1">
        <v>1.4999999999999999E-2</v>
      </c>
      <c r="M57" s="2" t="s">
        <v>175</v>
      </c>
      <c r="N57" s="105">
        <v>16000</v>
      </c>
      <c r="O57" s="119"/>
      <c r="P57" s="119"/>
      <c r="Q57" s="119"/>
      <c r="R57" s="119"/>
      <c r="S57" s="119"/>
      <c r="T57" s="119">
        <v>6.98</v>
      </c>
      <c r="U57" s="119"/>
      <c r="V57" s="205"/>
      <c r="W57" s="119"/>
      <c r="X57" s="119">
        <f t="shared" si="0"/>
        <v>6.98</v>
      </c>
      <c r="Y57" s="118">
        <f t="shared" si="1"/>
        <v>6.98</v>
      </c>
      <c r="Z57" s="109">
        <f t="shared" si="2"/>
        <v>111680</v>
      </c>
      <c r="AA57" s="109">
        <f>'CALCULO GERAL'!$G$10</f>
        <v>6300</v>
      </c>
      <c r="AB57" s="109">
        <f t="shared" si="3"/>
        <v>117980</v>
      </c>
      <c r="AC57" s="109">
        <f>AB57*'CALCULO GERAL'!$C$11</f>
        <v>592141.62</v>
      </c>
      <c r="AD57" s="109">
        <f t="shared" si="4"/>
        <v>207249.56699999998</v>
      </c>
      <c r="AE57" s="109">
        <f t="shared" si="5"/>
        <v>0</v>
      </c>
      <c r="AF57" s="109">
        <f t="shared" si="6"/>
        <v>12434.974020000001</v>
      </c>
      <c r="AG57" s="109">
        <f t="shared" si="7"/>
        <v>63063.08253</v>
      </c>
      <c r="AH57" s="109">
        <v>154.22999999999999</v>
      </c>
      <c r="AI57" s="109">
        <f>((AA57*'CALCULO GERAL'!$C$11))*0.08+20</f>
        <v>2549.576</v>
      </c>
      <c r="AJ57" s="109">
        <v>1010</v>
      </c>
      <c r="AK57" s="109">
        <v>2500</v>
      </c>
      <c r="AL57" s="109">
        <f>(AA57*('CALCULO GERAL'!$C$11*1.02))-(AA57*'CALCULO GERAL'!$C$11)</f>
        <v>632.39400000000387</v>
      </c>
      <c r="AM57" s="109">
        <v>1800</v>
      </c>
      <c r="AN57" s="109">
        <v>2600</v>
      </c>
      <c r="AO57" s="109">
        <v>9400</v>
      </c>
      <c r="AP57" s="109">
        <v>1000</v>
      </c>
      <c r="AQ57" s="109">
        <v>0</v>
      </c>
      <c r="AR57" s="109">
        <v>0</v>
      </c>
      <c r="AS57" s="109"/>
      <c r="AT57" s="109">
        <f t="shared" si="25"/>
        <v>896535.44354999985</v>
      </c>
      <c r="AU57" s="111">
        <f t="shared" si="8"/>
        <v>56.033465221874991</v>
      </c>
      <c r="AV57" s="109">
        <f>IFERROR((BS57*'CALCULO GERAL'!$E$11)/N57,0)</f>
        <v>1.5368178000000001</v>
      </c>
      <c r="AW57" s="109">
        <f>AU57/'CALCULO GERAL'!$C$11</f>
        <v>11.164268822848175</v>
      </c>
      <c r="AX57" s="109">
        <f>BP57-BB57-BD57*'CALCULO GERAL'!$C$11</f>
        <v>75.688276650000006</v>
      </c>
      <c r="AY57" s="109">
        <f t="shared" si="9"/>
        <v>0.49197379822500004</v>
      </c>
      <c r="AZ57" s="109">
        <f t="shared" si="10"/>
        <v>2.2706482994999999</v>
      </c>
      <c r="BA57" s="109">
        <f t="shared" si="11"/>
        <v>76.840890000000002</v>
      </c>
      <c r="BB57" s="109">
        <f t="shared" si="12"/>
        <v>1.15261335</v>
      </c>
      <c r="BC57" s="109">
        <f t="shared" si="13"/>
        <v>76.840890000000002</v>
      </c>
      <c r="BD57" s="109">
        <f t="shared" si="14"/>
        <v>0</v>
      </c>
      <c r="BE57" s="109">
        <f t="shared" si="15"/>
        <v>98356.339200000002</v>
      </c>
      <c r="BF57" s="109">
        <f t="shared" si="16"/>
        <v>147534.50879999998</v>
      </c>
      <c r="BG57" s="109">
        <f t="shared" si="17"/>
        <v>0.82988161199999988</v>
      </c>
      <c r="BH57" s="109">
        <f t="shared" si="18"/>
        <v>0.92209068000000005</v>
      </c>
      <c r="BI57" s="109">
        <f t="shared" si="19"/>
        <v>-0.23972718250000002</v>
      </c>
      <c r="BJ57" s="109">
        <f t="shared" si="20"/>
        <v>6.9642983572250001</v>
      </c>
      <c r="BK57" s="109">
        <f t="shared" si="26"/>
        <v>62.997763579099988</v>
      </c>
      <c r="BL57" s="148">
        <v>0.74</v>
      </c>
      <c r="BM57" s="112">
        <f>ROUND((AW57/BL57)+((AW57*BL57)*'CALCULO GERAL'!$E$11)/BL57,2)</f>
        <v>15.31</v>
      </c>
      <c r="BN57" s="186">
        <f t="shared" si="21"/>
        <v>15.31</v>
      </c>
      <c r="BO57" s="186">
        <f t="shared" si="27"/>
        <v>17.937999999999999</v>
      </c>
      <c r="BP57" s="109">
        <f>BM57*'CALCULO GERAL'!$C$11</f>
        <v>76.840890000000002</v>
      </c>
      <c r="BQ57" s="109">
        <f>BO57*'CALCULO GERAL'!$C$11</f>
        <v>90.030822000000001</v>
      </c>
      <c r="BR57" s="186">
        <f>BN57*'CALCULO GERAL'!$C$11</f>
        <v>76.840890000000002</v>
      </c>
      <c r="BS57" s="109">
        <f t="shared" si="22"/>
        <v>1229454.24</v>
      </c>
      <c r="BT57" s="109">
        <f t="shared" si="23"/>
        <v>1229454.24</v>
      </c>
      <c r="BU57" s="109">
        <f t="shared" si="28"/>
        <v>1007964.2172655998</v>
      </c>
      <c r="BV57" s="109">
        <f t="shared" si="29"/>
        <v>221490.02273440023</v>
      </c>
      <c r="BW57" s="114">
        <f t="shared" si="24"/>
        <v>0.18015312447448245</v>
      </c>
      <c r="BX57" s="152">
        <f t="shared" si="30"/>
        <v>0.74</v>
      </c>
      <c r="BZ57" s="55"/>
      <c r="CA57" s="113"/>
      <c r="CB57" s="113"/>
      <c r="CD57" s="152">
        <f t="shared" si="31"/>
        <v>0</v>
      </c>
      <c r="CE57" s="152">
        <f t="shared" si="32"/>
        <v>1</v>
      </c>
      <c r="CF57" s="152">
        <f t="shared" si="33"/>
        <v>1</v>
      </c>
      <c r="CG57" s="34"/>
      <c r="CI57" s="11"/>
      <c r="CJ57" s="11"/>
    </row>
    <row r="58" spans="1:88" s="152" customFormat="1" ht="16" x14ac:dyDescent="0.2">
      <c r="A58" s="228" t="s">
        <v>520</v>
      </c>
      <c r="B58" s="187" t="s">
        <v>194</v>
      </c>
      <c r="C58" s="8">
        <v>0.35</v>
      </c>
      <c r="D58" s="8">
        <v>0</v>
      </c>
      <c r="E58" s="7">
        <v>2.1000000000000001E-2</v>
      </c>
      <c r="F58" s="7">
        <v>0.1065</v>
      </c>
      <c r="G58" s="1">
        <v>6.4999999999999997E-3</v>
      </c>
      <c r="H58" s="1">
        <v>0.03</v>
      </c>
      <c r="I58" s="1">
        <v>0.18</v>
      </c>
      <c r="J58" s="1">
        <v>0.04</v>
      </c>
      <c r="K58" s="1">
        <v>0.14000000000000001</v>
      </c>
      <c r="L58" s="1">
        <v>1.4999999999999999E-2</v>
      </c>
      <c r="M58" s="2" t="s">
        <v>175</v>
      </c>
      <c r="N58" s="105">
        <v>16000</v>
      </c>
      <c r="O58" s="119"/>
      <c r="P58" s="119"/>
      <c r="Q58" s="119"/>
      <c r="R58" s="119"/>
      <c r="S58" s="119"/>
      <c r="T58" s="119">
        <v>2.02</v>
      </c>
      <c r="U58" s="119"/>
      <c r="V58" s="205"/>
      <c r="W58" s="119"/>
      <c r="X58" s="119">
        <f t="shared" si="0"/>
        <v>2.02</v>
      </c>
      <c r="Y58" s="118">
        <f t="shared" si="1"/>
        <v>2.02</v>
      </c>
      <c r="Z58" s="109">
        <f t="shared" si="2"/>
        <v>32320</v>
      </c>
      <c r="AA58" s="109">
        <f>'CALCULO GERAL'!$G$10</f>
        <v>6300</v>
      </c>
      <c r="AB58" s="109">
        <f t="shared" si="3"/>
        <v>38620</v>
      </c>
      <c r="AC58" s="109">
        <f>AB58*'CALCULO GERAL'!$C$11</f>
        <v>193833.78</v>
      </c>
      <c r="AD58" s="109">
        <f t="shared" si="4"/>
        <v>67841.822999999989</v>
      </c>
      <c r="AE58" s="109">
        <f t="shared" si="5"/>
        <v>0</v>
      </c>
      <c r="AF58" s="109">
        <f t="shared" si="6"/>
        <v>4070.5093800000004</v>
      </c>
      <c r="AG58" s="109">
        <f t="shared" si="7"/>
        <v>20643.297569999999</v>
      </c>
      <c r="AH58" s="109">
        <v>154.22999999999999</v>
      </c>
      <c r="AI58" s="109">
        <f>((AA58*'CALCULO GERAL'!$C$11))*0.08+20</f>
        <v>2549.576</v>
      </c>
      <c r="AJ58" s="109">
        <v>1010</v>
      </c>
      <c r="AK58" s="109">
        <v>2500</v>
      </c>
      <c r="AL58" s="109">
        <f>(AA58*('CALCULO GERAL'!$C$11*1.02))-(AA58*'CALCULO GERAL'!$C$11)</f>
        <v>632.39400000000387</v>
      </c>
      <c r="AM58" s="109">
        <v>1800</v>
      </c>
      <c r="AN58" s="109">
        <v>2600</v>
      </c>
      <c r="AO58" s="109">
        <v>9400</v>
      </c>
      <c r="AP58" s="109">
        <v>1000</v>
      </c>
      <c r="AQ58" s="109">
        <v>0</v>
      </c>
      <c r="AR58" s="109">
        <v>0</v>
      </c>
      <c r="AS58" s="109"/>
      <c r="AT58" s="109">
        <f t="shared" si="25"/>
        <v>308035.60995000001</v>
      </c>
      <c r="AU58" s="111">
        <f t="shared" si="8"/>
        <v>19.252225621875002</v>
      </c>
      <c r="AV58" s="109">
        <f>IFERROR((BS58*'CALCULO GERAL'!$E$11)/N58,0)</f>
        <v>0.5279988000000001</v>
      </c>
      <c r="AW58" s="109">
        <f>AU58/'CALCULO GERAL'!$C$11</f>
        <v>3.8358688228481772</v>
      </c>
      <c r="AX58" s="109">
        <f>BP58-BB58-BD58*'CALCULO GERAL'!$C$11</f>
        <v>26.0039409</v>
      </c>
      <c r="AY58" s="109">
        <f t="shared" si="9"/>
        <v>0.16902561585</v>
      </c>
      <c r="AZ58" s="109">
        <f t="shared" si="10"/>
        <v>0.780118227</v>
      </c>
      <c r="BA58" s="109">
        <f t="shared" si="11"/>
        <v>26.399940000000001</v>
      </c>
      <c r="BB58" s="109">
        <f t="shared" si="12"/>
        <v>0.39599909999999999</v>
      </c>
      <c r="BC58" s="109">
        <f t="shared" si="13"/>
        <v>26.399940000000001</v>
      </c>
      <c r="BD58" s="109">
        <f t="shared" si="14"/>
        <v>0</v>
      </c>
      <c r="BE58" s="109">
        <f t="shared" si="15"/>
        <v>33791.923200000005</v>
      </c>
      <c r="BF58" s="109">
        <f t="shared" si="16"/>
        <v>50687.8848</v>
      </c>
      <c r="BG58" s="109">
        <f t="shared" si="17"/>
        <v>0.28511935199999999</v>
      </c>
      <c r="BH58" s="109">
        <f t="shared" si="18"/>
        <v>0.31679928000000002</v>
      </c>
      <c r="BI58" s="109">
        <f t="shared" si="19"/>
        <v>0</v>
      </c>
      <c r="BJ58" s="109">
        <f t="shared" si="20"/>
        <v>2.4750603748500004</v>
      </c>
      <c r="BK58" s="109">
        <f t="shared" si="26"/>
        <v>21.727285996725001</v>
      </c>
      <c r="BL58" s="148">
        <v>0.74</v>
      </c>
      <c r="BM58" s="112">
        <f>ROUND((AW58/BL58)+((AW58*BL58)*'CALCULO GERAL'!$E$11)/BL58,2)</f>
        <v>5.26</v>
      </c>
      <c r="BN58" s="186">
        <f t="shared" si="21"/>
        <v>5.26</v>
      </c>
      <c r="BO58" s="186">
        <f t="shared" si="27"/>
        <v>6.1630000000000003</v>
      </c>
      <c r="BP58" s="109">
        <f>BM58*'CALCULO GERAL'!$C$11</f>
        <v>26.399940000000001</v>
      </c>
      <c r="BQ58" s="109">
        <f>BO58*'CALCULO GERAL'!$C$11</f>
        <v>30.932097000000002</v>
      </c>
      <c r="BR58" s="186">
        <f>BN58*'CALCULO GERAL'!$C$11</f>
        <v>26.399940000000001</v>
      </c>
      <c r="BS58" s="109">
        <f t="shared" si="22"/>
        <v>422399.04000000004</v>
      </c>
      <c r="BT58" s="109">
        <f t="shared" si="23"/>
        <v>422399.04000000004</v>
      </c>
      <c r="BU58" s="109">
        <f t="shared" si="28"/>
        <v>347636.57594760001</v>
      </c>
      <c r="BV58" s="109">
        <f t="shared" si="29"/>
        <v>74762.464052400028</v>
      </c>
      <c r="BW58" s="114">
        <f t="shared" si="24"/>
        <v>0.17699487208209569</v>
      </c>
      <c r="BX58" s="152">
        <f t="shared" si="30"/>
        <v>0.74</v>
      </c>
      <c r="BZ58" s="55"/>
      <c r="CA58" s="113"/>
      <c r="CB58" s="113"/>
      <c r="CD58" s="152">
        <f t="shared" si="31"/>
        <v>0</v>
      </c>
      <c r="CE58" s="152">
        <f t="shared" si="32"/>
        <v>1</v>
      </c>
      <c r="CF58" s="152">
        <f t="shared" si="33"/>
        <v>1</v>
      </c>
      <c r="CG58" s="34"/>
      <c r="CI58" s="11"/>
      <c r="CJ58" s="11"/>
    </row>
    <row r="59" spans="1:88" s="152" customFormat="1" ht="16" x14ac:dyDescent="0.2">
      <c r="A59" s="228" t="s">
        <v>521</v>
      </c>
      <c r="B59" s="187" t="s">
        <v>194</v>
      </c>
      <c r="C59" s="8">
        <v>0.35</v>
      </c>
      <c r="D59" s="8">
        <v>0</v>
      </c>
      <c r="E59" s="7">
        <v>2.1000000000000001E-2</v>
      </c>
      <c r="F59" s="7">
        <v>0.1065</v>
      </c>
      <c r="G59" s="1">
        <v>6.4999999999999997E-3</v>
      </c>
      <c r="H59" s="1">
        <v>0.03</v>
      </c>
      <c r="I59" s="1">
        <v>0.18</v>
      </c>
      <c r="J59" s="1">
        <v>0.04</v>
      </c>
      <c r="K59" s="1">
        <v>0.14000000000000001</v>
      </c>
      <c r="L59" s="1">
        <v>1.4999999999999999E-2</v>
      </c>
      <c r="M59" s="2" t="s">
        <v>175</v>
      </c>
      <c r="N59" s="105">
        <v>16000</v>
      </c>
      <c r="O59" s="119"/>
      <c r="P59" s="119"/>
      <c r="Q59" s="119"/>
      <c r="R59" s="119"/>
      <c r="S59" s="119"/>
      <c r="T59" s="119">
        <v>2.73</v>
      </c>
      <c r="U59" s="119"/>
      <c r="V59" s="205"/>
      <c r="W59" s="119"/>
      <c r="X59" s="119">
        <f t="shared" si="0"/>
        <v>2.73</v>
      </c>
      <c r="Y59" s="118">
        <f t="shared" si="1"/>
        <v>2.73</v>
      </c>
      <c r="Z59" s="109">
        <f t="shared" si="2"/>
        <v>43680</v>
      </c>
      <c r="AA59" s="109">
        <f>'CALCULO GERAL'!$G$10</f>
        <v>6300</v>
      </c>
      <c r="AB59" s="109">
        <f t="shared" si="3"/>
        <v>49980</v>
      </c>
      <c r="AC59" s="109">
        <f>AB59*'CALCULO GERAL'!$C$11</f>
        <v>250849.62</v>
      </c>
      <c r="AD59" s="109">
        <f t="shared" si="4"/>
        <v>87797.366999999998</v>
      </c>
      <c r="AE59" s="109">
        <f t="shared" si="5"/>
        <v>0</v>
      </c>
      <c r="AF59" s="109">
        <f t="shared" si="6"/>
        <v>5267.84202</v>
      </c>
      <c r="AG59" s="109">
        <f t="shared" si="7"/>
        <v>26715.484529999998</v>
      </c>
      <c r="AH59" s="109">
        <v>154.22999999999999</v>
      </c>
      <c r="AI59" s="109">
        <f>((AA59*'CALCULO GERAL'!$C$11))*0.08+20</f>
        <v>2549.576</v>
      </c>
      <c r="AJ59" s="109">
        <v>1010</v>
      </c>
      <c r="AK59" s="109">
        <v>2500</v>
      </c>
      <c r="AL59" s="109">
        <f>(AA59*('CALCULO GERAL'!$C$11*1.02))-(AA59*'CALCULO GERAL'!$C$11)</f>
        <v>632.39400000000387</v>
      </c>
      <c r="AM59" s="109">
        <v>1800</v>
      </c>
      <c r="AN59" s="109">
        <v>2600</v>
      </c>
      <c r="AO59" s="109">
        <v>9400</v>
      </c>
      <c r="AP59" s="109">
        <v>1000</v>
      </c>
      <c r="AQ59" s="109">
        <v>0</v>
      </c>
      <c r="AR59" s="109">
        <v>0</v>
      </c>
      <c r="AS59" s="109"/>
      <c r="AT59" s="109">
        <f t="shared" si="25"/>
        <v>392276.51354999997</v>
      </c>
      <c r="AU59" s="111">
        <f t="shared" si="8"/>
        <v>24.517282096874997</v>
      </c>
      <c r="AV59" s="109">
        <f>IFERROR((BS59*'CALCULO GERAL'!$E$11)/N59,0)</f>
        <v>0.67254600000000009</v>
      </c>
      <c r="AW59" s="109">
        <f>AU59/'CALCULO GERAL'!$C$11</f>
        <v>4.8848938228481762</v>
      </c>
      <c r="AX59" s="109">
        <f>BP59-BB59-BD59*'CALCULO GERAL'!$C$11</f>
        <v>33.122890500000004</v>
      </c>
      <c r="AY59" s="109">
        <f t="shared" si="9"/>
        <v>0.21529878825000001</v>
      </c>
      <c r="AZ59" s="109">
        <f t="shared" si="10"/>
        <v>0.99368671500000005</v>
      </c>
      <c r="BA59" s="109">
        <f t="shared" si="11"/>
        <v>33.627300000000005</v>
      </c>
      <c r="BB59" s="109">
        <f t="shared" si="12"/>
        <v>0.50440950000000007</v>
      </c>
      <c r="BC59" s="109">
        <f t="shared" si="13"/>
        <v>33.627300000000005</v>
      </c>
      <c r="BD59" s="109">
        <f t="shared" si="14"/>
        <v>0</v>
      </c>
      <c r="BE59" s="109">
        <f t="shared" si="15"/>
        <v>43042.944000000003</v>
      </c>
      <c r="BF59" s="109">
        <f t="shared" si="16"/>
        <v>64564.416000000005</v>
      </c>
      <c r="BG59" s="109">
        <f t="shared" si="17"/>
        <v>0.36317484</v>
      </c>
      <c r="BH59" s="109">
        <f t="shared" si="18"/>
        <v>0.40352759999999999</v>
      </c>
      <c r="BI59" s="109">
        <f t="shared" si="19"/>
        <v>0</v>
      </c>
      <c r="BJ59" s="109">
        <f t="shared" si="20"/>
        <v>3.1526434432500001</v>
      </c>
      <c r="BK59" s="109">
        <f t="shared" si="26"/>
        <v>27.669925540124996</v>
      </c>
      <c r="BL59" s="148">
        <v>0.74</v>
      </c>
      <c r="BM59" s="112">
        <f>ROUND((AW59/BL59)+((AW59*BL59)*'CALCULO GERAL'!$E$11)/BL59,2)</f>
        <v>6.7</v>
      </c>
      <c r="BN59" s="186">
        <f t="shared" si="21"/>
        <v>6.7</v>
      </c>
      <c r="BO59" s="186">
        <f t="shared" si="27"/>
        <v>7.85</v>
      </c>
      <c r="BP59" s="109">
        <f>BM59*'CALCULO GERAL'!$C$11</f>
        <v>33.627300000000005</v>
      </c>
      <c r="BQ59" s="109">
        <f>BO59*'CALCULO GERAL'!$C$11</f>
        <v>39.399149999999999</v>
      </c>
      <c r="BR59" s="186">
        <f>BN59*'CALCULO GERAL'!$C$11</f>
        <v>33.627300000000005</v>
      </c>
      <c r="BS59" s="109">
        <f t="shared" si="22"/>
        <v>538036.80000000005</v>
      </c>
      <c r="BT59" s="109">
        <f t="shared" si="23"/>
        <v>538036.80000000005</v>
      </c>
      <c r="BU59" s="109">
        <f t="shared" si="28"/>
        <v>442718.80864199996</v>
      </c>
      <c r="BV59" s="109">
        <f t="shared" si="29"/>
        <v>95317.991358000087</v>
      </c>
      <c r="BW59" s="114">
        <f t="shared" si="24"/>
        <v>0.17715886972415285</v>
      </c>
      <c r="BX59" s="152">
        <f t="shared" si="30"/>
        <v>0.74</v>
      </c>
      <c r="BZ59" s="55"/>
      <c r="CA59" s="113"/>
      <c r="CB59" s="113"/>
      <c r="CD59" s="152">
        <f t="shared" si="31"/>
        <v>0</v>
      </c>
      <c r="CE59" s="152">
        <f t="shared" si="32"/>
        <v>1</v>
      </c>
      <c r="CF59" s="152">
        <f t="shared" si="33"/>
        <v>1</v>
      </c>
      <c r="CG59" s="34"/>
      <c r="CI59" s="11"/>
      <c r="CJ59" s="11"/>
    </row>
    <row r="60" spans="1:88" s="152" customFormat="1" ht="16" x14ac:dyDescent="0.2">
      <c r="A60" s="228" t="s">
        <v>522</v>
      </c>
      <c r="B60" s="187" t="s">
        <v>194</v>
      </c>
      <c r="C60" s="8">
        <v>0.35</v>
      </c>
      <c r="D60" s="8">
        <v>0</v>
      </c>
      <c r="E60" s="7">
        <v>2.1000000000000001E-2</v>
      </c>
      <c r="F60" s="7">
        <v>0.1065</v>
      </c>
      <c r="G60" s="1">
        <v>6.4999999999999997E-3</v>
      </c>
      <c r="H60" s="1">
        <v>0.03</v>
      </c>
      <c r="I60" s="1">
        <v>0.18</v>
      </c>
      <c r="J60" s="1">
        <v>0.04</v>
      </c>
      <c r="K60" s="1">
        <v>0.14000000000000001</v>
      </c>
      <c r="L60" s="1">
        <v>1.4999999999999999E-2</v>
      </c>
      <c r="M60" s="2" t="s">
        <v>175</v>
      </c>
      <c r="N60" s="105">
        <v>14500</v>
      </c>
      <c r="O60" s="119"/>
      <c r="P60" s="119"/>
      <c r="Q60" s="119"/>
      <c r="R60" s="119"/>
      <c r="S60" s="119"/>
      <c r="T60" s="119">
        <v>3</v>
      </c>
      <c r="U60" s="119"/>
      <c r="V60" s="205"/>
      <c r="W60" s="119"/>
      <c r="X60" s="119">
        <f t="shared" si="0"/>
        <v>3</v>
      </c>
      <c r="Y60" s="118">
        <f t="shared" si="1"/>
        <v>3</v>
      </c>
      <c r="Z60" s="109">
        <f t="shared" si="2"/>
        <v>43500</v>
      </c>
      <c r="AA60" s="109">
        <f>'CALCULO GERAL'!$G$10</f>
        <v>6300</v>
      </c>
      <c r="AB60" s="109">
        <f t="shared" si="3"/>
        <v>49800</v>
      </c>
      <c r="AC60" s="109">
        <f>AB60*'CALCULO GERAL'!$C$11</f>
        <v>249946.2</v>
      </c>
      <c r="AD60" s="109">
        <f t="shared" si="4"/>
        <v>87481.17</v>
      </c>
      <c r="AE60" s="109">
        <f t="shared" si="5"/>
        <v>0</v>
      </c>
      <c r="AF60" s="109">
        <f t="shared" si="6"/>
        <v>5248.8702000000003</v>
      </c>
      <c r="AG60" s="109">
        <f t="shared" si="7"/>
        <v>26619.2703</v>
      </c>
      <c r="AH60" s="109">
        <v>154.22999999999999</v>
      </c>
      <c r="AI60" s="109">
        <f>((AA60*'CALCULO GERAL'!$C$11))*0.08+20</f>
        <v>2549.576</v>
      </c>
      <c r="AJ60" s="109">
        <v>1010</v>
      </c>
      <c r="AK60" s="109">
        <v>2500</v>
      </c>
      <c r="AL60" s="109">
        <f>(AA60*('CALCULO GERAL'!$C$11*1.02))-(AA60*'CALCULO GERAL'!$C$11)</f>
        <v>632.39400000000387</v>
      </c>
      <c r="AM60" s="109">
        <v>1800</v>
      </c>
      <c r="AN60" s="109">
        <v>2600</v>
      </c>
      <c r="AO60" s="109">
        <v>9400</v>
      </c>
      <c r="AP60" s="109">
        <v>1000</v>
      </c>
      <c r="AQ60" s="109">
        <v>0</v>
      </c>
      <c r="AR60" s="109">
        <v>0</v>
      </c>
      <c r="AS60" s="109"/>
      <c r="AT60" s="109">
        <f t="shared" si="25"/>
        <v>390941.71049999999</v>
      </c>
      <c r="AU60" s="111">
        <f t="shared" si="8"/>
        <v>26.961497275862069</v>
      </c>
      <c r="AV60" s="109">
        <f>IFERROR((BS60*'CALCULO GERAL'!$E$11)/N60,0)</f>
        <v>0.73980060000000003</v>
      </c>
      <c r="AW60" s="109">
        <f>AU60/'CALCULO GERAL'!$C$11</f>
        <v>5.3718862872807467</v>
      </c>
      <c r="AX60" s="109">
        <f>BP60-BB60-BD60*'CALCULO GERAL'!$C$11</f>
        <v>36.435179550000001</v>
      </c>
      <c r="AY60" s="109">
        <f t="shared" si="9"/>
        <v>0.236828667075</v>
      </c>
      <c r="AZ60" s="109">
        <f t="shared" si="10"/>
        <v>1.0930553864999999</v>
      </c>
      <c r="BA60" s="109">
        <f t="shared" si="11"/>
        <v>36.990030000000004</v>
      </c>
      <c r="BB60" s="109">
        <f t="shared" si="12"/>
        <v>0.55485045</v>
      </c>
      <c r="BC60" s="109">
        <f t="shared" si="13"/>
        <v>36.990030000000004</v>
      </c>
      <c r="BD60" s="109">
        <f t="shared" si="14"/>
        <v>0</v>
      </c>
      <c r="BE60" s="109">
        <f t="shared" si="15"/>
        <v>42908.434800000003</v>
      </c>
      <c r="BF60" s="109">
        <f t="shared" si="16"/>
        <v>64362.652200000004</v>
      </c>
      <c r="BG60" s="109">
        <f t="shared" si="17"/>
        <v>0.39949232400000001</v>
      </c>
      <c r="BH60" s="109">
        <f t="shared" si="18"/>
        <v>0.44388036000000003</v>
      </c>
      <c r="BI60" s="109">
        <f t="shared" si="19"/>
        <v>0</v>
      </c>
      <c r="BJ60" s="109">
        <f t="shared" si="20"/>
        <v>3.4679077875750002</v>
      </c>
      <c r="BK60" s="109">
        <f t="shared" si="26"/>
        <v>30.42940506343707</v>
      </c>
      <c r="BL60" s="148">
        <v>0.74</v>
      </c>
      <c r="BM60" s="112">
        <f>ROUND((AW60/BL60)+((AW60*BL60)*'CALCULO GERAL'!$E$11)/BL60,2)</f>
        <v>7.37</v>
      </c>
      <c r="BN60" s="186">
        <f t="shared" si="21"/>
        <v>7.37</v>
      </c>
      <c r="BO60" s="186">
        <f t="shared" si="27"/>
        <v>8.6349999999999998</v>
      </c>
      <c r="BP60" s="109">
        <f>BM60*'CALCULO GERAL'!$C$11</f>
        <v>36.990030000000004</v>
      </c>
      <c r="BQ60" s="109">
        <f>BO60*'CALCULO GERAL'!$C$11</f>
        <v>43.339064999999998</v>
      </c>
      <c r="BR60" s="186">
        <f>BN60*'CALCULO GERAL'!$C$11</f>
        <v>36.990030000000004</v>
      </c>
      <c r="BS60" s="109">
        <f t="shared" si="22"/>
        <v>536355.43500000006</v>
      </c>
      <c r="BT60" s="109">
        <f t="shared" si="23"/>
        <v>536355.43500000006</v>
      </c>
      <c r="BU60" s="109">
        <f t="shared" si="28"/>
        <v>441226.3734198375</v>
      </c>
      <c r="BV60" s="109">
        <f t="shared" si="29"/>
        <v>95129.061580162554</v>
      </c>
      <c r="BW60" s="114">
        <f t="shared" si="24"/>
        <v>0.17736197933775491</v>
      </c>
      <c r="BX60" s="152">
        <f t="shared" si="30"/>
        <v>0.74</v>
      </c>
      <c r="BZ60" s="55"/>
      <c r="CA60" s="113"/>
      <c r="CB60" s="113"/>
      <c r="CD60" s="152">
        <f t="shared" si="31"/>
        <v>0</v>
      </c>
      <c r="CE60" s="152">
        <f t="shared" si="32"/>
        <v>1</v>
      </c>
      <c r="CF60" s="152">
        <f t="shared" si="33"/>
        <v>1</v>
      </c>
      <c r="CG60" s="34"/>
      <c r="CI60" s="11"/>
      <c r="CJ60" s="11"/>
    </row>
    <row r="61" spans="1:88" s="152" customFormat="1" ht="16" x14ac:dyDescent="0.2">
      <c r="A61" s="228" t="s">
        <v>523</v>
      </c>
      <c r="B61" s="187" t="s">
        <v>194</v>
      </c>
      <c r="C61" s="8">
        <v>0.35</v>
      </c>
      <c r="D61" s="8">
        <v>0</v>
      </c>
      <c r="E61" s="7">
        <v>2.1000000000000001E-2</v>
      </c>
      <c r="F61" s="7">
        <v>0.1065</v>
      </c>
      <c r="G61" s="1">
        <v>6.4999999999999997E-3</v>
      </c>
      <c r="H61" s="1">
        <v>0.03</v>
      </c>
      <c r="I61" s="1">
        <v>0.18</v>
      </c>
      <c r="J61" s="1">
        <v>0.04</v>
      </c>
      <c r="K61" s="1">
        <v>0.14000000000000001</v>
      </c>
      <c r="L61" s="1">
        <v>1.4999999999999999E-2</v>
      </c>
      <c r="M61" s="2" t="s">
        <v>175</v>
      </c>
      <c r="N61" s="105">
        <v>12500</v>
      </c>
      <c r="O61" s="119"/>
      <c r="P61" s="119"/>
      <c r="Q61" s="119"/>
      <c r="R61" s="119"/>
      <c r="S61" s="119"/>
      <c r="T61" s="119">
        <v>3.26</v>
      </c>
      <c r="U61" s="119"/>
      <c r="V61" s="205"/>
      <c r="W61" s="119"/>
      <c r="X61" s="119">
        <f t="shared" si="0"/>
        <v>3.26</v>
      </c>
      <c r="Y61" s="118">
        <f t="shared" si="1"/>
        <v>3.26</v>
      </c>
      <c r="Z61" s="109">
        <f t="shared" si="2"/>
        <v>40750</v>
      </c>
      <c r="AA61" s="109">
        <f>'CALCULO GERAL'!$G$10</f>
        <v>6300</v>
      </c>
      <c r="AB61" s="109">
        <f t="shared" si="3"/>
        <v>47050</v>
      </c>
      <c r="AC61" s="109">
        <f>AB61*'CALCULO GERAL'!$C$11</f>
        <v>236143.95</v>
      </c>
      <c r="AD61" s="109">
        <f t="shared" si="4"/>
        <v>82650.382499999992</v>
      </c>
      <c r="AE61" s="109">
        <f t="shared" si="5"/>
        <v>0</v>
      </c>
      <c r="AF61" s="109">
        <f t="shared" si="6"/>
        <v>4959.0229500000005</v>
      </c>
      <c r="AG61" s="109">
        <f t="shared" si="7"/>
        <v>25149.330675000001</v>
      </c>
      <c r="AH61" s="109">
        <v>154.22999999999999</v>
      </c>
      <c r="AI61" s="109">
        <f>((AA61*'CALCULO GERAL'!$C$11))*0.08+20</f>
        <v>2549.576</v>
      </c>
      <c r="AJ61" s="109">
        <v>1010</v>
      </c>
      <c r="AK61" s="109">
        <v>2500</v>
      </c>
      <c r="AL61" s="109">
        <f>(AA61*('CALCULO GERAL'!$C$11*1.02))-(AA61*'CALCULO GERAL'!$C$11)</f>
        <v>632.39400000000387</v>
      </c>
      <c r="AM61" s="109">
        <v>1800</v>
      </c>
      <c r="AN61" s="109">
        <v>2600</v>
      </c>
      <c r="AO61" s="109">
        <v>9400</v>
      </c>
      <c r="AP61" s="109">
        <v>1000</v>
      </c>
      <c r="AQ61" s="109">
        <v>0</v>
      </c>
      <c r="AR61" s="109">
        <v>0</v>
      </c>
      <c r="AS61" s="109"/>
      <c r="AT61" s="109">
        <f t="shared" si="25"/>
        <v>370548.88612500002</v>
      </c>
      <c r="AU61" s="111">
        <f t="shared" si="8"/>
        <v>29.643910890000001</v>
      </c>
      <c r="AV61" s="109">
        <f>IFERROR((BS61*'CALCULO GERAL'!$E$11)/N61,0)</f>
        <v>0.81307800000000008</v>
      </c>
      <c r="AW61" s="109">
        <f>AU61/'CALCULO GERAL'!$C$11</f>
        <v>5.9063380932456662</v>
      </c>
      <c r="AX61" s="109">
        <f>BP61-BB61-BD61*'CALCULO GERAL'!$C$11</f>
        <v>40.0440915</v>
      </c>
      <c r="AY61" s="109">
        <f t="shared" si="9"/>
        <v>0.26028659474999999</v>
      </c>
      <c r="AZ61" s="109">
        <f t="shared" si="10"/>
        <v>1.2013227449999999</v>
      </c>
      <c r="BA61" s="109">
        <f t="shared" si="11"/>
        <v>40.6539</v>
      </c>
      <c r="BB61" s="109">
        <f t="shared" si="12"/>
        <v>0.60980849999999998</v>
      </c>
      <c r="BC61" s="109">
        <f t="shared" si="13"/>
        <v>40.6539</v>
      </c>
      <c r="BD61" s="109">
        <f t="shared" si="14"/>
        <v>0</v>
      </c>
      <c r="BE61" s="109">
        <f t="shared" si="15"/>
        <v>40653.9</v>
      </c>
      <c r="BF61" s="109">
        <f t="shared" si="16"/>
        <v>60980.85</v>
      </c>
      <c r="BG61" s="109">
        <f t="shared" si="17"/>
        <v>0.43906212</v>
      </c>
      <c r="BH61" s="109">
        <f t="shared" si="18"/>
        <v>0.48784680000000002</v>
      </c>
      <c r="BI61" s="109">
        <f t="shared" si="19"/>
        <v>0</v>
      </c>
      <c r="BJ61" s="109">
        <f t="shared" si="20"/>
        <v>3.8114047597499994</v>
      </c>
      <c r="BK61" s="109">
        <f t="shared" si="26"/>
        <v>33.455315649749998</v>
      </c>
      <c r="BL61" s="148">
        <v>0.74</v>
      </c>
      <c r="BM61" s="112">
        <f>ROUND((AW61/BL61)+((AW61*BL61)*'CALCULO GERAL'!$E$11)/BL61,2)</f>
        <v>8.1</v>
      </c>
      <c r="BN61" s="186">
        <f t="shared" si="21"/>
        <v>8.1</v>
      </c>
      <c r="BO61" s="186">
        <f t="shared" si="27"/>
        <v>9.49</v>
      </c>
      <c r="BP61" s="109">
        <f>BM61*'CALCULO GERAL'!$C$11</f>
        <v>40.6539</v>
      </c>
      <c r="BQ61" s="109">
        <f>BO61*'CALCULO GERAL'!$C$11</f>
        <v>47.630310000000001</v>
      </c>
      <c r="BR61" s="186">
        <f>BN61*'CALCULO GERAL'!$C$11</f>
        <v>40.6539</v>
      </c>
      <c r="BS61" s="109">
        <f t="shared" si="22"/>
        <v>508173.75</v>
      </c>
      <c r="BT61" s="109">
        <f t="shared" si="23"/>
        <v>508173.75</v>
      </c>
      <c r="BU61" s="109">
        <f t="shared" si="28"/>
        <v>418191.445621875</v>
      </c>
      <c r="BV61" s="109">
        <f t="shared" si="29"/>
        <v>89982.304378125002</v>
      </c>
      <c r="BW61" s="114">
        <f t="shared" si="24"/>
        <v>0.1770699576239918</v>
      </c>
      <c r="BX61" s="152">
        <f t="shared" si="30"/>
        <v>0.74</v>
      </c>
      <c r="BZ61" s="55"/>
      <c r="CA61" s="113"/>
      <c r="CB61" s="113"/>
      <c r="CD61" s="152">
        <f t="shared" si="31"/>
        <v>0</v>
      </c>
      <c r="CE61" s="152">
        <f t="shared" si="32"/>
        <v>1</v>
      </c>
      <c r="CF61" s="152">
        <f t="shared" si="33"/>
        <v>1</v>
      </c>
      <c r="CG61" s="34"/>
      <c r="CI61" s="11"/>
      <c r="CJ61" s="11"/>
    </row>
    <row r="62" spans="1:88" s="152" customFormat="1" ht="16" x14ac:dyDescent="0.2">
      <c r="A62" s="228" t="s">
        <v>198</v>
      </c>
      <c r="B62" s="187" t="s">
        <v>194</v>
      </c>
      <c r="C62" s="8">
        <v>0.35</v>
      </c>
      <c r="D62" s="8">
        <v>0</v>
      </c>
      <c r="E62" s="7">
        <v>2.1000000000000001E-2</v>
      </c>
      <c r="F62" s="7">
        <v>0.1065</v>
      </c>
      <c r="G62" s="1">
        <v>6.4999999999999997E-3</v>
      </c>
      <c r="H62" s="1">
        <v>0.03</v>
      </c>
      <c r="I62" s="1">
        <v>0.18</v>
      </c>
      <c r="J62" s="1">
        <v>0.04</v>
      </c>
      <c r="K62" s="1">
        <v>0.14000000000000001</v>
      </c>
      <c r="L62" s="1">
        <v>1.4999999999999999E-2</v>
      </c>
      <c r="M62" s="2" t="s">
        <v>175</v>
      </c>
      <c r="N62" s="105">
        <v>10500</v>
      </c>
      <c r="O62" s="119"/>
      <c r="P62" s="119"/>
      <c r="Q62" s="119"/>
      <c r="R62" s="119"/>
      <c r="S62" s="119"/>
      <c r="T62" s="119">
        <v>3.01</v>
      </c>
      <c r="U62" s="119"/>
      <c r="V62" s="205"/>
      <c r="W62" s="119"/>
      <c r="X62" s="119">
        <f t="shared" si="0"/>
        <v>3.01</v>
      </c>
      <c r="Y62" s="118">
        <f t="shared" si="1"/>
        <v>3.01</v>
      </c>
      <c r="Z62" s="109">
        <f t="shared" si="2"/>
        <v>31604.999999999996</v>
      </c>
      <c r="AA62" s="109">
        <f>'CALCULO GERAL'!$G$10</f>
        <v>6300</v>
      </c>
      <c r="AB62" s="109">
        <f t="shared" si="3"/>
        <v>37905</v>
      </c>
      <c r="AC62" s="109">
        <f>AB62*'CALCULO GERAL'!$C$11</f>
        <v>190245.19500000001</v>
      </c>
      <c r="AD62" s="109">
        <f t="shared" si="4"/>
        <v>66585.818249999997</v>
      </c>
      <c r="AE62" s="109">
        <f t="shared" si="5"/>
        <v>0</v>
      </c>
      <c r="AF62" s="109">
        <f t="shared" si="6"/>
        <v>3995.1490950000002</v>
      </c>
      <c r="AG62" s="109">
        <f t="shared" si="7"/>
        <v>20261.113267500001</v>
      </c>
      <c r="AH62" s="109">
        <v>154.22999999999999</v>
      </c>
      <c r="AI62" s="109">
        <f>((AA62*'CALCULO GERAL'!$C$11))*0.08+20</f>
        <v>2549.576</v>
      </c>
      <c r="AJ62" s="109">
        <v>1010</v>
      </c>
      <c r="AK62" s="109">
        <v>2500</v>
      </c>
      <c r="AL62" s="109">
        <f>(AA62*('CALCULO GERAL'!$C$11*1.02))-(AA62*'CALCULO GERAL'!$C$11)</f>
        <v>632.39400000000387</v>
      </c>
      <c r="AM62" s="109">
        <v>1800</v>
      </c>
      <c r="AN62" s="109">
        <v>2600</v>
      </c>
      <c r="AO62" s="109">
        <v>9400</v>
      </c>
      <c r="AP62" s="109">
        <v>1000</v>
      </c>
      <c r="AQ62" s="109">
        <v>0</v>
      </c>
      <c r="AR62" s="109">
        <v>0</v>
      </c>
      <c r="AS62" s="109"/>
      <c r="AT62" s="109">
        <f t="shared" si="25"/>
        <v>302733.47561250004</v>
      </c>
      <c r="AU62" s="111">
        <f t="shared" si="8"/>
        <v>28.831759582142862</v>
      </c>
      <c r="AV62" s="109">
        <f>IFERROR((BS62*'CALCULO GERAL'!$E$11)/N62,0)</f>
        <v>0.79099439999999999</v>
      </c>
      <c r="AW62" s="109">
        <f>AU62/'CALCULO GERAL'!$C$11</f>
        <v>5.7445227300543653</v>
      </c>
      <c r="AX62" s="109">
        <f>BP62-BB62-BD62*'CALCULO GERAL'!$C$11</f>
        <v>38.956474200000002</v>
      </c>
      <c r="AY62" s="109">
        <f t="shared" si="9"/>
        <v>0.25321708230000001</v>
      </c>
      <c r="AZ62" s="109">
        <f t="shared" si="10"/>
        <v>1.1686942259999999</v>
      </c>
      <c r="BA62" s="109">
        <f t="shared" si="11"/>
        <v>39.549720000000001</v>
      </c>
      <c r="BB62" s="109">
        <f t="shared" si="12"/>
        <v>0.59324579999999993</v>
      </c>
      <c r="BC62" s="109">
        <f t="shared" si="13"/>
        <v>39.549720000000001</v>
      </c>
      <c r="BD62" s="109">
        <f t="shared" si="14"/>
        <v>0</v>
      </c>
      <c r="BE62" s="109">
        <f t="shared" si="15"/>
        <v>33221.764799999997</v>
      </c>
      <c r="BF62" s="109">
        <f t="shared" si="16"/>
        <v>49832.647199999999</v>
      </c>
      <c r="BG62" s="109">
        <f t="shared" si="17"/>
        <v>0.42713697599999995</v>
      </c>
      <c r="BH62" s="109">
        <f t="shared" si="18"/>
        <v>0.4745966399999999</v>
      </c>
      <c r="BI62" s="109">
        <f t="shared" si="19"/>
        <v>0</v>
      </c>
      <c r="BJ62" s="109">
        <f t="shared" si="20"/>
        <v>3.7078851242999997</v>
      </c>
      <c r="BK62" s="109">
        <f t="shared" si="26"/>
        <v>32.539644706442864</v>
      </c>
      <c r="BL62" s="148">
        <v>0.74</v>
      </c>
      <c r="BM62" s="112">
        <f>ROUND((AW62/BL62)+((AW62*BL62)*'CALCULO GERAL'!$E$11)/BL62,2)</f>
        <v>7.88</v>
      </c>
      <c r="BN62" s="186">
        <f t="shared" si="21"/>
        <v>7.88</v>
      </c>
      <c r="BO62" s="186">
        <f t="shared" si="27"/>
        <v>9.2330000000000005</v>
      </c>
      <c r="BP62" s="109">
        <f>BM62*'CALCULO GERAL'!$C$11</f>
        <v>39.549720000000001</v>
      </c>
      <c r="BQ62" s="109">
        <f>BO62*'CALCULO GERAL'!$C$11</f>
        <v>46.340427000000005</v>
      </c>
      <c r="BR62" s="186">
        <f>BN62*'CALCULO GERAL'!$C$11</f>
        <v>39.549720000000001</v>
      </c>
      <c r="BS62" s="109">
        <f t="shared" si="22"/>
        <v>415272.06</v>
      </c>
      <c r="BT62" s="109">
        <f t="shared" si="23"/>
        <v>415272.06</v>
      </c>
      <c r="BU62" s="109">
        <f t="shared" si="28"/>
        <v>341666.26941765007</v>
      </c>
      <c r="BV62" s="109">
        <f t="shared" si="29"/>
        <v>73605.790582349931</v>
      </c>
      <c r="BW62" s="114">
        <f t="shared" si="24"/>
        <v>0.17724715354640025</v>
      </c>
      <c r="BX62" s="152">
        <f t="shared" si="30"/>
        <v>0.74</v>
      </c>
      <c r="BZ62" s="55"/>
      <c r="CA62" s="113"/>
      <c r="CB62" s="113"/>
      <c r="CD62" s="152">
        <f t="shared" si="31"/>
        <v>0</v>
      </c>
      <c r="CE62" s="152">
        <f t="shared" si="32"/>
        <v>1</v>
      </c>
      <c r="CF62" s="152">
        <f t="shared" si="33"/>
        <v>1</v>
      </c>
      <c r="CG62" s="34"/>
      <c r="CI62" s="11"/>
      <c r="CJ62" s="11"/>
    </row>
    <row r="63" spans="1:88" s="152" customFormat="1" ht="16" x14ac:dyDescent="0.2">
      <c r="A63" s="228" t="s">
        <v>199</v>
      </c>
      <c r="B63" s="187" t="s">
        <v>194</v>
      </c>
      <c r="C63" s="8">
        <v>0.35</v>
      </c>
      <c r="D63" s="8">
        <v>0</v>
      </c>
      <c r="E63" s="7">
        <v>2.1000000000000001E-2</v>
      </c>
      <c r="F63" s="7">
        <v>0.1065</v>
      </c>
      <c r="G63" s="1">
        <v>6.4999999999999997E-3</v>
      </c>
      <c r="H63" s="1">
        <v>0.03</v>
      </c>
      <c r="I63" s="1">
        <v>0.18</v>
      </c>
      <c r="J63" s="1">
        <v>0.04</v>
      </c>
      <c r="K63" s="1">
        <v>0.14000000000000001</v>
      </c>
      <c r="L63" s="1">
        <v>1.4999999999999999E-2</v>
      </c>
      <c r="M63" s="2" t="s">
        <v>175</v>
      </c>
      <c r="N63" s="105">
        <v>10500</v>
      </c>
      <c r="O63" s="119"/>
      <c r="P63" s="119"/>
      <c r="Q63" s="119"/>
      <c r="R63" s="119"/>
      <c r="S63" s="119"/>
      <c r="T63" s="119">
        <v>3.72</v>
      </c>
      <c r="U63" s="119"/>
      <c r="V63" s="205"/>
      <c r="W63" s="119"/>
      <c r="X63" s="119">
        <f t="shared" si="0"/>
        <v>3.72</v>
      </c>
      <c r="Y63" s="118">
        <f t="shared" si="1"/>
        <v>3.72</v>
      </c>
      <c r="Z63" s="109">
        <f t="shared" si="2"/>
        <v>39060</v>
      </c>
      <c r="AA63" s="109">
        <f>'CALCULO GERAL'!$G$10</f>
        <v>6300</v>
      </c>
      <c r="AB63" s="109">
        <f t="shared" si="3"/>
        <v>45360</v>
      </c>
      <c r="AC63" s="109">
        <f>AB63*'CALCULO GERAL'!$C$11</f>
        <v>227661.84</v>
      </c>
      <c r="AD63" s="109">
        <f t="shared" si="4"/>
        <v>79681.644</v>
      </c>
      <c r="AE63" s="109">
        <f t="shared" si="5"/>
        <v>0</v>
      </c>
      <c r="AF63" s="109">
        <f t="shared" si="6"/>
        <v>4780.8986400000003</v>
      </c>
      <c r="AG63" s="109">
        <f t="shared" si="7"/>
        <v>24245.985959999998</v>
      </c>
      <c r="AH63" s="109">
        <v>154.22999999999999</v>
      </c>
      <c r="AI63" s="109">
        <f>((AA63*'CALCULO GERAL'!$C$11))*0.08+20</f>
        <v>2549.576</v>
      </c>
      <c r="AJ63" s="109">
        <v>1010</v>
      </c>
      <c r="AK63" s="109">
        <v>2500</v>
      </c>
      <c r="AL63" s="109">
        <f>(AA63*('CALCULO GERAL'!$C$11*1.02))-(AA63*'CALCULO GERAL'!$C$11)</f>
        <v>632.39400000000387</v>
      </c>
      <c r="AM63" s="109">
        <v>1800</v>
      </c>
      <c r="AN63" s="109">
        <v>2600</v>
      </c>
      <c r="AO63" s="109">
        <v>9400</v>
      </c>
      <c r="AP63" s="109">
        <v>1000</v>
      </c>
      <c r="AQ63" s="109">
        <v>0</v>
      </c>
      <c r="AR63" s="109">
        <v>0</v>
      </c>
      <c r="AS63" s="109"/>
      <c r="AT63" s="109">
        <f t="shared" si="25"/>
        <v>358016.56860000006</v>
      </c>
      <c r="AU63" s="111">
        <f t="shared" si="8"/>
        <v>34.09681605714286</v>
      </c>
      <c r="AV63" s="109">
        <f>IFERROR((BS63*'CALCULO GERAL'!$E$11)/N63,0)</f>
        <v>0.93554160000000008</v>
      </c>
      <c r="AW63" s="109">
        <f>AU63/'CALCULO GERAL'!$C$11</f>
        <v>6.7935477300543656</v>
      </c>
      <c r="AX63" s="109">
        <f>BP63-BB63-BD63*'CALCULO GERAL'!$C$11</f>
        <v>46.075423800000003</v>
      </c>
      <c r="AY63" s="109">
        <f t="shared" si="9"/>
        <v>0.29949025470000001</v>
      </c>
      <c r="AZ63" s="109">
        <f t="shared" si="10"/>
        <v>1.3822627140000001</v>
      </c>
      <c r="BA63" s="109">
        <f t="shared" si="11"/>
        <v>46.777080000000005</v>
      </c>
      <c r="BB63" s="109">
        <f t="shared" si="12"/>
        <v>0.70165620000000006</v>
      </c>
      <c r="BC63" s="109">
        <f t="shared" si="13"/>
        <v>46.777080000000005</v>
      </c>
      <c r="BD63" s="109">
        <f t="shared" si="14"/>
        <v>0</v>
      </c>
      <c r="BE63" s="109">
        <f t="shared" si="15"/>
        <v>39292.747200000005</v>
      </c>
      <c r="BF63" s="109">
        <f t="shared" si="16"/>
        <v>58939.120800000004</v>
      </c>
      <c r="BG63" s="109">
        <f t="shared" si="17"/>
        <v>0.50519246399999995</v>
      </c>
      <c r="BH63" s="109">
        <f t="shared" si="18"/>
        <v>0.56132496000000009</v>
      </c>
      <c r="BI63" s="109">
        <f t="shared" si="19"/>
        <v>0</v>
      </c>
      <c r="BJ63" s="109">
        <f t="shared" si="20"/>
        <v>4.3854681927000003</v>
      </c>
      <c r="BK63" s="109">
        <f t="shared" si="26"/>
        <v>38.482284249842863</v>
      </c>
      <c r="BL63" s="148">
        <v>0.74</v>
      </c>
      <c r="BM63" s="112">
        <f>ROUND((AW63/BL63)+((AW63*BL63)*'CALCULO GERAL'!$E$11)/BL63,2)</f>
        <v>9.32</v>
      </c>
      <c r="BN63" s="186">
        <f t="shared" si="21"/>
        <v>9.32</v>
      </c>
      <c r="BO63" s="186">
        <f t="shared" si="27"/>
        <v>10.92</v>
      </c>
      <c r="BP63" s="109">
        <f>BM63*'CALCULO GERAL'!$C$11</f>
        <v>46.777080000000005</v>
      </c>
      <c r="BQ63" s="109">
        <f>BO63*'CALCULO GERAL'!$C$11</f>
        <v>54.807479999999998</v>
      </c>
      <c r="BR63" s="186">
        <f>BN63*'CALCULO GERAL'!$C$11</f>
        <v>46.777080000000005</v>
      </c>
      <c r="BS63" s="109">
        <f t="shared" si="22"/>
        <v>491159.34</v>
      </c>
      <c r="BT63" s="109">
        <f t="shared" si="23"/>
        <v>491159.34</v>
      </c>
      <c r="BU63" s="109">
        <f t="shared" si="28"/>
        <v>404063.98462335009</v>
      </c>
      <c r="BV63" s="109">
        <f t="shared" si="29"/>
        <v>87095.355376649939</v>
      </c>
      <c r="BW63" s="114">
        <f t="shared" si="24"/>
        <v>0.17732606973665599</v>
      </c>
      <c r="BX63" s="152">
        <f t="shared" si="30"/>
        <v>0.74</v>
      </c>
      <c r="BZ63" s="55"/>
      <c r="CA63" s="113"/>
      <c r="CB63" s="113"/>
      <c r="CD63" s="152">
        <f t="shared" si="31"/>
        <v>0</v>
      </c>
      <c r="CE63" s="152">
        <f t="shared" si="32"/>
        <v>1</v>
      </c>
      <c r="CF63" s="152">
        <f t="shared" si="33"/>
        <v>1</v>
      </c>
      <c r="CG63" s="34"/>
      <c r="CI63" s="11"/>
      <c r="CJ63" s="11"/>
    </row>
    <row r="64" spans="1:88" s="152" customFormat="1" ht="16" x14ac:dyDescent="0.2">
      <c r="A64" s="228" t="s">
        <v>200</v>
      </c>
      <c r="B64" s="187" t="s">
        <v>194</v>
      </c>
      <c r="C64" s="8">
        <v>0.35</v>
      </c>
      <c r="D64" s="8">
        <v>0</v>
      </c>
      <c r="E64" s="7">
        <v>2.1000000000000001E-2</v>
      </c>
      <c r="F64" s="7">
        <v>0.1065</v>
      </c>
      <c r="G64" s="1">
        <v>6.4999999999999997E-3</v>
      </c>
      <c r="H64" s="1">
        <v>0.03</v>
      </c>
      <c r="I64" s="1">
        <v>0.18</v>
      </c>
      <c r="J64" s="1">
        <v>0.04</v>
      </c>
      <c r="K64" s="1">
        <v>0.14000000000000001</v>
      </c>
      <c r="L64" s="1">
        <v>1.4999999999999999E-2</v>
      </c>
      <c r="M64" s="2" t="s">
        <v>175</v>
      </c>
      <c r="N64" s="105">
        <v>8500</v>
      </c>
      <c r="O64" s="119"/>
      <c r="P64" s="119"/>
      <c r="Q64" s="119"/>
      <c r="R64" s="119"/>
      <c r="S64" s="119"/>
      <c r="T64" s="119">
        <v>4.08</v>
      </c>
      <c r="U64" s="119"/>
      <c r="V64" s="205"/>
      <c r="W64" s="119"/>
      <c r="X64" s="119">
        <f t="shared" si="0"/>
        <v>4.08</v>
      </c>
      <c r="Y64" s="118">
        <f t="shared" si="1"/>
        <v>4.08</v>
      </c>
      <c r="Z64" s="109">
        <f t="shared" si="2"/>
        <v>34680</v>
      </c>
      <c r="AA64" s="109">
        <f>'CALCULO GERAL'!$G$10</f>
        <v>6300</v>
      </c>
      <c r="AB64" s="109">
        <f t="shared" si="3"/>
        <v>40980</v>
      </c>
      <c r="AC64" s="109">
        <f>AB64*'CALCULO GERAL'!$C$11</f>
        <v>205678.62</v>
      </c>
      <c r="AD64" s="109">
        <f t="shared" si="4"/>
        <v>71987.516999999993</v>
      </c>
      <c r="AE64" s="109">
        <f t="shared" si="5"/>
        <v>0</v>
      </c>
      <c r="AF64" s="109">
        <f t="shared" si="6"/>
        <v>4319.2510200000006</v>
      </c>
      <c r="AG64" s="109">
        <f t="shared" si="7"/>
        <v>21904.77303</v>
      </c>
      <c r="AH64" s="109">
        <v>154.22999999999999</v>
      </c>
      <c r="AI64" s="109">
        <f>((AA64*'CALCULO GERAL'!$C$11))*0.08+20</f>
        <v>2549.576</v>
      </c>
      <c r="AJ64" s="109">
        <v>1010</v>
      </c>
      <c r="AK64" s="109">
        <v>2500</v>
      </c>
      <c r="AL64" s="109">
        <f>(AA64*('CALCULO GERAL'!$C$11*1.02))-(AA64*'CALCULO GERAL'!$C$11)</f>
        <v>632.39400000000387</v>
      </c>
      <c r="AM64" s="109">
        <v>1800</v>
      </c>
      <c r="AN64" s="109">
        <v>2600</v>
      </c>
      <c r="AO64" s="109">
        <v>9400</v>
      </c>
      <c r="AP64" s="109">
        <v>1000</v>
      </c>
      <c r="AQ64" s="109">
        <v>0</v>
      </c>
      <c r="AR64" s="109">
        <v>0</v>
      </c>
      <c r="AS64" s="109"/>
      <c r="AT64" s="109">
        <f t="shared" si="25"/>
        <v>325536.36105000001</v>
      </c>
      <c r="AU64" s="111">
        <f t="shared" si="8"/>
        <v>38.298395417647058</v>
      </c>
      <c r="AV64" s="109">
        <f>IFERROR((BS64*'CALCULO GERAL'!$E$11)/N64,0)</f>
        <v>1.0499748000000002</v>
      </c>
      <c r="AW64" s="109">
        <f>AU64/'CALCULO GERAL'!$C$11</f>
        <v>7.6306824900671559</v>
      </c>
      <c r="AX64" s="109">
        <f>BP64-BB64-BD64*'CALCULO GERAL'!$C$11</f>
        <v>51.711258900000004</v>
      </c>
      <c r="AY64" s="109">
        <f t="shared" si="9"/>
        <v>0.33612318285000004</v>
      </c>
      <c r="AZ64" s="109">
        <f t="shared" si="10"/>
        <v>1.5513377670000001</v>
      </c>
      <c r="BA64" s="109">
        <f t="shared" si="11"/>
        <v>52.498740000000005</v>
      </c>
      <c r="BB64" s="109">
        <f t="shared" si="12"/>
        <v>0.78748110000000004</v>
      </c>
      <c r="BC64" s="109">
        <f t="shared" si="13"/>
        <v>52.498740000000005</v>
      </c>
      <c r="BD64" s="109">
        <f t="shared" si="14"/>
        <v>0</v>
      </c>
      <c r="BE64" s="109">
        <f t="shared" si="15"/>
        <v>35699.143200000006</v>
      </c>
      <c r="BF64" s="109">
        <f t="shared" si="16"/>
        <v>53548.714800000002</v>
      </c>
      <c r="BG64" s="109">
        <f t="shared" si="17"/>
        <v>0.56698639200000001</v>
      </c>
      <c r="BH64" s="109">
        <f t="shared" si="18"/>
        <v>0.62998488000000008</v>
      </c>
      <c r="BI64" s="109">
        <f t="shared" si="19"/>
        <v>0</v>
      </c>
      <c r="BJ64" s="109">
        <f t="shared" si="20"/>
        <v>4.9218881218500012</v>
      </c>
      <c r="BK64" s="109">
        <f t="shared" si="26"/>
        <v>43.220283539497061</v>
      </c>
      <c r="BL64" s="148">
        <v>0.74</v>
      </c>
      <c r="BM64" s="112">
        <f>ROUND((AW64/BL64)+((AW64*BL64)*'CALCULO GERAL'!$E$11)/BL64,2)</f>
        <v>10.46</v>
      </c>
      <c r="BN64" s="186">
        <f t="shared" si="21"/>
        <v>10.46</v>
      </c>
      <c r="BO64" s="186">
        <f t="shared" si="27"/>
        <v>12.256</v>
      </c>
      <c r="BP64" s="109">
        <f>BM64*'CALCULO GERAL'!$C$11</f>
        <v>52.498740000000005</v>
      </c>
      <c r="BQ64" s="109">
        <f>BO64*'CALCULO GERAL'!$C$11</f>
        <v>61.512864</v>
      </c>
      <c r="BR64" s="186">
        <f>BN64*'CALCULO GERAL'!$C$11</f>
        <v>52.498740000000005</v>
      </c>
      <c r="BS64" s="109">
        <f t="shared" si="22"/>
        <v>446239.29000000004</v>
      </c>
      <c r="BT64" s="109">
        <f t="shared" si="23"/>
        <v>446239.29000000004</v>
      </c>
      <c r="BU64" s="109">
        <f t="shared" si="28"/>
        <v>367372.41008572502</v>
      </c>
      <c r="BV64" s="109">
        <f t="shared" si="29"/>
        <v>78866.879914275021</v>
      </c>
      <c r="BW64" s="114">
        <f t="shared" si="24"/>
        <v>0.17673674569147646</v>
      </c>
      <c r="BX64" s="152">
        <f t="shared" si="30"/>
        <v>0.74</v>
      </c>
      <c r="BZ64" s="55"/>
      <c r="CA64" s="113"/>
      <c r="CB64" s="113"/>
      <c r="CD64" s="152">
        <f t="shared" si="31"/>
        <v>0</v>
      </c>
      <c r="CE64" s="152">
        <f t="shared" si="32"/>
        <v>1</v>
      </c>
      <c r="CF64" s="152">
        <f t="shared" si="33"/>
        <v>1</v>
      </c>
      <c r="CG64" s="34"/>
      <c r="CI64" s="11"/>
      <c r="CJ64" s="11"/>
    </row>
    <row r="65" spans="1:88" s="152" customFormat="1" ht="16" x14ac:dyDescent="0.2">
      <c r="A65" s="228" t="s">
        <v>201</v>
      </c>
      <c r="B65" s="187" t="s">
        <v>194</v>
      </c>
      <c r="C65" s="8">
        <v>0.35</v>
      </c>
      <c r="D65" s="8">
        <v>0</v>
      </c>
      <c r="E65" s="7">
        <v>2.1000000000000001E-2</v>
      </c>
      <c r="F65" s="7">
        <v>0.1065</v>
      </c>
      <c r="G65" s="1">
        <v>6.4999999999999997E-3</v>
      </c>
      <c r="H65" s="1">
        <v>0.03</v>
      </c>
      <c r="I65" s="1">
        <v>0.18</v>
      </c>
      <c r="J65" s="1">
        <v>0.04</v>
      </c>
      <c r="K65" s="1">
        <v>0.14000000000000001</v>
      </c>
      <c r="L65" s="1">
        <v>1.4999999999999999E-2</v>
      </c>
      <c r="M65" s="2" t="s">
        <v>175</v>
      </c>
      <c r="N65" s="105">
        <v>7000</v>
      </c>
      <c r="O65" s="119"/>
      <c r="P65" s="119"/>
      <c r="Q65" s="119"/>
      <c r="R65" s="119"/>
      <c r="S65" s="119"/>
      <c r="T65" s="119">
        <v>4.42</v>
      </c>
      <c r="U65" s="119"/>
      <c r="V65" s="205"/>
      <c r="W65" s="119"/>
      <c r="X65" s="119">
        <f t="shared" si="0"/>
        <v>4.42</v>
      </c>
      <c r="Y65" s="118">
        <f t="shared" si="1"/>
        <v>4.42</v>
      </c>
      <c r="Z65" s="109">
        <f t="shared" si="2"/>
        <v>30940</v>
      </c>
      <c r="AA65" s="109">
        <f>'CALCULO GERAL'!$G$10</f>
        <v>6300</v>
      </c>
      <c r="AB65" s="109">
        <f t="shared" si="3"/>
        <v>37240</v>
      </c>
      <c r="AC65" s="109">
        <f>AB65*'CALCULO GERAL'!$C$11</f>
        <v>186907.56</v>
      </c>
      <c r="AD65" s="109">
        <f t="shared" si="4"/>
        <v>65417.645999999993</v>
      </c>
      <c r="AE65" s="109">
        <f t="shared" si="5"/>
        <v>0</v>
      </c>
      <c r="AF65" s="109">
        <f t="shared" si="6"/>
        <v>3925.0587600000003</v>
      </c>
      <c r="AG65" s="109">
        <f t="shared" si="7"/>
        <v>19905.655139999999</v>
      </c>
      <c r="AH65" s="109">
        <v>154.22999999999999</v>
      </c>
      <c r="AI65" s="109">
        <f>((AA65*'CALCULO GERAL'!$C$11))*0.08+20</f>
        <v>2549.576</v>
      </c>
      <c r="AJ65" s="109">
        <v>1010</v>
      </c>
      <c r="AK65" s="109">
        <v>2500</v>
      </c>
      <c r="AL65" s="109">
        <f>(AA65*('CALCULO GERAL'!$C$11*1.02))-(AA65*'CALCULO GERAL'!$C$11)</f>
        <v>632.39400000000387</v>
      </c>
      <c r="AM65" s="109">
        <v>1800</v>
      </c>
      <c r="AN65" s="109">
        <v>2600</v>
      </c>
      <c r="AO65" s="109">
        <v>9400</v>
      </c>
      <c r="AP65" s="109">
        <v>1000</v>
      </c>
      <c r="AQ65" s="109">
        <v>0</v>
      </c>
      <c r="AR65" s="109">
        <v>0</v>
      </c>
      <c r="AS65" s="109"/>
      <c r="AT65" s="109">
        <f t="shared" si="25"/>
        <v>297802.11990000005</v>
      </c>
      <c r="AU65" s="111">
        <f t="shared" si="8"/>
        <v>42.54315998571429</v>
      </c>
      <c r="AV65" s="109">
        <f>IFERROR((BS65*'CALCULO GERAL'!$E$11)/N65,0)</f>
        <v>1.1664156000000001</v>
      </c>
      <c r="AW65" s="109">
        <f>AU65/'CALCULO GERAL'!$C$11</f>
        <v>8.4764215950815487</v>
      </c>
      <c r="AX65" s="109">
        <f>BP65-BB65-BD65*'CALCULO GERAL'!$C$11</f>
        <v>57.445968299999997</v>
      </c>
      <c r="AY65" s="109">
        <f t="shared" si="9"/>
        <v>0.37339879394999997</v>
      </c>
      <c r="AZ65" s="109">
        <f t="shared" si="10"/>
        <v>1.7233790489999998</v>
      </c>
      <c r="BA65" s="109">
        <f t="shared" si="11"/>
        <v>58.320779999999999</v>
      </c>
      <c r="BB65" s="109">
        <f t="shared" si="12"/>
        <v>0.87481169999999997</v>
      </c>
      <c r="BC65" s="109">
        <f t="shared" si="13"/>
        <v>58.320779999999999</v>
      </c>
      <c r="BD65" s="109">
        <f t="shared" si="14"/>
        <v>0</v>
      </c>
      <c r="BE65" s="109">
        <f t="shared" si="15"/>
        <v>32659.636800000004</v>
      </c>
      <c r="BF65" s="109">
        <f t="shared" si="16"/>
        <v>48989.455200000004</v>
      </c>
      <c r="BG65" s="109">
        <f t="shared" si="17"/>
        <v>0.62986442400000009</v>
      </c>
      <c r="BH65" s="109">
        <f t="shared" si="18"/>
        <v>0.69984935999999998</v>
      </c>
      <c r="BI65" s="109">
        <f t="shared" si="19"/>
        <v>0</v>
      </c>
      <c r="BJ65" s="109">
        <f t="shared" si="20"/>
        <v>5.4677189269499999</v>
      </c>
      <c r="BK65" s="109">
        <f t="shared" si="26"/>
        <v>48.010878912664289</v>
      </c>
      <c r="BL65" s="148">
        <v>0.74</v>
      </c>
      <c r="BM65" s="112">
        <f>ROUND((AW65/BL65)+((AW65*BL65)*'CALCULO GERAL'!$E$11)/BL65,2)</f>
        <v>11.62</v>
      </c>
      <c r="BN65" s="186">
        <f t="shared" si="21"/>
        <v>11.62</v>
      </c>
      <c r="BO65" s="186">
        <f t="shared" si="27"/>
        <v>13.615</v>
      </c>
      <c r="BP65" s="109">
        <f>BM65*'CALCULO GERAL'!$C$11</f>
        <v>58.320779999999999</v>
      </c>
      <c r="BQ65" s="109">
        <f>BO65*'CALCULO GERAL'!$C$11</f>
        <v>68.333685000000003</v>
      </c>
      <c r="BR65" s="186">
        <f>BN65*'CALCULO GERAL'!$C$11</f>
        <v>58.320779999999999</v>
      </c>
      <c r="BS65" s="109">
        <f t="shared" si="22"/>
        <v>408245.46</v>
      </c>
      <c r="BT65" s="109">
        <f t="shared" si="23"/>
        <v>408245.46</v>
      </c>
      <c r="BU65" s="109">
        <f t="shared" si="28"/>
        <v>336076.15238865005</v>
      </c>
      <c r="BV65" s="109">
        <f t="shared" si="29"/>
        <v>72169.30761134997</v>
      </c>
      <c r="BW65" s="114">
        <f t="shared" si="24"/>
        <v>0.17677920438196659</v>
      </c>
      <c r="BX65" s="152">
        <f t="shared" si="30"/>
        <v>0.74</v>
      </c>
      <c r="BZ65" s="55"/>
      <c r="CA65" s="113"/>
      <c r="CB65" s="113"/>
      <c r="CD65" s="152">
        <f t="shared" si="31"/>
        <v>0</v>
      </c>
      <c r="CE65" s="152">
        <f t="shared" si="32"/>
        <v>1</v>
      </c>
      <c r="CF65" s="152">
        <f t="shared" si="33"/>
        <v>1</v>
      </c>
      <c r="CG65" s="34"/>
      <c r="CI65" s="11"/>
      <c r="CJ65" s="11"/>
    </row>
    <row r="66" spans="1:88" s="152" customFormat="1" ht="16" x14ac:dyDescent="0.2">
      <c r="A66" s="228" t="s">
        <v>202</v>
      </c>
      <c r="B66" s="187" t="s">
        <v>194</v>
      </c>
      <c r="C66" s="8">
        <v>0.35</v>
      </c>
      <c r="D66" s="8">
        <v>0</v>
      </c>
      <c r="E66" s="7">
        <v>2.1000000000000001E-2</v>
      </c>
      <c r="F66" s="7">
        <v>0.1065</v>
      </c>
      <c r="G66" s="1">
        <v>6.4999999999999997E-3</v>
      </c>
      <c r="H66" s="1">
        <v>0.03</v>
      </c>
      <c r="I66" s="1">
        <v>0.18</v>
      </c>
      <c r="J66" s="1">
        <v>0.04</v>
      </c>
      <c r="K66" s="1">
        <v>0.14000000000000001</v>
      </c>
      <c r="L66" s="1">
        <v>1.4999999999999999E-2</v>
      </c>
      <c r="M66" s="2" t="s">
        <v>175</v>
      </c>
      <c r="N66" s="105">
        <v>7000</v>
      </c>
      <c r="O66" s="119"/>
      <c r="P66" s="119"/>
      <c r="Q66" s="119"/>
      <c r="R66" s="119"/>
      <c r="S66" s="119"/>
      <c r="T66" s="119">
        <v>3.7450000000000001</v>
      </c>
      <c r="U66" s="119"/>
      <c r="V66" s="205"/>
      <c r="W66" s="119"/>
      <c r="X66" s="119">
        <f t="shared" si="0"/>
        <v>3.7450000000000001</v>
      </c>
      <c r="Y66" s="118">
        <f t="shared" si="1"/>
        <v>3.7450000000000001</v>
      </c>
      <c r="Z66" s="109">
        <f t="shared" si="2"/>
        <v>26215</v>
      </c>
      <c r="AA66" s="109">
        <f>'CALCULO GERAL'!$G$10</f>
        <v>6300</v>
      </c>
      <c r="AB66" s="109">
        <f t="shared" si="3"/>
        <v>32515</v>
      </c>
      <c r="AC66" s="109">
        <f>AB66*'CALCULO GERAL'!$C$11</f>
        <v>163192.785</v>
      </c>
      <c r="AD66" s="109">
        <f t="shared" si="4"/>
        <v>57117.474750000001</v>
      </c>
      <c r="AE66" s="109">
        <f t="shared" si="5"/>
        <v>0</v>
      </c>
      <c r="AF66" s="109">
        <f t="shared" si="6"/>
        <v>3427.0484850000003</v>
      </c>
      <c r="AG66" s="109">
        <f t="shared" si="7"/>
        <v>17380.031602499999</v>
      </c>
      <c r="AH66" s="109">
        <v>154.22999999999999</v>
      </c>
      <c r="AI66" s="109">
        <f>((AA66*'CALCULO GERAL'!$C$11))*0.08+20</f>
        <v>2549.576</v>
      </c>
      <c r="AJ66" s="109">
        <v>1010</v>
      </c>
      <c r="AK66" s="109">
        <v>2500</v>
      </c>
      <c r="AL66" s="109">
        <f>(AA66*('CALCULO GERAL'!$C$11*1.02))-(AA66*'CALCULO GERAL'!$C$11)</f>
        <v>632.39400000000387</v>
      </c>
      <c r="AM66" s="109">
        <v>1800</v>
      </c>
      <c r="AN66" s="109">
        <v>2600</v>
      </c>
      <c r="AO66" s="109">
        <v>9400</v>
      </c>
      <c r="AP66" s="109">
        <v>1000</v>
      </c>
      <c r="AQ66" s="109">
        <v>0</v>
      </c>
      <c r="AR66" s="109">
        <v>0</v>
      </c>
      <c r="AS66" s="109"/>
      <c r="AT66" s="109">
        <f t="shared" si="25"/>
        <v>262763.53983750002</v>
      </c>
      <c r="AU66" s="111">
        <f t="shared" si="8"/>
        <v>37.537648548214285</v>
      </c>
      <c r="AV66" s="109">
        <f>IFERROR((BS66*'CALCULO GERAL'!$E$11)/N66,0)</f>
        <v>1.0298988</v>
      </c>
      <c r="AW66" s="109">
        <f>AU66/'CALCULO GERAL'!$C$11</f>
        <v>7.4791090950815473</v>
      </c>
      <c r="AX66" s="109">
        <f>BP66-BB66-BD66*'CALCULO GERAL'!$C$11</f>
        <v>50.722515899999998</v>
      </c>
      <c r="AY66" s="109">
        <f t="shared" si="9"/>
        <v>0.32969635334999997</v>
      </c>
      <c r="AZ66" s="109">
        <f t="shared" si="10"/>
        <v>1.5216754769999998</v>
      </c>
      <c r="BA66" s="109">
        <f t="shared" si="11"/>
        <v>51.49494</v>
      </c>
      <c r="BB66" s="109">
        <f t="shared" si="12"/>
        <v>0.77242409999999995</v>
      </c>
      <c r="BC66" s="109">
        <f t="shared" si="13"/>
        <v>51.49494</v>
      </c>
      <c r="BD66" s="109">
        <f t="shared" si="14"/>
        <v>0</v>
      </c>
      <c r="BE66" s="109">
        <f t="shared" si="15"/>
        <v>28837.166400000002</v>
      </c>
      <c r="BF66" s="109">
        <f t="shared" si="16"/>
        <v>43255.749600000003</v>
      </c>
      <c r="BG66" s="109">
        <f t="shared" si="17"/>
        <v>0.55614535200000004</v>
      </c>
      <c r="BH66" s="109">
        <f t="shared" si="18"/>
        <v>0.61793927999999998</v>
      </c>
      <c r="BI66" s="109">
        <f t="shared" si="19"/>
        <v>0</v>
      </c>
      <c r="BJ66" s="109">
        <f t="shared" si="20"/>
        <v>4.8277793623499994</v>
      </c>
      <c r="BK66" s="109">
        <f t="shared" si="26"/>
        <v>42.365427910564286</v>
      </c>
      <c r="BL66" s="148">
        <v>0.74</v>
      </c>
      <c r="BM66" s="112">
        <f>ROUND((AW66/BL66)+((AW66*BL66)*'CALCULO GERAL'!$E$11)/BL66,2)</f>
        <v>10.26</v>
      </c>
      <c r="BN66" s="186">
        <f t="shared" si="21"/>
        <v>10.26</v>
      </c>
      <c r="BO66" s="186">
        <f t="shared" si="27"/>
        <v>12.021000000000001</v>
      </c>
      <c r="BP66" s="109">
        <f>BM66*'CALCULO GERAL'!$C$11</f>
        <v>51.49494</v>
      </c>
      <c r="BQ66" s="109">
        <f>BO66*'CALCULO GERAL'!$C$11</f>
        <v>60.333399000000007</v>
      </c>
      <c r="BR66" s="186">
        <f>BN66*'CALCULO GERAL'!$C$11</f>
        <v>51.49494</v>
      </c>
      <c r="BS66" s="109">
        <f t="shared" si="22"/>
        <v>360464.58</v>
      </c>
      <c r="BT66" s="109">
        <f t="shared" si="23"/>
        <v>360464.58</v>
      </c>
      <c r="BU66" s="109">
        <f t="shared" si="28"/>
        <v>296557.99537394999</v>
      </c>
      <c r="BV66" s="109">
        <f t="shared" si="29"/>
        <v>63906.584626050026</v>
      </c>
      <c r="BW66" s="114">
        <f t="shared" si="24"/>
        <v>0.17728949853006368</v>
      </c>
      <c r="BX66" s="152">
        <f t="shared" si="30"/>
        <v>0.74</v>
      </c>
      <c r="BZ66" s="55"/>
      <c r="CA66" s="113"/>
      <c r="CB66" s="113"/>
      <c r="CD66" s="152">
        <f t="shared" si="31"/>
        <v>0</v>
      </c>
      <c r="CE66" s="152">
        <f t="shared" si="32"/>
        <v>1</v>
      </c>
      <c r="CF66" s="152">
        <f t="shared" si="33"/>
        <v>1</v>
      </c>
      <c r="CG66" s="34"/>
      <c r="CI66" s="11"/>
      <c r="CJ66" s="11"/>
    </row>
    <row r="67" spans="1:88" s="152" customFormat="1" ht="16" x14ac:dyDescent="0.2">
      <c r="A67" s="228" t="s">
        <v>203</v>
      </c>
      <c r="B67" s="187" t="s">
        <v>194</v>
      </c>
      <c r="C67" s="8">
        <v>0.35</v>
      </c>
      <c r="D67" s="8">
        <v>0</v>
      </c>
      <c r="E67" s="7">
        <v>2.1000000000000001E-2</v>
      </c>
      <c r="F67" s="7">
        <v>0.1065</v>
      </c>
      <c r="G67" s="1">
        <v>6.4999999999999997E-3</v>
      </c>
      <c r="H67" s="1">
        <v>0.03</v>
      </c>
      <c r="I67" s="1">
        <v>0.18</v>
      </c>
      <c r="J67" s="1">
        <v>0.04</v>
      </c>
      <c r="K67" s="1">
        <v>0.14000000000000001</v>
      </c>
      <c r="L67" s="1">
        <v>1.4999999999999999E-2</v>
      </c>
      <c r="M67" s="2" t="s">
        <v>175</v>
      </c>
      <c r="N67" s="105">
        <v>7000</v>
      </c>
      <c r="O67" s="119"/>
      <c r="P67" s="119"/>
      <c r="Q67" s="119"/>
      <c r="R67" s="119"/>
      <c r="S67" s="119"/>
      <c r="T67" s="119">
        <v>4.2270000000000003</v>
      </c>
      <c r="U67" s="119"/>
      <c r="V67" s="205"/>
      <c r="W67" s="119"/>
      <c r="X67" s="119">
        <f t="shared" si="0"/>
        <v>4.2270000000000003</v>
      </c>
      <c r="Y67" s="118">
        <f t="shared" si="1"/>
        <v>4.2270000000000003</v>
      </c>
      <c r="Z67" s="109">
        <f t="shared" si="2"/>
        <v>29589.000000000004</v>
      </c>
      <c r="AA67" s="109">
        <f>'CALCULO GERAL'!$G$10</f>
        <v>6300</v>
      </c>
      <c r="AB67" s="109">
        <f t="shared" si="3"/>
        <v>35889</v>
      </c>
      <c r="AC67" s="109">
        <f>AB67*'CALCULO GERAL'!$C$11</f>
        <v>180126.891</v>
      </c>
      <c r="AD67" s="109">
        <f t="shared" si="4"/>
        <v>63044.411849999997</v>
      </c>
      <c r="AE67" s="109">
        <f t="shared" si="5"/>
        <v>0</v>
      </c>
      <c r="AF67" s="109">
        <f t="shared" si="6"/>
        <v>3782.6647110000004</v>
      </c>
      <c r="AG67" s="109">
        <f t="shared" si="7"/>
        <v>19183.513891499999</v>
      </c>
      <c r="AH67" s="109">
        <v>154.22999999999999</v>
      </c>
      <c r="AI67" s="109">
        <f>((AA67*'CALCULO GERAL'!$C$11))*0.08+20</f>
        <v>2549.576</v>
      </c>
      <c r="AJ67" s="109">
        <v>1010</v>
      </c>
      <c r="AK67" s="109">
        <v>2500</v>
      </c>
      <c r="AL67" s="109">
        <f>(AA67*('CALCULO GERAL'!$C$11*1.02))-(AA67*'CALCULO GERAL'!$C$11)</f>
        <v>632.39400000000387</v>
      </c>
      <c r="AM67" s="109">
        <v>1800</v>
      </c>
      <c r="AN67" s="109">
        <v>2600</v>
      </c>
      <c r="AO67" s="109">
        <v>9400</v>
      </c>
      <c r="AP67" s="109">
        <v>1000</v>
      </c>
      <c r="AQ67" s="109">
        <v>0</v>
      </c>
      <c r="AR67" s="109">
        <v>0</v>
      </c>
      <c r="AS67" s="109"/>
      <c r="AT67" s="109">
        <f t="shared" si="25"/>
        <v>287783.68145249999</v>
      </c>
      <c r="AU67" s="111">
        <f t="shared" si="8"/>
        <v>41.111954493214284</v>
      </c>
      <c r="AV67" s="109">
        <f>IFERROR((BS67*'CALCULO GERAL'!$E$11)/N67,0)</f>
        <v>1.1272674</v>
      </c>
      <c r="AW67" s="109">
        <f>AU67/'CALCULO GERAL'!$C$11</f>
        <v>8.1912640950815465</v>
      </c>
      <c r="AX67" s="109">
        <f>BP67-BB67-BD67*'CALCULO GERAL'!$C$11</f>
        <v>55.517919450000001</v>
      </c>
      <c r="AY67" s="109">
        <f t="shared" si="9"/>
        <v>0.36086647642499997</v>
      </c>
      <c r="AZ67" s="109">
        <f t="shared" si="10"/>
        <v>1.6655375834999999</v>
      </c>
      <c r="BA67" s="109">
        <f t="shared" si="11"/>
        <v>56.363370000000003</v>
      </c>
      <c r="BB67" s="109">
        <f t="shared" si="12"/>
        <v>0.84545055000000002</v>
      </c>
      <c r="BC67" s="109">
        <f t="shared" si="13"/>
        <v>56.363370000000003</v>
      </c>
      <c r="BD67" s="109">
        <f t="shared" si="14"/>
        <v>0</v>
      </c>
      <c r="BE67" s="109">
        <f t="shared" si="15"/>
        <v>31563.487200000003</v>
      </c>
      <c r="BF67" s="109">
        <f t="shared" si="16"/>
        <v>47345.230800000005</v>
      </c>
      <c r="BG67" s="109">
        <f t="shared" si="17"/>
        <v>0.60872439600000006</v>
      </c>
      <c r="BH67" s="109">
        <f t="shared" si="18"/>
        <v>0.67636043999999995</v>
      </c>
      <c r="BI67" s="109">
        <f t="shared" si="19"/>
        <v>0</v>
      </c>
      <c r="BJ67" s="109">
        <f t="shared" si="20"/>
        <v>5.2842068459250005</v>
      </c>
      <c r="BK67" s="109">
        <f t="shared" si="26"/>
        <v>46.396161339139283</v>
      </c>
      <c r="BL67" s="148">
        <v>0.74</v>
      </c>
      <c r="BM67" s="112">
        <f>ROUND((AW67/BL67)+((AW67*BL67)*'CALCULO GERAL'!$E$11)/BL67,2)</f>
        <v>11.23</v>
      </c>
      <c r="BN67" s="186">
        <f t="shared" si="21"/>
        <v>11.23</v>
      </c>
      <c r="BO67" s="186">
        <f t="shared" si="27"/>
        <v>13.157999999999999</v>
      </c>
      <c r="BP67" s="109">
        <f>BM67*'CALCULO GERAL'!$C$11</f>
        <v>56.363370000000003</v>
      </c>
      <c r="BQ67" s="109">
        <f>BO67*'CALCULO GERAL'!$C$11</f>
        <v>66.040002000000001</v>
      </c>
      <c r="BR67" s="186">
        <f>BN67*'CALCULO GERAL'!$C$11</f>
        <v>56.363370000000003</v>
      </c>
      <c r="BS67" s="109">
        <f t="shared" si="22"/>
        <v>394543.59</v>
      </c>
      <c r="BT67" s="109">
        <f t="shared" si="23"/>
        <v>394543.59</v>
      </c>
      <c r="BU67" s="109">
        <f t="shared" si="28"/>
        <v>324773.12937397498</v>
      </c>
      <c r="BV67" s="109">
        <f t="shared" si="29"/>
        <v>69770.460626025044</v>
      </c>
      <c r="BW67" s="114">
        <f t="shared" si="24"/>
        <v>0.17683840871936365</v>
      </c>
      <c r="BX67" s="152">
        <f t="shared" si="30"/>
        <v>0.74</v>
      </c>
      <c r="BZ67" s="55"/>
      <c r="CA67" s="113"/>
      <c r="CB67" s="113"/>
      <c r="CD67" s="152">
        <f t="shared" si="31"/>
        <v>0</v>
      </c>
      <c r="CE67" s="152">
        <f t="shared" si="32"/>
        <v>1</v>
      </c>
      <c r="CF67" s="152">
        <f t="shared" si="33"/>
        <v>1</v>
      </c>
      <c r="CG67" s="34"/>
      <c r="CI67" s="11"/>
      <c r="CJ67" s="11"/>
    </row>
    <row r="68" spans="1:88" s="152" customFormat="1" ht="16" x14ac:dyDescent="0.2">
      <c r="A68" s="228" t="s">
        <v>204</v>
      </c>
      <c r="B68" s="187" t="s">
        <v>194</v>
      </c>
      <c r="C68" s="8">
        <v>0.35</v>
      </c>
      <c r="D68" s="8">
        <v>0</v>
      </c>
      <c r="E68" s="7">
        <v>2.1000000000000001E-2</v>
      </c>
      <c r="F68" s="7">
        <v>0.1065</v>
      </c>
      <c r="G68" s="1">
        <v>6.4999999999999997E-3</v>
      </c>
      <c r="H68" s="1">
        <v>0.03</v>
      </c>
      <c r="I68" s="1">
        <v>0.18</v>
      </c>
      <c r="J68" s="1">
        <v>0.04</v>
      </c>
      <c r="K68" s="1">
        <v>0.14000000000000001</v>
      </c>
      <c r="L68" s="1">
        <v>1.4999999999999999E-2</v>
      </c>
      <c r="M68" s="2" t="s">
        <v>175</v>
      </c>
      <c r="N68" s="105">
        <v>7000</v>
      </c>
      <c r="O68" s="119"/>
      <c r="P68" s="119"/>
      <c r="Q68" s="119"/>
      <c r="R68" s="119"/>
      <c r="S68" s="119"/>
      <c r="T68" s="119">
        <v>4.7290000000000001</v>
      </c>
      <c r="U68" s="119"/>
      <c r="V68" s="205"/>
      <c r="W68" s="119"/>
      <c r="X68" s="119">
        <f t="shared" si="0"/>
        <v>4.7290000000000001</v>
      </c>
      <c r="Y68" s="118">
        <f t="shared" si="1"/>
        <v>4.7290000000000001</v>
      </c>
      <c r="Z68" s="109">
        <f t="shared" si="2"/>
        <v>33103</v>
      </c>
      <c r="AA68" s="109">
        <f>'CALCULO GERAL'!$G$10</f>
        <v>6300</v>
      </c>
      <c r="AB68" s="109">
        <f t="shared" si="3"/>
        <v>39403</v>
      </c>
      <c r="AC68" s="109">
        <f>AB68*'CALCULO GERAL'!$C$11</f>
        <v>197763.65700000001</v>
      </c>
      <c r="AD68" s="109">
        <f t="shared" si="4"/>
        <v>69217.279949999996</v>
      </c>
      <c r="AE68" s="109">
        <f t="shared" si="5"/>
        <v>0</v>
      </c>
      <c r="AF68" s="109">
        <f t="shared" si="6"/>
        <v>4153.0367970000007</v>
      </c>
      <c r="AG68" s="109">
        <f t="shared" si="7"/>
        <v>21061.829470500001</v>
      </c>
      <c r="AH68" s="109">
        <v>154.22999999999999</v>
      </c>
      <c r="AI68" s="109">
        <f>((AA68*'CALCULO GERAL'!$C$11))*0.08+20</f>
        <v>2549.576</v>
      </c>
      <c r="AJ68" s="109">
        <v>1010</v>
      </c>
      <c r="AK68" s="109">
        <v>2500</v>
      </c>
      <c r="AL68" s="109">
        <f>(AA68*('CALCULO GERAL'!$C$11*1.02))-(AA68*'CALCULO GERAL'!$C$11)</f>
        <v>632.39400000000387</v>
      </c>
      <c r="AM68" s="109">
        <v>1800</v>
      </c>
      <c r="AN68" s="109">
        <v>2600</v>
      </c>
      <c r="AO68" s="109">
        <v>9400</v>
      </c>
      <c r="AP68" s="109">
        <v>1000</v>
      </c>
      <c r="AQ68" s="109">
        <v>0</v>
      </c>
      <c r="AR68" s="109">
        <v>0</v>
      </c>
      <c r="AS68" s="109"/>
      <c r="AT68" s="109">
        <f t="shared" si="25"/>
        <v>313842.00321749999</v>
      </c>
      <c r="AU68" s="111">
        <f t="shared" si="8"/>
        <v>44.834571888214285</v>
      </c>
      <c r="AV68" s="109">
        <f>IFERROR((BS68*'CALCULO GERAL'!$E$11)/N68,0)</f>
        <v>1.2296550000000002</v>
      </c>
      <c r="AW68" s="109">
        <f>AU68/'CALCULO GERAL'!$C$11</f>
        <v>8.9329690950815461</v>
      </c>
      <c r="AX68" s="109">
        <f>BP68-BB68-BD68*'CALCULO GERAL'!$C$11</f>
        <v>60.560508750000004</v>
      </c>
      <c r="AY68" s="109">
        <f t="shared" si="9"/>
        <v>0.39364330687499999</v>
      </c>
      <c r="AZ68" s="109">
        <f t="shared" si="10"/>
        <v>1.8168152625</v>
      </c>
      <c r="BA68" s="109">
        <f t="shared" si="11"/>
        <v>61.482750000000003</v>
      </c>
      <c r="BB68" s="109">
        <f t="shared" si="12"/>
        <v>0.92224125000000001</v>
      </c>
      <c r="BC68" s="109">
        <f t="shared" si="13"/>
        <v>61.482750000000003</v>
      </c>
      <c r="BD68" s="109">
        <f t="shared" si="14"/>
        <v>0</v>
      </c>
      <c r="BE68" s="109">
        <f t="shared" si="15"/>
        <v>34430.340000000004</v>
      </c>
      <c r="BF68" s="109">
        <f t="shared" si="16"/>
        <v>51645.509999999995</v>
      </c>
      <c r="BG68" s="109">
        <f t="shared" si="17"/>
        <v>0.66401369999999993</v>
      </c>
      <c r="BH68" s="109">
        <f t="shared" si="18"/>
        <v>0.73779300000000003</v>
      </c>
      <c r="BI68" s="109">
        <f t="shared" si="19"/>
        <v>0</v>
      </c>
      <c r="BJ68" s="109">
        <f t="shared" si="20"/>
        <v>5.7641615193749995</v>
      </c>
      <c r="BK68" s="109">
        <f t="shared" si="26"/>
        <v>50.598733407589286</v>
      </c>
      <c r="BL68" s="148">
        <v>0.74</v>
      </c>
      <c r="BM68" s="112">
        <f>ROUND((AW68/BL68)+((AW68*BL68)*'CALCULO GERAL'!$E$11)/BL68,2)</f>
        <v>12.25</v>
      </c>
      <c r="BN68" s="186">
        <f t="shared" si="21"/>
        <v>12.25</v>
      </c>
      <c r="BO68" s="186">
        <f t="shared" si="27"/>
        <v>14.353</v>
      </c>
      <c r="BP68" s="109">
        <f>BM68*'CALCULO GERAL'!$C$11</f>
        <v>61.482750000000003</v>
      </c>
      <c r="BQ68" s="109">
        <f>BO68*'CALCULO GERAL'!$C$11</f>
        <v>72.037706999999997</v>
      </c>
      <c r="BR68" s="186">
        <f>BN68*'CALCULO GERAL'!$C$11</f>
        <v>61.482750000000003</v>
      </c>
      <c r="BS68" s="109">
        <f t="shared" si="22"/>
        <v>430379.25</v>
      </c>
      <c r="BT68" s="109">
        <f t="shared" si="23"/>
        <v>430379.25</v>
      </c>
      <c r="BU68" s="109">
        <f t="shared" si="28"/>
        <v>354191.13385312498</v>
      </c>
      <c r="BV68" s="109">
        <f t="shared" si="29"/>
        <v>76188.116146875022</v>
      </c>
      <c r="BW68" s="114">
        <f t="shared" si="24"/>
        <v>0.17702553305456761</v>
      </c>
      <c r="BX68" s="152">
        <f t="shared" si="30"/>
        <v>0.74</v>
      </c>
      <c r="BZ68" s="55"/>
      <c r="CA68" s="113"/>
      <c r="CB68" s="113"/>
      <c r="CD68" s="152">
        <f t="shared" si="31"/>
        <v>0</v>
      </c>
      <c r="CE68" s="152">
        <f t="shared" si="32"/>
        <v>1</v>
      </c>
      <c r="CF68" s="152">
        <f t="shared" si="33"/>
        <v>1</v>
      </c>
      <c r="CG68" s="34"/>
      <c r="CI68" s="11"/>
      <c r="CJ68" s="11"/>
    </row>
    <row r="69" spans="1:88" s="152" customFormat="1" ht="16" x14ac:dyDescent="0.2">
      <c r="A69" s="228" t="s">
        <v>205</v>
      </c>
      <c r="B69" s="187" t="s">
        <v>194</v>
      </c>
      <c r="C69" s="8">
        <v>0.35</v>
      </c>
      <c r="D69" s="8">
        <v>0</v>
      </c>
      <c r="E69" s="7">
        <v>2.1000000000000001E-2</v>
      </c>
      <c r="F69" s="7">
        <v>0.1065</v>
      </c>
      <c r="G69" s="1">
        <v>6.4999999999999997E-3</v>
      </c>
      <c r="H69" s="1">
        <v>0.03</v>
      </c>
      <c r="I69" s="1">
        <v>0.18</v>
      </c>
      <c r="J69" s="1">
        <v>0.04</v>
      </c>
      <c r="K69" s="1">
        <v>0.14000000000000001</v>
      </c>
      <c r="L69" s="1">
        <v>1.4999999999999999E-2</v>
      </c>
      <c r="M69" s="2" t="s">
        <v>175</v>
      </c>
      <c r="N69" s="105">
        <v>7000</v>
      </c>
      <c r="O69" s="119"/>
      <c r="P69" s="119"/>
      <c r="Q69" s="119"/>
      <c r="R69" s="119"/>
      <c r="S69" s="119"/>
      <c r="T69" s="119">
        <v>5.4139999999999997</v>
      </c>
      <c r="U69" s="119"/>
      <c r="V69" s="205"/>
      <c r="W69" s="119"/>
      <c r="X69" s="119">
        <f t="shared" si="0"/>
        <v>5.4139999999999997</v>
      </c>
      <c r="Y69" s="118">
        <f t="shared" si="1"/>
        <v>5.4139999999999997</v>
      </c>
      <c r="Z69" s="109">
        <f t="shared" si="2"/>
        <v>37898</v>
      </c>
      <c r="AA69" s="109">
        <f>'CALCULO GERAL'!$G$10</f>
        <v>6300</v>
      </c>
      <c r="AB69" s="109">
        <f t="shared" si="3"/>
        <v>44198</v>
      </c>
      <c r="AC69" s="109">
        <f>AB69*'CALCULO GERAL'!$C$11</f>
        <v>221829.76200000002</v>
      </c>
      <c r="AD69" s="109">
        <f t="shared" si="4"/>
        <v>77640.416700000002</v>
      </c>
      <c r="AE69" s="109">
        <f t="shared" si="5"/>
        <v>0</v>
      </c>
      <c r="AF69" s="109">
        <f t="shared" si="6"/>
        <v>4658.4250020000009</v>
      </c>
      <c r="AG69" s="109">
        <f t="shared" si="7"/>
        <v>23624.869653000002</v>
      </c>
      <c r="AH69" s="109">
        <v>154.22999999999999</v>
      </c>
      <c r="AI69" s="109">
        <f>((AA69*'CALCULO GERAL'!$C$11))*0.08+20</f>
        <v>2549.576</v>
      </c>
      <c r="AJ69" s="109">
        <v>1010</v>
      </c>
      <c r="AK69" s="109">
        <v>2500</v>
      </c>
      <c r="AL69" s="109">
        <f>(AA69*('CALCULO GERAL'!$C$11*1.02))-(AA69*'CALCULO GERAL'!$C$11)</f>
        <v>632.39400000000387</v>
      </c>
      <c r="AM69" s="109">
        <v>1800</v>
      </c>
      <c r="AN69" s="109">
        <v>2600</v>
      </c>
      <c r="AO69" s="109">
        <v>9400</v>
      </c>
      <c r="AP69" s="109">
        <v>1000</v>
      </c>
      <c r="AQ69" s="109">
        <v>0</v>
      </c>
      <c r="AR69" s="109">
        <v>0</v>
      </c>
      <c r="AS69" s="109"/>
      <c r="AT69" s="109">
        <f t="shared" si="25"/>
        <v>349399.67335500004</v>
      </c>
      <c r="AU69" s="111">
        <f t="shared" si="8"/>
        <v>49.914239050714293</v>
      </c>
      <c r="AV69" s="109">
        <f>IFERROR((BS69*'CALCULO GERAL'!$E$11)/N69,0)</f>
        <v>1.3691832000000004</v>
      </c>
      <c r="AW69" s="109">
        <f>AU69/'CALCULO GERAL'!$C$11</f>
        <v>9.9450565950815477</v>
      </c>
      <c r="AX69" s="109">
        <f>BP69-BB69-BD69*'CALCULO GERAL'!$C$11</f>
        <v>67.432272600000005</v>
      </c>
      <c r="AY69" s="109">
        <f t="shared" si="9"/>
        <v>0.43830977190000003</v>
      </c>
      <c r="AZ69" s="109">
        <f t="shared" si="10"/>
        <v>2.0229681780000002</v>
      </c>
      <c r="BA69" s="109">
        <f t="shared" si="11"/>
        <v>68.459160000000011</v>
      </c>
      <c r="BB69" s="109">
        <f t="shared" si="12"/>
        <v>1.0268874000000001</v>
      </c>
      <c r="BC69" s="109">
        <f t="shared" si="13"/>
        <v>68.459160000000011</v>
      </c>
      <c r="BD69" s="109">
        <f t="shared" si="14"/>
        <v>0</v>
      </c>
      <c r="BE69" s="109">
        <f t="shared" si="15"/>
        <v>38337.129600000007</v>
      </c>
      <c r="BF69" s="109">
        <f t="shared" si="16"/>
        <v>57505.694400000008</v>
      </c>
      <c r="BG69" s="109">
        <f t="shared" si="17"/>
        <v>0.73935892800000003</v>
      </c>
      <c r="BH69" s="109">
        <f t="shared" si="18"/>
        <v>0.82150992000000012</v>
      </c>
      <c r="BI69" s="109">
        <f t="shared" si="19"/>
        <v>0</v>
      </c>
      <c r="BJ69" s="109">
        <f t="shared" si="20"/>
        <v>6.4182173979000012</v>
      </c>
      <c r="BK69" s="109">
        <f t="shared" si="26"/>
        <v>56.332456448614295</v>
      </c>
      <c r="BL69" s="148">
        <v>0.74</v>
      </c>
      <c r="BM69" s="112">
        <f>ROUND((AW69/BL69)+((AW69*BL69)*'CALCULO GERAL'!$E$11)/BL69,2)</f>
        <v>13.64</v>
      </c>
      <c r="BN69" s="186">
        <f t="shared" si="21"/>
        <v>13.64</v>
      </c>
      <c r="BO69" s="186">
        <f t="shared" si="27"/>
        <v>15.981</v>
      </c>
      <c r="BP69" s="109">
        <f>BM69*'CALCULO GERAL'!$C$11</f>
        <v>68.459160000000011</v>
      </c>
      <c r="BQ69" s="109">
        <f>BO69*'CALCULO GERAL'!$C$11</f>
        <v>80.208639000000005</v>
      </c>
      <c r="BR69" s="186">
        <f>BN69*'CALCULO GERAL'!$C$11</f>
        <v>68.459160000000011</v>
      </c>
      <c r="BS69" s="109">
        <f t="shared" si="22"/>
        <v>479214.12000000005</v>
      </c>
      <c r="BT69" s="109">
        <f t="shared" si="23"/>
        <v>479214.12000000005</v>
      </c>
      <c r="BU69" s="109">
        <f t="shared" si="28"/>
        <v>394327.19514030009</v>
      </c>
      <c r="BV69" s="109">
        <f t="shared" si="29"/>
        <v>84886.924859699968</v>
      </c>
      <c r="BW69" s="114">
        <f t="shared" si="24"/>
        <v>0.17713777895296565</v>
      </c>
      <c r="BX69" s="152">
        <f t="shared" si="30"/>
        <v>0.74</v>
      </c>
      <c r="BZ69" s="55"/>
      <c r="CA69" s="113"/>
      <c r="CB69" s="113"/>
      <c r="CD69" s="152">
        <f t="shared" si="31"/>
        <v>0</v>
      </c>
      <c r="CE69" s="152">
        <f t="shared" si="32"/>
        <v>1</v>
      </c>
      <c r="CF69" s="152">
        <f t="shared" si="33"/>
        <v>1</v>
      </c>
      <c r="CG69" s="34"/>
      <c r="CI69" s="11"/>
      <c r="CJ69" s="11"/>
    </row>
    <row r="70" spans="1:88" s="152" customFormat="1" ht="16" x14ac:dyDescent="0.2">
      <c r="A70" s="228" t="s">
        <v>206</v>
      </c>
      <c r="B70" s="187" t="s">
        <v>194</v>
      </c>
      <c r="C70" s="8">
        <v>0.35</v>
      </c>
      <c r="D70" s="8">
        <v>0</v>
      </c>
      <c r="E70" s="7">
        <v>2.1000000000000001E-2</v>
      </c>
      <c r="F70" s="7">
        <v>0.1065</v>
      </c>
      <c r="G70" s="1">
        <v>6.4999999999999997E-3</v>
      </c>
      <c r="H70" s="1">
        <v>0.03</v>
      </c>
      <c r="I70" s="1">
        <v>0.18</v>
      </c>
      <c r="J70" s="1">
        <v>0.04</v>
      </c>
      <c r="K70" s="1">
        <v>0.14000000000000001</v>
      </c>
      <c r="L70" s="1">
        <v>1.4999999999999999E-2</v>
      </c>
      <c r="M70" s="2" t="s">
        <v>175</v>
      </c>
      <c r="N70" s="105">
        <v>16000</v>
      </c>
      <c r="O70" s="119"/>
      <c r="P70" s="119"/>
      <c r="Q70" s="119"/>
      <c r="R70" s="119"/>
      <c r="S70" s="119"/>
      <c r="T70" s="119"/>
      <c r="U70" s="119">
        <v>3.92</v>
      </c>
      <c r="V70" s="205"/>
      <c r="W70" s="119"/>
      <c r="X70" s="119">
        <f t="shared" si="0"/>
        <v>3.92</v>
      </c>
      <c r="Y70" s="118">
        <f t="shared" si="1"/>
        <v>3.92</v>
      </c>
      <c r="Z70" s="109">
        <f t="shared" si="2"/>
        <v>62720</v>
      </c>
      <c r="AA70" s="109">
        <f>'CALCULO GERAL'!$G$10</f>
        <v>6300</v>
      </c>
      <c r="AB70" s="109">
        <f t="shared" si="3"/>
        <v>69020</v>
      </c>
      <c r="AC70" s="109">
        <f>AB70*'CALCULO GERAL'!$C$11</f>
        <v>346411.38</v>
      </c>
      <c r="AD70" s="109">
        <f t="shared" si="4"/>
        <v>121243.98299999999</v>
      </c>
      <c r="AE70" s="109">
        <f t="shared" si="5"/>
        <v>0</v>
      </c>
      <c r="AF70" s="109">
        <f t="shared" si="6"/>
        <v>7274.6389800000006</v>
      </c>
      <c r="AG70" s="109">
        <f t="shared" si="7"/>
        <v>36892.811970000002</v>
      </c>
      <c r="AH70" s="109">
        <v>154.22999999999999</v>
      </c>
      <c r="AI70" s="109">
        <f>((AA70*'CALCULO GERAL'!$C$11))*0.08+20</f>
        <v>2549.576</v>
      </c>
      <c r="AJ70" s="109">
        <v>1010</v>
      </c>
      <c r="AK70" s="109">
        <v>2500</v>
      </c>
      <c r="AL70" s="109">
        <f>(AA70*('CALCULO GERAL'!$C$11*1.02))-(AA70*'CALCULO GERAL'!$C$11)</f>
        <v>632.39400000000387</v>
      </c>
      <c r="AM70" s="109">
        <v>1800</v>
      </c>
      <c r="AN70" s="109">
        <v>2600</v>
      </c>
      <c r="AO70" s="109">
        <v>9400</v>
      </c>
      <c r="AP70" s="109">
        <v>1000</v>
      </c>
      <c r="AQ70" s="109">
        <v>0</v>
      </c>
      <c r="AR70" s="109">
        <v>0</v>
      </c>
      <c r="AS70" s="109"/>
      <c r="AT70" s="109">
        <f t="shared" si="25"/>
        <v>533469.01395000005</v>
      </c>
      <c r="AU70" s="111">
        <f t="shared" si="8"/>
        <v>33.341813371875006</v>
      </c>
      <c r="AV70" s="109">
        <f>IFERROR((BS70*'CALCULO GERAL'!$E$11)/N70,0)</f>
        <v>0.91446179999999988</v>
      </c>
      <c r="AW70" s="109">
        <f>AU70/'CALCULO GERAL'!$C$11</f>
        <v>6.6431188228481775</v>
      </c>
      <c r="AX70" s="109">
        <f>BP70-BB70-BD70*'CALCULO GERAL'!$C$11</f>
        <v>45.037243650000001</v>
      </c>
      <c r="AY70" s="109">
        <f t="shared" si="9"/>
        <v>0.29274208372499999</v>
      </c>
      <c r="AZ70" s="109">
        <f t="shared" si="10"/>
        <v>1.3511173095</v>
      </c>
      <c r="BA70" s="109">
        <f t="shared" si="11"/>
        <v>45.723089999999999</v>
      </c>
      <c r="BB70" s="109">
        <f t="shared" si="12"/>
        <v>0.68584634999999994</v>
      </c>
      <c r="BC70" s="109">
        <f t="shared" si="13"/>
        <v>45.723089999999999</v>
      </c>
      <c r="BD70" s="109">
        <f t="shared" si="14"/>
        <v>0</v>
      </c>
      <c r="BE70" s="109">
        <f t="shared" si="15"/>
        <v>58525.555199999995</v>
      </c>
      <c r="BF70" s="109">
        <f t="shared" si="16"/>
        <v>87788.332799999989</v>
      </c>
      <c r="BG70" s="109">
        <f t="shared" si="17"/>
        <v>0.49380937199999991</v>
      </c>
      <c r="BH70" s="109">
        <f t="shared" si="18"/>
        <v>0.54867707999999993</v>
      </c>
      <c r="BI70" s="109">
        <f t="shared" si="19"/>
        <v>0</v>
      </c>
      <c r="BJ70" s="109">
        <f t="shared" si="20"/>
        <v>4.2866539952249996</v>
      </c>
      <c r="BK70" s="109">
        <f t="shared" si="26"/>
        <v>37.628467367100008</v>
      </c>
      <c r="BL70" s="148">
        <v>0.74</v>
      </c>
      <c r="BM70" s="112">
        <f>ROUND((AW70/BL70)+((AW70*BL70)*'CALCULO GERAL'!$E$11)/BL70,2)</f>
        <v>9.11</v>
      </c>
      <c r="BN70" s="186">
        <f t="shared" si="21"/>
        <v>9.11</v>
      </c>
      <c r="BO70" s="186">
        <f t="shared" si="27"/>
        <v>10.673999999999999</v>
      </c>
      <c r="BP70" s="109">
        <f>BM70*'CALCULO GERAL'!$C$11</f>
        <v>45.723089999999999</v>
      </c>
      <c r="BQ70" s="109">
        <f>BO70*'CALCULO GERAL'!$C$11</f>
        <v>53.572806</v>
      </c>
      <c r="BR70" s="186">
        <f>BN70*'CALCULO GERAL'!$C$11</f>
        <v>45.723089999999999</v>
      </c>
      <c r="BS70" s="109">
        <f t="shared" si="22"/>
        <v>731569.44</v>
      </c>
      <c r="BT70" s="109">
        <f t="shared" si="23"/>
        <v>731569.44</v>
      </c>
      <c r="BU70" s="109">
        <f t="shared" si="28"/>
        <v>602055.47787360009</v>
      </c>
      <c r="BV70" s="109">
        <f t="shared" si="29"/>
        <v>129513.96212639986</v>
      </c>
      <c r="BW70" s="114">
        <f t="shared" si="24"/>
        <v>0.17703577411106711</v>
      </c>
      <c r="BX70" s="152">
        <f t="shared" si="30"/>
        <v>0.74</v>
      </c>
      <c r="BZ70" s="55"/>
      <c r="CA70" s="113"/>
      <c r="CB70" s="113"/>
      <c r="CD70" s="152">
        <f t="shared" si="31"/>
        <v>0</v>
      </c>
      <c r="CE70" s="152">
        <f t="shared" si="32"/>
        <v>1</v>
      </c>
      <c r="CF70" s="152">
        <f t="shared" si="33"/>
        <v>1</v>
      </c>
      <c r="CG70" s="34"/>
      <c r="CI70" s="11"/>
      <c r="CJ70" s="11"/>
    </row>
    <row r="71" spans="1:88" s="152" customFormat="1" ht="16" x14ac:dyDescent="0.2">
      <c r="A71" s="228" t="s">
        <v>207</v>
      </c>
      <c r="B71" s="187" t="s">
        <v>194</v>
      </c>
      <c r="C71" s="8">
        <v>0.35</v>
      </c>
      <c r="D71" s="8">
        <v>0</v>
      </c>
      <c r="E71" s="7">
        <v>2.1000000000000001E-2</v>
      </c>
      <c r="F71" s="7">
        <v>0.1065</v>
      </c>
      <c r="G71" s="1">
        <v>6.4999999999999997E-3</v>
      </c>
      <c r="H71" s="1">
        <v>0.03</v>
      </c>
      <c r="I71" s="1">
        <v>0.18</v>
      </c>
      <c r="J71" s="1">
        <v>0.04</v>
      </c>
      <c r="K71" s="1">
        <v>0.14000000000000001</v>
      </c>
      <c r="L71" s="1">
        <v>1.4999999999999999E-2</v>
      </c>
      <c r="M71" s="2" t="s">
        <v>175</v>
      </c>
      <c r="N71" s="105">
        <v>14500</v>
      </c>
      <c r="O71" s="119"/>
      <c r="P71" s="119"/>
      <c r="Q71" s="119"/>
      <c r="R71" s="119"/>
      <c r="S71" s="119"/>
      <c r="T71" s="119"/>
      <c r="U71" s="119">
        <v>5.34</v>
      </c>
      <c r="V71" s="205"/>
      <c r="W71" s="119"/>
      <c r="X71" s="119">
        <f t="shared" si="0"/>
        <v>5.34</v>
      </c>
      <c r="Y71" s="118">
        <f t="shared" si="1"/>
        <v>5.34</v>
      </c>
      <c r="Z71" s="109">
        <f t="shared" si="2"/>
        <v>77430</v>
      </c>
      <c r="AA71" s="109">
        <f>'CALCULO GERAL'!$G$10</f>
        <v>6300</v>
      </c>
      <c r="AB71" s="109">
        <f t="shared" si="3"/>
        <v>83730</v>
      </c>
      <c r="AC71" s="109">
        <f>AB71*'CALCULO GERAL'!$C$11</f>
        <v>420240.87</v>
      </c>
      <c r="AD71" s="109">
        <f t="shared" si="4"/>
        <v>147084.3045</v>
      </c>
      <c r="AE71" s="109">
        <f t="shared" si="5"/>
        <v>0</v>
      </c>
      <c r="AF71" s="109">
        <f t="shared" si="6"/>
        <v>8825.0582700000014</v>
      </c>
      <c r="AG71" s="109">
        <f t="shared" si="7"/>
        <v>44755.652654999998</v>
      </c>
      <c r="AH71" s="109">
        <v>154.22999999999999</v>
      </c>
      <c r="AI71" s="109">
        <f>((AA71*'CALCULO GERAL'!$C$11))*0.08+20</f>
        <v>2549.576</v>
      </c>
      <c r="AJ71" s="109">
        <v>1010</v>
      </c>
      <c r="AK71" s="109">
        <v>2500</v>
      </c>
      <c r="AL71" s="109">
        <f>(AA71*('CALCULO GERAL'!$C$11*1.02))-(AA71*'CALCULO GERAL'!$C$11)</f>
        <v>632.39400000000387</v>
      </c>
      <c r="AM71" s="109">
        <v>1800</v>
      </c>
      <c r="AN71" s="109">
        <v>2600</v>
      </c>
      <c r="AO71" s="109">
        <v>9400</v>
      </c>
      <c r="AP71" s="109">
        <v>1000</v>
      </c>
      <c r="AQ71" s="109">
        <v>0</v>
      </c>
      <c r="AR71" s="109">
        <v>0</v>
      </c>
      <c r="AS71" s="109"/>
      <c r="AT71" s="109">
        <f t="shared" ref="AT71:AT157" si="34">SUM(AC71:AS71)</f>
        <v>642552.08542499994</v>
      </c>
      <c r="AU71" s="111">
        <f t="shared" si="8"/>
        <v>44.313936925862066</v>
      </c>
      <c r="AV71" s="109">
        <f>IFERROR((BS71*'CALCULO GERAL'!$E$11)/N71,0)</f>
        <v>1.2156018</v>
      </c>
      <c r="AW71" s="109">
        <f>AU71/'CALCULO GERAL'!$C$11</f>
        <v>8.8292362872807466</v>
      </c>
      <c r="AX71" s="109">
        <f>BP71-BB71-BD71*'CALCULO GERAL'!$C$11</f>
        <v>59.86838865</v>
      </c>
      <c r="AY71" s="109">
        <f t="shared" si="9"/>
        <v>0.38914452622500001</v>
      </c>
      <c r="AZ71" s="109">
        <f t="shared" si="10"/>
        <v>1.7960516595</v>
      </c>
      <c r="BA71" s="109">
        <f t="shared" si="11"/>
        <v>60.780090000000001</v>
      </c>
      <c r="BB71" s="109">
        <f t="shared" si="12"/>
        <v>0.91170134999999997</v>
      </c>
      <c r="BC71" s="109">
        <f t="shared" si="13"/>
        <v>60.780090000000001</v>
      </c>
      <c r="BD71" s="109">
        <f t="shared" si="14"/>
        <v>0</v>
      </c>
      <c r="BE71" s="109">
        <f t="shared" si="15"/>
        <v>70504.904399999999</v>
      </c>
      <c r="BF71" s="109">
        <f t="shared" si="16"/>
        <v>105757.3566</v>
      </c>
      <c r="BG71" s="109">
        <f t="shared" si="17"/>
        <v>0.65642497199999994</v>
      </c>
      <c r="BH71" s="109">
        <f t="shared" si="18"/>
        <v>0.72936107999999999</v>
      </c>
      <c r="BI71" s="109">
        <f t="shared" si="19"/>
        <v>-7.24476855172414E-2</v>
      </c>
      <c r="BJ71" s="109">
        <f t="shared" si="20"/>
        <v>5.6258377022077592</v>
      </c>
      <c r="BK71" s="109">
        <f t="shared" ref="BK71:BK120" si="35">BJ71+AU71</f>
        <v>49.939774628069827</v>
      </c>
      <c r="BL71" s="148">
        <v>0.74</v>
      </c>
      <c r="BM71" s="112">
        <f>ROUND((AW71/BL71)+((AW71*BL71)*'CALCULO GERAL'!$E$11)/BL71,2)</f>
        <v>12.11</v>
      </c>
      <c r="BN71" s="186">
        <f t="shared" si="21"/>
        <v>12.11</v>
      </c>
      <c r="BO71" s="186">
        <f t="shared" ref="BO71:BO120" si="36">ROUND(FV(0.02,8,,BN71)*-1,3)</f>
        <v>14.189</v>
      </c>
      <c r="BP71" s="109">
        <f>BM71*'CALCULO GERAL'!$C$11</f>
        <v>60.780090000000001</v>
      </c>
      <c r="BQ71" s="109">
        <f>BO71*'CALCULO GERAL'!$C$11</f>
        <v>71.214590999999999</v>
      </c>
      <c r="BR71" s="186">
        <f>BN71*'CALCULO GERAL'!$C$11</f>
        <v>60.780090000000001</v>
      </c>
      <c r="BS71" s="109">
        <f t="shared" si="22"/>
        <v>881311.30500000005</v>
      </c>
      <c r="BT71" s="109">
        <f t="shared" si="23"/>
        <v>881311.30500000005</v>
      </c>
      <c r="BU71" s="109">
        <f t="shared" si="28"/>
        <v>724126.73210701253</v>
      </c>
      <c r="BV71" s="109">
        <f t="shared" ref="BV71:BV157" si="37">BS71-BU71</f>
        <v>157184.57289298752</v>
      </c>
      <c r="BW71" s="114">
        <f t="shared" si="24"/>
        <v>0.17835306548460481</v>
      </c>
      <c r="BX71" s="152">
        <f t="shared" si="30"/>
        <v>0.74</v>
      </c>
      <c r="BZ71" s="55"/>
      <c r="CA71" s="113"/>
      <c r="CB71" s="113"/>
      <c r="CD71" s="152">
        <f t="shared" si="31"/>
        <v>0</v>
      </c>
      <c r="CE71" s="152">
        <f t="shared" ref="CE71:CE157" si="38">100%-CD71</f>
        <v>1</v>
      </c>
      <c r="CF71" s="152">
        <f t="shared" ref="CF71:CF157" si="39">AVERAGE(CE71,CC71)</f>
        <v>1</v>
      </c>
      <c r="CG71" s="34"/>
      <c r="CI71" s="11"/>
      <c r="CJ71" s="11"/>
    </row>
    <row r="72" spans="1:88" s="152" customFormat="1" ht="16" x14ac:dyDescent="0.2">
      <c r="A72" s="228" t="s">
        <v>208</v>
      </c>
      <c r="B72" s="187" t="s">
        <v>194</v>
      </c>
      <c r="C72" s="8">
        <v>0.35</v>
      </c>
      <c r="D72" s="8">
        <v>0</v>
      </c>
      <c r="E72" s="7">
        <v>2.1000000000000001E-2</v>
      </c>
      <c r="F72" s="7">
        <v>0.1065</v>
      </c>
      <c r="G72" s="1">
        <v>6.4999999999999997E-3</v>
      </c>
      <c r="H72" s="1">
        <v>0.03</v>
      </c>
      <c r="I72" s="1">
        <v>0.18</v>
      </c>
      <c r="J72" s="1">
        <v>0.04</v>
      </c>
      <c r="K72" s="1">
        <v>0.14000000000000001</v>
      </c>
      <c r="L72" s="1">
        <v>1.4999999999999999E-2</v>
      </c>
      <c r="M72" s="2" t="s">
        <v>175</v>
      </c>
      <c r="N72" s="105">
        <v>12500</v>
      </c>
      <c r="O72" s="119"/>
      <c r="P72" s="119"/>
      <c r="Q72" s="119"/>
      <c r="R72" s="119"/>
      <c r="S72" s="119"/>
      <c r="T72" s="119"/>
      <c r="U72" s="119">
        <v>5.92</v>
      </c>
      <c r="V72" s="205"/>
      <c r="W72" s="119"/>
      <c r="X72" s="119">
        <f t="shared" si="0"/>
        <v>5.92</v>
      </c>
      <c r="Y72" s="118">
        <f t="shared" si="1"/>
        <v>5.92</v>
      </c>
      <c r="Z72" s="109">
        <f t="shared" si="2"/>
        <v>74000</v>
      </c>
      <c r="AA72" s="109">
        <f>'CALCULO GERAL'!$G$10</f>
        <v>6300</v>
      </c>
      <c r="AB72" s="109">
        <f t="shared" si="3"/>
        <v>80300</v>
      </c>
      <c r="AC72" s="109">
        <f>AB72*'CALCULO GERAL'!$C$11</f>
        <v>403025.7</v>
      </c>
      <c r="AD72" s="109">
        <f t="shared" si="4"/>
        <v>141058.995</v>
      </c>
      <c r="AE72" s="109">
        <f t="shared" si="5"/>
        <v>0</v>
      </c>
      <c r="AF72" s="109">
        <f t="shared" si="6"/>
        <v>8463.5397000000012</v>
      </c>
      <c r="AG72" s="109">
        <f t="shared" si="7"/>
        <v>42922.237050000003</v>
      </c>
      <c r="AH72" s="109">
        <v>154.22999999999999</v>
      </c>
      <c r="AI72" s="109">
        <f>((AA72*'CALCULO GERAL'!$C$11))*0.08+20</f>
        <v>2549.576</v>
      </c>
      <c r="AJ72" s="109">
        <v>1010</v>
      </c>
      <c r="AK72" s="109">
        <v>2500</v>
      </c>
      <c r="AL72" s="109">
        <f>(AA72*('CALCULO GERAL'!$C$11*1.02))-(AA72*'CALCULO GERAL'!$C$11)</f>
        <v>632.39400000000387</v>
      </c>
      <c r="AM72" s="109">
        <v>1800</v>
      </c>
      <c r="AN72" s="109">
        <v>2600</v>
      </c>
      <c r="AO72" s="109">
        <v>9400</v>
      </c>
      <c r="AP72" s="109">
        <v>1000</v>
      </c>
      <c r="AQ72" s="109">
        <v>0</v>
      </c>
      <c r="AR72" s="109">
        <v>0</v>
      </c>
      <c r="AS72" s="109"/>
      <c r="AT72" s="109">
        <f t="shared" si="34"/>
        <v>617116.67174999998</v>
      </c>
      <c r="AU72" s="111">
        <f t="shared" si="8"/>
        <v>49.369333740000002</v>
      </c>
      <c r="AV72" s="109">
        <f>IFERROR((BS72*'CALCULO GERAL'!$E$11)/N72,0)</f>
        <v>1.3541262000000001</v>
      </c>
      <c r="AW72" s="109">
        <f>AU72/'CALCULO GERAL'!$C$11</f>
        <v>9.8364880932456664</v>
      </c>
      <c r="AX72" s="109">
        <f>BP72-BB72-BD72*'CALCULO GERAL'!$C$11</f>
        <v>66.690715350000005</v>
      </c>
      <c r="AY72" s="109">
        <f t="shared" si="9"/>
        <v>0.43348964977499999</v>
      </c>
      <c r="AZ72" s="109">
        <f t="shared" si="10"/>
        <v>2.0007214604999999</v>
      </c>
      <c r="BA72" s="109">
        <f t="shared" si="11"/>
        <v>67.706310000000002</v>
      </c>
      <c r="BB72" s="109">
        <f t="shared" si="12"/>
        <v>1.0155946499999999</v>
      </c>
      <c r="BC72" s="109">
        <f t="shared" si="13"/>
        <v>67.706310000000002</v>
      </c>
      <c r="BD72" s="109">
        <f t="shared" si="14"/>
        <v>0</v>
      </c>
      <c r="BE72" s="109">
        <f t="shared" si="15"/>
        <v>67706.31</v>
      </c>
      <c r="BF72" s="109">
        <f t="shared" si="16"/>
        <v>101559.465</v>
      </c>
      <c r="BG72" s="109">
        <f t="shared" si="17"/>
        <v>0.73122814799999991</v>
      </c>
      <c r="BH72" s="109">
        <f t="shared" si="18"/>
        <v>0.81247572000000001</v>
      </c>
      <c r="BI72" s="109">
        <f t="shared" si="19"/>
        <v>-6.1650560000000007E-2</v>
      </c>
      <c r="BJ72" s="109">
        <f t="shared" si="20"/>
        <v>6.2859852682749988</v>
      </c>
      <c r="BK72" s="109">
        <f t="shared" si="35"/>
        <v>55.655319008275001</v>
      </c>
      <c r="BL72" s="148">
        <v>0.74</v>
      </c>
      <c r="BM72" s="112">
        <f>ROUND((AW72/BL72)+((AW72*BL72)*'CALCULO GERAL'!$E$11)/BL72,2)</f>
        <v>13.49</v>
      </c>
      <c r="BN72" s="186">
        <f t="shared" si="21"/>
        <v>13.49</v>
      </c>
      <c r="BO72" s="186">
        <f t="shared" si="36"/>
        <v>15.805999999999999</v>
      </c>
      <c r="BP72" s="109">
        <f>BM72*'CALCULO GERAL'!$C$11</f>
        <v>67.706310000000002</v>
      </c>
      <c r="BQ72" s="109">
        <f>BO72*'CALCULO GERAL'!$C$11</f>
        <v>79.330314000000001</v>
      </c>
      <c r="BR72" s="186">
        <f>BN72*'CALCULO GERAL'!$C$11</f>
        <v>67.706310000000002</v>
      </c>
      <c r="BS72" s="109">
        <f t="shared" si="22"/>
        <v>846328.875</v>
      </c>
      <c r="BT72" s="109">
        <f t="shared" si="23"/>
        <v>846328.875</v>
      </c>
      <c r="BU72" s="109">
        <f t="shared" ref="BU72:BU158" si="40">BK72*N72</f>
        <v>695691.4876034375</v>
      </c>
      <c r="BV72" s="109">
        <f t="shared" si="37"/>
        <v>150637.3873965625</v>
      </c>
      <c r="BW72" s="114">
        <f t="shared" si="24"/>
        <v>0.177989185819239</v>
      </c>
      <c r="BX72" s="152">
        <f t="shared" ref="BX72:BX158" si="41">ROUND(BL72,2)</f>
        <v>0.74</v>
      </c>
      <c r="BZ72" s="55"/>
      <c r="CA72" s="113"/>
      <c r="CB72" s="113"/>
      <c r="CD72" s="152">
        <f t="shared" ref="CD72:CD158" si="42">CB72/BX72</f>
        <v>0</v>
      </c>
      <c r="CE72" s="152">
        <f t="shared" si="38"/>
        <v>1</v>
      </c>
      <c r="CF72" s="152">
        <f t="shared" si="39"/>
        <v>1</v>
      </c>
      <c r="CG72" s="34"/>
      <c r="CI72" s="11"/>
      <c r="CJ72" s="11"/>
    </row>
    <row r="73" spans="1:88" s="152" customFormat="1" ht="16" x14ac:dyDescent="0.2">
      <c r="A73" s="228" t="s">
        <v>209</v>
      </c>
      <c r="B73" s="187" t="s">
        <v>194</v>
      </c>
      <c r="C73" s="8">
        <v>0.35</v>
      </c>
      <c r="D73" s="8">
        <v>0</v>
      </c>
      <c r="E73" s="7">
        <v>2.1000000000000001E-2</v>
      </c>
      <c r="F73" s="7">
        <v>0.1065</v>
      </c>
      <c r="G73" s="1">
        <v>6.4999999999999997E-3</v>
      </c>
      <c r="H73" s="1">
        <v>0.03</v>
      </c>
      <c r="I73" s="1">
        <v>0.18</v>
      </c>
      <c r="J73" s="1">
        <v>0.04</v>
      </c>
      <c r="K73" s="1">
        <v>0.14000000000000001</v>
      </c>
      <c r="L73" s="1">
        <v>1.4999999999999999E-2</v>
      </c>
      <c r="M73" s="2" t="s">
        <v>175</v>
      </c>
      <c r="N73" s="105">
        <v>10500</v>
      </c>
      <c r="O73" s="119"/>
      <c r="P73" s="119"/>
      <c r="Q73" s="119"/>
      <c r="R73" s="119"/>
      <c r="S73" s="119"/>
      <c r="T73" s="119"/>
      <c r="U73" s="119">
        <v>6.71</v>
      </c>
      <c r="V73" s="205"/>
      <c r="W73" s="119"/>
      <c r="X73" s="119">
        <f t="shared" si="0"/>
        <v>6.71</v>
      </c>
      <c r="Y73" s="118">
        <f t="shared" si="1"/>
        <v>6.71</v>
      </c>
      <c r="Z73" s="109">
        <f t="shared" si="2"/>
        <v>70455</v>
      </c>
      <c r="AA73" s="109">
        <f>'CALCULO GERAL'!$G$10</f>
        <v>6300</v>
      </c>
      <c r="AB73" s="109">
        <f t="shared" si="3"/>
        <v>76755</v>
      </c>
      <c r="AC73" s="109">
        <f>AB73*'CALCULO GERAL'!$C$11</f>
        <v>385233.34500000003</v>
      </c>
      <c r="AD73" s="109">
        <f t="shared" si="4"/>
        <v>134831.67074999999</v>
      </c>
      <c r="AE73" s="109">
        <f t="shared" si="5"/>
        <v>0</v>
      </c>
      <c r="AF73" s="109">
        <f t="shared" si="6"/>
        <v>8089.9002450000007</v>
      </c>
      <c r="AG73" s="109">
        <f t="shared" si="7"/>
        <v>41027.351242500001</v>
      </c>
      <c r="AH73" s="109">
        <v>154.22999999999999</v>
      </c>
      <c r="AI73" s="109">
        <f>((AA73*'CALCULO GERAL'!$C$11))*0.08+20</f>
        <v>2549.576</v>
      </c>
      <c r="AJ73" s="109">
        <v>1010</v>
      </c>
      <c r="AK73" s="109">
        <v>2500</v>
      </c>
      <c r="AL73" s="109">
        <f>(AA73*('CALCULO GERAL'!$C$11*1.02))-(AA73*'CALCULO GERAL'!$C$11)</f>
        <v>632.39400000000387</v>
      </c>
      <c r="AM73" s="109">
        <v>1800</v>
      </c>
      <c r="AN73" s="109">
        <v>2600</v>
      </c>
      <c r="AO73" s="109">
        <v>9400</v>
      </c>
      <c r="AP73" s="109">
        <v>1000</v>
      </c>
      <c r="AQ73" s="109">
        <v>0</v>
      </c>
      <c r="AR73" s="109">
        <v>0</v>
      </c>
      <c r="AS73" s="109"/>
      <c r="AT73" s="109">
        <f t="shared" si="34"/>
        <v>590828.46723750001</v>
      </c>
      <c r="AU73" s="111">
        <f t="shared" si="8"/>
        <v>56.269377832142858</v>
      </c>
      <c r="AV73" s="109">
        <f>IFERROR((BS73*'CALCULO GERAL'!$E$11)/N73,0)</f>
        <v>1.5428405999999999</v>
      </c>
      <c r="AW73" s="109">
        <f>AU73/'CALCULO GERAL'!$C$11</f>
        <v>11.211272730054365</v>
      </c>
      <c r="AX73" s="109">
        <f>BP73-BB73-BD73*'CALCULO GERAL'!$C$11</f>
        <v>75.984899549999994</v>
      </c>
      <c r="AY73" s="109">
        <f t="shared" si="9"/>
        <v>0.49390184707499996</v>
      </c>
      <c r="AZ73" s="109">
        <f t="shared" si="10"/>
        <v>2.2795469864999998</v>
      </c>
      <c r="BA73" s="109">
        <f t="shared" si="11"/>
        <v>77.142029999999991</v>
      </c>
      <c r="BB73" s="109">
        <f t="shared" si="12"/>
        <v>1.1571304499999999</v>
      </c>
      <c r="BC73" s="109">
        <f t="shared" si="13"/>
        <v>77.142029999999991</v>
      </c>
      <c r="BD73" s="109">
        <f t="shared" si="14"/>
        <v>0</v>
      </c>
      <c r="BE73" s="109">
        <f t="shared" si="15"/>
        <v>64799.305199999995</v>
      </c>
      <c r="BF73" s="109">
        <f t="shared" si="16"/>
        <v>97198.957799999989</v>
      </c>
      <c r="BG73" s="109">
        <f t="shared" si="17"/>
        <v>0.83313392399999986</v>
      </c>
      <c r="BH73" s="109">
        <f t="shared" si="18"/>
        <v>0.92570435999999989</v>
      </c>
      <c r="BI73" s="109">
        <f t="shared" si="19"/>
        <v>-4.5707763809523787E-2</v>
      </c>
      <c r="BJ73" s="109">
        <f t="shared" si="20"/>
        <v>7.1865504037654766</v>
      </c>
      <c r="BK73" s="109">
        <f t="shared" si="35"/>
        <v>63.455928235908331</v>
      </c>
      <c r="BL73" s="148">
        <v>0.74</v>
      </c>
      <c r="BM73" s="112">
        <f>ROUND((AW73/BL73)+((AW73*BL73)*'CALCULO GERAL'!$E$11)/BL73,2)</f>
        <v>15.37</v>
      </c>
      <c r="BN73" s="186">
        <f t="shared" si="21"/>
        <v>15.37</v>
      </c>
      <c r="BO73" s="186">
        <f t="shared" si="36"/>
        <v>18.007999999999999</v>
      </c>
      <c r="BP73" s="109">
        <f>BM73*'CALCULO GERAL'!$C$11</f>
        <v>77.142029999999991</v>
      </c>
      <c r="BQ73" s="109">
        <f>BO73*'CALCULO GERAL'!$C$11</f>
        <v>90.382152000000005</v>
      </c>
      <c r="BR73" s="186">
        <f>BN73*'CALCULO GERAL'!$C$11</f>
        <v>77.142029999999991</v>
      </c>
      <c r="BS73" s="109">
        <f t="shared" si="22"/>
        <v>809991.31499999994</v>
      </c>
      <c r="BT73" s="109">
        <f t="shared" si="23"/>
        <v>809991.31499999994</v>
      </c>
      <c r="BU73" s="109">
        <f t="shared" si="40"/>
        <v>666287.24647703744</v>
      </c>
      <c r="BV73" s="109">
        <f t="shared" si="37"/>
        <v>143704.06852296251</v>
      </c>
      <c r="BW73" s="114">
        <f t="shared" si="24"/>
        <v>0.1774143325511614</v>
      </c>
      <c r="BX73" s="152">
        <f t="shared" si="41"/>
        <v>0.74</v>
      </c>
      <c r="BZ73" s="55"/>
      <c r="CA73" s="113"/>
      <c r="CB73" s="113"/>
      <c r="CD73" s="152">
        <f t="shared" si="42"/>
        <v>0</v>
      </c>
      <c r="CE73" s="152">
        <f t="shared" si="38"/>
        <v>1</v>
      </c>
      <c r="CF73" s="152">
        <f t="shared" si="39"/>
        <v>1</v>
      </c>
      <c r="CG73" s="34"/>
      <c r="CI73" s="11"/>
      <c r="CJ73" s="11"/>
    </row>
    <row r="74" spans="1:88" s="152" customFormat="1" ht="16" x14ac:dyDescent="0.2">
      <c r="A74" s="228" t="s">
        <v>524</v>
      </c>
      <c r="B74" s="187" t="s">
        <v>211</v>
      </c>
      <c r="C74" s="8">
        <v>0.35</v>
      </c>
      <c r="D74" s="8">
        <v>0</v>
      </c>
      <c r="E74" s="7">
        <v>2.1000000000000001E-2</v>
      </c>
      <c r="F74" s="7">
        <v>0.1065</v>
      </c>
      <c r="G74" s="1">
        <v>6.4999999999999997E-3</v>
      </c>
      <c r="H74" s="1">
        <v>0.03</v>
      </c>
      <c r="I74" s="1">
        <v>0.18</v>
      </c>
      <c r="J74" s="1">
        <v>0.04</v>
      </c>
      <c r="K74" s="1">
        <v>0.14000000000000001</v>
      </c>
      <c r="L74" s="1">
        <v>1.4999999999999999E-2</v>
      </c>
      <c r="M74" s="2" t="s">
        <v>175</v>
      </c>
      <c r="N74" s="105">
        <v>10500</v>
      </c>
      <c r="O74" s="119"/>
      <c r="P74" s="119"/>
      <c r="Q74" s="119"/>
      <c r="R74" s="119"/>
      <c r="S74" s="119"/>
      <c r="T74" s="119"/>
      <c r="U74" s="119"/>
      <c r="V74" s="205">
        <v>15.36</v>
      </c>
      <c r="W74" s="119"/>
      <c r="X74" s="119">
        <f t="shared" si="0"/>
        <v>15.36</v>
      </c>
      <c r="Y74" s="118">
        <f t="shared" si="1"/>
        <v>15.36</v>
      </c>
      <c r="Z74" s="109">
        <f t="shared" si="2"/>
        <v>161280</v>
      </c>
      <c r="AA74" s="109">
        <f>'CALCULO GERAL'!$G$10</f>
        <v>6300</v>
      </c>
      <c r="AB74" s="109">
        <f t="shared" si="3"/>
        <v>167580</v>
      </c>
      <c r="AC74" s="109">
        <f>AB74*'CALCULO GERAL'!$C$11</f>
        <v>841084.02</v>
      </c>
      <c r="AD74" s="109">
        <f t="shared" si="4"/>
        <v>294379.40700000001</v>
      </c>
      <c r="AE74" s="109">
        <f t="shared" si="5"/>
        <v>0</v>
      </c>
      <c r="AF74" s="109">
        <f t="shared" si="6"/>
        <v>17662.764420000003</v>
      </c>
      <c r="AG74" s="109">
        <f t="shared" si="7"/>
        <v>89575.448130000004</v>
      </c>
      <c r="AH74" s="109">
        <v>154.22999999999999</v>
      </c>
      <c r="AI74" s="109">
        <f>((AA74*'CALCULO GERAL'!$C$11))*0.08+20</f>
        <v>2549.576</v>
      </c>
      <c r="AJ74" s="109">
        <v>1010</v>
      </c>
      <c r="AK74" s="109">
        <v>2500</v>
      </c>
      <c r="AL74" s="109">
        <f>(AA74*('CALCULO GERAL'!$C$11*1.02))-(AA74*'CALCULO GERAL'!$C$11)</f>
        <v>632.39400000000387</v>
      </c>
      <c r="AM74" s="109">
        <v>1800</v>
      </c>
      <c r="AN74" s="109">
        <v>2600</v>
      </c>
      <c r="AO74" s="109">
        <v>9400</v>
      </c>
      <c r="AP74" s="109">
        <v>1000</v>
      </c>
      <c r="AQ74" s="109">
        <v>0</v>
      </c>
      <c r="AR74" s="109">
        <v>0</v>
      </c>
      <c r="AS74" s="109"/>
      <c r="AT74" s="109">
        <f t="shared" si="34"/>
        <v>1264347.8395499999</v>
      </c>
      <c r="AU74" s="111">
        <f t="shared" si="8"/>
        <v>120.41407995714285</v>
      </c>
      <c r="AV74" s="109">
        <f>IFERROR((BS74*'CALCULO GERAL'!$E$11)/N74,0)</f>
        <v>3.302502</v>
      </c>
      <c r="AW74" s="109">
        <f>AU74/'CALCULO GERAL'!$C$11</f>
        <v>23.99164773005436</v>
      </c>
      <c r="AX74" s="109">
        <f>BP74-BB74-BD74*'CALCULO GERAL'!$C$11</f>
        <v>162.6482235</v>
      </c>
      <c r="AY74" s="109">
        <f t="shared" si="9"/>
        <v>1.0572134527499999</v>
      </c>
      <c r="AZ74" s="109">
        <f t="shared" si="10"/>
        <v>4.8794467049999994</v>
      </c>
      <c r="BA74" s="109">
        <f t="shared" si="11"/>
        <v>165.1251</v>
      </c>
      <c r="BB74" s="109">
        <f t="shared" si="12"/>
        <v>2.4768764999999999</v>
      </c>
      <c r="BC74" s="109">
        <f t="shared" si="13"/>
        <v>165.1251</v>
      </c>
      <c r="BD74" s="109">
        <f t="shared" si="14"/>
        <v>0</v>
      </c>
      <c r="BE74" s="109">
        <f t="shared" si="15"/>
        <v>138705.084</v>
      </c>
      <c r="BF74" s="109">
        <f t="shared" si="16"/>
        <v>208057.62599999999</v>
      </c>
      <c r="BG74" s="109">
        <f t="shared" si="17"/>
        <v>1.7833510799999996</v>
      </c>
      <c r="BH74" s="109">
        <f t="shared" si="18"/>
        <v>1.9815011999999999</v>
      </c>
      <c r="BI74" s="109">
        <f t="shared" si="19"/>
        <v>-0.74957232380952399</v>
      </c>
      <c r="BJ74" s="109">
        <f t="shared" si="20"/>
        <v>14.731318613940475</v>
      </c>
      <c r="BK74" s="109">
        <f t="shared" si="35"/>
        <v>135.14539857108332</v>
      </c>
      <c r="BL74" s="148">
        <v>0.74</v>
      </c>
      <c r="BM74" s="112">
        <f>ROUND((AW74/BL74)+((AW74*BL74)*'CALCULO GERAL'!$E$11)/BL74,2)</f>
        <v>32.9</v>
      </c>
      <c r="BN74" s="186">
        <f t="shared" si="21"/>
        <v>32.9</v>
      </c>
      <c r="BO74" s="186">
        <f t="shared" si="36"/>
        <v>38.548000000000002</v>
      </c>
      <c r="BP74" s="109">
        <f>BM74*'CALCULO GERAL'!$C$11</f>
        <v>165.1251</v>
      </c>
      <c r="BQ74" s="109">
        <f>BO74*'CALCULO GERAL'!$C$11</f>
        <v>193.47241200000002</v>
      </c>
      <c r="BR74" s="186">
        <f>BN74*'CALCULO GERAL'!$C$11</f>
        <v>165.1251</v>
      </c>
      <c r="BS74" s="109">
        <f t="shared" si="22"/>
        <v>1733813.55</v>
      </c>
      <c r="BT74" s="109">
        <f t="shared" si="23"/>
        <v>1733813.55</v>
      </c>
      <c r="BU74" s="109">
        <f t="shared" si="40"/>
        <v>1419026.6849963749</v>
      </c>
      <c r="BV74" s="109">
        <f t="shared" si="37"/>
        <v>314786.86500362516</v>
      </c>
      <c r="BW74" s="114">
        <f t="shared" si="24"/>
        <v>0.18155750657481318</v>
      </c>
      <c r="BX74" s="152">
        <f t="shared" si="41"/>
        <v>0.74</v>
      </c>
      <c r="BZ74" s="55"/>
      <c r="CA74" s="113"/>
      <c r="CB74" s="113"/>
      <c r="CD74" s="152">
        <f t="shared" si="42"/>
        <v>0</v>
      </c>
      <c r="CE74" s="152">
        <f t="shared" si="38"/>
        <v>1</v>
      </c>
      <c r="CF74" s="152">
        <f t="shared" si="39"/>
        <v>1</v>
      </c>
      <c r="CG74" s="34"/>
      <c r="CI74" s="11"/>
      <c r="CJ74" s="11"/>
    </row>
    <row r="75" spans="1:88" s="152" customFormat="1" ht="16" x14ac:dyDescent="0.2">
      <c r="A75" s="228" t="s">
        <v>525</v>
      </c>
      <c r="B75" s="187" t="s">
        <v>211</v>
      </c>
      <c r="C75" s="8">
        <v>0.35</v>
      </c>
      <c r="D75" s="8">
        <v>0</v>
      </c>
      <c r="E75" s="7">
        <v>2.1000000000000001E-2</v>
      </c>
      <c r="F75" s="7">
        <v>0.1065</v>
      </c>
      <c r="G75" s="1">
        <v>6.4999999999999997E-3</v>
      </c>
      <c r="H75" s="1">
        <v>0.03</v>
      </c>
      <c r="I75" s="1">
        <v>0.18</v>
      </c>
      <c r="J75" s="1">
        <v>0.04</v>
      </c>
      <c r="K75" s="1">
        <v>0.14000000000000001</v>
      </c>
      <c r="L75" s="1">
        <v>1.4999999999999999E-2</v>
      </c>
      <c r="M75" s="2" t="s">
        <v>175</v>
      </c>
      <c r="N75" s="105">
        <v>8500</v>
      </c>
      <c r="O75" s="119"/>
      <c r="P75" s="119"/>
      <c r="Q75" s="119"/>
      <c r="R75" s="119"/>
      <c r="S75" s="119"/>
      <c r="T75" s="119"/>
      <c r="U75" s="119"/>
      <c r="V75" s="205">
        <v>20.86</v>
      </c>
      <c r="W75" s="119"/>
      <c r="X75" s="119">
        <f t="shared" si="0"/>
        <v>20.86</v>
      </c>
      <c r="Y75" s="118">
        <f t="shared" si="1"/>
        <v>20.86</v>
      </c>
      <c r="Z75" s="109">
        <f t="shared" si="2"/>
        <v>177310</v>
      </c>
      <c r="AA75" s="109">
        <f>'CALCULO GERAL'!$G$10</f>
        <v>6300</v>
      </c>
      <c r="AB75" s="109">
        <f t="shared" si="3"/>
        <v>183610</v>
      </c>
      <c r="AC75" s="109">
        <f>AB75*'CALCULO GERAL'!$C$11</f>
        <v>921538.59</v>
      </c>
      <c r="AD75" s="109">
        <f t="shared" si="4"/>
        <v>322538.50649999996</v>
      </c>
      <c r="AE75" s="109">
        <f t="shared" si="5"/>
        <v>0</v>
      </c>
      <c r="AF75" s="109">
        <f t="shared" si="6"/>
        <v>19352.310389999999</v>
      </c>
      <c r="AG75" s="109">
        <f t="shared" si="7"/>
        <v>98143.859834999996</v>
      </c>
      <c r="AH75" s="109">
        <v>154.22999999999999</v>
      </c>
      <c r="AI75" s="109">
        <f>((AA75*'CALCULO GERAL'!$C$11))*0.08+20</f>
        <v>2549.576</v>
      </c>
      <c r="AJ75" s="109">
        <v>1010</v>
      </c>
      <c r="AK75" s="109">
        <v>2500</v>
      </c>
      <c r="AL75" s="109">
        <f>(AA75*('CALCULO GERAL'!$C$11*1.02))-(AA75*'CALCULO GERAL'!$C$11)</f>
        <v>632.39400000000387</v>
      </c>
      <c r="AM75" s="109">
        <v>1800</v>
      </c>
      <c r="AN75" s="109">
        <v>2600</v>
      </c>
      <c r="AO75" s="109">
        <v>9400</v>
      </c>
      <c r="AP75" s="109">
        <v>1000</v>
      </c>
      <c r="AQ75" s="109">
        <v>0</v>
      </c>
      <c r="AR75" s="109">
        <v>0</v>
      </c>
      <c r="AS75" s="109"/>
      <c r="AT75" s="109">
        <f t="shared" si="34"/>
        <v>1383219.4667249999</v>
      </c>
      <c r="AU75" s="111">
        <f t="shared" si="8"/>
        <v>162.73170196764704</v>
      </c>
      <c r="AV75" s="109">
        <f>IFERROR((BS75*'CALCULO GERAL'!$E$11)/N75,0)</f>
        <v>4.4628948000000008</v>
      </c>
      <c r="AW75" s="109">
        <f>AU75/'CALCULO GERAL'!$C$11</f>
        <v>32.423132490067154</v>
      </c>
      <c r="AX75" s="109">
        <f>BP75-BB75-BD75*'CALCULO GERAL'!$C$11</f>
        <v>219.79756890000002</v>
      </c>
      <c r="AY75" s="109">
        <f t="shared" si="9"/>
        <v>1.42868419785</v>
      </c>
      <c r="AZ75" s="109">
        <f t="shared" si="10"/>
        <v>6.5939270670000001</v>
      </c>
      <c r="BA75" s="109">
        <f t="shared" si="11"/>
        <v>223.14474000000001</v>
      </c>
      <c r="BB75" s="109">
        <f t="shared" si="12"/>
        <v>3.3471711000000002</v>
      </c>
      <c r="BC75" s="109">
        <f t="shared" si="13"/>
        <v>223.14474000000001</v>
      </c>
      <c r="BD75" s="109">
        <f t="shared" si="14"/>
        <v>0</v>
      </c>
      <c r="BE75" s="109">
        <f t="shared" si="15"/>
        <v>151738.42320000002</v>
      </c>
      <c r="BF75" s="109">
        <f t="shared" si="16"/>
        <v>227607.6348</v>
      </c>
      <c r="BG75" s="109">
        <f t="shared" si="17"/>
        <v>2.4099631919999998</v>
      </c>
      <c r="BH75" s="109">
        <f t="shared" si="18"/>
        <v>2.6777368800000003</v>
      </c>
      <c r="BI75" s="109">
        <f t="shared" si="19"/>
        <v>-1.0792756847058829</v>
      </c>
      <c r="BJ75" s="109">
        <f t="shared" si="20"/>
        <v>19.841101552144117</v>
      </c>
      <c r="BK75" s="109">
        <f t="shared" si="35"/>
        <v>182.57280351979117</v>
      </c>
      <c r="BL75" s="148">
        <v>0.74</v>
      </c>
      <c r="BM75" s="112">
        <f>ROUND((AW75/BL75)+((AW75*BL75)*'CALCULO GERAL'!$E$11)/BL75,2)</f>
        <v>44.46</v>
      </c>
      <c r="BN75" s="186">
        <f t="shared" si="21"/>
        <v>44.46</v>
      </c>
      <c r="BO75" s="186">
        <f t="shared" si="36"/>
        <v>52.091999999999999</v>
      </c>
      <c r="BP75" s="109">
        <f>BM75*'CALCULO GERAL'!$C$11</f>
        <v>223.14474000000001</v>
      </c>
      <c r="BQ75" s="109">
        <f>BO75*'CALCULO GERAL'!$C$11</f>
        <v>261.449748</v>
      </c>
      <c r="BR75" s="186">
        <f>BN75*'CALCULO GERAL'!$C$11</f>
        <v>223.14474000000001</v>
      </c>
      <c r="BS75" s="109">
        <f t="shared" si="22"/>
        <v>1896730.29</v>
      </c>
      <c r="BT75" s="109">
        <f t="shared" si="23"/>
        <v>1896730.29</v>
      </c>
      <c r="BU75" s="109">
        <f t="shared" si="40"/>
        <v>1551868.8299182248</v>
      </c>
      <c r="BV75" s="109">
        <f t="shared" si="37"/>
        <v>344861.46008177521</v>
      </c>
      <c r="BW75" s="114">
        <f t="shared" si="24"/>
        <v>0.18181892380796807</v>
      </c>
      <c r="BX75" s="152">
        <f t="shared" si="41"/>
        <v>0.74</v>
      </c>
      <c r="BZ75" s="55"/>
      <c r="CA75" s="113"/>
      <c r="CB75" s="113"/>
      <c r="CD75" s="152">
        <f t="shared" si="42"/>
        <v>0</v>
      </c>
      <c r="CE75" s="152">
        <f t="shared" si="38"/>
        <v>1</v>
      </c>
      <c r="CF75" s="152">
        <f t="shared" si="39"/>
        <v>1</v>
      </c>
      <c r="CG75" s="34"/>
      <c r="CI75" s="11"/>
      <c r="CJ75" s="11"/>
    </row>
    <row r="76" spans="1:88" s="152" customFormat="1" ht="16" x14ac:dyDescent="0.2">
      <c r="A76" s="228" t="s">
        <v>526</v>
      </c>
      <c r="B76" s="187" t="s">
        <v>211</v>
      </c>
      <c r="C76" s="8">
        <v>0.35</v>
      </c>
      <c r="D76" s="8">
        <v>0</v>
      </c>
      <c r="E76" s="7">
        <v>2.1000000000000001E-2</v>
      </c>
      <c r="F76" s="7">
        <v>0.1065</v>
      </c>
      <c r="G76" s="1">
        <v>6.4999999999999997E-3</v>
      </c>
      <c r="H76" s="1">
        <v>0.03</v>
      </c>
      <c r="I76" s="1">
        <v>0.18</v>
      </c>
      <c r="J76" s="1">
        <v>0.04</v>
      </c>
      <c r="K76" s="1">
        <v>0.14000000000000001</v>
      </c>
      <c r="L76" s="1">
        <v>1.4999999999999999E-2</v>
      </c>
      <c r="M76" s="2" t="s">
        <v>175</v>
      </c>
      <c r="N76" s="105">
        <v>7000</v>
      </c>
      <c r="O76" s="119"/>
      <c r="P76" s="119"/>
      <c r="Q76" s="119"/>
      <c r="R76" s="119"/>
      <c r="S76" s="119"/>
      <c r="T76" s="119"/>
      <c r="U76" s="119"/>
      <c r="V76" s="205">
        <v>22.29</v>
      </c>
      <c r="W76" s="119"/>
      <c r="X76" s="119">
        <f t="shared" si="0"/>
        <v>22.29</v>
      </c>
      <c r="Y76" s="118">
        <f t="shared" si="1"/>
        <v>22.29</v>
      </c>
      <c r="Z76" s="109">
        <f t="shared" si="2"/>
        <v>156030</v>
      </c>
      <c r="AA76" s="109">
        <f>'CALCULO GERAL'!$G$10</f>
        <v>6300</v>
      </c>
      <c r="AB76" s="109">
        <f t="shared" si="3"/>
        <v>162330</v>
      </c>
      <c r="AC76" s="109">
        <f>AB76*'CALCULO GERAL'!$C$11</f>
        <v>814734.27</v>
      </c>
      <c r="AD76" s="109">
        <f t="shared" si="4"/>
        <v>285156.99449999997</v>
      </c>
      <c r="AE76" s="109">
        <f t="shared" si="5"/>
        <v>0</v>
      </c>
      <c r="AF76" s="109">
        <f t="shared" si="6"/>
        <v>17109.419670000003</v>
      </c>
      <c r="AG76" s="109">
        <f t="shared" si="7"/>
        <v>86769.199754999994</v>
      </c>
      <c r="AH76" s="109">
        <v>154.22999999999999</v>
      </c>
      <c r="AI76" s="109">
        <f>((AA76*'CALCULO GERAL'!$C$11))*0.08+20</f>
        <v>2549.576</v>
      </c>
      <c r="AJ76" s="109">
        <v>1010</v>
      </c>
      <c r="AK76" s="109">
        <v>2500</v>
      </c>
      <c r="AL76" s="109">
        <f>(AA76*('CALCULO GERAL'!$C$11*1.02))-(AA76*'CALCULO GERAL'!$C$11)</f>
        <v>632.39400000000387</v>
      </c>
      <c r="AM76" s="109">
        <v>1800</v>
      </c>
      <c r="AN76" s="109">
        <v>2600</v>
      </c>
      <c r="AO76" s="109">
        <v>9400</v>
      </c>
      <c r="AP76" s="109">
        <v>1000</v>
      </c>
      <c r="AQ76" s="109">
        <v>0</v>
      </c>
      <c r="AR76" s="109">
        <v>0</v>
      </c>
      <c r="AS76" s="109"/>
      <c r="AT76" s="109">
        <f t="shared" si="34"/>
        <v>1225416.0839249999</v>
      </c>
      <c r="AU76" s="111">
        <f t="shared" si="8"/>
        <v>175.05944056071428</v>
      </c>
      <c r="AV76" s="109">
        <f>IFERROR((BS76*'CALCULO GERAL'!$E$11)/N76,0)</f>
        <v>4.8011754</v>
      </c>
      <c r="AW76" s="109">
        <f>AU76/'CALCULO GERAL'!$C$11</f>
        <v>34.879346595081543</v>
      </c>
      <c r="AX76" s="109">
        <f>BP76-BB76-BD76*'CALCULO GERAL'!$C$11</f>
        <v>236.45788845000001</v>
      </c>
      <c r="AY76" s="109">
        <f t="shared" si="9"/>
        <v>1.536976274925</v>
      </c>
      <c r="AZ76" s="109">
        <f t="shared" si="10"/>
        <v>7.0937366534999997</v>
      </c>
      <c r="BA76" s="109">
        <f t="shared" si="11"/>
        <v>240.05877000000001</v>
      </c>
      <c r="BB76" s="109">
        <f t="shared" si="12"/>
        <v>3.60088155</v>
      </c>
      <c r="BC76" s="109">
        <f t="shared" si="13"/>
        <v>240.05877000000001</v>
      </c>
      <c r="BD76" s="109">
        <f t="shared" si="14"/>
        <v>0</v>
      </c>
      <c r="BE76" s="109">
        <f t="shared" si="15"/>
        <v>134432.9112</v>
      </c>
      <c r="BF76" s="109">
        <f t="shared" si="16"/>
        <v>201649.36680000002</v>
      </c>
      <c r="BG76" s="109">
        <f t="shared" si="17"/>
        <v>2.5926347160000001</v>
      </c>
      <c r="BH76" s="109">
        <f t="shared" si="18"/>
        <v>2.8807052399999997</v>
      </c>
      <c r="BI76" s="109">
        <f t="shared" si="19"/>
        <v>-1.0633274457142861</v>
      </c>
      <c r="BJ76" s="109">
        <f t="shared" si="20"/>
        <v>21.442782388710715</v>
      </c>
      <c r="BK76" s="109">
        <f t="shared" si="35"/>
        <v>196.502222949425</v>
      </c>
      <c r="BL76" s="148">
        <v>0.74</v>
      </c>
      <c r="BM76" s="112">
        <f>ROUND((AW76/BL76)+((AW76*BL76)*'CALCULO GERAL'!$E$11)/BL76,2)</f>
        <v>47.83</v>
      </c>
      <c r="BN76" s="186">
        <f t="shared" si="21"/>
        <v>47.83</v>
      </c>
      <c r="BO76" s="186">
        <f t="shared" si="36"/>
        <v>56.04</v>
      </c>
      <c r="BP76" s="109">
        <f>BM76*'CALCULO GERAL'!$C$11</f>
        <v>240.05877000000001</v>
      </c>
      <c r="BQ76" s="109">
        <f>BO76*'CALCULO GERAL'!$C$11</f>
        <v>281.26476000000002</v>
      </c>
      <c r="BR76" s="186">
        <f>BN76*'CALCULO GERAL'!$C$11</f>
        <v>240.05877000000001</v>
      </c>
      <c r="BS76" s="109">
        <f t="shared" si="22"/>
        <v>1680411.3900000001</v>
      </c>
      <c r="BT76" s="109">
        <f t="shared" si="23"/>
        <v>1680411.3900000001</v>
      </c>
      <c r="BU76" s="109">
        <f t="shared" si="40"/>
        <v>1375515.5606459749</v>
      </c>
      <c r="BV76" s="109">
        <f t="shared" si="37"/>
        <v>304895.82935402519</v>
      </c>
      <c r="BW76" s="114">
        <f t="shared" si="24"/>
        <v>0.18144118230121326</v>
      </c>
      <c r="BX76" s="152">
        <f t="shared" si="41"/>
        <v>0.74</v>
      </c>
      <c r="BZ76" s="55"/>
      <c r="CA76" s="113"/>
      <c r="CB76" s="113"/>
      <c r="CD76" s="152">
        <f t="shared" si="42"/>
        <v>0</v>
      </c>
      <c r="CE76" s="152">
        <f t="shared" si="38"/>
        <v>1</v>
      </c>
      <c r="CF76" s="152">
        <f t="shared" si="39"/>
        <v>1</v>
      </c>
      <c r="CG76" s="34"/>
      <c r="CI76" s="11"/>
      <c r="CJ76" s="11"/>
    </row>
    <row r="77" spans="1:88" s="152" customFormat="1" ht="16" x14ac:dyDescent="0.2">
      <c r="A77" s="228" t="s">
        <v>527</v>
      </c>
      <c r="B77" s="187" t="s">
        <v>211</v>
      </c>
      <c r="C77" s="8">
        <v>0.35</v>
      </c>
      <c r="D77" s="8">
        <v>0</v>
      </c>
      <c r="E77" s="7">
        <v>2.1000000000000001E-2</v>
      </c>
      <c r="F77" s="7">
        <v>0.1065</v>
      </c>
      <c r="G77" s="1">
        <v>6.4999999999999997E-3</v>
      </c>
      <c r="H77" s="1">
        <v>0.03</v>
      </c>
      <c r="I77" s="1">
        <v>0.18</v>
      </c>
      <c r="J77" s="1">
        <v>0.04</v>
      </c>
      <c r="K77" s="1">
        <v>0.14000000000000001</v>
      </c>
      <c r="L77" s="1">
        <v>1.4999999999999999E-2</v>
      </c>
      <c r="M77" s="2" t="s">
        <v>175</v>
      </c>
      <c r="N77" s="105">
        <v>6200</v>
      </c>
      <c r="O77" s="119"/>
      <c r="P77" s="119"/>
      <c r="Q77" s="119"/>
      <c r="R77" s="119"/>
      <c r="S77" s="119"/>
      <c r="T77" s="119"/>
      <c r="U77" s="119"/>
      <c r="V77" s="205">
        <v>25.48</v>
      </c>
      <c r="W77" s="119"/>
      <c r="X77" s="119">
        <f t="shared" si="0"/>
        <v>25.48</v>
      </c>
      <c r="Y77" s="118">
        <f t="shared" si="1"/>
        <v>25.48</v>
      </c>
      <c r="Z77" s="109">
        <f t="shared" si="2"/>
        <v>157976</v>
      </c>
      <c r="AA77" s="109">
        <f>'CALCULO GERAL'!$G$10</f>
        <v>6300</v>
      </c>
      <c r="AB77" s="109">
        <f t="shared" si="3"/>
        <v>164276</v>
      </c>
      <c r="AC77" s="109">
        <f>AB77*'CALCULO GERAL'!$C$11</f>
        <v>824501.24400000006</v>
      </c>
      <c r="AD77" s="109">
        <f t="shared" si="4"/>
        <v>288575.43540000002</v>
      </c>
      <c r="AE77" s="109">
        <f t="shared" si="5"/>
        <v>0</v>
      </c>
      <c r="AF77" s="109">
        <f t="shared" si="6"/>
        <v>17314.526124000004</v>
      </c>
      <c r="AG77" s="109">
        <f t="shared" si="7"/>
        <v>87809.382486000002</v>
      </c>
      <c r="AH77" s="109">
        <v>154.22999999999999</v>
      </c>
      <c r="AI77" s="109">
        <f>((AA77*'CALCULO GERAL'!$C$11))*0.08+20</f>
        <v>2549.576</v>
      </c>
      <c r="AJ77" s="109">
        <v>1010</v>
      </c>
      <c r="AK77" s="109">
        <v>2500</v>
      </c>
      <c r="AL77" s="109">
        <f>(AA77*('CALCULO GERAL'!$C$11*1.02))-(AA77*'CALCULO GERAL'!$C$11)</f>
        <v>632.39400000000387</v>
      </c>
      <c r="AM77" s="109">
        <v>1800</v>
      </c>
      <c r="AN77" s="109">
        <v>2600</v>
      </c>
      <c r="AO77" s="109">
        <v>9400</v>
      </c>
      <c r="AP77" s="109">
        <v>1000</v>
      </c>
      <c r="AQ77" s="109">
        <v>0</v>
      </c>
      <c r="AR77" s="109">
        <v>0</v>
      </c>
      <c r="AS77" s="109"/>
      <c r="AT77" s="109">
        <f t="shared" si="34"/>
        <v>1239846.78801</v>
      </c>
      <c r="AU77" s="111">
        <f t="shared" si="8"/>
        <v>199.97528838870969</v>
      </c>
      <c r="AV77" s="109">
        <f>IFERROR((BS77*'CALCULO GERAL'!$E$11)/N77,0)</f>
        <v>5.4847631999999997</v>
      </c>
      <c r="AW77" s="109">
        <f>AU77/'CALCULO GERAL'!$C$11</f>
        <v>39.84365180089852</v>
      </c>
      <c r="AX77" s="109">
        <f>BP77-BB77-BD77*'CALCULO GERAL'!$C$11</f>
        <v>270.12458759999998</v>
      </c>
      <c r="AY77" s="109">
        <f t="shared" si="9"/>
        <v>1.7558098193999998</v>
      </c>
      <c r="AZ77" s="109">
        <f t="shared" si="10"/>
        <v>8.1037376279999993</v>
      </c>
      <c r="BA77" s="109">
        <f t="shared" si="11"/>
        <v>274.23815999999999</v>
      </c>
      <c r="BB77" s="109">
        <f t="shared" si="12"/>
        <v>4.1135723999999998</v>
      </c>
      <c r="BC77" s="109">
        <f t="shared" si="13"/>
        <v>274.23815999999999</v>
      </c>
      <c r="BD77" s="109">
        <f t="shared" si="14"/>
        <v>0</v>
      </c>
      <c r="BE77" s="109">
        <f t="shared" si="15"/>
        <v>136022.12735999998</v>
      </c>
      <c r="BF77" s="109">
        <f t="shared" si="16"/>
        <v>204033.19103999998</v>
      </c>
      <c r="BG77" s="109">
        <f t="shared" si="17"/>
        <v>2.9617721279999998</v>
      </c>
      <c r="BH77" s="109">
        <f t="shared" si="18"/>
        <v>3.2908579199999997</v>
      </c>
      <c r="BI77" s="109">
        <f t="shared" si="19"/>
        <v>-1.2261635058064515</v>
      </c>
      <c r="BJ77" s="109">
        <f t="shared" si="20"/>
        <v>24.484349589593549</v>
      </c>
      <c r="BK77" s="109">
        <f t="shared" si="35"/>
        <v>224.45963797830325</v>
      </c>
      <c r="BL77" s="148">
        <v>0.74</v>
      </c>
      <c r="BM77" s="112">
        <f>ROUND((AW77/BL77)+((AW77*BL77)*'CALCULO GERAL'!$E$11)/BL77,2)</f>
        <v>54.64</v>
      </c>
      <c r="BN77" s="186">
        <f t="shared" si="21"/>
        <v>54.64</v>
      </c>
      <c r="BO77" s="186">
        <f t="shared" si="36"/>
        <v>64.019000000000005</v>
      </c>
      <c r="BP77" s="109">
        <f>BM77*'CALCULO GERAL'!$C$11</f>
        <v>274.23815999999999</v>
      </c>
      <c r="BQ77" s="109">
        <f>BO77*'CALCULO GERAL'!$C$11</f>
        <v>321.31136100000003</v>
      </c>
      <c r="BR77" s="186">
        <f>BN77*'CALCULO GERAL'!$C$11</f>
        <v>274.23815999999999</v>
      </c>
      <c r="BS77" s="109">
        <f t="shared" si="22"/>
        <v>1700276.5919999999</v>
      </c>
      <c r="BT77" s="109">
        <f t="shared" si="23"/>
        <v>1700276.5919999999</v>
      </c>
      <c r="BU77" s="109">
        <f t="shared" si="40"/>
        <v>1391649.75546548</v>
      </c>
      <c r="BV77" s="109">
        <f t="shared" si="37"/>
        <v>308626.83653451991</v>
      </c>
      <c r="BW77" s="114">
        <f t="shared" si="24"/>
        <v>0.18151566514921469</v>
      </c>
      <c r="BX77" s="152">
        <f t="shared" si="41"/>
        <v>0.74</v>
      </c>
      <c r="BZ77" s="55"/>
      <c r="CA77" s="113"/>
      <c r="CB77" s="113"/>
      <c r="CD77" s="152">
        <f t="shared" si="42"/>
        <v>0</v>
      </c>
      <c r="CE77" s="152">
        <f t="shared" si="38"/>
        <v>1</v>
      </c>
      <c r="CF77" s="152">
        <f t="shared" si="39"/>
        <v>1</v>
      </c>
      <c r="CG77" s="34"/>
      <c r="CI77" s="11"/>
      <c r="CJ77" s="11"/>
    </row>
    <row r="78" spans="1:88" s="152" customFormat="1" ht="16" x14ac:dyDescent="0.2">
      <c r="A78" s="228" t="s">
        <v>528</v>
      </c>
      <c r="B78" s="187" t="s">
        <v>211</v>
      </c>
      <c r="C78" s="8">
        <v>0.35</v>
      </c>
      <c r="D78" s="8">
        <v>0</v>
      </c>
      <c r="E78" s="7">
        <v>2.1000000000000001E-2</v>
      </c>
      <c r="F78" s="7">
        <v>0.1065</v>
      </c>
      <c r="G78" s="1">
        <v>6.4999999999999997E-3</v>
      </c>
      <c r="H78" s="1">
        <v>0.03</v>
      </c>
      <c r="I78" s="1">
        <v>0.18</v>
      </c>
      <c r="J78" s="1">
        <v>0.04</v>
      </c>
      <c r="K78" s="1">
        <v>0.14000000000000001</v>
      </c>
      <c r="L78" s="1">
        <v>1.4999999999999999E-2</v>
      </c>
      <c r="M78" s="2" t="s">
        <v>175</v>
      </c>
      <c r="N78" s="105">
        <v>10000</v>
      </c>
      <c r="O78" s="119"/>
      <c r="P78" s="119"/>
      <c r="Q78" s="119"/>
      <c r="R78" s="119"/>
      <c r="S78" s="119"/>
      <c r="T78" s="119"/>
      <c r="U78" s="119"/>
      <c r="V78" s="205">
        <v>17.59</v>
      </c>
      <c r="W78" s="119"/>
      <c r="X78" s="119">
        <f t="shared" si="0"/>
        <v>17.59</v>
      </c>
      <c r="Y78" s="118">
        <f t="shared" si="1"/>
        <v>17.59</v>
      </c>
      <c r="Z78" s="109">
        <f t="shared" si="2"/>
        <v>175900</v>
      </c>
      <c r="AA78" s="109">
        <f>'CALCULO GERAL'!$G$10</f>
        <v>6300</v>
      </c>
      <c r="AB78" s="109">
        <f t="shared" si="3"/>
        <v>182200</v>
      </c>
      <c r="AC78" s="109">
        <f>AB78*'CALCULO GERAL'!$C$11</f>
        <v>914461.8</v>
      </c>
      <c r="AD78" s="109">
        <f t="shared" si="4"/>
        <v>320061.63</v>
      </c>
      <c r="AE78" s="109">
        <f t="shared" si="5"/>
        <v>0</v>
      </c>
      <c r="AF78" s="109">
        <f t="shared" si="6"/>
        <v>19203.697800000002</v>
      </c>
      <c r="AG78" s="109">
        <f t="shared" si="7"/>
        <v>97390.181700000001</v>
      </c>
      <c r="AH78" s="109">
        <v>154.22999999999999</v>
      </c>
      <c r="AI78" s="109">
        <f>((AA78*'CALCULO GERAL'!$C$11))*0.08+20</f>
        <v>2549.576</v>
      </c>
      <c r="AJ78" s="109">
        <v>1010</v>
      </c>
      <c r="AK78" s="109">
        <v>2500</v>
      </c>
      <c r="AL78" s="109">
        <f>(AA78*('CALCULO GERAL'!$C$11*1.02))-(AA78*'CALCULO GERAL'!$C$11)</f>
        <v>632.39400000000387</v>
      </c>
      <c r="AM78" s="109">
        <v>1800</v>
      </c>
      <c r="AN78" s="109">
        <v>2600</v>
      </c>
      <c r="AO78" s="109">
        <v>9400</v>
      </c>
      <c r="AP78" s="109">
        <v>1000</v>
      </c>
      <c r="AQ78" s="109">
        <v>0</v>
      </c>
      <c r="AR78" s="109">
        <v>0</v>
      </c>
      <c r="AS78" s="109"/>
      <c r="AT78" s="109">
        <f t="shared" si="34"/>
        <v>1372763.5095000002</v>
      </c>
      <c r="AU78" s="111">
        <f t="shared" si="8"/>
        <v>137.27635095000002</v>
      </c>
      <c r="AV78" s="109">
        <f>IFERROR((BS78*'CALCULO GERAL'!$E$11)/N78,0)</f>
        <v>3.7652538</v>
      </c>
      <c r="AW78" s="109">
        <f>AU78/'CALCULO GERAL'!$C$11</f>
        <v>27.351335116557088</v>
      </c>
      <c r="AX78" s="109">
        <f>BP78-BB78-BD78*'CALCULO GERAL'!$C$11</f>
        <v>185.43874965000001</v>
      </c>
      <c r="AY78" s="109">
        <f t="shared" si="9"/>
        <v>1.2053518727249999</v>
      </c>
      <c r="AZ78" s="109">
        <f t="shared" si="10"/>
        <v>5.5631624894999998</v>
      </c>
      <c r="BA78" s="109">
        <f t="shared" si="11"/>
        <v>188.26268999999999</v>
      </c>
      <c r="BB78" s="109">
        <f t="shared" si="12"/>
        <v>2.82394035</v>
      </c>
      <c r="BC78" s="109">
        <f t="shared" si="13"/>
        <v>188.26268999999999</v>
      </c>
      <c r="BD78" s="109">
        <f t="shared" si="14"/>
        <v>0</v>
      </c>
      <c r="BE78" s="109">
        <f t="shared" si="15"/>
        <v>150610.152</v>
      </c>
      <c r="BF78" s="109">
        <f t="shared" si="16"/>
        <v>225915.22799999997</v>
      </c>
      <c r="BG78" s="109">
        <f t="shared" si="17"/>
        <v>2.0332370519999996</v>
      </c>
      <c r="BH78" s="109">
        <f t="shared" si="18"/>
        <v>2.2591522799999999</v>
      </c>
      <c r="BI78" s="109">
        <f t="shared" si="19"/>
        <v>-0.90610162000000016</v>
      </c>
      <c r="BJ78" s="109">
        <f t="shared" si="20"/>
        <v>16.743996224224997</v>
      </c>
      <c r="BK78" s="109">
        <f t="shared" si="35"/>
        <v>154.02034717422501</v>
      </c>
      <c r="BL78" s="148">
        <v>0.74</v>
      </c>
      <c r="BM78" s="112">
        <f>ROUND((AW78/BL78)+((AW78*BL78)*'CALCULO GERAL'!$E$11)/BL78,2)</f>
        <v>37.51</v>
      </c>
      <c r="BN78" s="186">
        <f t="shared" si="21"/>
        <v>37.51</v>
      </c>
      <c r="BO78" s="186">
        <f t="shared" si="36"/>
        <v>43.948999999999998</v>
      </c>
      <c r="BP78" s="109">
        <f>BM78*'CALCULO GERAL'!$C$11</f>
        <v>188.26268999999999</v>
      </c>
      <c r="BQ78" s="109">
        <f>BO78*'CALCULO GERAL'!$C$11</f>
        <v>220.58003099999999</v>
      </c>
      <c r="BR78" s="186">
        <f>BN78*'CALCULO GERAL'!$C$11</f>
        <v>188.26268999999999</v>
      </c>
      <c r="BS78" s="109">
        <f t="shared" si="22"/>
        <v>1882626.9</v>
      </c>
      <c r="BT78" s="109">
        <f t="shared" si="23"/>
        <v>1882626.9</v>
      </c>
      <c r="BU78" s="109">
        <f t="shared" si="40"/>
        <v>1540203.47174225</v>
      </c>
      <c r="BV78" s="109">
        <f t="shared" si="37"/>
        <v>342423.42825774988</v>
      </c>
      <c r="BW78" s="114">
        <f t="shared" si="24"/>
        <v>0.18188597446352747</v>
      </c>
      <c r="BX78" s="152">
        <f t="shared" si="41"/>
        <v>0.74</v>
      </c>
      <c r="BZ78" s="55"/>
      <c r="CA78" s="113"/>
      <c r="CB78" s="113"/>
      <c r="CD78" s="152">
        <f t="shared" si="42"/>
        <v>0</v>
      </c>
      <c r="CE78" s="152">
        <f t="shared" si="38"/>
        <v>1</v>
      </c>
      <c r="CF78" s="152">
        <f t="shared" si="39"/>
        <v>1</v>
      </c>
      <c r="CG78" s="34"/>
      <c r="CI78" s="11"/>
      <c r="CJ78" s="11"/>
    </row>
    <row r="79" spans="1:88" s="152" customFormat="1" ht="16" x14ac:dyDescent="0.2">
      <c r="A79" s="228" t="s">
        <v>529</v>
      </c>
      <c r="B79" s="187" t="s">
        <v>211</v>
      </c>
      <c r="C79" s="8">
        <v>0.35</v>
      </c>
      <c r="D79" s="8">
        <v>0</v>
      </c>
      <c r="E79" s="7">
        <v>2.1000000000000001E-2</v>
      </c>
      <c r="F79" s="7">
        <v>0.1065</v>
      </c>
      <c r="G79" s="1">
        <v>6.4999999999999997E-3</v>
      </c>
      <c r="H79" s="1">
        <v>0.03</v>
      </c>
      <c r="I79" s="1">
        <v>0.18</v>
      </c>
      <c r="J79" s="1">
        <v>0.04</v>
      </c>
      <c r="K79" s="1">
        <v>0.14000000000000001</v>
      </c>
      <c r="L79" s="1">
        <v>1.4999999999999999E-2</v>
      </c>
      <c r="M79" s="2" t="s">
        <v>175</v>
      </c>
      <c r="N79" s="105">
        <v>10000</v>
      </c>
      <c r="O79" s="119"/>
      <c r="P79" s="119"/>
      <c r="Q79" s="119"/>
      <c r="R79" s="119"/>
      <c r="S79" s="119"/>
      <c r="T79" s="119"/>
      <c r="U79" s="119"/>
      <c r="V79" s="205">
        <v>24.12</v>
      </c>
      <c r="W79" s="119"/>
      <c r="X79" s="119">
        <f t="shared" si="0"/>
        <v>24.12</v>
      </c>
      <c r="Y79" s="118">
        <f t="shared" si="1"/>
        <v>24.12</v>
      </c>
      <c r="Z79" s="109">
        <f t="shared" si="2"/>
        <v>241200</v>
      </c>
      <c r="AA79" s="109">
        <f>'CALCULO GERAL'!$G$10</f>
        <v>6300</v>
      </c>
      <c r="AB79" s="109">
        <f t="shared" si="3"/>
        <v>247500</v>
      </c>
      <c r="AC79" s="109">
        <f>AB79*'CALCULO GERAL'!$C$11</f>
        <v>1242202.5</v>
      </c>
      <c r="AD79" s="109">
        <f t="shared" si="4"/>
        <v>434770.875</v>
      </c>
      <c r="AE79" s="109">
        <f t="shared" si="5"/>
        <v>0</v>
      </c>
      <c r="AF79" s="109">
        <f t="shared" si="6"/>
        <v>26086.252500000002</v>
      </c>
      <c r="AG79" s="109">
        <f t="shared" si="7"/>
        <v>132294.56625</v>
      </c>
      <c r="AH79" s="109">
        <v>154.22999999999999</v>
      </c>
      <c r="AI79" s="109">
        <f>((AA79*'CALCULO GERAL'!$C$11))*0.08+20</f>
        <v>2549.576</v>
      </c>
      <c r="AJ79" s="109">
        <v>1010</v>
      </c>
      <c r="AK79" s="109">
        <v>2500</v>
      </c>
      <c r="AL79" s="109">
        <f>(AA79*('CALCULO GERAL'!$C$11*1.02))-(AA79*'CALCULO GERAL'!$C$11)</f>
        <v>632.39400000000387</v>
      </c>
      <c r="AM79" s="109">
        <v>1800</v>
      </c>
      <c r="AN79" s="109">
        <v>2600</v>
      </c>
      <c r="AO79" s="109">
        <v>9400</v>
      </c>
      <c r="AP79" s="109">
        <v>1000</v>
      </c>
      <c r="AQ79" s="109">
        <v>0</v>
      </c>
      <c r="AR79" s="109">
        <v>0</v>
      </c>
      <c r="AS79" s="109"/>
      <c r="AT79" s="109">
        <f t="shared" si="34"/>
        <v>1857000.3937499998</v>
      </c>
      <c r="AU79" s="111">
        <f t="shared" si="8"/>
        <v>185.70003937499999</v>
      </c>
      <c r="AV79" s="109">
        <f>IFERROR((BS79*'CALCULO GERAL'!$E$11)/N79,0)</f>
        <v>5.0932812000000007</v>
      </c>
      <c r="AW79" s="109">
        <f>AU79/'CALCULO GERAL'!$C$11</f>
        <v>36.99941011655708</v>
      </c>
      <c r="AX79" s="109">
        <f>BP79-BB79-BD79*'CALCULO GERAL'!$C$11</f>
        <v>250.84409909999999</v>
      </c>
      <c r="AY79" s="109">
        <f t="shared" si="9"/>
        <v>1.6304866441499999</v>
      </c>
      <c r="AZ79" s="109">
        <f t="shared" si="10"/>
        <v>7.5253229729999997</v>
      </c>
      <c r="BA79" s="109">
        <f t="shared" si="11"/>
        <v>254.66406000000001</v>
      </c>
      <c r="BB79" s="109">
        <f t="shared" si="12"/>
        <v>3.8199608999999999</v>
      </c>
      <c r="BC79" s="109">
        <f t="shared" si="13"/>
        <v>254.66406000000001</v>
      </c>
      <c r="BD79" s="109">
        <f t="shared" si="14"/>
        <v>0</v>
      </c>
      <c r="BE79" s="109">
        <f t="shared" si="15"/>
        <v>203731.24800000002</v>
      </c>
      <c r="BF79" s="109">
        <f t="shared" si="16"/>
        <v>305596.87199999997</v>
      </c>
      <c r="BG79" s="109">
        <f t="shared" si="17"/>
        <v>2.7503718479999995</v>
      </c>
      <c r="BH79" s="109">
        <f t="shared" si="18"/>
        <v>3.0559687200000001</v>
      </c>
      <c r="BI79" s="109">
        <f t="shared" si="19"/>
        <v>-1.4373125800000004</v>
      </c>
      <c r="BJ79" s="109">
        <f t="shared" si="20"/>
        <v>22.438079705149999</v>
      </c>
      <c r="BK79" s="109">
        <f t="shared" si="35"/>
        <v>208.13811908014998</v>
      </c>
      <c r="BL79" s="148">
        <v>0.74</v>
      </c>
      <c r="BM79" s="112">
        <f>ROUND((AW79/BL79)+((AW79*BL79)*'CALCULO GERAL'!$E$11)/BL79,2)</f>
        <v>50.74</v>
      </c>
      <c r="BN79" s="186">
        <f t="shared" si="21"/>
        <v>50.74</v>
      </c>
      <c r="BO79" s="186">
        <f t="shared" si="36"/>
        <v>59.45</v>
      </c>
      <c r="BP79" s="109">
        <f>BM79*'CALCULO GERAL'!$C$11</f>
        <v>254.66406000000001</v>
      </c>
      <c r="BQ79" s="109">
        <f>BO79*'CALCULO GERAL'!$C$11</f>
        <v>298.37954999999999</v>
      </c>
      <c r="BR79" s="186">
        <f>BN79*'CALCULO GERAL'!$C$11</f>
        <v>254.66406000000001</v>
      </c>
      <c r="BS79" s="109">
        <f t="shared" si="22"/>
        <v>2546640.6</v>
      </c>
      <c r="BT79" s="109">
        <f t="shared" si="23"/>
        <v>2546640.6</v>
      </c>
      <c r="BU79" s="109">
        <f t="shared" si="40"/>
        <v>2081381.1908014999</v>
      </c>
      <c r="BV79" s="109">
        <f t="shared" si="37"/>
        <v>465259.40919850022</v>
      </c>
      <c r="BW79" s="114">
        <f t="shared" si="24"/>
        <v>0.18269535528433034</v>
      </c>
      <c r="BX79" s="152">
        <f t="shared" si="41"/>
        <v>0.74</v>
      </c>
      <c r="BZ79" s="55"/>
      <c r="CA79" s="113"/>
      <c r="CB79" s="113"/>
      <c r="CD79" s="152">
        <f t="shared" si="42"/>
        <v>0</v>
      </c>
      <c r="CE79" s="152">
        <f t="shared" si="38"/>
        <v>1</v>
      </c>
      <c r="CF79" s="152">
        <f t="shared" si="39"/>
        <v>1</v>
      </c>
      <c r="CG79" s="34"/>
      <c r="CI79" s="11"/>
      <c r="CJ79" s="11"/>
    </row>
    <row r="80" spans="1:88" s="152" customFormat="1" ht="16" x14ac:dyDescent="0.2">
      <c r="A80" s="228" t="s">
        <v>530</v>
      </c>
      <c r="B80" s="187" t="s">
        <v>211</v>
      </c>
      <c r="C80" s="8">
        <v>0.35</v>
      </c>
      <c r="D80" s="8">
        <v>0</v>
      </c>
      <c r="E80" s="7">
        <v>2.1000000000000001E-2</v>
      </c>
      <c r="F80" s="7">
        <v>0.1065</v>
      </c>
      <c r="G80" s="1">
        <v>6.4999999999999997E-3</v>
      </c>
      <c r="H80" s="1">
        <v>0.03</v>
      </c>
      <c r="I80" s="1">
        <v>0.18</v>
      </c>
      <c r="J80" s="1">
        <v>0.04</v>
      </c>
      <c r="K80" s="1">
        <v>0.14000000000000001</v>
      </c>
      <c r="L80" s="1">
        <v>1.4999999999999999E-2</v>
      </c>
      <c r="M80" s="2" t="s">
        <v>175</v>
      </c>
      <c r="N80" s="105">
        <v>10000</v>
      </c>
      <c r="O80" s="119"/>
      <c r="P80" s="119"/>
      <c r="Q80" s="119"/>
      <c r="R80" s="119"/>
      <c r="S80" s="119"/>
      <c r="T80" s="119"/>
      <c r="U80" s="119"/>
      <c r="V80" s="205">
        <v>25.78</v>
      </c>
      <c r="W80" s="119"/>
      <c r="X80" s="119">
        <f t="shared" si="0"/>
        <v>25.78</v>
      </c>
      <c r="Y80" s="118">
        <f t="shared" si="1"/>
        <v>25.78</v>
      </c>
      <c r="Z80" s="109">
        <f t="shared" si="2"/>
        <v>257800</v>
      </c>
      <c r="AA80" s="109">
        <f>'CALCULO GERAL'!$G$10</f>
        <v>6300</v>
      </c>
      <c r="AB80" s="109">
        <f t="shared" si="3"/>
        <v>264100</v>
      </c>
      <c r="AC80" s="109">
        <f>AB80*'CALCULO GERAL'!$C$11</f>
        <v>1325517.9000000001</v>
      </c>
      <c r="AD80" s="109">
        <f t="shared" si="4"/>
        <v>463931.26500000001</v>
      </c>
      <c r="AE80" s="109">
        <f t="shared" si="5"/>
        <v>0</v>
      </c>
      <c r="AF80" s="109">
        <f t="shared" si="6"/>
        <v>27835.875900000006</v>
      </c>
      <c r="AG80" s="109">
        <f t="shared" si="7"/>
        <v>141167.65635</v>
      </c>
      <c r="AH80" s="109">
        <v>154.22999999999999</v>
      </c>
      <c r="AI80" s="109">
        <f>((AA80*'CALCULO GERAL'!$C$11))*0.08+20</f>
        <v>2549.576</v>
      </c>
      <c r="AJ80" s="109">
        <v>1010</v>
      </c>
      <c r="AK80" s="109">
        <v>2500</v>
      </c>
      <c r="AL80" s="109">
        <f>(AA80*('CALCULO GERAL'!$C$11*1.02))-(AA80*'CALCULO GERAL'!$C$11)</f>
        <v>632.39400000000387</v>
      </c>
      <c r="AM80" s="109">
        <v>1800</v>
      </c>
      <c r="AN80" s="109">
        <v>2600</v>
      </c>
      <c r="AO80" s="109">
        <v>9400</v>
      </c>
      <c r="AP80" s="109">
        <v>1000</v>
      </c>
      <c r="AQ80" s="109">
        <v>0</v>
      </c>
      <c r="AR80" s="109">
        <v>0</v>
      </c>
      <c r="AS80" s="109"/>
      <c r="AT80" s="109">
        <f t="shared" si="34"/>
        <v>1980098.8972500002</v>
      </c>
      <c r="AU80" s="111">
        <f t="shared" si="8"/>
        <v>198.00988972500002</v>
      </c>
      <c r="AV80" s="109">
        <f>IFERROR((BS80*'CALCULO GERAL'!$E$11)/N80,0)</f>
        <v>5.4305580000000004</v>
      </c>
      <c r="AW80" s="109">
        <f>AU80/'CALCULO GERAL'!$C$11</f>
        <v>39.452060116557085</v>
      </c>
      <c r="AX80" s="109">
        <f>BP80-BB80-BD80*'CALCULO GERAL'!$C$11</f>
        <v>267.45498149999997</v>
      </c>
      <c r="AY80" s="109">
        <f t="shared" si="9"/>
        <v>1.7384573797499998</v>
      </c>
      <c r="AZ80" s="109">
        <f t="shared" si="10"/>
        <v>8.0236494449999984</v>
      </c>
      <c r="BA80" s="109">
        <f t="shared" si="11"/>
        <v>271.52789999999999</v>
      </c>
      <c r="BB80" s="109">
        <f t="shared" si="12"/>
        <v>4.0729185000000001</v>
      </c>
      <c r="BC80" s="109">
        <f t="shared" si="13"/>
        <v>271.52789999999999</v>
      </c>
      <c r="BD80" s="109">
        <f t="shared" si="14"/>
        <v>0</v>
      </c>
      <c r="BE80" s="109">
        <f t="shared" si="15"/>
        <v>217222.32</v>
      </c>
      <c r="BF80" s="109">
        <f t="shared" si="16"/>
        <v>325833.48</v>
      </c>
      <c r="BG80" s="109">
        <f t="shared" si="17"/>
        <v>2.9325013199999996</v>
      </c>
      <c r="BH80" s="109">
        <f t="shared" si="18"/>
        <v>3.2583347999999996</v>
      </c>
      <c r="BI80" s="109">
        <f t="shared" si="19"/>
        <v>-1.5722233000000001</v>
      </c>
      <c r="BJ80" s="109">
        <f t="shared" si="20"/>
        <v>23.88419614475</v>
      </c>
      <c r="BK80" s="109">
        <f t="shared" si="35"/>
        <v>221.89408586975003</v>
      </c>
      <c r="BL80" s="148">
        <v>0.74</v>
      </c>
      <c r="BM80" s="112">
        <f>ROUND((AW80/BL80)+((AW80*BL80)*'CALCULO GERAL'!$E$11)/BL80,2)</f>
        <v>54.1</v>
      </c>
      <c r="BN80" s="186">
        <f t="shared" si="21"/>
        <v>54.1</v>
      </c>
      <c r="BO80" s="186">
        <f t="shared" si="36"/>
        <v>63.387</v>
      </c>
      <c r="BP80" s="109">
        <f>BM80*'CALCULO GERAL'!$C$11</f>
        <v>271.52789999999999</v>
      </c>
      <c r="BQ80" s="109">
        <f>BO80*'CALCULO GERAL'!$C$11</f>
        <v>318.13935300000003</v>
      </c>
      <c r="BR80" s="186">
        <f>BN80*'CALCULO GERAL'!$C$11</f>
        <v>271.52789999999999</v>
      </c>
      <c r="BS80" s="109">
        <f t="shared" si="22"/>
        <v>2715279</v>
      </c>
      <c r="BT80" s="109">
        <f t="shared" si="23"/>
        <v>2715279</v>
      </c>
      <c r="BU80" s="109">
        <f t="shared" si="40"/>
        <v>2218940.8586975001</v>
      </c>
      <c r="BV80" s="109">
        <f t="shared" si="37"/>
        <v>496338.14130249992</v>
      </c>
      <c r="BW80" s="114">
        <f t="shared" si="24"/>
        <v>0.18279452730363985</v>
      </c>
      <c r="BX80" s="152">
        <f t="shared" si="41"/>
        <v>0.74</v>
      </c>
      <c r="BZ80" s="55"/>
      <c r="CA80" s="113"/>
      <c r="CB80" s="113"/>
      <c r="CD80" s="152">
        <f t="shared" si="42"/>
        <v>0</v>
      </c>
      <c r="CE80" s="152">
        <f t="shared" si="38"/>
        <v>1</v>
      </c>
      <c r="CF80" s="152">
        <f t="shared" si="39"/>
        <v>1</v>
      </c>
      <c r="CG80" s="34"/>
      <c r="CI80" s="11"/>
      <c r="CJ80" s="11"/>
    </row>
    <row r="81" spans="1:88" s="152" customFormat="1" ht="16" x14ac:dyDescent="0.2">
      <c r="A81" s="228" t="s">
        <v>531</v>
      </c>
      <c r="B81" s="187" t="s">
        <v>211</v>
      </c>
      <c r="C81" s="8">
        <v>0.35</v>
      </c>
      <c r="D81" s="8">
        <v>0</v>
      </c>
      <c r="E81" s="7">
        <v>2.1000000000000001E-2</v>
      </c>
      <c r="F81" s="7">
        <v>0.1065</v>
      </c>
      <c r="G81" s="1">
        <v>6.4999999999999997E-3</v>
      </c>
      <c r="H81" s="1">
        <v>0.03</v>
      </c>
      <c r="I81" s="1">
        <v>0.18</v>
      </c>
      <c r="J81" s="1">
        <v>0.04</v>
      </c>
      <c r="K81" s="1">
        <v>0.14000000000000001</v>
      </c>
      <c r="L81" s="1">
        <v>1.4999999999999999E-2</v>
      </c>
      <c r="M81" s="2" t="s">
        <v>175</v>
      </c>
      <c r="N81" s="105">
        <v>10000</v>
      </c>
      <c r="O81" s="119"/>
      <c r="P81" s="119"/>
      <c r="Q81" s="119"/>
      <c r="R81" s="119"/>
      <c r="S81" s="119"/>
      <c r="T81" s="119"/>
      <c r="U81" s="119"/>
      <c r="V81" s="205">
        <v>29.09</v>
      </c>
      <c r="W81" s="119"/>
      <c r="X81" s="119">
        <f t="shared" si="0"/>
        <v>29.09</v>
      </c>
      <c r="Y81" s="118">
        <f t="shared" si="1"/>
        <v>29.09</v>
      </c>
      <c r="Z81" s="109">
        <f t="shared" si="2"/>
        <v>290900</v>
      </c>
      <c r="AA81" s="109">
        <f>'CALCULO GERAL'!$G$10</f>
        <v>6300</v>
      </c>
      <c r="AB81" s="109">
        <f t="shared" si="3"/>
        <v>297200</v>
      </c>
      <c r="AC81" s="109">
        <f>AB81*'CALCULO GERAL'!$C$11</f>
        <v>1491646.8</v>
      </c>
      <c r="AD81" s="109">
        <f t="shared" si="4"/>
        <v>522076.38</v>
      </c>
      <c r="AE81" s="109">
        <f t="shared" si="5"/>
        <v>0</v>
      </c>
      <c r="AF81" s="109">
        <f t="shared" si="6"/>
        <v>31324.582800000004</v>
      </c>
      <c r="AG81" s="109">
        <f t="shared" si="7"/>
        <v>158860.3842</v>
      </c>
      <c r="AH81" s="109">
        <v>154.22999999999999</v>
      </c>
      <c r="AI81" s="109">
        <f>((AA81*'CALCULO GERAL'!$C$11))*0.08+20</f>
        <v>2549.576</v>
      </c>
      <c r="AJ81" s="109">
        <v>1010</v>
      </c>
      <c r="AK81" s="109">
        <v>2500</v>
      </c>
      <c r="AL81" s="109">
        <f>(AA81*('CALCULO GERAL'!$C$11*1.02))-(AA81*'CALCULO GERAL'!$C$11)</f>
        <v>632.39400000000387</v>
      </c>
      <c r="AM81" s="109">
        <v>1800</v>
      </c>
      <c r="AN81" s="109">
        <v>2600</v>
      </c>
      <c r="AO81" s="109">
        <v>9400</v>
      </c>
      <c r="AP81" s="109">
        <v>1000</v>
      </c>
      <c r="AQ81" s="109">
        <v>0</v>
      </c>
      <c r="AR81" s="109">
        <v>0</v>
      </c>
      <c r="AS81" s="109"/>
      <c r="AT81" s="109">
        <f t="shared" si="34"/>
        <v>2225554.3470000001</v>
      </c>
      <c r="AU81" s="111">
        <f t="shared" si="8"/>
        <v>222.55543470000001</v>
      </c>
      <c r="AV81" s="109">
        <f>IFERROR((BS81*'CALCULO GERAL'!$E$11)/N81,0)</f>
        <v>6.1041078000000013</v>
      </c>
      <c r="AW81" s="109">
        <f>AU81/'CALCULO GERAL'!$C$11</f>
        <v>44.342585116557082</v>
      </c>
      <c r="AX81" s="109">
        <f>BP81-BB81-BD81*'CALCULO GERAL'!$C$11</f>
        <v>300.62730915000003</v>
      </c>
      <c r="AY81" s="109">
        <f t="shared" si="9"/>
        <v>1.954077509475</v>
      </c>
      <c r="AZ81" s="109">
        <f t="shared" si="10"/>
        <v>9.0188192745000002</v>
      </c>
      <c r="BA81" s="109">
        <f t="shared" si="11"/>
        <v>305.20539000000002</v>
      </c>
      <c r="BB81" s="109">
        <f t="shared" si="12"/>
        <v>4.5780808500000001</v>
      </c>
      <c r="BC81" s="109">
        <f t="shared" si="13"/>
        <v>305.20539000000002</v>
      </c>
      <c r="BD81" s="109">
        <f t="shared" si="14"/>
        <v>0</v>
      </c>
      <c r="BE81" s="109">
        <f t="shared" si="15"/>
        <v>244164.31200000003</v>
      </c>
      <c r="BF81" s="109">
        <f t="shared" si="16"/>
        <v>366246.46800000005</v>
      </c>
      <c r="BG81" s="109">
        <f t="shared" si="17"/>
        <v>3.2962182120000003</v>
      </c>
      <c r="BH81" s="109">
        <f t="shared" si="18"/>
        <v>3.6624646800000003</v>
      </c>
      <c r="BI81" s="109">
        <f t="shared" si="19"/>
        <v>-1.8416432200000006</v>
      </c>
      <c r="BJ81" s="109">
        <f t="shared" si="20"/>
        <v>26.772125105975</v>
      </c>
      <c r="BK81" s="109">
        <f t="shared" si="35"/>
        <v>249.327559805975</v>
      </c>
      <c r="BL81" s="148">
        <v>0.74</v>
      </c>
      <c r="BM81" s="112">
        <f>ROUND((AW81/BL81)+((AW81*BL81)*'CALCULO GERAL'!$E$11)/BL81,2)</f>
        <v>60.81</v>
      </c>
      <c r="BN81" s="186">
        <f t="shared" si="21"/>
        <v>60.81</v>
      </c>
      <c r="BO81" s="186">
        <f t="shared" si="36"/>
        <v>71.248999999999995</v>
      </c>
      <c r="BP81" s="109">
        <f>BM81*'CALCULO GERAL'!$C$11</f>
        <v>305.20539000000002</v>
      </c>
      <c r="BQ81" s="109">
        <f>BO81*'CALCULO GERAL'!$C$11</f>
        <v>357.59873099999999</v>
      </c>
      <c r="BR81" s="186">
        <f>BN81*'CALCULO GERAL'!$C$11</f>
        <v>305.20539000000002</v>
      </c>
      <c r="BS81" s="109">
        <f t="shared" si="22"/>
        <v>3052053.9000000004</v>
      </c>
      <c r="BT81" s="109">
        <f t="shared" si="23"/>
        <v>3052053.9000000004</v>
      </c>
      <c r="BU81" s="109">
        <f t="shared" si="40"/>
        <v>2493275.5980597502</v>
      </c>
      <c r="BV81" s="109">
        <f t="shared" si="37"/>
        <v>558778.30194025021</v>
      </c>
      <c r="BW81" s="114">
        <f t="shared" si="24"/>
        <v>0.18308271093778852</v>
      </c>
      <c r="BX81" s="152">
        <f t="shared" si="41"/>
        <v>0.74</v>
      </c>
      <c r="BZ81" s="55"/>
      <c r="CA81" s="113"/>
      <c r="CB81" s="113"/>
      <c r="CD81" s="152">
        <f t="shared" si="42"/>
        <v>0</v>
      </c>
      <c r="CE81" s="152">
        <f t="shared" si="38"/>
        <v>1</v>
      </c>
      <c r="CF81" s="152">
        <f t="shared" si="39"/>
        <v>1</v>
      </c>
      <c r="CG81" s="34"/>
      <c r="CI81" s="11"/>
      <c r="CJ81" s="11"/>
    </row>
    <row r="82" spans="1:88" s="152" customFormat="1" x14ac:dyDescent="0.2">
      <c r="A82" s="228" t="s">
        <v>215</v>
      </c>
      <c r="B82" s="187" t="s">
        <v>174</v>
      </c>
      <c r="C82" s="8">
        <v>0.14399999999999999</v>
      </c>
      <c r="D82" s="8">
        <v>0</v>
      </c>
      <c r="E82" s="7">
        <v>2.1000000000000001E-2</v>
      </c>
      <c r="F82" s="7">
        <v>0.1065</v>
      </c>
      <c r="G82" s="1">
        <v>6.4999999999999997E-3</v>
      </c>
      <c r="H82" s="1">
        <v>0.03</v>
      </c>
      <c r="I82" s="1">
        <v>0.18</v>
      </c>
      <c r="J82" s="1">
        <v>0.04</v>
      </c>
      <c r="K82" s="1">
        <v>0.14000000000000001</v>
      </c>
      <c r="L82" s="1">
        <v>1.4999999999999999E-2</v>
      </c>
      <c r="M82" s="2" t="s">
        <v>175</v>
      </c>
      <c r="N82" s="105">
        <v>4600</v>
      </c>
      <c r="O82" s="119"/>
      <c r="P82" s="119"/>
      <c r="Q82" s="119"/>
      <c r="R82" s="119"/>
      <c r="S82" s="119"/>
      <c r="T82" s="119"/>
      <c r="U82" s="119"/>
      <c r="V82" s="119">
        <v>17.05</v>
      </c>
      <c r="W82" s="119"/>
      <c r="X82" s="119">
        <f>MIN(O82:W82)</f>
        <v>17.05</v>
      </c>
      <c r="Y82" s="118">
        <f>AVERAGE(O82:W82)</f>
        <v>17.05</v>
      </c>
      <c r="Z82" s="109">
        <f>Y82*N82</f>
        <v>78430</v>
      </c>
      <c r="AA82" s="109">
        <f>'CALCULO GERAL'!$G$10</f>
        <v>6300</v>
      </c>
      <c r="AB82" s="109">
        <f>Z82+AA82</f>
        <v>84730</v>
      </c>
      <c r="AC82" s="109">
        <f>AB82*'CALCULO GERAL'!$C$11</f>
        <v>425259.87</v>
      </c>
      <c r="AD82" s="109">
        <f>AC82*C82</f>
        <v>61237.421279999995</v>
      </c>
      <c r="AE82" s="109">
        <f>(AC82+AD82)*D82</f>
        <v>0</v>
      </c>
      <c r="AF82" s="109">
        <f>AC82*E82</f>
        <v>8930.4572700000008</v>
      </c>
      <c r="AG82" s="109">
        <f>AC82*F82</f>
        <v>45290.176155000001</v>
      </c>
      <c r="AH82" s="109">
        <v>154.22999999999999</v>
      </c>
      <c r="AI82" s="109">
        <f>((AA82*'CALCULO GERAL'!$C$11))*0.08+20</f>
        <v>2549.576</v>
      </c>
      <c r="AJ82" s="109">
        <v>1010</v>
      </c>
      <c r="AK82" s="109">
        <v>2500</v>
      </c>
      <c r="AL82" s="109">
        <f>(AA82*('CALCULO GERAL'!$C$11*1.02))-(AA82*'CALCULO GERAL'!$C$11)</f>
        <v>632.39400000000387</v>
      </c>
      <c r="AM82" s="109">
        <v>1800</v>
      </c>
      <c r="AN82" s="109">
        <v>2600</v>
      </c>
      <c r="AO82" s="109">
        <v>9400</v>
      </c>
      <c r="AP82" s="109">
        <v>1000</v>
      </c>
      <c r="AQ82" s="109">
        <v>0</v>
      </c>
      <c r="AR82" s="109">
        <v>0</v>
      </c>
      <c r="AS82" s="109"/>
      <c r="AT82" s="109">
        <f t="shared" si="34"/>
        <v>562364.12470499997</v>
      </c>
      <c r="AU82" s="111">
        <f>IFERROR((AT82/N82),0)</f>
        <v>122.25307058804347</v>
      </c>
      <c r="AV82" s="109">
        <f>IFERROR((BS82*'CALCULO GERAL'!$E$11)/N82,0)</f>
        <v>0</v>
      </c>
      <c r="AW82" s="109">
        <f>AU82/'CALCULO GERAL'!$C$11</f>
        <v>24.358053514254525</v>
      </c>
      <c r="AX82" s="109" t="e">
        <f>BP82-BB82-BD82*'CALCULO GERAL'!$C$11</f>
        <v>#DIV/0!</v>
      </c>
      <c r="AY82" s="109" t="e">
        <f>AX82*G82</f>
        <v>#DIV/0!</v>
      </c>
      <c r="AZ82" s="109" t="e">
        <f>AX82*H82</f>
        <v>#DIV/0!</v>
      </c>
      <c r="BA82" s="109" t="e">
        <f>BP82-BD82</f>
        <v>#DIV/0!</v>
      </c>
      <c r="BB82" s="109" t="e">
        <f>BA82*L82</f>
        <v>#DIV/0!</v>
      </c>
      <c r="BC82" s="109" t="e">
        <f>BP82/(1+D82)</f>
        <v>#DIV/0!</v>
      </c>
      <c r="BD82" s="109" t="e">
        <f>BC82*D82</f>
        <v>#DIV/0!</v>
      </c>
      <c r="BE82" s="109" t="e">
        <f>BT82*0.08</f>
        <v>#DIV/0!</v>
      </c>
      <c r="BF82" s="109" t="e">
        <f>BT82*0.12</f>
        <v>#DIV/0!</v>
      </c>
      <c r="BG82" s="109" t="e">
        <f>(BF82*0.09)/N82</f>
        <v>#DIV/0!</v>
      </c>
      <c r="BH82" s="109" t="e">
        <f>(BE82*0.15)/N82</f>
        <v>#DIV/0!</v>
      </c>
      <c r="BI82" s="109" t="e">
        <f>IF(BE82&gt;=$BX$1,($BX$1-BE82)*0.1,IF(BE82&lt;=$BX$1,($BX$1*0)))/N82</f>
        <v>#DIV/0!</v>
      </c>
      <c r="BJ82" s="109" t="e">
        <f>(AY82+AZ82+BB82+AV82+BD82+BG82+BH82+BI82)</f>
        <v>#DIV/0!</v>
      </c>
      <c r="BK82" s="109" t="e">
        <f t="shared" si="35"/>
        <v>#DIV/0!</v>
      </c>
      <c r="BL82" s="148" t="e">
        <v>#DIV/0!</v>
      </c>
      <c r="BM82" s="112" t="e">
        <f>ROUND((AW82/BL82)+((AW82*BL82)*'CALCULO GERAL'!$E$11)/BL82,2)</f>
        <v>#DIV/0!</v>
      </c>
      <c r="BN82" s="186" t="e">
        <f t="shared" si="21"/>
        <v>#DIV/0!</v>
      </c>
      <c r="BO82" s="186" t="e">
        <f t="shared" si="36"/>
        <v>#DIV/0!</v>
      </c>
      <c r="BP82" s="109" t="e">
        <f>BM82*'CALCULO GERAL'!$C$11</f>
        <v>#DIV/0!</v>
      </c>
      <c r="BQ82" s="109" t="e">
        <f>BO82*'CALCULO GERAL'!$C$11</f>
        <v>#DIV/0!</v>
      </c>
      <c r="BR82" s="186" t="e">
        <f>BN82*'CALCULO GERAL'!$C$11</f>
        <v>#DIV/0!</v>
      </c>
      <c r="BS82" s="109" t="e">
        <f>BP82*N82</f>
        <v>#DIV/0!</v>
      </c>
      <c r="BT82" s="109" t="e">
        <f>BR82*N82</f>
        <v>#DIV/0!</v>
      </c>
      <c r="BU82" s="109" t="e">
        <f t="shared" si="40"/>
        <v>#DIV/0!</v>
      </c>
      <c r="BV82" s="109" t="e">
        <f t="shared" si="37"/>
        <v>#DIV/0!</v>
      </c>
      <c r="BW82" s="114" t="e">
        <f>(((BK82*N82)-BS82)/BS82*-1)</f>
        <v>#DIV/0!</v>
      </c>
      <c r="BX82" s="152" t="e">
        <f t="shared" si="41"/>
        <v>#DIV/0!</v>
      </c>
      <c r="BZ82" s="55"/>
      <c r="CA82" s="113"/>
      <c r="CB82" s="113"/>
      <c r="CD82" s="152" t="e">
        <f t="shared" si="42"/>
        <v>#DIV/0!</v>
      </c>
      <c r="CE82" s="152" t="e">
        <f t="shared" si="38"/>
        <v>#DIV/0!</v>
      </c>
      <c r="CF82" s="152" t="e">
        <f t="shared" si="39"/>
        <v>#DIV/0!</v>
      </c>
      <c r="CG82" s="34"/>
      <c r="CI82" s="11"/>
      <c r="CJ82" s="11"/>
    </row>
    <row r="83" spans="1:88" s="152" customFormat="1" x14ac:dyDescent="0.2">
      <c r="A83" s="228" t="s">
        <v>216</v>
      </c>
      <c r="B83" s="187" t="s">
        <v>174</v>
      </c>
      <c r="C83" s="8">
        <v>0.14399999999999999</v>
      </c>
      <c r="D83" s="8">
        <v>0</v>
      </c>
      <c r="E83" s="7">
        <v>2.1000000000000001E-2</v>
      </c>
      <c r="F83" s="7">
        <v>0.1065</v>
      </c>
      <c r="G83" s="1">
        <v>6.4999999999999997E-3</v>
      </c>
      <c r="H83" s="1">
        <v>0.03</v>
      </c>
      <c r="I83" s="1">
        <v>0.18</v>
      </c>
      <c r="J83" s="1">
        <v>0.04</v>
      </c>
      <c r="K83" s="1">
        <v>0.14000000000000001</v>
      </c>
      <c r="L83" s="1">
        <v>1.4999999999999999E-2</v>
      </c>
      <c r="M83" s="2" t="s">
        <v>175</v>
      </c>
      <c r="N83" s="105">
        <v>3840</v>
      </c>
      <c r="O83" s="119"/>
      <c r="P83" s="119"/>
      <c r="Q83" s="119"/>
      <c r="R83" s="119"/>
      <c r="S83" s="119"/>
      <c r="T83" s="119"/>
      <c r="U83" s="119"/>
      <c r="V83" s="119">
        <v>21.88</v>
      </c>
      <c r="W83" s="119"/>
      <c r="X83" s="119">
        <f t="shared" si="0"/>
        <v>21.88</v>
      </c>
      <c r="Y83" s="118">
        <f t="shared" si="1"/>
        <v>21.88</v>
      </c>
      <c r="Z83" s="109">
        <f t="shared" si="2"/>
        <v>84019.199999999997</v>
      </c>
      <c r="AA83" s="109">
        <f>'CALCULO GERAL'!$G$10</f>
        <v>6300</v>
      </c>
      <c r="AB83" s="109">
        <f t="shared" si="3"/>
        <v>90319.2</v>
      </c>
      <c r="AC83" s="109">
        <f>AB83*'CALCULO GERAL'!$C$11</f>
        <v>453312.06479999999</v>
      </c>
      <c r="AD83" s="109">
        <f t="shared" si="4"/>
        <v>65276.937331199995</v>
      </c>
      <c r="AE83" s="109">
        <f t="shared" si="5"/>
        <v>0</v>
      </c>
      <c r="AF83" s="109">
        <f t="shared" si="6"/>
        <v>9519.5533608000005</v>
      </c>
      <c r="AG83" s="109">
        <f t="shared" si="7"/>
        <v>48277.734901199998</v>
      </c>
      <c r="AH83" s="109">
        <v>154.22999999999999</v>
      </c>
      <c r="AI83" s="109">
        <f>((AA83*'CALCULO GERAL'!$C$11))*0.08+20</f>
        <v>2549.576</v>
      </c>
      <c r="AJ83" s="109">
        <v>1010</v>
      </c>
      <c r="AK83" s="109">
        <v>2500</v>
      </c>
      <c r="AL83" s="109">
        <f>(AA83*('CALCULO GERAL'!$C$11*1.02))-(AA83*'CALCULO GERAL'!$C$11)</f>
        <v>632.39400000000387</v>
      </c>
      <c r="AM83" s="109">
        <v>1800</v>
      </c>
      <c r="AN83" s="109">
        <v>2600</v>
      </c>
      <c r="AO83" s="109">
        <v>9400</v>
      </c>
      <c r="AP83" s="109">
        <v>1000</v>
      </c>
      <c r="AQ83" s="109">
        <v>0</v>
      </c>
      <c r="AR83" s="109">
        <v>0</v>
      </c>
      <c r="AS83" s="109"/>
      <c r="AT83" s="109">
        <f t="shared" si="34"/>
        <v>598032.49039319996</v>
      </c>
      <c r="AU83" s="111">
        <f t="shared" si="8"/>
        <v>155.73762770656248</v>
      </c>
      <c r="AV83" s="109">
        <f>IFERROR((BS83*'CALCULO GERAL'!$E$11)/N83,0)</f>
        <v>4.0553520000000001</v>
      </c>
      <c r="AW83" s="109">
        <f>AU83/'CALCULO GERAL'!$C$11</f>
        <v>31.029613011867397</v>
      </c>
      <c r="AX83" s="109">
        <f>BP83-BB83-BD83*'CALCULO GERAL'!$C$11</f>
        <v>199.72608599999998</v>
      </c>
      <c r="AY83" s="109">
        <f t="shared" si="9"/>
        <v>1.2982195589999999</v>
      </c>
      <c r="AZ83" s="109">
        <f t="shared" si="10"/>
        <v>5.9917825799999989</v>
      </c>
      <c r="BA83" s="109">
        <f t="shared" si="11"/>
        <v>202.76759999999999</v>
      </c>
      <c r="BB83" s="109">
        <f t="shared" si="12"/>
        <v>3.0415139999999998</v>
      </c>
      <c r="BC83" s="109">
        <f t="shared" si="13"/>
        <v>202.76759999999999</v>
      </c>
      <c r="BD83" s="109">
        <f t="shared" si="14"/>
        <v>0</v>
      </c>
      <c r="BE83" s="109">
        <f t="shared" si="15"/>
        <v>62290.206719999995</v>
      </c>
      <c r="BF83" s="109">
        <f t="shared" si="16"/>
        <v>93435.310079999981</v>
      </c>
      <c r="BG83" s="109">
        <f t="shared" si="17"/>
        <v>2.1898900799999992</v>
      </c>
      <c r="BH83" s="109">
        <f t="shared" si="18"/>
        <v>2.4332111999999997</v>
      </c>
      <c r="BI83" s="109">
        <f t="shared" si="19"/>
        <v>-5.9641060416666586E-2</v>
      </c>
      <c r="BJ83" s="109">
        <f t="shared" si="20"/>
        <v>18.950328358583327</v>
      </c>
      <c r="BK83" s="109">
        <f t="shared" si="35"/>
        <v>174.68795606514581</v>
      </c>
      <c r="BL83" s="148">
        <v>0.78</v>
      </c>
      <c r="BM83" s="112">
        <f>ROUND((AW83/BL83)+((AW83*BL83)*'CALCULO GERAL'!$E$11)/BL83,2)</f>
        <v>40.4</v>
      </c>
      <c r="BN83" s="186">
        <f t="shared" si="21"/>
        <v>40.4</v>
      </c>
      <c r="BO83" s="186">
        <f t="shared" si="36"/>
        <v>47.335000000000001</v>
      </c>
      <c r="BP83" s="109">
        <f>BM83*'CALCULO GERAL'!$C$11</f>
        <v>202.76759999999999</v>
      </c>
      <c r="BQ83" s="109">
        <f>BO83*'CALCULO GERAL'!$C$11</f>
        <v>237.574365</v>
      </c>
      <c r="BR83" s="186">
        <f>BN83*'CALCULO GERAL'!$C$11</f>
        <v>202.76759999999999</v>
      </c>
      <c r="BS83" s="109">
        <f t="shared" si="22"/>
        <v>778627.58399999992</v>
      </c>
      <c r="BT83" s="109">
        <f t="shared" si="23"/>
        <v>778627.58399999992</v>
      </c>
      <c r="BU83" s="109">
        <f t="shared" si="40"/>
        <v>670801.75129015988</v>
      </c>
      <c r="BV83" s="109">
        <f t="shared" si="37"/>
        <v>107825.83270984003</v>
      </c>
      <c r="BW83" s="114">
        <f t="shared" si="24"/>
        <v>0.13848190704458788</v>
      </c>
      <c r="BX83" s="152">
        <f t="shared" si="41"/>
        <v>0.78</v>
      </c>
      <c r="BZ83" s="55"/>
      <c r="CA83" s="113"/>
      <c r="CB83" s="113"/>
      <c r="CD83" s="152">
        <f t="shared" si="42"/>
        <v>0</v>
      </c>
      <c r="CE83" s="152">
        <f t="shared" si="38"/>
        <v>1</v>
      </c>
      <c r="CF83" s="152">
        <f t="shared" si="39"/>
        <v>1</v>
      </c>
      <c r="CG83" s="34"/>
      <c r="CI83" s="11"/>
      <c r="CJ83" s="11"/>
    </row>
    <row r="84" spans="1:88" s="152" customFormat="1" x14ac:dyDescent="0.2">
      <c r="A84" s="228" t="s">
        <v>217</v>
      </c>
      <c r="B84" s="187" t="s">
        <v>174</v>
      </c>
      <c r="C84" s="8">
        <v>0.14399999999999999</v>
      </c>
      <c r="D84" s="8">
        <v>0</v>
      </c>
      <c r="E84" s="7">
        <v>2.1000000000000001E-2</v>
      </c>
      <c r="F84" s="7">
        <v>0.1065</v>
      </c>
      <c r="G84" s="1">
        <v>6.4999999999999997E-3</v>
      </c>
      <c r="H84" s="1">
        <v>0.03</v>
      </c>
      <c r="I84" s="1">
        <v>0.18</v>
      </c>
      <c r="J84" s="1">
        <v>0.04</v>
      </c>
      <c r="K84" s="1">
        <v>0.14000000000000001</v>
      </c>
      <c r="L84" s="1">
        <v>1.4999999999999999E-2</v>
      </c>
      <c r="M84" s="2" t="s">
        <v>175</v>
      </c>
      <c r="N84" s="105">
        <v>2944</v>
      </c>
      <c r="O84" s="119"/>
      <c r="P84" s="119"/>
      <c r="Q84" s="119"/>
      <c r="R84" s="119"/>
      <c r="S84" s="119"/>
      <c r="T84" s="119"/>
      <c r="U84" s="119"/>
      <c r="V84" s="119">
        <v>24.62</v>
      </c>
      <c r="W84" s="119"/>
      <c r="X84" s="119">
        <f t="shared" si="0"/>
        <v>24.62</v>
      </c>
      <c r="Y84" s="118">
        <f t="shared" si="1"/>
        <v>24.62</v>
      </c>
      <c r="Z84" s="109">
        <f t="shared" si="2"/>
        <v>72481.279999999999</v>
      </c>
      <c r="AA84" s="109">
        <f>'CALCULO GERAL'!$G$10</f>
        <v>6300</v>
      </c>
      <c r="AB84" s="109">
        <f t="shared" si="3"/>
        <v>78781.279999999999</v>
      </c>
      <c r="AC84" s="109">
        <f>AB84*'CALCULO GERAL'!$C$11</f>
        <v>395403.24432</v>
      </c>
      <c r="AD84" s="109">
        <f t="shared" si="4"/>
        <v>56938.067182079998</v>
      </c>
      <c r="AE84" s="109">
        <f t="shared" si="5"/>
        <v>0</v>
      </c>
      <c r="AF84" s="109">
        <f t="shared" si="6"/>
        <v>8303.4681307200008</v>
      </c>
      <c r="AG84" s="109">
        <f t="shared" si="7"/>
        <v>42110.44552008</v>
      </c>
      <c r="AH84" s="109">
        <v>154.22999999999999</v>
      </c>
      <c r="AI84" s="109">
        <f>((AA84*'CALCULO GERAL'!$C$11))*0.08+20</f>
        <v>2549.576</v>
      </c>
      <c r="AJ84" s="109">
        <v>1010</v>
      </c>
      <c r="AK84" s="109">
        <v>2500</v>
      </c>
      <c r="AL84" s="109">
        <f>(AA84*('CALCULO GERAL'!$C$11*1.02))-(AA84*'CALCULO GERAL'!$C$11)</f>
        <v>632.39400000000387</v>
      </c>
      <c r="AM84" s="109">
        <v>1800</v>
      </c>
      <c r="AN84" s="109">
        <v>2600</v>
      </c>
      <c r="AO84" s="109">
        <v>9400</v>
      </c>
      <c r="AP84" s="109">
        <v>1000</v>
      </c>
      <c r="AQ84" s="109">
        <v>0</v>
      </c>
      <c r="AR84" s="109">
        <v>0</v>
      </c>
      <c r="AS84" s="109"/>
      <c r="AT84" s="109">
        <f t="shared" si="34"/>
        <v>524401.42515288002</v>
      </c>
      <c r="AU84" s="111">
        <f t="shared" si="8"/>
        <v>178.12548408725544</v>
      </c>
      <c r="AV84" s="109">
        <f>IFERROR((BS84*'CALCULO GERAL'!$E$11)/N84,0)</f>
        <v>4.6977839999999995</v>
      </c>
      <c r="AW84" s="109">
        <f>AU84/'CALCULO GERAL'!$C$11</f>
        <v>35.490233928522699</v>
      </c>
      <c r="AX84" s="109">
        <f>BP84-BB84-BD84*'CALCULO GERAL'!$C$11</f>
        <v>231.36586199999999</v>
      </c>
      <c r="AY84" s="109">
        <f t="shared" si="9"/>
        <v>1.5038781029999999</v>
      </c>
      <c r="AZ84" s="109">
        <f t="shared" si="10"/>
        <v>6.9409758599999991</v>
      </c>
      <c r="BA84" s="109">
        <f t="shared" si="11"/>
        <v>234.88919999999999</v>
      </c>
      <c r="BB84" s="109">
        <f t="shared" si="12"/>
        <v>3.5233379999999999</v>
      </c>
      <c r="BC84" s="109">
        <f t="shared" si="13"/>
        <v>234.88919999999999</v>
      </c>
      <c r="BD84" s="109">
        <f t="shared" si="14"/>
        <v>0</v>
      </c>
      <c r="BE84" s="109">
        <f t="shared" si="15"/>
        <v>55321.104383999998</v>
      </c>
      <c r="BF84" s="109">
        <f t="shared" si="16"/>
        <v>82981.656575999994</v>
      </c>
      <c r="BG84" s="109">
        <f t="shared" si="17"/>
        <v>2.53680336</v>
      </c>
      <c r="BH84" s="109">
        <f t="shared" si="18"/>
        <v>2.8186703999999994</v>
      </c>
      <c r="BI84" s="109">
        <f t="shared" si="19"/>
        <v>0</v>
      </c>
      <c r="BJ84" s="109">
        <f t="shared" si="20"/>
        <v>22.021449722999996</v>
      </c>
      <c r="BK84" s="109">
        <f t="shared" si="35"/>
        <v>200.14693381025543</v>
      </c>
      <c r="BL84" s="148">
        <v>0.77</v>
      </c>
      <c r="BM84" s="112">
        <f>ROUND((AW84/BL84)+((AW84*BL84)*'CALCULO GERAL'!$E$11)/BL84,2)</f>
        <v>46.8</v>
      </c>
      <c r="BN84" s="186">
        <f t="shared" si="21"/>
        <v>46.8</v>
      </c>
      <c r="BO84" s="186">
        <f t="shared" si="36"/>
        <v>54.834000000000003</v>
      </c>
      <c r="BP84" s="109">
        <f>BM84*'CALCULO GERAL'!$C$11</f>
        <v>234.88919999999999</v>
      </c>
      <c r="BQ84" s="109">
        <f>BO84*'CALCULO GERAL'!$C$11</f>
        <v>275.21184600000004</v>
      </c>
      <c r="BR84" s="186">
        <f>BN84*'CALCULO GERAL'!$C$11</f>
        <v>234.88919999999999</v>
      </c>
      <c r="BS84" s="109">
        <f t="shared" si="22"/>
        <v>691513.80479999993</v>
      </c>
      <c r="BT84" s="109">
        <f t="shared" si="23"/>
        <v>691513.80479999993</v>
      </c>
      <c r="BU84" s="109">
        <f t="shared" si="40"/>
        <v>589232.57313739194</v>
      </c>
      <c r="BV84" s="109">
        <f t="shared" si="37"/>
        <v>102281.23166260798</v>
      </c>
      <c r="BW84" s="114">
        <f t="shared" si="24"/>
        <v>0.14790916819395938</v>
      </c>
      <c r="BX84" s="152">
        <f t="shared" si="41"/>
        <v>0.77</v>
      </c>
      <c r="BZ84" s="55"/>
      <c r="CA84" s="113"/>
      <c r="CB84" s="113"/>
      <c r="CD84" s="152">
        <f t="shared" si="42"/>
        <v>0</v>
      </c>
      <c r="CE84" s="152">
        <f t="shared" si="38"/>
        <v>1</v>
      </c>
      <c r="CF84" s="152">
        <f t="shared" si="39"/>
        <v>1</v>
      </c>
      <c r="CG84" s="34"/>
      <c r="CI84" s="11"/>
      <c r="CJ84" s="11"/>
    </row>
    <row r="85" spans="1:88" s="152" customFormat="1" x14ac:dyDescent="0.2">
      <c r="A85" s="228" t="s">
        <v>218</v>
      </c>
      <c r="B85" s="187" t="s">
        <v>174</v>
      </c>
      <c r="C85" s="8">
        <v>0.14399999999999999</v>
      </c>
      <c r="D85" s="8">
        <v>0</v>
      </c>
      <c r="E85" s="7">
        <v>2.1000000000000001E-2</v>
      </c>
      <c r="F85" s="7">
        <v>0.1065</v>
      </c>
      <c r="G85" s="1">
        <v>6.4999999999999997E-3</v>
      </c>
      <c r="H85" s="1">
        <v>0.03</v>
      </c>
      <c r="I85" s="1">
        <v>0.18</v>
      </c>
      <c r="J85" s="1">
        <v>0.04</v>
      </c>
      <c r="K85" s="1">
        <v>0.14000000000000001</v>
      </c>
      <c r="L85" s="1">
        <v>1.4999999999999999E-2</v>
      </c>
      <c r="M85" s="2" t="s">
        <v>175</v>
      </c>
      <c r="N85" s="105">
        <v>1920</v>
      </c>
      <c r="O85" s="119"/>
      <c r="P85" s="119"/>
      <c r="Q85" s="119"/>
      <c r="R85" s="119"/>
      <c r="S85" s="119"/>
      <c r="T85" s="119"/>
      <c r="U85" s="119"/>
      <c r="V85" s="119">
        <v>28.34</v>
      </c>
      <c r="W85" s="119"/>
      <c r="X85" s="119">
        <f>MIN(O85:W85)</f>
        <v>28.34</v>
      </c>
      <c r="Y85" s="118">
        <f>AVERAGE(O85:W85)</f>
        <v>28.34</v>
      </c>
      <c r="Z85" s="109">
        <f>Y85*N85</f>
        <v>54412.800000000003</v>
      </c>
      <c r="AA85" s="109">
        <f>'CALCULO GERAL'!$G$10</f>
        <v>6300</v>
      </c>
      <c r="AB85" s="109">
        <f>Z85+AA85</f>
        <v>60712.800000000003</v>
      </c>
      <c r="AC85" s="109">
        <f>AB85*'CALCULO GERAL'!$C$11</f>
        <v>304717.54320000001</v>
      </c>
      <c r="AD85" s="109">
        <f>AC85*C85</f>
        <v>43879.326220800001</v>
      </c>
      <c r="AE85" s="109">
        <f>(AC85+AD85)*D85</f>
        <v>0</v>
      </c>
      <c r="AF85" s="109">
        <f>AC85*E85</f>
        <v>6399.0684072000004</v>
      </c>
      <c r="AG85" s="109">
        <f>AC85*F85</f>
        <v>32452.418350800002</v>
      </c>
      <c r="AH85" s="109">
        <v>154.22999999999999</v>
      </c>
      <c r="AI85" s="109">
        <f>((AA85*'CALCULO GERAL'!$C$11))*0.08+20</f>
        <v>2549.576</v>
      </c>
      <c r="AJ85" s="109">
        <v>1010</v>
      </c>
      <c r="AK85" s="109">
        <v>2500</v>
      </c>
      <c r="AL85" s="109">
        <f>(AA85*('CALCULO GERAL'!$C$11*1.02))-(AA85*'CALCULO GERAL'!$C$11)</f>
        <v>632.39400000000387</v>
      </c>
      <c r="AM85" s="109">
        <v>1800</v>
      </c>
      <c r="AN85" s="109">
        <v>2600</v>
      </c>
      <c r="AO85" s="109">
        <v>9400</v>
      </c>
      <c r="AP85" s="109">
        <v>1000</v>
      </c>
      <c r="AQ85" s="109">
        <v>0</v>
      </c>
      <c r="AR85" s="109">
        <v>0</v>
      </c>
      <c r="AS85" s="109"/>
      <c r="AT85" s="109">
        <f t="shared" si="34"/>
        <v>409094.55617880001</v>
      </c>
      <c r="AU85" s="111">
        <f>IFERROR((AT85/N85),0)</f>
        <v>213.070081343125</v>
      </c>
      <c r="AV85" s="109">
        <f>IFERROR((BS85*'CALCULO GERAL'!$E$11)/N85,0)</f>
        <v>5.6192723999999989</v>
      </c>
      <c r="AW85" s="109">
        <f>AU85/'CALCULO GERAL'!$C$11</f>
        <v>42.452696023734809</v>
      </c>
      <c r="AX85" s="109">
        <f>BP85-BB85-BD85*'CALCULO GERAL'!$C$11</f>
        <v>276.74916569999999</v>
      </c>
      <c r="AY85" s="109">
        <f>AX85*G85</f>
        <v>1.7988695770499998</v>
      </c>
      <c r="AZ85" s="109">
        <f>AX85*H85</f>
        <v>8.3024749709999988</v>
      </c>
      <c r="BA85" s="109">
        <f>BP85-BD85</f>
        <v>280.96361999999999</v>
      </c>
      <c r="BB85" s="109">
        <f>BA85*L85</f>
        <v>4.2144542999999999</v>
      </c>
      <c r="BC85" s="109">
        <f>BP85/(1+D85)</f>
        <v>280.96361999999999</v>
      </c>
      <c r="BD85" s="109">
        <f>BC85*D85</f>
        <v>0</v>
      </c>
      <c r="BE85" s="109">
        <f>BT85*0.08</f>
        <v>43156.012031999991</v>
      </c>
      <c r="BF85" s="109">
        <f>BT85*0.12</f>
        <v>64734.018047999991</v>
      </c>
      <c r="BG85" s="109">
        <f>(BF85*0.09)/N85</f>
        <v>3.0344070959999998</v>
      </c>
      <c r="BH85" s="109">
        <f>(BE85*0.15)/N85</f>
        <v>3.3715634399999996</v>
      </c>
      <c r="BI85" s="109">
        <f>IF(BE85&gt;=$BX$1,($BX$1-BE85)*0.1,IF(BE85&lt;=$BX$1,($BX$1*0)))/N85</f>
        <v>0</v>
      </c>
      <c r="BJ85" s="109">
        <f>(AY85+AZ85+BB85+AV85+BD85+BG85+BH85+BI85)</f>
        <v>26.341041784049995</v>
      </c>
      <c r="BK85" s="109">
        <f t="shared" si="35"/>
        <v>239.41112312717499</v>
      </c>
      <c r="BL85" s="148">
        <v>0.77</v>
      </c>
      <c r="BM85" s="112">
        <f>ROUND((AW85/BL85)+((AW85*BL85)*'CALCULO GERAL'!$E$11)/BL85,2)</f>
        <v>55.98</v>
      </c>
      <c r="BN85" s="186">
        <f t="shared" si="21"/>
        <v>55.98</v>
      </c>
      <c r="BO85" s="186">
        <f t="shared" si="36"/>
        <v>65.588999999999999</v>
      </c>
      <c r="BP85" s="109">
        <f>BM85*'CALCULO GERAL'!$C$11</f>
        <v>280.96361999999999</v>
      </c>
      <c r="BQ85" s="109">
        <f>BO85*'CALCULO GERAL'!$C$11</f>
        <v>329.191191</v>
      </c>
      <c r="BR85" s="186">
        <f>BN85*'CALCULO GERAL'!$C$11</f>
        <v>280.96361999999999</v>
      </c>
      <c r="BS85" s="109">
        <f>BP85*N85</f>
        <v>539450.15039999993</v>
      </c>
      <c r="BT85" s="109">
        <f>BR85*N85</f>
        <v>539450.15039999993</v>
      </c>
      <c r="BU85" s="109">
        <f t="shared" si="40"/>
        <v>459669.35640417598</v>
      </c>
      <c r="BV85" s="109">
        <f t="shared" si="37"/>
        <v>79780.793995823944</v>
      </c>
      <c r="BW85" s="114">
        <f>(((BK85*N85)-BS85)/BS85*-1)</f>
        <v>0.14789280146954603</v>
      </c>
      <c r="BX85" s="152">
        <f t="shared" si="41"/>
        <v>0.77</v>
      </c>
      <c r="BZ85" s="55"/>
      <c r="CA85" s="113"/>
      <c r="CB85" s="113"/>
      <c r="CD85" s="152">
        <f t="shared" si="42"/>
        <v>0</v>
      </c>
      <c r="CE85" s="152">
        <f t="shared" si="38"/>
        <v>1</v>
      </c>
      <c r="CF85" s="152">
        <f t="shared" si="39"/>
        <v>1</v>
      </c>
      <c r="CG85" s="34"/>
      <c r="CI85" s="11"/>
      <c r="CJ85" s="11"/>
    </row>
    <row r="86" spans="1:88" s="152" customFormat="1" x14ac:dyDescent="0.2">
      <c r="A86" s="228" t="s">
        <v>219</v>
      </c>
      <c r="B86" s="187" t="s">
        <v>174</v>
      </c>
      <c r="C86" s="8">
        <v>0.16200000000000001</v>
      </c>
      <c r="D86" s="8">
        <v>0</v>
      </c>
      <c r="E86" s="7">
        <v>2.1000000000000001E-2</v>
      </c>
      <c r="F86" s="7">
        <v>0.1065</v>
      </c>
      <c r="G86" s="1">
        <v>6.4999999999999997E-3</v>
      </c>
      <c r="H86" s="1">
        <v>0.03</v>
      </c>
      <c r="I86" s="1">
        <v>0.18</v>
      </c>
      <c r="J86" s="1">
        <v>0.04</v>
      </c>
      <c r="K86" s="1">
        <v>0.14000000000000001</v>
      </c>
      <c r="L86" s="1">
        <v>1.4999999999999999E-2</v>
      </c>
      <c r="M86" s="2" t="s">
        <v>175</v>
      </c>
      <c r="N86" s="105">
        <v>4600</v>
      </c>
      <c r="O86" s="119"/>
      <c r="P86" s="119"/>
      <c r="Q86" s="119"/>
      <c r="R86" s="119"/>
      <c r="S86" s="119"/>
      <c r="T86" s="119"/>
      <c r="U86" s="119">
        <v>3.69</v>
      </c>
      <c r="V86" s="119">
        <v>4.1100000000000003</v>
      </c>
      <c r="W86" s="119"/>
      <c r="X86" s="119">
        <f t="shared" ref="X86" si="43">MIN(O86:W86)</f>
        <v>3.69</v>
      </c>
      <c r="Y86" s="118">
        <f t="shared" ref="Y86" si="44">AVERAGE(O86:W86)</f>
        <v>3.9000000000000004</v>
      </c>
      <c r="Z86" s="109">
        <f t="shared" ref="Z86" si="45">Y86*N86</f>
        <v>17940</v>
      </c>
      <c r="AA86" s="109">
        <f>'CALCULO GERAL'!$G$10</f>
        <v>6300</v>
      </c>
      <c r="AB86" s="109">
        <f t="shared" ref="AB86" si="46">Z86+AA86</f>
        <v>24240</v>
      </c>
      <c r="AC86" s="109">
        <f>AB86*'CALCULO GERAL'!$C$11</f>
        <v>121660.56</v>
      </c>
      <c r="AD86" s="109">
        <f t="shared" ref="AD86" si="47">AC86*C86</f>
        <v>19709.010720000002</v>
      </c>
      <c r="AE86" s="109">
        <f t="shared" ref="AE86" si="48">(AC86+AD86)*D86</f>
        <v>0</v>
      </c>
      <c r="AF86" s="109">
        <f t="shared" ref="AF86" si="49">AC86*E86</f>
        <v>2554.87176</v>
      </c>
      <c r="AG86" s="109">
        <f t="shared" ref="AG86" si="50">AC86*F86</f>
        <v>12956.849639999999</v>
      </c>
      <c r="AH86" s="109">
        <v>154.22999999999999</v>
      </c>
      <c r="AI86" s="109">
        <f>((AA86*'CALCULO GERAL'!$C$11))*0.08+20</f>
        <v>2549.576</v>
      </c>
      <c r="AJ86" s="109">
        <v>1010</v>
      </c>
      <c r="AK86" s="109">
        <v>2500</v>
      </c>
      <c r="AL86" s="109">
        <f>(AA86*('CALCULO GERAL'!$C$11*1.02))-(AA86*'CALCULO GERAL'!$C$11)</f>
        <v>632.39400000000387</v>
      </c>
      <c r="AM86" s="109">
        <v>1800</v>
      </c>
      <c r="AN86" s="109">
        <v>2600</v>
      </c>
      <c r="AO86" s="109">
        <v>9400</v>
      </c>
      <c r="AP86" s="109">
        <v>1000</v>
      </c>
      <c r="AQ86" s="109">
        <v>0</v>
      </c>
      <c r="AR86" s="109">
        <v>0</v>
      </c>
      <c r="AS86" s="109"/>
      <c r="AT86" s="109">
        <f t="shared" si="34"/>
        <v>178527.49212000001</v>
      </c>
      <c r="AU86" s="111">
        <f t="shared" ref="AU86" si="51">IFERROR((AT86/N86),0)</f>
        <v>38.810324373913048</v>
      </c>
      <c r="AV86" s="109">
        <f>IFERROR((BS86*'CALCULO GERAL'!$E$11)/N86,0)</f>
        <v>1.0499748000000002</v>
      </c>
      <c r="AW86" s="109">
        <f>AU86/'CALCULO GERAL'!$C$11</f>
        <v>7.7326806881675729</v>
      </c>
      <c r="AX86" s="109">
        <f>BP86-BB86-BD86*'CALCULO GERAL'!$C$11</f>
        <v>51.711258900000004</v>
      </c>
      <c r="AY86" s="109">
        <f t="shared" ref="AY86" si="52">AX86*G86</f>
        <v>0.33612318285000004</v>
      </c>
      <c r="AZ86" s="109">
        <f t="shared" ref="AZ86" si="53">AX86*H86</f>
        <v>1.5513377670000001</v>
      </c>
      <c r="BA86" s="109">
        <f t="shared" ref="BA86" si="54">BP86-BD86</f>
        <v>52.498740000000005</v>
      </c>
      <c r="BB86" s="109">
        <f t="shared" ref="BB86" si="55">BA86*L86</f>
        <v>0.78748110000000004</v>
      </c>
      <c r="BC86" s="109">
        <f t="shared" ref="BC86" si="56">BP86/(1+D86)</f>
        <v>52.498740000000005</v>
      </c>
      <c r="BD86" s="109">
        <f t="shared" ref="BD86" si="57">BC86*D86</f>
        <v>0</v>
      </c>
      <c r="BE86" s="109">
        <f t="shared" ref="BE86" si="58">BT86*0.08</f>
        <v>19319.536320000003</v>
      </c>
      <c r="BF86" s="109">
        <f t="shared" ref="BF86" si="59">BT86*0.12</f>
        <v>28979.304480000003</v>
      </c>
      <c r="BG86" s="109">
        <f t="shared" ref="BG86" si="60">(BF86*0.09)/N86</f>
        <v>0.56698639200000012</v>
      </c>
      <c r="BH86" s="109">
        <f t="shared" ref="BH86" si="61">(BE86*0.15)/N86</f>
        <v>0.62998488000000008</v>
      </c>
      <c r="BI86" s="109">
        <f t="shared" ref="BI86" si="62">IF(BE86&gt;=$BX$1,($BX$1-BE86)*0.1,IF(BE86&lt;=$BX$1,($BX$1*0)))/N86</f>
        <v>0</v>
      </c>
      <c r="BJ86" s="109">
        <f t="shared" ref="BJ86" si="63">(AY86+AZ86+BB86+AV86+BD86+BG86+BH86+BI86)</f>
        <v>4.9218881218500012</v>
      </c>
      <c r="BK86" s="109">
        <f t="shared" si="35"/>
        <v>43.732212495763051</v>
      </c>
      <c r="BL86" s="148">
        <v>0.75</v>
      </c>
      <c r="BM86" s="112">
        <f>ROUND((AW86/BL86)+((AW86*BL86)*'CALCULO GERAL'!$E$11)/BL86,2)</f>
        <v>10.46</v>
      </c>
      <c r="BN86" s="186">
        <f t="shared" si="21"/>
        <v>10.46</v>
      </c>
      <c r="BO86" s="186">
        <f t="shared" si="36"/>
        <v>12.256</v>
      </c>
      <c r="BP86" s="109">
        <f>BM86*'CALCULO GERAL'!$C$11</f>
        <v>52.498740000000005</v>
      </c>
      <c r="BQ86" s="109">
        <f>BO86*'CALCULO GERAL'!$C$11</f>
        <v>61.512864</v>
      </c>
      <c r="BR86" s="186">
        <f>BN86*'CALCULO GERAL'!$C$11</f>
        <v>52.498740000000005</v>
      </c>
      <c r="BS86" s="109">
        <f t="shared" ref="BS86" si="64">BP86*N86</f>
        <v>241494.20400000003</v>
      </c>
      <c r="BT86" s="109">
        <f t="shared" ref="BT86" si="65">BR86*N86</f>
        <v>241494.20400000003</v>
      </c>
      <c r="BU86" s="109">
        <f t="shared" si="40"/>
        <v>201168.17748051003</v>
      </c>
      <c r="BV86" s="109">
        <f t="shared" si="37"/>
        <v>40326.026519489998</v>
      </c>
      <c r="BW86" s="114">
        <f t="shared" ref="BW86" si="66">(((BK86*N86)-BS86)/BS86*-1)</f>
        <v>0.16698548392279425</v>
      </c>
      <c r="BX86" s="152">
        <f t="shared" si="41"/>
        <v>0.75</v>
      </c>
      <c r="BZ86" s="55"/>
      <c r="CA86" s="113"/>
      <c r="CB86" s="113"/>
      <c r="CD86" s="152">
        <f t="shared" si="42"/>
        <v>0</v>
      </c>
      <c r="CE86" s="152">
        <f t="shared" si="38"/>
        <v>1</v>
      </c>
      <c r="CF86" s="152">
        <f t="shared" si="39"/>
        <v>1</v>
      </c>
      <c r="CG86" s="34"/>
      <c r="CI86" s="11"/>
      <c r="CJ86" s="11"/>
    </row>
    <row r="87" spans="1:88" s="152" customFormat="1" x14ac:dyDescent="0.2">
      <c r="A87" s="228" t="s">
        <v>220</v>
      </c>
      <c r="B87" s="187" t="s">
        <v>174</v>
      </c>
      <c r="C87" s="8">
        <v>0.16200000000000001</v>
      </c>
      <c r="D87" s="8">
        <v>0</v>
      </c>
      <c r="E87" s="7">
        <v>2.1000000000000001E-2</v>
      </c>
      <c r="F87" s="7">
        <v>0.1065</v>
      </c>
      <c r="G87" s="1">
        <v>6.4999999999999997E-3</v>
      </c>
      <c r="H87" s="1">
        <v>0.03</v>
      </c>
      <c r="I87" s="1">
        <v>0.18</v>
      </c>
      <c r="J87" s="1">
        <v>0.04</v>
      </c>
      <c r="K87" s="1">
        <v>0.14000000000000001</v>
      </c>
      <c r="L87" s="1">
        <v>1.4999999999999999E-2</v>
      </c>
      <c r="M87" s="2" t="s">
        <v>175</v>
      </c>
      <c r="N87" s="105">
        <v>3840</v>
      </c>
      <c r="O87" s="119"/>
      <c r="P87" s="119"/>
      <c r="Q87" s="119"/>
      <c r="R87" s="119"/>
      <c r="S87" s="119"/>
      <c r="T87" s="119"/>
      <c r="U87" s="119">
        <v>5.18</v>
      </c>
      <c r="V87" s="119">
        <v>5.65</v>
      </c>
      <c r="W87" s="119"/>
      <c r="X87" s="119">
        <f t="shared" si="0"/>
        <v>5.18</v>
      </c>
      <c r="Y87" s="118">
        <f t="shared" si="1"/>
        <v>5.415</v>
      </c>
      <c r="Z87" s="109">
        <f t="shared" si="2"/>
        <v>20793.599999999999</v>
      </c>
      <c r="AA87" s="109">
        <f>'CALCULO GERAL'!$G$10</f>
        <v>6300</v>
      </c>
      <c r="AB87" s="109">
        <f t="shared" si="3"/>
        <v>27093.599999999999</v>
      </c>
      <c r="AC87" s="109">
        <f>AB87*'CALCULO GERAL'!$C$11</f>
        <v>135982.77840000001</v>
      </c>
      <c r="AD87" s="109">
        <f t="shared" si="4"/>
        <v>22029.210100800003</v>
      </c>
      <c r="AE87" s="109">
        <f t="shared" si="5"/>
        <v>0</v>
      </c>
      <c r="AF87" s="109">
        <f t="shared" si="6"/>
        <v>2855.6383464000005</v>
      </c>
      <c r="AG87" s="109">
        <f t="shared" si="7"/>
        <v>14482.165899600001</v>
      </c>
      <c r="AH87" s="109">
        <v>154.22999999999999</v>
      </c>
      <c r="AI87" s="109">
        <f>((AA87*'CALCULO GERAL'!$C$11))*0.08+20</f>
        <v>2549.576</v>
      </c>
      <c r="AJ87" s="109">
        <v>1010</v>
      </c>
      <c r="AK87" s="109">
        <v>2500</v>
      </c>
      <c r="AL87" s="109">
        <f>(AA87*('CALCULO GERAL'!$C$11*1.02))-(AA87*'CALCULO GERAL'!$C$11)</f>
        <v>632.39400000000387</v>
      </c>
      <c r="AM87" s="109">
        <v>1800</v>
      </c>
      <c r="AN87" s="109">
        <v>2600</v>
      </c>
      <c r="AO87" s="109">
        <v>9400</v>
      </c>
      <c r="AP87" s="109">
        <v>1000</v>
      </c>
      <c r="AQ87" s="109">
        <v>0</v>
      </c>
      <c r="AR87" s="109">
        <v>0</v>
      </c>
      <c r="AS87" s="109"/>
      <c r="AT87" s="109">
        <f t="shared" si="34"/>
        <v>196995.99274680001</v>
      </c>
      <c r="AU87" s="111">
        <f t="shared" si="8"/>
        <v>51.301039777812505</v>
      </c>
      <c r="AV87" s="109">
        <f>IFERROR((BS87*'CALCULO GERAL'!$E$11)/N87,0)</f>
        <v>1.3882554000000005</v>
      </c>
      <c r="AW87" s="109">
        <f>AU87/'CALCULO GERAL'!$C$11</f>
        <v>10.221366761867404</v>
      </c>
      <c r="AX87" s="109">
        <f>BP87-BB87-BD87*'CALCULO GERAL'!$C$11</f>
        <v>68.371578450000015</v>
      </c>
      <c r="AY87" s="109">
        <f t="shared" si="9"/>
        <v>0.44441525992500008</v>
      </c>
      <c r="AZ87" s="109">
        <f t="shared" si="10"/>
        <v>2.0511473535000002</v>
      </c>
      <c r="BA87" s="109">
        <f t="shared" si="11"/>
        <v>69.412770000000009</v>
      </c>
      <c r="BB87" s="109">
        <f t="shared" si="12"/>
        <v>1.0411915500000002</v>
      </c>
      <c r="BC87" s="109">
        <f t="shared" si="13"/>
        <v>69.412770000000009</v>
      </c>
      <c r="BD87" s="109">
        <f t="shared" si="14"/>
        <v>0</v>
      </c>
      <c r="BE87" s="109">
        <f t="shared" si="15"/>
        <v>21323.602944000006</v>
      </c>
      <c r="BF87" s="109">
        <f t="shared" si="16"/>
        <v>31985.404416000005</v>
      </c>
      <c r="BG87" s="109">
        <f t="shared" si="17"/>
        <v>0.74965791600000009</v>
      </c>
      <c r="BH87" s="109">
        <f t="shared" si="18"/>
        <v>0.83295324000000015</v>
      </c>
      <c r="BI87" s="109">
        <f t="shared" si="19"/>
        <v>0</v>
      </c>
      <c r="BJ87" s="109">
        <f t="shared" si="20"/>
        <v>6.5076207194250015</v>
      </c>
      <c r="BK87" s="109">
        <f t="shared" si="35"/>
        <v>57.808660497237504</v>
      </c>
      <c r="BL87" s="148">
        <v>0.75</v>
      </c>
      <c r="BM87" s="112">
        <f>ROUND((AW87/BL87)+((AW87*BL87)*'CALCULO GERAL'!$E$11)/BL87,2)</f>
        <v>13.83</v>
      </c>
      <c r="BN87" s="186">
        <f t="shared" si="21"/>
        <v>13.83</v>
      </c>
      <c r="BO87" s="186">
        <f t="shared" si="36"/>
        <v>16.204000000000001</v>
      </c>
      <c r="BP87" s="109">
        <f>BM87*'CALCULO GERAL'!$C$11</f>
        <v>69.412770000000009</v>
      </c>
      <c r="BQ87" s="109">
        <f>BO87*'CALCULO GERAL'!$C$11</f>
        <v>81.327876000000003</v>
      </c>
      <c r="BR87" s="186">
        <f>BN87*'CALCULO GERAL'!$C$11</f>
        <v>69.412770000000009</v>
      </c>
      <c r="BS87" s="109">
        <f t="shared" si="22"/>
        <v>266545.03680000006</v>
      </c>
      <c r="BT87" s="109">
        <f t="shared" si="23"/>
        <v>266545.03680000006</v>
      </c>
      <c r="BU87" s="109">
        <f t="shared" si="40"/>
        <v>221985.25630939202</v>
      </c>
      <c r="BV87" s="109">
        <f t="shared" si="37"/>
        <v>44559.780490608042</v>
      </c>
      <c r="BW87" s="114">
        <f t="shared" si="24"/>
        <v>0.16717542755839462</v>
      </c>
      <c r="BX87" s="152">
        <f t="shared" si="41"/>
        <v>0.75</v>
      </c>
      <c r="BZ87" s="55"/>
      <c r="CA87" s="113"/>
      <c r="CB87" s="113"/>
      <c r="CD87" s="152">
        <f t="shared" si="42"/>
        <v>0</v>
      </c>
      <c r="CE87" s="152">
        <f t="shared" si="38"/>
        <v>1</v>
      </c>
      <c r="CF87" s="152">
        <f t="shared" si="39"/>
        <v>1</v>
      </c>
      <c r="CG87" s="34"/>
      <c r="CI87" s="11"/>
      <c r="CJ87" s="11"/>
    </row>
    <row r="88" spans="1:88" s="152" customFormat="1" x14ac:dyDescent="0.2">
      <c r="A88" s="228" t="s">
        <v>221</v>
      </c>
      <c r="B88" s="187" t="s">
        <v>174</v>
      </c>
      <c r="C88" s="8">
        <v>0.16200000000000001</v>
      </c>
      <c r="D88" s="8">
        <v>0</v>
      </c>
      <c r="E88" s="7">
        <v>2.1000000000000001E-2</v>
      </c>
      <c r="F88" s="7">
        <v>0.1065</v>
      </c>
      <c r="G88" s="1">
        <v>6.4999999999999997E-3</v>
      </c>
      <c r="H88" s="1">
        <v>0.03</v>
      </c>
      <c r="I88" s="1">
        <v>0.18</v>
      </c>
      <c r="J88" s="1">
        <v>0.04</v>
      </c>
      <c r="K88" s="1">
        <v>0.14000000000000001</v>
      </c>
      <c r="L88" s="1">
        <v>1.4999999999999999E-2</v>
      </c>
      <c r="M88" s="2" t="s">
        <v>175</v>
      </c>
      <c r="N88" s="105">
        <v>2944</v>
      </c>
      <c r="O88" s="119"/>
      <c r="P88" s="119"/>
      <c r="Q88" s="119"/>
      <c r="R88" s="119"/>
      <c r="S88" s="119"/>
      <c r="T88" s="119"/>
      <c r="U88" s="119">
        <v>5.99</v>
      </c>
      <c r="V88" s="119">
        <v>6.39</v>
      </c>
      <c r="W88" s="119"/>
      <c r="X88" s="119">
        <f t="shared" si="0"/>
        <v>5.99</v>
      </c>
      <c r="Y88" s="118">
        <f t="shared" si="1"/>
        <v>6.1899999999999995</v>
      </c>
      <c r="Z88" s="109">
        <f t="shared" si="2"/>
        <v>18223.359999999997</v>
      </c>
      <c r="AA88" s="109">
        <f>'CALCULO GERAL'!$G$10</f>
        <v>6300</v>
      </c>
      <c r="AB88" s="109">
        <f t="shared" si="3"/>
        <v>24523.359999999997</v>
      </c>
      <c r="AC88" s="109">
        <f>AB88*'CALCULO GERAL'!$C$11</f>
        <v>123082.74383999998</v>
      </c>
      <c r="AD88" s="109">
        <f t="shared" si="4"/>
        <v>19939.404502079997</v>
      </c>
      <c r="AE88" s="109">
        <f t="shared" si="5"/>
        <v>0</v>
      </c>
      <c r="AF88" s="109">
        <f t="shared" si="6"/>
        <v>2584.7376206399999</v>
      </c>
      <c r="AG88" s="109">
        <f t="shared" si="7"/>
        <v>13108.312218959998</v>
      </c>
      <c r="AH88" s="109">
        <v>154.22999999999999</v>
      </c>
      <c r="AI88" s="109">
        <f>((AA88*'CALCULO GERAL'!$C$11))*0.08+20</f>
        <v>2549.576</v>
      </c>
      <c r="AJ88" s="109">
        <v>1010</v>
      </c>
      <c r="AK88" s="109">
        <v>2500</v>
      </c>
      <c r="AL88" s="109">
        <f>(AA88*('CALCULO GERAL'!$C$11*1.02))-(AA88*'CALCULO GERAL'!$C$11)</f>
        <v>632.39400000000387</v>
      </c>
      <c r="AM88" s="109">
        <v>1800</v>
      </c>
      <c r="AN88" s="109">
        <v>2600</v>
      </c>
      <c r="AO88" s="109">
        <v>9400</v>
      </c>
      <c r="AP88" s="109">
        <v>1000</v>
      </c>
      <c r="AQ88" s="109">
        <v>0</v>
      </c>
      <c r="AR88" s="109">
        <v>0</v>
      </c>
      <c r="AS88" s="109"/>
      <c r="AT88" s="109">
        <f t="shared" si="34"/>
        <v>180361.39818167998</v>
      </c>
      <c r="AU88" s="111">
        <f t="shared" si="8"/>
        <v>61.264061882364125</v>
      </c>
      <c r="AV88" s="109">
        <f>IFERROR((BS88*'CALCULO GERAL'!$E$11)/N88,0)</f>
        <v>1.6803612000000001</v>
      </c>
      <c r="AW88" s="109">
        <f>AU88/'CALCULO GERAL'!$C$11</f>
        <v>12.20642795026183</v>
      </c>
      <c r="AX88" s="109">
        <f>BP88-BB88-BD88*'CALCULO GERAL'!$C$11</f>
        <v>82.757789099999997</v>
      </c>
      <c r="AY88" s="109">
        <f t="shared" si="9"/>
        <v>0.53792562914999997</v>
      </c>
      <c r="AZ88" s="109">
        <f t="shared" si="10"/>
        <v>2.4827336729999998</v>
      </c>
      <c r="BA88" s="109">
        <f t="shared" si="11"/>
        <v>84.018059999999991</v>
      </c>
      <c r="BB88" s="109">
        <f t="shared" si="12"/>
        <v>1.2602708999999999</v>
      </c>
      <c r="BC88" s="109">
        <f t="shared" si="13"/>
        <v>84.018059999999991</v>
      </c>
      <c r="BD88" s="109">
        <f t="shared" si="14"/>
        <v>0</v>
      </c>
      <c r="BE88" s="109">
        <f t="shared" si="15"/>
        <v>19787.933491200001</v>
      </c>
      <c r="BF88" s="109">
        <f t="shared" si="16"/>
        <v>29681.900236799996</v>
      </c>
      <c r="BG88" s="109">
        <f t="shared" si="17"/>
        <v>0.90739504799999993</v>
      </c>
      <c r="BH88" s="109">
        <f t="shared" si="18"/>
        <v>1.0082167200000001</v>
      </c>
      <c r="BI88" s="109">
        <f t="shared" si="19"/>
        <v>0</v>
      </c>
      <c r="BJ88" s="109">
        <f t="shared" si="20"/>
        <v>7.8769031701499994</v>
      </c>
      <c r="BK88" s="109">
        <f t="shared" si="35"/>
        <v>69.140965052514119</v>
      </c>
      <c r="BL88" s="148">
        <v>0.74</v>
      </c>
      <c r="BM88" s="112">
        <f>ROUND((AW88/BL88)+((AW88*BL88)*'CALCULO GERAL'!$E$11)/BL88,2)</f>
        <v>16.739999999999998</v>
      </c>
      <c r="BN88" s="186">
        <f t="shared" si="21"/>
        <v>16.739999999999998</v>
      </c>
      <c r="BO88" s="186">
        <f t="shared" si="36"/>
        <v>19.614000000000001</v>
      </c>
      <c r="BP88" s="109">
        <f>BM88*'CALCULO GERAL'!$C$11</f>
        <v>84.018059999999991</v>
      </c>
      <c r="BQ88" s="109">
        <f>BO88*'CALCULO GERAL'!$C$11</f>
        <v>98.442666000000003</v>
      </c>
      <c r="BR88" s="186">
        <f>BN88*'CALCULO GERAL'!$C$11</f>
        <v>84.018059999999991</v>
      </c>
      <c r="BS88" s="109">
        <f t="shared" si="22"/>
        <v>247349.16863999999</v>
      </c>
      <c r="BT88" s="109">
        <f t="shared" si="23"/>
        <v>247349.16863999999</v>
      </c>
      <c r="BU88" s="109">
        <f t="shared" si="40"/>
        <v>203551.00111460156</v>
      </c>
      <c r="BV88" s="109">
        <f t="shared" si="37"/>
        <v>43798.167525398429</v>
      </c>
      <c r="BW88" s="114">
        <f t="shared" si="24"/>
        <v>0.17707020309069121</v>
      </c>
      <c r="BX88" s="152">
        <f t="shared" si="41"/>
        <v>0.74</v>
      </c>
      <c r="BZ88" s="55"/>
      <c r="CA88" s="113"/>
      <c r="CB88" s="113"/>
      <c r="CD88" s="152">
        <f t="shared" si="42"/>
        <v>0</v>
      </c>
      <c r="CE88" s="152">
        <f t="shared" si="38"/>
        <v>1</v>
      </c>
      <c r="CF88" s="152">
        <f t="shared" si="39"/>
        <v>1</v>
      </c>
      <c r="CG88" s="34"/>
      <c r="CI88" s="11"/>
      <c r="CJ88" s="11"/>
    </row>
    <row r="89" spans="1:88" s="152" customFormat="1" x14ac:dyDescent="0.2">
      <c r="A89" s="228" t="s">
        <v>222</v>
      </c>
      <c r="B89" s="187" t="s">
        <v>174</v>
      </c>
      <c r="C89" s="8">
        <v>0.16200000000000001</v>
      </c>
      <c r="D89" s="8">
        <v>0</v>
      </c>
      <c r="E89" s="7">
        <v>2.1000000000000001E-2</v>
      </c>
      <c r="F89" s="7">
        <v>0.1065</v>
      </c>
      <c r="G89" s="1">
        <v>6.4999999999999997E-3</v>
      </c>
      <c r="H89" s="1">
        <v>0.03</v>
      </c>
      <c r="I89" s="1">
        <v>0.18</v>
      </c>
      <c r="J89" s="1">
        <v>0.04</v>
      </c>
      <c r="K89" s="1">
        <v>0.14000000000000001</v>
      </c>
      <c r="L89" s="1">
        <v>1.4999999999999999E-2</v>
      </c>
      <c r="M89" s="2" t="s">
        <v>175</v>
      </c>
      <c r="N89" s="105">
        <v>1920</v>
      </c>
      <c r="O89" s="119"/>
      <c r="P89" s="119"/>
      <c r="Q89" s="119"/>
      <c r="R89" s="119"/>
      <c r="S89" s="119"/>
      <c r="T89" s="119"/>
      <c r="U89" s="119">
        <v>6.95</v>
      </c>
      <c r="V89" s="119">
        <v>7.58</v>
      </c>
      <c r="W89" s="119"/>
      <c r="X89" s="119">
        <f t="shared" si="0"/>
        <v>6.95</v>
      </c>
      <c r="Y89" s="118">
        <f t="shared" si="1"/>
        <v>7.2650000000000006</v>
      </c>
      <c r="Z89" s="109">
        <f t="shared" si="2"/>
        <v>13948.800000000001</v>
      </c>
      <c r="AA89" s="109">
        <f>'CALCULO GERAL'!$G$10</f>
        <v>6300</v>
      </c>
      <c r="AB89" s="109">
        <f t="shared" si="3"/>
        <v>20248.800000000003</v>
      </c>
      <c r="AC89" s="109">
        <f>AB89*'CALCULO GERAL'!$C$11</f>
        <v>101628.72720000002</v>
      </c>
      <c r="AD89" s="109">
        <f t="shared" si="4"/>
        <v>16463.853806400006</v>
      </c>
      <c r="AE89" s="109">
        <f t="shared" si="5"/>
        <v>0</v>
      </c>
      <c r="AF89" s="109">
        <f t="shared" si="6"/>
        <v>2134.2032712000005</v>
      </c>
      <c r="AG89" s="109">
        <f t="shared" si="7"/>
        <v>10823.459446800001</v>
      </c>
      <c r="AH89" s="109">
        <v>154.22999999999999</v>
      </c>
      <c r="AI89" s="109">
        <f>((AA89*'CALCULO GERAL'!$C$11))*0.08+20</f>
        <v>2549.576</v>
      </c>
      <c r="AJ89" s="109">
        <v>1010</v>
      </c>
      <c r="AK89" s="109">
        <v>2500</v>
      </c>
      <c r="AL89" s="109">
        <f>(AA89*('CALCULO GERAL'!$C$11*1.02))-(AA89*'CALCULO GERAL'!$C$11)</f>
        <v>632.39400000000387</v>
      </c>
      <c r="AM89" s="109">
        <v>1800</v>
      </c>
      <c r="AN89" s="109">
        <v>2600</v>
      </c>
      <c r="AO89" s="109">
        <v>9400</v>
      </c>
      <c r="AP89" s="109">
        <v>1000</v>
      </c>
      <c r="AQ89" s="109">
        <v>0</v>
      </c>
      <c r="AR89" s="109">
        <v>0</v>
      </c>
      <c r="AS89" s="109"/>
      <c r="AT89" s="109">
        <f t="shared" si="34"/>
        <v>152696.44372440004</v>
      </c>
      <c r="AU89" s="111">
        <f t="shared" si="8"/>
        <v>79.529397773125027</v>
      </c>
      <c r="AV89" s="109">
        <f>IFERROR((BS89*'CALCULO GERAL'!$E$11)/N89,0)</f>
        <v>2.1812574000000002</v>
      </c>
      <c r="AW89" s="109">
        <f>AU89/'CALCULO GERAL'!$C$11</f>
        <v>15.845666023734813</v>
      </c>
      <c r="AX89" s="109">
        <f>BP89-BB89-BD89*'CALCULO GERAL'!$C$11</f>
        <v>107.42692695000001</v>
      </c>
      <c r="AY89" s="109">
        <f t="shared" si="9"/>
        <v>0.69827502517500006</v>
      </c>
      <c r="AZ89" s="109">
        <f t="shared" si="10"/>
        <v>3.2228078085000003</v>
      </c>
      <c r="BA89" s="109">
        <f t="shared" si="11"/>
        <v>109.06287</v>
      </c>
      <c r="BB89" s="109">
        <f t="shared" si="12"/>
        <v>1.6359430500000001</v>
      </c>
      <c r="BC89" s="109">
        <f t="shared" si="13"/>
        <v>109.06287</v>
      </c>
      <c r="BD89" s="109">
        <f t="shared" si="14"/>
        <v>0</v>
      </c>
      <c r="BE89" s="109">
        <f t="shared" si="15"/>
        <v>16752.056832000002</v>
      </c>
      <c r="BF89" s="109">
        <f t="shared" si="16"/>
        <v>25128.085247999999</v>
      </c>
      <c r="BG89" s="109">
        <f t="shared" si="17"/>
        <v>1.177878996</v>
      </c>
      <c r="BH89" s="109">
        <f t="shared" si="18"/>
        <v>1.3087544400000002</v>
      </c>
      <c r="BI89" s="109">
        <f t="shared" si="19"/>
        <v>0</v>
      </c>
      <c r="BJ89" s="109">
        <f t="shared" si="20"/>
        <v>10.224916719675001</v>
      </c>
      <c r="BK89" s="109">
        <f t="shared" si="35"/>
        <v>89.754314492800034</v>
      </c>
      <c r="BL89" s="148">
        <v>0.74</v>
      </c>
      <c r="BM89" s="112">
        <f>ROUND((AW89/BL89)+((AW89*BL89)*'CALCULO GERAL'!$E$11)/BL89,2)</f>
        <v>21.73</v>
      </c>
      <c r="BN89" s="186">
        <f t="shared" si="21"/>
        <v>21.73</v>
      </c>
      <c r="BO89" s="186">
        <f t="shared" si="36"/>
        <v>25.46</v>
      </c>
      <c r="BP89" s="109">
        <f>BM89*'CALCULO GERAL'!$C$11</f>
        <v>109.06287</v>
      </c>
      <c r="BQ89" s="109">
        <f>BO89*'CALCULO GERAL'!$C$11</f>
        <v>127.78374000000001</v>
      </c>
      <c r="BR89" s="186">
        <f>BN89*'CALCULO GERAL'!$C$11</f>
        <v>109.06287</v>
      </c>
      <c r="BS89" s="109">
        <f t="shared" si="22"/>
        <v>209400.71040000001</v>
      </c>
      <c r="BT89" s="109">
        <f t="shared" si="23"/>
        <v>209400.71040000001</v>
      </c>
      <c r="BU89" s="109">
        <f t="shared" si="40"/>
        <v>172328.28382617608</v>
      </c>
      <c r="BV89" s="109">
        <f t="shared" si="37"/>
        <v>37072.426573823934</v>
      </c>
      <c r="BW89" s="114">
        <f t="shared" si="24"/>
        <v>0.17704059600852209</v>
      </c>
      <c r="BX89" s="152">
        <f t="shared" si="41"/>
        <v>0.74</v>
      </c>
      <c r="BZ89" s="55"/>
      <c r="CA89" s="113"/>
      <c r="CB89" s="113"/>
      <c r="CD89" s="152">
        <f t="shared" si="42"/>
        <v>0</v>
      </c>
      <c r="CE89" s="152">
        <f t="shared" si="38"/>
        <v>1</v>
      </c>
      <c r="CF89" s="152">
        <f t="shared" si="39"/>
        <v>1</v>
      </c>
      <c r="CG89" s="34"/>
      <c r="CI89" s="11"/>
      <c r="CJ89" s="11"/>
    </row>
    <row r="90" spans="1:88" s="152" customFormat="1" x14ac:dyDescent="0.2">
      <c r="A90" s="340" t="s">
        <v>548</v>
      </c>
      <c r="B90" s="338" t="s">
        <v>540</v>
      </c>
      <c r="C90" s="339">
        <v>0.18</v>
      </c>
      <c r="D90" s="339">
        <v>0.35</v>
      </c>
      <c r="E90" s="339">
        <v>2.1000000000000001E-2</v>
      </c>
      <c r="F90" s="339">
        <v>9.6500000000000002E-2</v>
      </c>
      <c r="G90" s="1">
        <v>6.4999999999999997E-3</v>
      </c>
      <c r="H90" s="1">
        <v>0.03</v>
      </c>
      <c r="I90" s="1">
        <v>0.18</v>
      </c>
      <c r="J90" s="1">
        <v>0.04</v>
      </c>
      <c r="K90" s="1">
        <v>0.14000000000000001</v>
      </c>
      <c r="L90" s="1">
        <v>1.4999999999999999E-2</v>
      </c>
      <c r="M90" s="2" t="s">
        <v>175</v>
      </c>
      <c r="N90" s="105">
        <v>70</v>
      </c>
      <c r="O90" s="119"/>
      <c r="P90" s="119"/>
      <c r="Q90" s="119"/>
      <c r="R90" s="119"/>
      <c r="S90" s="119"/>
      <c r="T90" s="119"/>
      <c r="U90" s="119"/>
      <c r="V90" s="119">
        <v>430</v>
      </c>
      <c r="W90" s="119"/>
      <c r="X90" s="119">
        <f t="shared" si="0"/>
        <v>430</v>
      </c>
      <c r="Y90" s="118">
        <f t="shared" si="1"/>
        <v>430</v>
      </c>
      <c r="Z90" s="109">
        <f t="shared" si="2"/>
        <v>30100</v>
      </c>
      <c r="AA90" s="109">
        <f>'CALCULO GERAL'!$G$10</f>
        <v>6300</v>
      </c>
      <c r="AB90" s="109">
        <f t="shared" si="3"/>
        <v>36400</v>
      </c>
      <c r="AC90" s="109">
        <f>AB90*'CALCULO GERAL'!$C$11</f>
        <v>182691.6</v>
      </c>
      <c r="AD90" s="109">
        <f t="shared" si="4"/>
        <v>32884.487999999998</v>
      </c>
      <c r="AE90" s="109">
        <f t="shared" si="5"/>
        <v>75451.630799999984</v>
      </c>
      <c r="AF90" s="109">
        <f t="shared" si="6"/>
        <v>3836.5236000000004</v>
      </c>
      <c r="AG90" s="109">
        <f t="shared" si="7"/>
        <v>17629.739400000002</v>
      </c>
      <c r="AH90" s="109">
        <v>154.22999999999999</v>
      </c>
      <c r="AI90" s="109">
        <f>((AA90*'CALCULO GERAL'!$C$11))*0.08+20</f>
        <v>2549.576</v>
      </c>
      <c r="AJ90" s="109">
        <v>1010</v>
      </c>
      <c r="AK90" s="109">
        <v>2500</v>
      </c>
      <c r="AL90" s="109">
        <f>(AA90*('CALCULO GERAL'!$C$11*1.02))-(AA90*'CALCULO GERAL'!$C$11)</f>
        <v>632.39400000000387</v>
      </c>
      <c r="AM90" s="109">
        <v>1800</v>
      </c>
      <c r="AN90" s="109">
        <v>2600</v>
      </c>
      <c r="AO90" s="109">
        <v>9400</v>
      </c>
      <c r="AP90" s="109">
        <v>1000</v>
      </c>
      <c r="AQ90" s="109">
        <v>0</v>
      </c>
      <c r="AR90" s="109">
        <v>0</v>
      </c>
      <c r="AS90" s="109"/>
      <c r="AT90" s="109">
        <f t="shared" si="34"/>
        <v>334140.18180000002</v>
      </c>
      <c r="AU90" s="111">
        <f t="shared" si="8"/>
        <v>4773.4311685714292</v>
      </c>
      <c r="AV90" s="109">
        <f>IFERROR((BS90*'CALCULO GERAL'!$E$11)/N90,0)</f>
        <v>138.29352600000001</v>
      </c>
      <c r="AW90" s="109">
        <f>AU90/'CALCULO GERAL'!$C$11</f>
        <v>951.07215950815487</v>
      </c>
      <c r="AX90" s="109">
        <f>BP90-BB90-BD90*'CALCULO GERAL'!$C$11</f>
        <v>-2159.6838976999979</v>
      </c>
      <c r="AY90" s="109">
        <f t="shared" si="9"/>
        <v>-14.037945335049987</v>
      </c>
      <c r="AZ90" s="109">
        <f t="shared" si="10"/>
        <v>-64.790516930999942</v>
      </c>
      <c r="BA90" s="109">
        <f t="shared" si="11"/>
        <v>5121.9824444444448</v>
      </c>
      <c r="BB90" s="109">
        <f t="shared" si="12"/>
        <v>76.829736666666676</v>
      </c>
      <c r="BC90" s="109">
        <f t="shared" si="13"/>
        <v>5121.9824444444439</v>
      </c>
      <c r="BD90" s="109">
        <f t="shared" si="14"/>
        <v>1792.6938555555553</v>
      </c>
      <c r="BE90" s="109">
        <f t="shared" si="15"/>
        <v>38722.187280000006</v>
      </c>
      <c r="BF90" s="109">
        <f t="shared" si="16"/>
        <v>58083.280919999997</v>
      </c>
      <c r="BG90" s="109">
        <f t="shared" si="17"/>
        <v>74.678504039999993</v>
      </c>
      <c r="BH90" s="109">
        <f t="shared" si="18"/>
        <v>82.976115600000014</v>
      </c>
      <c r="BI90" s="109">
        <f t="shared" si="19"/>
        <v>0</v>
      </c>
      <c r="BJ90" s="109">
        <f t="shared" si="20"/>
        <v>2086.6432755961723</v>
      </c>
      <c r="BK90" s="109">
        <f t="shared" si="35"/>
        <v>6860.0744441676015</v>
      </c>
      <c r="BL90" s="148">
        <v>0.7</v>
      </c>
      <c r="BM90" s="112">
        <f>ROUND((AW90/BL90)+((AW90*BL90)*'CALCULO GERAL'!$E$11)/BL90,2)</f>
        <v>1377.7</v>
      </c>
      <c r="BN90" s="186">
        <f t="shared" si="21"/>
        <v>1377.7</v>
      </c>
      <c r="BO90" s="186">
        <f t="shared" si="36"/>
        <v>1614.1949999999999</v>
      </c>
      <c r="BP90" s="109">
        <f>BM90*'CALCULO GERAL'!$C$11</f>
        <v>6914.6763000000001</v>
      </c>
      <c r="BQ90" s="109">
        <f>BO90*'CALCULO GERAL'!$C$11</f>
        <v>8101.6447049999997</v>
      </c>
      <c r="BR90" s="186">
        <f>BN90*'CALCULO GERAL'!$C$11</f>
        <v>6914.6763000000001</v>
      </c>
      <c r="BS90" s="109">
        <f t="shared" si="22"/>
        <v>484027.34100000001</v>
      </c>
      <c r="BT90" s="109">
        <f t="shared" si="23"/>
        <v>484027.34100000001</v>
      </c>
      <c r="BU90" s="109">
        <f t="shared" si="40"/>
        <v>480205.21109173208</v>
      </c>
      <c r="BV90" s="109">
        <f t="shared" si="37"/>
        <v>3822.1299082679325</v>
      </c>
      <c r="BW90" s="114">
        <f t="shared" si="24"/>
        <v>7.8965165487788688E-3</v>
      </c>
      <c r="BX90" s="152">
        <f t="shared" si="41"/>
        <v>0.7</v>
      </c>
      <c r="BZ90" s="55"/>
      <c r="CA90" s="113"/>
      <c r="CB90" s="113"/>
      <c r="CD90" s="152">
        <f t="shared" si="42"/>
        <v>0</v>
      </c>
      <c r="CE90" s="152">
        <f t="shared" si="38"/>
        <v>1</v>
      </c>
      <c r="CF90" s="152">
        <f t="shared" si="39"/>
        <v>1</v>
      </c>
      <c r="CG90" s="34"/>
      <c r="CI90" s="11"/>
      <c r="CJ90" s="11"/>
    </row>
    <row r="91" spans="1:88" s="152" customFormat="1" x14ac:dyDescent="0.2">
      <c r="A91" s="340" t="s">
        <v>549</v>
      </c>
      <c r="B91" s="338" t="s">
        <v>541</v>
      </c>
      <c r="C91" s="339">
        <v>0.18</v>
      </c>
      <c r="D91" s="339">
        <v>0</v>
      </c>
      <c r="E91" s="339">
        <v>2.1000000000000001E-2</v>
      </c>
      <c r="F91" s="339">
        <v>9.6500000000000002E-2</v>
      </c>
      <c r="G91" s="1">
        <v>6.4999999999999997E-3</v>
      </c>
      <c r="H91" s="1">
        <v>0.03</v>
      </c>
      <c r="I91" s="1">
        <v>0.18</v>
      </c>
      <c r="J91" s="1">
        <v>0.04</v>
      </c>
      <c r="K91" s="1">
        <v>0.14000000000000001</v>
      </c>
      <c r="L91" s="1">
        <v>1.4999999999999999E-2</v>
      </c>
      <c r="M91" s="2" t="s">
        <v>175</v>
      </c>
      <c r="N91" s="105">
        <v>2790</v>
      </c>
      <c r="O91" s="119"/>
      <c r="P91" s="119"/>
      <c r="Q91" s="119"/>
      <c r="R91" s="119"/>
      <c r="S91" s="119"/>
      <c r="T91" s="119"/>
      <c r="U91" s="119"/>
      <c r="V91" s="119">
        <v>13.45</v>
      </c>
      <c r="W91" s="119"/>
      <c r="X91" s="119">
        <f t="shared" si="0"/>
        <v>13.45</v>
      </c>
      <c r="Y91" s="118">
        <f t="shared" si="1"/>
        <v>13.45</v>
      </c>
      <c r="Z91" s="109">
        <f t="shared" si="2"/>
        <v>37525.5</v>
      </c>
      <c r="AA91" s="109">
        <f>'CALCULO GERAL'!$G$10</f>
        <v>6300</v>
      </c>
      <c r="AB91" s="109">
        <f t="shared" si="3"/>
        <v>43825.5</v>
      </c>
      <c r="AC91" s="109">
        <f>AB91*'CALCULO GERAL'!$C$11</f>
        <v>219960.1845</v>
      </c>
      <c r="AD91" s="109">
        <f t="shared" si="4"/>
        <v>39592.833209999997</v>
      </c>
      <c r="AE91" s="109">
        <f t="shared" si="5"/>
        <v>0</v>
      </c>
      <c r="AF91" s="109">
        <f t="shared" si="6"/>
        <v>4619.1638745</v>
      </c>
      <c r="AG91" s="109">
        <f t="shared" si="7"/>
        <v>21226.15780425</v>
      </c>
      <c r="AH91" s="109">
        <v>154.22999999999999</v>
      </c>
      <c r="AI91" s="109">
        <f>((AA91*'CALCULO GERAL'!$C$11))*0.08+20</f>
        <v>2549.576</v>
      </c>
      <c r="AJ91" s="109">
        <v>1010</v>
      </c>
      <c r="AK91" s="109">
        <v>2500</v>
      </c>
      <c r="AL91" s="109">
        <f>(AA91*('CALCULO GERAL'!$C$11*1.02))-(AA91*'CALCULO GERAL'!$C$11)</f>
        <v>632.39400000000387</v>
      </c>
      <c r="AM91" s="109">
        <v>1800</v>
      </c>
      <c r="AN91" s="109">
        <v>2600</v>
      </c>
      <c r="AO91" s="109">
        <v>9400</v>
      </c>
      <c r="AP91" s="109">
        <v>1000</v>
      </c>
      <c r="AQ91" s="109">
        <v>0</v>
      </c>
      <c r="AR91" s="109">
        <v>0</v>
      </c>
      <c r="AS91" s="109"/>
      <c r="AT91" s="109">
        <f t="shared" si="34"/>
        <v>307044.53938875004</v>
      </c>
      <c r="AU91" s="111">
        <f t="shared" si="8"/>
        <v>110.0518062325269</v>
      </c>
      <c r="AV91" s="109">
        <f>IFERROR((BS91*'CALCULO GERAL'!$E$11)/N91,0)</f>
        <v>3.1880688000000004</v>
      </c>
      <c r="AW91" s="109">
        <f>AU91/'CALCULO GERAL'!$C$11</f>
        <v>21.927038500204603</v>
      </c>
      <c r="AX91" s="109">
        <f>BP91-BB91-BD91*'CALCULO GERAL'!$C$11</f>
        <v>157.01238840000002</v>
      </c>
      <c r="AY91" s="109">
        <f t="shared" si="9"/>
        <v>1.0205805246000001</v>
      </c>
      <c r="AZ91" s="109">
        <f t="shared" si="10"/>
        <v>4.7103716520000001</v>
      </c>
      <c r="BA91" s="109">
        <f t="shared" si="11"/>
        <v>159.40344000000002</v>
      </c>
      <c r="BB91" s="109">
        <f t="shared" si="12"/>
        <v>2.3910516000000004</v>
      </c>
      <c r="BC91" s="109">
        <f t="shared" si="13"/>
        <v>159.40344000000002</v>
      </c>
      <c r="BD91" s="109">
        <f t="shared" si="14"/>
        <v>0</v>
      </c>
      <c r="BE91" s="109">
        <f t="shared" si="15"/>
        <v>35578.847808000006</v>
      </c>
      <c r="BF91" s="109">
        <f t="shared" si="16"/>
        <v>53368.271712000002</v>
      </c>
      <c r="BG91" s="109">
        <f t="shared" si="17"/>
        <v>1.7215571520000001</v>
      </c>
      <c r="BH91" s="109">
        <f t="shared" si="18"/>
        <v>1.9128412800000001</v>
      </c>
      <c r="BI91" s="109">
        <f t="shared" si="19"/>
        <v>0</v>
      </c>
      <c r="BJ91" s="109">
        <f t="shared" si="20"/>
        <v>14.944471008600003</v>
      </c>
      <c r="BK91" s="109">
        <f t="shared" si="35"/>
        <v>124.9962772411269</v>
      </c>
      <c r="BL91" s="148">
        <v>0.7</v>
      </c>
      <c r="BM91" s="112">
        <f>ROUND((AW91/BL91)+((AW91*BL91)*'CALCULO GERAL'!$E$11)/BL91,2)</f>
        <v>31.76</v>
      </c>
      <c r="BN91" s="186">
        <f t="shared" si="21"/>
        <v>31.76</v>
      </c>
      <c r="BO91" s="186">
        <f t="shared" si="36"/>
        <v>37.212000000000003</v>
      </c>
      <c r="BP91" s="109">
        <f>BM91*'CALCULO GERAL'!$C$11</f>
        <v>159.40344000000002</v>
      </c>
      <c r="BQ91" s="109">
        <f>BO91*'CALCULO GERAL'!$C$11</f>
        <v>186.76702800000001</v>
      </c>
      <c r="BR91" s="186">
        <f>BN91*'CALCULO GERAL'!$C$11</f>
        <v>159.40344000000002</v>
      </c>
      <c r="BS91" s="109">
        <f t="shared" si="22"/>
        <v>444735.59760000004</v>
      </c>
      <c r="BT91" s="109">
        <f t="shared" si="23"/>
        <v>444735.59760000004</v>
      </c>
      <c r="BU91" s="109">
        <f t="shared" si="40"/>
        <v>348739.61350274406</v>
      </c>
      <c r="BV91" s="109">
        <f t="shared" si="37"/>
        <v>95995.984097255976</v>
      </c>
      <c r="BW91" s="114">
        <f t="shared" si="24"/>
        <v>0.21584956233612718</v>
      </c>
      <c r="BX91" s="152">
        <f t="shared" si="41"/>
        <v>0.7</v>
      </c>
      <c r="BZ91" s="55"/>
      <c r="CA91" s="113"/>
      <c r="CB91" s="113"/>
      <c r="CD91" s="152">
        <f t="shared" si="42"/>
        <v>0</v>
      </c>
      <c r="CE91" s="152">
        <f t="shared" si="38"/>
        <v>1</v>
      </c>
      <c r="CF91" s="152">
        <f t="shared" si="39"/>
        <v>1</v>
      </c>
      <c r="CG91" s="34"/>
      <c r="CI91" s="11"/>
      <c r="CJ91" s="11"/>
    </row>
    <row r="92" spans="1:88" s="152" customFormat="1" x14ac:dyDescent="0.2">
      <c r="A92" s="340" t="s">
        <v>550</v>
      </c>
      <c r="B92" s="338" t="s">
        <v>542</v>
      </c>
      <c r="C92" s="339">
        <v>3.5999999999999997E-2</v>
      </c>
      <c r="D92" s="339">
        <v>0</v>
      </c>
      <c r="E92" s="339">
        <v>2.1000000000000001E-2</v>
      </c>
      <c r="F92" s="339">
        <v>9.6500000000000002E-2</v>
      </c>
      <c r="G92" s="1">
        <v>6.4999999999999997E-3</v>
      </c>
      <c r="H92" s="1">
        <v>0.03</v>
      </c>
      <c r="I92" s="1">
        <v>0.18</v>
      </c>
      <c r="J92" s="1">
        <v>0.04</v>
      </c>
      <c r="K92" s="1">
        <v>0.14000000000000001</v>
      </c>
      <c r="L92" s="1">
        <v>1.4999999999999999E-2</v>
      </c>
      <c r="M92" s="2" t="s">
        <v>175</v>
      </c>
      <c r="N92" s="105">
        <v>2790</v>
      </c>
      <c r="O92" s="119"/>
      <c r="P92" s="119"/>
      <c r="Q92" s="119"/>
      <c r="R92" s="119"/>
      <c r="S92" s="119"/>
      <c r="T92" s="119"/>
      <c r="U92" s="119"/>
      <c r="V92" s="119">
        <v>13.45</v>
      </c>
      <c r="W92" s="119"/>
      <c r="X92" s="119">
        <f t="shared" si="0"/>
        <v>13.45</v>
      </c>
      <c r="Y92" s="118">
        <f t="shared" si="1"/>
        <v>13.45</v>
      </c>
      <c r="Z92" s="109">
        <f t="shared" si="2"/>
        <v>37525.5</v>
      </c>
      <c r="AA92" s="109">
        <f>'CALCULO GERAL'!$G$10</f>
        <v>6300</v>
      </c>
      <c r="AB92" s="109">
        <f t="shared" si="3"/>
        <v>43825.5</v>
      </c>
      <c r="AC92" s="109">
        <f>AB92*'CALCULO GERAL'!$C$11</f>
        <v>219960.1845</v>
      </c>
      <c r="AD92" s="109">
        <f t="shared" si="4"/>
        <v>7918.5666419999998</v>
      </c>
      <c r="AE92" s="109">
        <f t="shared" si="5"/>
        <v>0</v>
      </c>
      <c r="AF92" s="109">
        <f t="shared" si="6"/>
        <v>4619.1638745</v>
      </c>
      <c r="AG92" s="109">
        <f t="shared" si="7"/>
        <v>21226.15780425</v>
      </c>
      <c r="AH92" s="109">
        <v>154.22999999999999</v>
      </c>
      <c r="AI92" s="109">
        <f>((AA92*'CALCULO GERAL'!$C$11))*0.08+20</f>
        <v>2549.576</v>
      </c>
      <c r="AJ92" s="109">
        <v>1010</v>
      </c>
      <c r="AK92" s="109">
        <v>2500</v>
      </c>
      <c r="AL92" s="109">
        <f>(AA92*('CALCULO GERAL'!$C$11*1.02))-(AA92*'CALCULO GERAL'!$C$11)</f>
        <v>632.39400000000387</v>
      </c>
      <c r="AM92" s="109">
        <v>1800</v>
      </c>
      <c r="AN92" s="109">
        <v>2600</v>
      </c>
      <c r="AO92" s="109">
        <v>9400</v>
      </c>
      <c r="AP92" s="109">
        <v>1000</v>
      </c>
      <c r="AQ92" s="109">
        <v>0</v>
      </c>
      <c r="AR92" s="109">
        <v>0</v>
      </c>
      <c r="AS92" s="109"/>
      <c r="AT92" s="109">
        <f t="shared" si="34"/>
        <v>275370.27282075002</v>
      </c>
      <c r="AU92" s="111">
        <f t="shared" si="8"/>
        <v>98.699022516397861</v>
      </c>
      <c r="AV92" s="109">
        <f>IFERROR((BS92*'CALCULO GERAL'!$E$11)/N92,0)</f>
        <v>2.8598262000000001</v>
      </c>
      <c r="AW92" s="109">
        <f>AU92/'CALCULO GERAL'!$C$11</f>
        <v>19.665077209882021</v>
      </c>
      <c r="AX92" s="109">
        <f>BP92-BB92-BD92*'CALCULO GERAL'!$C$11</f>
        <v>140.84644034999999</v>
      </c>
      <c r="AY92" s="109">
        <f t="shared" si="9"/>
        <v>0.91550186227499997</v>
      </c>
      <c r="AZ92" s="109">
        <f t="shared" si="10"/>
        <v>4.2253932105000001</v>
      </c>
      <c r="BA92" s="109">
        <f t="shared" si="11"/>
        <v>142.99131</v>
      </c>
      <c r="BB92" s="109">
        <f t="shared" si="12"/>
        <v>2.14486965</v>
      </c>
      <c r="BC92" s="109">
        <f t="shared" si="13"/>
        <v>142.99131</v>
      </c>
      <c r="BD92" s="109">
        <f t="shared" si="14"/>
        <v>0</v>
      </c>
      <c r="BE92" s="109">
        <f t="shared" si="15"/>
        <v>31915.660392000002</v>
      </c>
      <c r="BF92" s="109">
        <f t="shared" si="16"/>
        <v>47873.490588000001</v>
      </c>
      <c r="BG92" s="109">
        <f t="shared" si="17"/>
        <v>1.5443061479999998</v>
      </c>
      <c r="BH92" s="109">
        <f t="shared" si="18"/>
        <v>1.7158957200000002</v>
      </c>
      <c r="BI92" s="109">
        <f t="shared" si="19"/>
        <v>0</v>
      </c>
      <c r="BJ92" s="109">
        <f t="shared" si="20"/>
        <v>13.405792790775001</v>
      </c>
      <c r="BK92" s="109">
        <f t="shared" si="35"/>
        <v>112.10481530717286</v>
      </c>
      <c r="BL92" s="148">
        <v>0.7</v>
      </c>
      <c r="BM92" s="112">
        <f>ROUND((AW92/BL92)+((AW92*BL92)*'CALCULO GERAL'!$E$11)/BL92,2)</f>
        <v>28.49</v>
      </c>
      <c r="BN92" s="186">
        <f t="shared" si="21"/>
        <v>28.49</v>
      </c>
      <c r="BO92" s="186">
        <f t="shared" si="36"/>
        <v>33.381</v>
      </c>
      <c r="BP92" s="109">
        <f>BM92*'CALCULO GERAL'!$C$11</f>
        <v>142.99131</v>
      </c>
      <c r="BQ92" s="109">
        <f>BO92*'CALCULO GERAL'!$C$11</f>
        <v>167.53923900000001</v>
      </c>
      <c r="BR92" s="186">
        <f>BN92*'CALCULO GERAL'!$C$11</f>
        <v>142.99131</v>
      </c>
      <c r="BS92" s="109">
        <f t="shared" si="22"/>
        <v>398945.7549</v>
      </c>
      <c r="BT92" s="109">
        <f t="shared" si="23"/>
        <v>398945.7549</v>
      </c>
      <c r="BU92" s="109">
        <f t="shared" si="40"/>
        <v>312772.43470701226</v>
      </c>
      <c r="BV92" s="109">
        <f t="shared" si="37"/>
        <v>86173.32019298774</v>
      </c>
      <c r="BW92" s="114">
        <f t="shared" si="24"/>
        <v>0.21600259968824082</v>
      </c>
      <c r="BX92" s="152">
        <f t="shared" si="41"/>
        <v>0.7</v>
      </c>
      <c r="BZ92" s="55"/>
      <c r="CA92" s="113"/>
      <c r="CB92" s="113"/>
      <c r="CD92" s="152">
        <f t="shared" si="42"/>
        <v>0</v>
      </c>
      <c r="CE92" s="152">
        <f t="shared" si="38"/>
        <v>1</v>
      </c>
      <c r="CF92" s="152">
        <f t="shared" si="39"/>
        <v>1</v>
      </c>
      <c r="CG92" s="34"/>
      <c r="CI92" s="11"/>
      <c r="CJ92" s="11"/>
    </row>
    <row r="93" spans="1:88" s="152" customFormat="1" x14ac:dyDescent="0.2">
      <c r="A93" s="340" t="s">
        <v>551</v>
      </c>
      <c r="B93" s="338" t="s">
        <v>543</v>
      </c>
      <c r="C93" s="339">
        <v>0.16</v>
      </c>
      <c r="D93" s="339">
        <v>0.11310000000000001</v>
      </c>
      <c r="E93" s="339">
        <v>2.1000000000000001E-2</v>
      </c>
      <c r="F93" s="339">
        <v>9.6500000000000002E-2</v>
      </c>
      <c r="G93" s="1">
        <v>6.4999999999999997E-3</v>
      </c>
      <c r="H93" s="1">
        <v>0.03</v>
      </c>
      <c r="I93" s="1">
        <v>0.18</v>
      </c>
      <c r="J93" s="1">
        <v>0.04</v>
      </c>
      <c r="K93" s="1">
        <v>0.14000000000000001</v>
      </c>
      <c r="L93" s="1">
        <v>1.4999999999999999E-2</v>
      </c>
      <c r="M93" s="2" t="s">
        <v>175</v>
      </c>
      <c r="N93" s="105">
        <v>28</v>
      </c>
      <c r="O93" s="119"/>
      <c r="P93" s="119"/>
      <c r="Q93" s="119"/>
      <c r="R93" s="119"/>
      <c r="S93" s="119"/>
      <c r="T93" s="119"/>
      <c r="U93" s="119"/>
      <c r="V93" s="119">
        <v>1120</v>
      </c>
      <c r="W93" s="119"/>
      <c r="X93" s="119">
        <f t="shared" si="0"/>
        <v>1120</v>
      </c>
      <c r="Y93" s="118">
        <f t="shared" si="1"/>
        <v>1120</v>
      </c>
      <c r="Z93" s="109">
        <f t="shared" si="2"/>
        <v>31360</v>
      </c>
      <c r="AA93" s="109">
        <f>'CALCULO GERAL'!$G$10</f>
        <v>6300</v>
      </c>
      <c r="AB93" s="109">
        <f t="shared" si="3"/>
        <v>37660</v>
      </c>
      <c r="AC93" s="109">
        <f>AB93*'CALCULO GERAL'!$C$11</f>
        <v>189015.54</v>
      </c>
      <c r="AD93" s="109">
        <f t="shared" si="4"/>
        <v>30242.486400000002</v>
      </c>
      <c r="AE93" s="109">
        <f t="shared" si="5"/>
        <v>24798.082785840001</v>
      </c>
      <c r="AF93" s="109">
        <f t="shared" si="6"/>
        <v>3969.3263400000005</v>
      </c>
      <c r="AG93" s="109">
        <f t="shared" si="7"/>
        <v>18239.999610000003</v>
      </c>
      <c r="AH93" s="109">
        <v>154.22999999999999</v>
      </c>
      <c r="AI93" s="109">
        <f>((AA93*'CALCULO GERAL'!$C$11))*0.08+20</f>
        <v>2549.576</v>
      </c>
      <c r="AJ93" s="109">
        <v>1010</v>
      </c>
      <c r="AK93" s="109">
        <v>2500</v>
      </c>
      <c r="AL93" s="109">
        <f>(AA93*('CALCULO GERAL'!$C$11*1.02))-(AA93*'CALCULO GERAL'!$C$11)</f>
        <v>632.39400000000387</v>
      </c>
      <c r="AM93" s="109">
        <v>1800</v>
      </c>
      <c r="AN93" s="109">
        <v>2600</v>
      </c>
      <c r="AO93" s="109">
        <v>9400</v>
      </c>
      <c r="AP93" s="109">
        <v>1000</v>
      </c>
      <c r="AQ93" s="109">
        <v>0</v>
      </c>
      <c r="AR93" s="109">
        <v>0</v>
      </c>
      <c r="AS93" s="109"/>
      <c r="AT93" s="109">
        <f t="shared" si="34"/>
        <v>287911.63513584004</v>
      </c>
      <c r="AU93" s="111">
        <f t="shared" si="8"/>
        <v>10282.558397708573</v>
      </c>
      <c r="AV93" s="109">
        <f>IFERROR((BS93*'CALCULO GERAL'!$E$11)/N93,0)</f>
        <v>297.90073739999997</v>
      </c>
      <c r="AW93" s="109">
        <f>AU93/'CALCULO GERAL'!$C$11</f>
        <v>2048.726518770387</v>
      </c>
      <c r="AX93" s="109">
        <f>BP93-BB93-BD93*'CALCULO GERAL'!$C$11</f>
        <v>7098.2739127051091</v>
      </c>
      <c r="AY93" s="109">
        <f t="shared" si="9"/>
        <v>46.138780432583204</v>
      </c>
      <c r="AZ93" s="109">
        <f t="shared" si="10"/>
        <v>212.94821738115326</v>
      </c>
      <c r="BA93" s="109">
        <f t="shared" si="11"/>
        <v>13381.580154523403</v>
      </c>
      <c r="BB93" s="109">
        <f t="shared" si="12"/>
        <v>200.72370231785104</v>
      </c>
      <c r="BC93" s="109">
        <f t="shared" si="13"/>
        <v>13381.580154523403</v>
      </c>
      <c r="BD93" s="109">
        <f t="shared" si="14"/>
        <v>1513.4567154765969</v>
      </c>
      <c r="BE93" s="109">
        <f t="shared" si="15"/>
        <v>33364.882588799999</v>
      </c>
      <c r="BF93" s="109">
        <f t="shared" si="16"/>
        <v>50047.323883199999</v>
      </c>
      <c r="BG93" s="109">
        <f t="shared" si="17"/>
        <v>160.86639819600001</v>
      </c>
      <c r="BH93" s="109">
        <f t="shared" si="18"/>
        <v>178.74044243999998</v>
      </c>
      <c r="BI93" s="109">
        <f t="shared" si="19"/>
        <v>0</v>
      </c>
      <c r="BJ93" s="109">
        <f t="shared" si="20"/>
        <v>2610.7749936441842</v>
      </c>
      <c r="BK93" s="109">
        <f t="shared" si="35"/>
        <v>12893.333391352757</v>
      </c>
      <c r="BL93" s="148">
        <v>0.7</v>
      </c>
      <c r="BM93" s="112">
        <f>ROUND((AW93/BL93)+((AW93*BL93)*'CALCULO GERAL'!$E$11)/BL93,2)</f>
        <v>2967.73</v>
      </c>
      <c r="BN93" s="186">
        <f t="shared" si="21"/>
        <v>2967.73</v>
      </c>
      <c r="BO93" s="186">
        <f t="shared" si="36"/>
        <v>3477.1689999999999</v>
      </c>
      <c r="BP93" s="109">
        <f>BM93*'CALCULO GERAL'!$C$11</f>
        <v>14895.03687</v>
      </c>
      <c r="BQ93" s="109">
        <f>BO93*'CALCULO GERAL'!$C$11</f>
        <v>17451.911210999999</v>
      </c>
      <c r="BR93" s="186">
        <f>BN93*'CALCULO GERAL'!$C$11</f>
        <v>14895.03687</v>
      </c>
      <c r="BS93" s="109">
        <f t="shared" si="22"/>
        <v>417061.03236000001</v>
      </c>
      <c r="BT93" s="109">
        <f t="shared" si="23"/>
        <v>417061.03236000001</v>
      </c>
      <c r="BU93" s="109">
        <f t="shared" si="40"/>
        <v>361013.33495787717</v>
      </c>
      <c r="BV93" s="109">
        <f t="shared" si="37"/>
        <v>56047.697402122838</v>
      </c>
      <c r="BW93" s="114">
        <f t="shared" si="24"/>
        <v>0.13438727920699964</v>
      </c>
      <c r="BX93" s="152">
        <f t="shared" si="41"/>
        <v>0.7</v>
      </c>
      <c r="BZ93" s="55"/>
      <c r="CA93" s="113"/>
      <c r="CB93" s="113"/>
      <c r="CD93" s="152">
        <f t="shared" si="42"/>
        <v>0</v>
      </c>
      <c r="CE93" s="152">
        <f t="shared" si="38"/>
        <v>1</v>
      </c>
      <c r="CF93" s="152">
        <f t="shared" si="39"/>
        <v>1</v>
      </c>
      <c r="CG93" s="34"/>
      <c r="CI93" s="11"/>
      <c r="CJ93" s="11"/>
    </row>
    <row r="94" spans="1:88" s="152" customFormat="1" x14ac:dyDescent="0.2">
      <c r="A94" s="349" t="s">
        <v>566</v>
      </c>
      <c r="B94" s="187" t="s">
        <v>567</v>
      </c>
      <c r="C94" s="7">
        <v>0.126</v>
      </c>
      <c r="D94" s="7">
        <v>0</v>
      </c>
      <c r="E94" s="7">
        <v>2.1000000000000001E-2</v>
      </c>
      <c r="F94" s="7">
        <v>0.1045</v>
      </c>
      <c r="G94" s="1">
        <v>6.4999999999999997E-3</v>
      </c>
      <c r="H94" s="1">
        <v>0.03</v>
      </c>
      <c r="I94" s="1">
        <v>0.18</v>
      </c>
      <c r="J94" s="1">
        <v>0.04</v>
      </c>
      <c r="K94" s="1">
        <v>0.14000000000000001</v>
      </c>
      <c r="L94" s="1">
        <v>1.4999999999999999E-2</v>
      </c>
      <c r="M94" s="2" t="s">
        <v>175</v>
      </c>
      <c r="N94" s="105">
        <v>1</v>
      </c>
      <c r="O94" s="119"/>
      <c r="P94" s="119"/>
      <c r="Q94" s="119"/>
      <c r="R94" s="119"/>
      <c r="S94" s="119"/>
      <c r="T94" s="119"/>
      <c r="U94" s="119"/>
      <c r="V94" s="119">
        <v>33800</v>
      </c>
      <c r="W94" s="119"/>
      <c r="X94" s="119">
        <f>MIN(O94:W94)</f>
        <v>33800</v>
      </c>
      <c r="Y94" s="118">
        <f>AVERAGE(O94:W94)</f>
        <v>33800</v>
      </c>
      <c r="Z94" s="109">
        <f>Y94*N94</f>
        <v>33800</v>
      </c>
      <c r="AA94" s="109">
        <f>'CALCULO GERAL'!$G$10</f>
        <v>6300</v>
      </c>
      <c r="AB94" s="109">
        <f>Z94+AA94</f>
        <v>40100</v>
      </c>
      <c r="AC94" s="109">
        <f>AB94*'CALCULO GERAL'!$C$11</f>
        <v>201261.9</v>
      </c>
      <c r="AD94" s="109">
        <f>AC94*C94</f>
        <v>25358.999400000001</v>
      </c>
      <c r="AE94" s="109">
        <f>(AC94+AD94)*D94</f>
        <v>0</v>
      </c>
      <c r="AF94" s="109">
        <f>AC94*E94</f>
        <v>4226.4998999999998</v>
      </c>
      <c r="AG94" s="109">
        <f>AC94*F94</f>
        <v>21031.868549999999</v>
      </c>
      <c r="AH94" s="109">
        <v>154.22999999999999</v>
      </c>
      <c r="AI94" s="109">
        <f>((AA94*'CALCULO GERAL'!$C$11))*0.08+20</f>
        <v>2549.576</v>
      </c>
      <c r="AJ94" s="109">
        <v>1010</v>
      </c>
      <c r="AK94" s="109">
        <v>2500</v>
      </c>
      <c r="AL94" s="109">
        <f>(AA94*('CALCULO GERAL'!$C$11*1.02))-(AA94*'CALCULO GERAL'!$C$11)</f>
        <v>632.39400000000387</v>
      </c>
      <c r="AM94" s="109">
        <v>1800</v>
      </c>
      <c r="AN94" s="109">
        <v>2600</v>
      </c>
      <c r="AO94" s="109">
        <v>9400</v>
      </c>
      <c r="AP94" s="109">
        <v>1000</v>
      </c>
      <c r="AQ94" s="109">
        <v>0</v>
      </c>
      <c r="AR94" s="109">
        <v>0</v>
      </c>
      <c r="AS94" s="109"/>
      <c r="AT94" s="109">
        <f>SUM(AC94:AS94)</f>
        <v>273525.46785000002</v>
      </c>
      <c r="AU94" s="111">
        <f>IFERROR((AT94/N94),0)</f>
        <v>273525.46785000002</v>
      </c>
      <c r="AV94" s="109">
        <f>IFERROR((BS94*'CALCULO GERAL'!$E$11)/N94,0)</f>
        <v>7924.4238150000001</v>
      </c>
      <c r="AW94" s="109">
        <f>AU94/'CALCULO GERAL'!$C$11</f>
        <v>54498.001165570829</v>
      </c>
      <c r="AX94" s="109">
        <f>BP94-BB94-BD94*'CALCULO GERAL'!$C$11</f>
        <v>390277.87288874999</v>
      </c>
      <c r="AY94" s="109">
        <f>AX94*G94</f>
        <v>2536.8061737768749</v>
      </c>
      <c r="AZ94" s="109">
        <f>AX94*H94</f>
        <v>11708.3361866625</v>
      </c>
      <c r="BA94" s="109">
        <f>BP94-BD94</f>
        <v>396221.19075000001</v>
      </c>
      <c r="BB94" s="109">
        <f>BA94*L94</f>
        <v>5943.3178612499996</v>
      </c>
      <c r="BC94" s="109">
        <f>BP94/(1+D94)</f>
        <v>396221.19075000001</v>
      </c>
      <c r="BD94" s="109">
        <f>BC94*D94</f>
        <v>0</v>
      </c>
      <c r="BE94" s="109">
        <f>BT94*0.08</f>
        <v>31697.69526</v>
      </c>
      <c r="BF94" s="109">
        <f>BT94*0.12</f>
        <v>47546.542889999997</v>
      </c>
      <c r="BG94" s="109">
        <f>(BF94*0.09)/N94</f>
        <v>4279.1888600999991</v>
      </c>
      <c r="BH94" s="109">
        <f>(BE94*0.15)/N94</f>
        <v>4754.6542890000001</v>
      </c>
      <c r="BI94" s="109">
        <f>IF(BE94&gt;=$BX$1,($BX$1-BE94)*0.1,IF(BE94&lt;=$BX$1,($BX$1*0)))/N94</f>
        <v>0</v>
      </c>
      <c r="BJ94" s="109">
        <f>(AY94+AZ94+BB94+AV94+BD94+BG94+BH94+BI94)</f>
        <v>37146.727185789379</v>
      </c>
      <c r="BK94" s="109">
        <f>BJ94+AU94</f>
        <v>310672.19503578939</v>
      </c>
      <c r="BL94" s="148">
        <v>0.7</v>
      </c>
      <c r="BM94" s="112">
        <f>ROUND((AW94/BL94)+((AW94*BL94)*'CALCULO GERAL'!$E$11)/BL94,2)</f>
        <v>78944.25</v>
      </c>
      <c r="BN94" s="186">
        <f>BM94</f>
        <v>78944.25</v>
      </c>
      <c r="BO94" s="186">
        <f>ROUND(FV(0.02,8,,BN94)*-1,3)</f>
        <v>92495.770999999993</v>
      </c>
      <c r="BP94" s="109">
        <f>BM94*'CALCULO GERAL'!$C$11</f>
        <v>396221.19075000001</v>
      </c>
      <c r="BQ94" s="109">
        <f>BO94*'CALCULO GERAL'!$C$11</f>
        <v>464236.27464899997</v>
      </c>
      <c r="BR94" s="186">
        <f>BN94*'CALCULO GERAL'!$C$11</f>
        <v>396221.19075000001</v>
      </c>
      <c r="BS94" s="109">
        <f>BP94*N94</f>
        <v>396221.19075000001</v>
      </c>
      <c r="BT94" s="109">
        <f>BR94*N94</f>
        <v>396221.19075000001</v>
      </c>
      <c r="BU94" s="109">
        <f>BK94*N94</f>
        <v>310672.19503578939</v>
      </c>
      <c r="BV94" s="109">
        <f>BS94-BU94</f>
        <v>85548.995714210614</v>
      </c>
      <c r="BW94" s="114">
        <f>(((BK94*N94)-BS94)/BS94*-1)</f>
        <v>0.21591221699242397</v>
      </c>
      <c r="BX94" s="152">
        <f>ROUND(BL94,2)</f>
        <v>0.7</v>
      </c>
      <c r="BZ94" s="55"/>
      <c r="CA94" s="113"/>
      <c r="CB94" s="113"/>
      <c r="CD94" s="152">
        <f>CB94/BX94</f>
        <v>0</v>
      </c>
      <c r="CE94" s="152">
        <f>100%-CD94</f>
        <v>1</v>
      </c>
      <c r="CF94" s="152">
        <f>AVERAGE(CE94,CC94)</f>
        <v>1</v>
      </c>
      <c r="CG94" s="34"/>
      <c r="CI94" s="11"/>
      <c r="CJ94" s="11"/>
    </row>
    <row r="95" spans="1:88" s="152" customFormat="1" x14ac:dyDescent="0.2">
      <c r="A95" s="349" t="s">
        <v>596</v>
      </c>
      <c r="B95" s="187" t="s">
        <v>595</v>
      </c>
      <c r="C95" s="7">
        <v>0</v>
      </c>
      <c r="D95" s="7">
        <v>0</v>
      </c>
      <c r="E95" s="7">
        <v>2.1000000000000001E-2</v>
      </c>
      <c r="F95" s="7">
        <v>0.10249999999999999</v>
      </c>
      <c r="G95" s="1">
        <v>6.4999999999999997E-3</v>
      </c>
      <c r="H95" s="1">
        <v>0.03</v>
      </c>
      <c r="I95" s="1">
        <v>0.18</v>
      </c>
      <c r="J95" s="1">
        <v>0.04</v>
      </c>
      <c r="K95" s="1">
        <v>0.14000000000000001</v>
      </c>
      <c r="L95" s="1">
        <v>1.4999999999999999E-2</v>
      </c>
      <c r="M95" s="2" t="s">
        <v>175</v>
      </c>
      <c r="N95" s="105">
        <v>1</v>
      </c>
      <c r="O95" s="119"/>
      <c r="P95" s="119"/>
      <c r="Q95" s="119"/>
      <c r="R95" s="119"/>
      <c r="S95" s="119"/>
      <c r="T95" s="119"/>
      <c r="U95" s="119"/>
      <c r="V95" s="119">
        <v>33800</v>
      </c>
      <c r="W95" s="119"/>
      <c r="X95" s="119">
        <f>MIN(O95:W95)</f>
        <v>33800</v>
      </c>
      <c r="Y95" s="118">
        <f>AVERAGE(O95:W95)</f>
        <v>33800</v>
      </c>
      <c r="Z95" s="109">
        <f>Y95*N95</f>
        <v>33800</v>
      </c>
      <c r="AA95" s="109">
        <f>'CALCULO GERAL'!$G$10</f>
        <v>6300</v>
      </c>
      <c r="AB95" s="109">
        <f>Z95+AA95</f>
        <v>40100</v>
      </c>
      <c r="AC95" s="109">
        <f>AB95*'CALCULO GERAL'!$C$11</f>
        <v>201261.9</v>
      </c>
      <c r="AD95" s="109">
        <f>AC95*C95</f>
        <v>0</v>
      </c>
      <c r="AE95" s="109">
        <f>(AC95+AD95)*D95</f>
        <v>0</v>
      </c>
      <c r="AF95" s="109">
        <f>AC95*E95</f>
        <v>4226.4998999999998</v>
      </c>
      <c r="AG95" s="109">
        <f>AC95*F95</f>
        <v>20629.344749999997</v>
      </c>
      <c r="AH95" s="109">
        <v>154.22999999999999</v>
      </c>
      <c r="AI95" s="109">
        <f>((AA95*'CALCULO GERAL'!$C$11))*0.08+20</f>
        <v>2549.576</v>
      </c>
      <c r="AJ95" s="109">
        <v>1010</v>
      </c>
      <c r="AK95" s="109">
        <v>2500</v>
      </c>
      <c r="AL95" s="109">
        <f>(AA95*('CALCULO GERAL'!$C$11*1.02))-(AA95*'CALCULO GERAL'!$C$11)</f>
        <v>632.39400000000387</v>
      </c>
      <c r="AM95" s="109">
        <v>1800</v>
      </c>
      <c r="AN95" s="109">
        <v>2600</v>
      </c>
      <c r="AO95" s="109">
        <v>9400</v>
      </c>
      <c r="AP95" s="109">
        <v>1000</v>
      </c>
      <c r="AQ95" s="109">
        <v>0</v>
      </c>
      <c r="AR95" s="109">
        <v>0</v>
      </c>
      <c r="AS95" s="109"/>
      <c r="AT95" s="109">
        <f>SUM(AC95:AS95)</f>
        <v>247763.94464999999</v>
      </c>
      <c r="AU95" s="111">
        <f>IFERROR((AT95/N95),0)</f>
        <v>247763.94464999999</v>
      </c>
      <c r="AV95" s="109">
        <f>IFERROR((BS95*'CALCULO GERAL'!$E$11)/N95,0)</f>
        <v>7178.0754276000007</v>
      </c>
      <c r="AW95" s="109">
        <f>AU95/'CALCULO GERAL'!$C$11</f>
        <v>49365.201165570827</v>
      </c>
      <c r="AX95" s="109">
        <f>BP95-BB95-BD95*'CALCULO GERAL'!$C$11</f>
        <v>353520.21480930003</v>
      </c>
      <c r="AY95" s="109">
        <f>AX95*G95</f>
        <v>2297.8813962604499</v>
      </c>
      <c r="AZ95" s="109">
        <f>AX95*H95</f>
        <v>10605.606444279001</v>
      </c>
      <c r="BA95" s="109">
        <f>BP95-BD95</f>
        <v>358903.77138000005</v>
      </c>
      <c r="BB95" s="109">
        <f>BA95*L95</f>
        <v>5383.5565707000005</v>
      </c>
      <c r="BC95" s="109">
        <f>BP95/(1+D95)</f>
        <v>358903.77138000005</v>
      </c>
      <c r="BD95" s="109">
        <f>BC95*D95</f>
        <v>0</v>
      </c>
      <c r="BE95" s="109">
        <f>BT95*0.08</f>
        <v>28712.301710400003</v>
      </c>
      <c r="BF95" s="109">
        <f>BT95*0.12</f>
        <v>43068.452565600004</v>
      </c>
      <c r="BG95" s="109">
        <f>(BF95*0.09)/N95</f>
        <v>3876.160730904</v>
      </c>
      <c r="BH95" s="109">
        <f>(BE95*0.15)/N95</f>
        <v>4306.8452565600001</v>
      </c>
      <c r="BI95" s="109">
        <f>IF(BE95&gt;=$BX$1,($BX$1-BE95)*0.1,IF(BE95&lt;=$BX$1,($BX$1*0)))/N95</f>
        <v>0</v>
      </c>
      <c r="BJ95" s="109">
        <f>(AY95+AZ95+BB95+AV95+BD95+BG95+BH95+BI95)</f>
        <v>33648.125826303454</v>
      </c>
      <c r="BK95" s="109">
        <f>BJ95+AU95</f>
        <v>281412.07047630346</v>
      </c>
      <c r="BL95" s="148">
        <v>0.7</v>
      </c>
      <c r="BM95" s="112">
        <f>ROUND((AW95/BL95)+((AW95*BL95)*'CALCULO GERAL'!$E$11)/BL95,2)</f>
        <v>71509.02</v>
      </c>
      <c r="BN95" s="186">
        <f>BM95</f>
        <v>71509.02</v>
      </c>
      <c r="BO95" s="186">
        <f>ROUND(FV(0.02,8,,BN95)*-1,3)</f>
        <v>83784.214000000007</v>
      </c>
      <c r="BP95" s="109">
        <f>BM95*'CALCULO GERAL'!$C$11</f>
        <v>358903.77138000005</v>
      </c>
      <c r="BQ95" s="109">
        <f>BO95*'CALCULO GERAL'!$C$11</f>
        <v>420512.97006600007</v>
      </c>
      <c r="BR95" s="186">
        <f>BN95*'CALCULO GERAL'!$C$11</f>
        <v>358903.77138000005</v>
      </c>
      <c r="BS95" s="109">
        <f>BP95*N95</f>
        <v>358903.77138000005</v>
      </c>
      <c r="BT95" s="109">
        <f>BR95*N95</f>
        <v>358903.77138000005</v>
      </c>
      <c r="BU95" s="109">
        <f>BK95*N95</f>
        <v>281412.07047630346</v>
      </c>
      <c r="BV95" s="109">
        <f>BS95-BU95</f>
        <v>77491.70090369659</v>
      </c>
      <c r="BW95" s="114">
        <f>(((BK95*N95)-BS95)/BS95*-1)</f>
        <v>0.21591219452985336</v>
      </c>
      <c r="BX95" s="152">
        <f>ROUND(BL95,2)</f>
        <v>0.7</v>
      </c>
      <c r="BZ95" s="55"/>
      <c r="CA95" s="113"/>
      <c r="CB95" s="113"/>
      <c r="CD95" s="152">
        <f>CB95/BX95</f>
        <v>0</v>
      </c>
      <c r="CE95" s="152">
        <f>100%-CD95</f>
        <v>1</v>
      </c>
      <c r="CF95" s="152">
        <f>AVERAGE(CE95,CC95)</f>
        <v>1</v>
      </c>
      <c r="CG95" s="34"/>
      <c r="CI95" s="11"/>
      <c r="CJ95" s="11"/>
    </row>
    <row r="96" spans="1:88" s="152" customFormat="1" x14ac:dyDescent="0.2">
      <c r="A96" s="340" t="s">
        <v>559</v>
      </c>
      <c r="B96" s="338" t="s">
        <v>558</v>
      </c>
      <c r="C96" s="339">
        <v>0.128</v>
      </c>
      <c r="D96" s="339">
        <v>0.1099</v>
      </c>
      <c r="E96" s="339">
        <v>2.1000000000000001E-2</v>
      </c>
      <c r="F96" s="339">
        <v>9.6500000000000002E-2</v>
      </c>
      <c r="G96" s="1">
        <v>6.4999999999999997E-3</v>
      </c>
      <c r="H96" s="1">
        <v>0.03</v>
      </c>
      <c r="I96" s="1">
        <v>0.18</v>
      </c>
      <c r="J96" s="1">
        <v>0.04</v>
      </c>
      <c r="K96" s="1">
        <v>0.14000000000000001</v>
      </c>
      <c r="L96" s="1">
        <v>1.4999999999999999E-2</v>
      </c>
      <c r="M96" s="2" t="s">
        <v>175</v>
      </c>
      <c r="N96" s="105">
        <v>1300</v>
      </c>
      <c r="O96" s="119"/>
      <c r="P96" s="119"/>
      <c r="Q96" s="119"/>
      <c r="R96" s="119"/>
      <c r="S96" s="119"/>
      <c r="T96" s="119"/>
      <c r="U96" s="119"/>
      <c r="V96" s="119">
        <v>41.5</v>
      </c>
      <c r="W96" s="119"/>
      <c r="X96" s="119">
        <f t="shared" si="0"/>
        <v>41.5</v>
      </c>
      <c r="Y96" s="118">
        <f t="shared" si="1"/>
        <v>41.5</v>
      </c>
      <c r="Z96" s="109">
        <f t="shared" si="2"/>
        <v>53950</v>
      </c>
      <c r="AA96" s="109">
        <f>'CALCULO GERAL'!$G$10</f>
        <v>6300</v>
      </c>
      <c r="AB96" s="109">
        <f t="shared" si="3"/>
        <v>60250</v>
      </c>
      <c r="AC96" s="109">
        <f>AB96*'CALCULO GERAL'!$C$11</f>
        <v>302394.75</v>
      </c>
      <c r="AD96" s="109">
        <f t="shared" si="4"/>
        <v>38706.527999999998</v>
      </c>
      <c r="AE96" s="109">
        <f t="shared" si="5"/>
        <v>37487.030452200001</v>
      </c>
      <c r="AF96" s="109">
        <f t="shared" si="6"/>
        <v>6350.2897500000008</v>
      </c>
      <c r="AG96" s="109">
        <f t="shared" si="7"/>
        <v>29181.093375</v>
      </c>
      <c r="AH96" s="109">
        <v>154.22999999999999</v>
      </c>
      <c r="AI96" s="109">
        <f>((AA96*'CALCULO GERAL'!$C$11))*0.08+20</f>
        <v>2549.576</v>
      </c>
      <c r="AJ96" s="109">
        <v>1010</v>
      </c>
      <c r="AK96" s="109">
        <v>2500</v>
      </c>
      <c r="AL96" s="109">
        <f>(AA96*('CALCULO GERAL'!$C$11*1.02))-(AA96*'CALCULO GERAL'!$C$11)</f>
        <v>632.39400000000387</v>
      </c>
      <c r="AM96" s="109">
        <v>1800</v>
      </c>
      <c r="AN96" s="109">
        <v>2600</v>
      </c>
      <c r="AO96" s="109">
        <v>9400</v>
      </c>
      <c r="AP96" s="109">
        <v>1000</v>
      </c>
      <c r="AQ96" s="109">
        <v>0</v>
      </c>
      <c r="AR96" s="109">
        <v>0</v>
      </c>
      <c r="AS96" s="109"/>
      <c r="AT96" s="109">
        <f t="shared" si="34"/>
        <v>435765.89157719997</v>
      </c>
      <c r="AU96" s="111">
        <f t="shared" si="8"/>
        <v>335.2045319824615</v>
      </c>
      <c r="AV96" s="109">
        <f>IFERROR((BS96*'CALCULO GERAL'!$E$11)/N96,0)</f>
        <v>9.7117649999999998</v>
      </c>
      <c r="AW96" s="109">
        <f>AU96/'CALCULO GERAL'!$C$11</f>
        <v>66.787115358131402</v>
      </c>
      <c r="AX96" s="109">
        <f>BP96-BB96-BD96*'CALCULO GERAL'!$C$11</f>
        <v>237.70238284996395</v>
      </c>
      <c r="AY96" s="109">
        <f t="shared" si="9"/>
        <v>1.5450654885247657</v>
      </c>
      <c r="AZ96" s="109">
        <f t="shared" si="10"/>
        <v>7.1310714854989188</v>
      </c>
      <c r="BA96" s="109">
        <f t="shared" si="11"/>
        <v>437.50630687449319</v>
      </c>
      <c r="BB96" s="109">
        <f t="shared" si="12"/>
        <v>6.5625946031173976</v>
      </c>
      <c r="BC96" s="109">
        <f t="shared" si="13"/>
        <v>437.50630687449319</v>
      </c>
      <c r="BD96" s="109">
        <f t="shared" si="14"/>
        <v>48.081943125506804</v>
      </c>
      <c r="BE96" s="109">
        <f t="shared" si="15"/>
        <v>50501.178</v>
      </c>
      <c r="BF96" s="109">
        <f t="shared" si="16"/>
        <v>75751.766999999993</v>
      </c>
      <c r="BG96" s="109">
        <f t="shared" si="17"/>
        <v>5.2443530999999988</v>
      </c>
      <c r="BH96" s="109">
        <f t="shared" si="18"/>
        <v>5.8270590000000002</v>
      </c>
      <c r="BI96" s="109">
        <f t="shared" si="19"/>
        <v>0</v>
      </c>
      <c r="BJ96" s="109">
        <f t="shared" si="20"/>
        <v>84.103851802647881</v>
      </c>
      <c r="BK96" s="109">
        <f t="shared" si="35"/>
        <v>419.30838378510941</v>
      </c>
      <c r="BL96" s="148">
        <v>0.7</v>
      </c>
      <c r="BM96" s="112">
        <f>ROUND((AW96/BL96)+((AW96*BL96)*'CALCULO GERAL'!$E$11)/BL96,2)</f>
        <v>96.75</v>
      </c>
      <c r="BN96" s="186">
        <f t="shared" si="21"/>
        <v>96.75</v>
      </c>
      <c r="BO96" s="186">
        <f t="shared" si="36"/>
        <v>113.358</v>
      </c>
      <c r="BP96" s="109">
        <f>BM96*'CALCULO GERAL'!$C$11</f>
        <v>485.58825000000002</v>
      </c>
      <c r="BQ96" s="109">
        <f>BO96*'CALCULO GERAL'!$C$11</f>
        <v>568.94380200000001</v>
      </c>
      <c r="BR96" s="186">
        <f>BN96*'CALCULO GERAL'!$C$11</f>
        <v>485.58825000000002</v>
      </c>
      <c r="BS96" s="109">
        <f t="shared" si="22"/>
        <v>631264.72499999998</v>
      </c>
      <c r="BT96" s="109">
        <f t="shared" si="23"/>
        <v>631264.72499999998</v>
      </c>
      <c r="BU96" s="109">
        <f t="shared" si="40"/>
        <v>545100.89892064221</v>
      </c>
      <c r="BV96" s="109">
        <f t="shared" si="37"/>
        <v>86163.826079357765</v>
      </c>
      <c r="BW96" s="114">
        <f t="shared" si="24"/>
        <v>0.13649396626646257</v>
      </c>
      <c r="BX96" s="152">
        <f t="shared" si="41"/>
        <v>0.7</v>
      </c>
      <c r="BZ96" s="55"/>
      <c r="CA96" s="113"/>
      <c r="CB96" s="113"/>
      <c r="CD96" s="152">
        <f t="shared" si="42"/>
        <v>0</v>
      </c>
      <c r="CE96" s="152">
        <f t="shared" si="38"/>
        <v>1</v>
      </c>
      <c r="CF96" s="152">
        <f t="shared" si="39"/>
        <v>1</v>
      </c>
      <c r="CG96" s="34"/>
      <c r="CI96" s="11"/>
      <c r="CJ96" s="11"/>
    </row>
    <row r="97" spans="1:88" s="152" customFormat="1" x14ac:dyDescent="0.2">
      <c r="A97" s="340" t="s">
        <v>539</v>
      </c>
      <c r="B97" s="338" t="s">
        <v>538</v>
      </c>
      <c r="C97" s="339">
        <v>0.16</v>
      </c>
      <c r="D97" s="339">
        <v>0.25559999999999999</v>
      </c>
      <c r="E97" s="339">
        <v>3.5200000000000002E-2</v>
      </c>
      <c r="F97" s="339">
        <v>0.1648</v>
      </c>
      <c r="G97" s="1">
        <v>6.4999999999999997E-3</v>
      </c>
      <c r="H97" s="1">
        <v>0.03</v>
      </c>
      <c r="I97" s="1">
        <v>0.18</v>
      </c>
      <c r="J97" s="1">
        <v>0.04</v>
      </c>
      <c r="K97" s="1">
        <v>0.14000000000000001</v>
      </c>
      <c r="L97" s="1">
        <v>1.4999999999999999E-2</v>
      </c>
      <c r="M97" s="2" t="s">
        <v>175</v>
      </c>
      <c r="N97" s="105">
        <v>100</v>
      </c>
      <c r="O97" s="119"/>
      <c r="P97" s="119"/>
      <c r="Q97" s="119"/>
      <c r="R97" s="119"/>
      <c r="S97" s="119"/>
      <c r="T97" s="119"/>
      <c r="U97" s="119"/>
      <c r="V97" s="119"/>
      <c r="W97" s="119"/>
      <c r="X97" s="119">
        <f t="shared" si="0"/>
        <v>0</v>
      </c>
      <c r="Y97" s="118" t="e">
        <f t="shared" si="1"/>
        <v>#DIV/0!</v>
      </c>
      <c r="Z97" s="109" t="e">
        <f t="shared" si="2"/>
        <v>#DIV/0!</v>
      </c>
      <c r="AA97" s="109">
        <f>'CALCULO GERAL'!$G$10</f>
        <v>6300</v>
      </c>
      <c r="AB97" s="109" t="e">
        <f t="shared" si="3"/>
        <v>#DIV/0!</v>
      </c>
      <c r="AC97" s="109" t="e">
        <f>AB97*'CALCULO GERAL'!$C$11</f>
        <v>#DIV/0!</v>
      </c>
      <c r="AD97" s="109" t="e">
        <f t="shared" si="4"/>
        <v>#DIV/0!</v>
      </c>
      <c r="AE97" s="109" t="e">
        <f t="shared" si="5"/>
        <v>#DIV/0!</v>
      </c>
      <c r="AF97" s="109" t="e">
        <f t="shared" si="6"/>
        <v>#DIV/0!</v>
      </c>
      <c r="AG97" s="109" t="e">
        <f t="shared" si="7"/>
        <v>#DIV/0!</v>
      </c>
      <c r="AH97" s="109">
        <v>154.22999999999999</v>
      </c>
      <c r="AI97" s="109">
        <f>((AA97*'CALCULO GERAL'!$C$11))*0.08+20</f>
        <v>2549.576</v>
      </c>
      <c r="AJ97" s="109">
        <v>1010</v>
      </c>
      <c r="AK97" s="109">
        <v>2500</v>
      </c>
      <c r="AL97" s="109">
        <f>(AA97*('CALCULO GERAL'!$C$11*1.02))-(AA97*'CALCULO GERAL'!$C$11)</f>
        <v>632.39400000000387</v>
      </c>
      <c r="AM97" s="109">
        <v>1800</v>
      </c>
      <c r="AN97" s="109">
        <v>2600</v>
      </c>
      <c r="AO97" s="109">
        <v>9400</v>
      </c>
      <c r="AP97" s="109">
        <v>1000</v>
      </c>
      <c r="AQ97" s="109">
        <v>0</v>
      </c>
      <c r="AR97" s="109">
        <v>0</v>
      </c>
      <c r="AS97" s="109"/>
      <c r="AT97" s="109" t="e">
        <f t="shared" si="34"/>
        <v>#DIV/0!</v>
      </c>
      <c r="AU97" s="111">
        <f t="shared" si="8"/>
        <v>0</v>
      </c>
      <c r="AV97" s="109">
        <f>IFERROR((BS97*'CALCULO GERAL'!$E$11)/N97,0)</f>
        <v>0</v>
      </c>
      <c r="AW97" s="109">
        <f>AU97/'CALCULO GERAL'!$C$11</f>
        <v>0</v>
      </c>
      <c r="AX97" s="109">
        <f>BP97-BB97-BD97*'CALCULO GERAL'!$C$11</f>
        <v>0</v>
      </c>
      <c r="AY97" s="109">
        <f t="shared" si="9"/>
        <v>0</v>
      </c>
      <c r="AZ97" s="109">
        <f t="shared" si="10"/>
        <v>0</v>
      </c>
      <c r="BA97" s="109">
        <f t="shared" si="11"/>
        <v>0</v>
      </c>
      <c r="BB97" s="109">
        <f t="shared" si="12"/>
        <v>0</v>
      </c>
      <c r="BC97" s="109">
        <f t="shared" si="13"/>
        <v>0</v>
      </c>
      <c r="BD97" s="109">
        <f t="shared" si="14"/>
        <v>0</v>
      </c>
      <c r="BE97" s="109">
        <f t="shared" si="15"/>
        <v>0</v>
      </c>
      <c r="BF97" s="109">
        <f t="shared" si="16"/>
        <v>0</v>
      </c>
      <c r="BG97" s="109">
        <f t="shared" si="17"/>
        <v>0</v>
      </c>
      <c r="BH97" s="109">
        <f t="shared" si="18"/>
        <v>0</v>
      </c>
      <c r="BI97" s="109">
        <f t="shared" si="19"/>
        <v>0</v>
      </c>
      <c r="BJ97" s="109">
        <f t="shared" si="20"/>
        <v>0</v>
      </c>
      <c r="BK97" s="109">
        <f t="shared" si="35"/>
        <v>0</v>
      </c>
      <c r="BL97" s="148">
        <v>0.7</v>
      </c>
      <c r="BM97" s="112">
        <f>ROUND((AW97/BL97)+((AW97*BL97)*'CALCULO GERAL'!$E$11)/BL97,2)</f>
        <v>0</v>
      </c>
      <c r="BN97" s="186">
        <f t="shared" si="21"/>
        <v>0</v>
      </c>
      <c r="BO97" s="186">
        <f t="shared" si="36"/>
        <v>0</v>
      </c>
      <c r="BP97" s="109">
        <f>BM97*'CALCULO GERAL'!$C$11</f>
        <v>0</v>
      </c>
      <c r="BQ97" s="109">
        <f>BO97*'CALCULO GERAL'!$C$11</f>
        <v>0</v>
      </c>
      <c r="BR97" s="186">
        <f>BN97*'CALCULO GERAL'!$C$11</f>
        <v>0</v>
      </c>
      <c r="BS97" s="109">
        <f t="shared" si="22"/>
        <v>0</v>
      </c>
      <c r="BT97" s="109">
        <f t="shared" si="23"/>
        <v>0</v>
      </c>
      <c r="BU97" s="109">
        <f t="shared" si="40"/>
        <v>0</v>
      </c>
      <c r="BV97" s="109">
        <f t="shared" si="37"/>
        <v>0</v>
      </c>
      <c r="BW97" s="114" t="e">
        <f t="shared" si="24"/>
        <v>#DIV/0!</v>
      </c>
      <c r="BX97" s="152">
        <f t="shared" si="41"/>
        <v>0.7</v>
      </c>
      <c r="BZ97" s="55"/>
      <c r="CA97" s="113"/>
      <c r="CB97" s="113"/>
      <c r="CD97" s="152">
        <f t="shared" si="42"/>
        <v>0</v>
      </c>
      <c r="CE97" s="152">
        <f t="shared" si="38"/>
        <v>1</v>
      </c>
      <c r="CF97" s="152">
        <f t="shared" si="39"/>
        <v>1</v>
      </c>
      <c r="CG97" s="34"/>
      <c r="CI97" s="11"/>
      <c r="CJ97" s="11"/>
    </row>
    <row r="98" spans="1:88" s="152" customFormat="1" x14ac:dyDescent="0.2">
      <c r="A98" s="340" t="s">
        <v>552</v>
      </c>
      <c r="B98" s="338" t="s">
        <v>544</v>
      </c>
      <c r="C98" s="339">
        <v>0.16200000000000001</v>
      </c>
      <c r="D98" s="339">
        <v>0.1132</v>
      </c>
      <c r="E98" s="339">
        <v>2.1000000000000001E-2</v>
      </c>
      <c r="F98" s="339">
        <v>9.6500000000000002E-2</v>
      </c>
      <c r="G98" s="1">
        <v>6.4999999999999997E-3</v>
      </c>
      <c r="H98" s="1">
        <v>0.03</v>
      </c>
      <c r="I98" s="1">
        <v>0.18</v>
      </c>
      <c r="J98" s="1">
        <v>0.04</v>
      </c>
      <c r="K98" s="1">
        <v>0.14000000000000001</v>
      </c>
      <c r="L98" s="1">
        <v>1.4999999999999999E-2</v>
      </c>
      <c r="M98" s="2" t="s">
        <v>175</v>
      </c>
      <c r="N98" s="105">
        <v>250000</v>
      </c>
      <c r="O98" s="119"/>
      <c r="P98" s="119"/>
      <c r="Q98" s="119"/>
      <c r="R98" s="119"/>
      <c r="S98" s="119"/>
      <c r="T98" s="119"/>
      <c r="U98" s="119"/>
      <c r="V98" s="119">
        <v>0.33</v>
      </c>
      <c r="W98" s="119"/>
      <c r="X98" s="119">
        <f t="shared" si="0"/>
        <v>0.33</v>
      </c>
      <c r="Y98" s="118">
        <f t="shared" si="1"/>
        <v>0.33</v>
      </c>
      <c r="Z98" s="109">
        <f t="shared" si="2"/>
        <v>82500</v>
      </c>
      <c r="AA98" s="109">
        <f>'CALCULO GERAL'!$G$10</f>
        <v>6300</v>
      </c>
      <c r="AB98" s="109">
        <f t="shared" si="3"/>
        <v>88800</v>
      </c>
      <c r="AC98" s="109">
        <f>AB98*'CALCULO GERAL'!$C$11</f>
        <v>445687.2</v>
      </c>
      <c r="AD98" s="109">
        <f t="shared" si="4"/>
        <v>72201.326400000005</v>
      </c>
      <c r="AE98" s="109">
        <f t="shared" si="5"/>
        <v>58624.98118848</v>
      </c>
      <c r="AF98" s="109">
        <f t="shared" si="6"/>
        <v>9359.4312000000009</v>
      </c>
      <c r="AG98" s="109">
        <f t="shared" si="7"/>
        <v>43008.8148</v>
      </c>
      <c r="AH98" s="109">
        <v>154.22999999999999</v>
      </c>
      <c r="AI98" s="109">
        <f>((AA98*'CALCULO GERAL'!$C$11))*0.08+20</f>
        <v>2549.576</v>
      </c>
      <c r="AJ98" s="109">
        <v>1010</v>
      </c>
      <c r="AK98" s="109">
        <v>2500</v>
      </c>
      <c r="AL98" s="109">
        <f>(AA98*('CALCULO GERAL'!$C$11*1.02))-(AA98*'CALCULO GERAL'!$C$11)</f>
        <v>632.39400000000387</v>
      </c>
      <c r="AM98" s="109">
        <v>1800</v>
      </c>
      <c r="AN98" s="109">
        <v>2600</v>
      </c>
      <c r="AO98" s="109">
        <v>9400</v>
      </c>
      <c r="AP98" s="109">
        <v>1000</v>
      </c>
      <c r="AQ98" s="109">
        <v>0</v>
      </c>
      <c r="AR98" s="109">
        <v>0</v>
      </c>
      <c r="AS98" s="109"/>
      <c r="AT98" s="109">
        <f t="shared" si="34"/>
        <v>650527.95358848001</v>
      </c>
      <c r="AU98" s="111">
        <f t="shared" si="8"/>
        <v>2.6021118143539201</v>
      </c>
      <c r="AV98" s="109">
        <f>IFERROR((BS98*'CALCULO GERAL'!$E$11)/N98,0)</f>
        <v>7.5285000000000005E-2</v>
      </c>
      <c r="AW98" s="109">
        <f>AU98/'CALCULO GERAL'!$C$11</f>
        <v>0.51845224434228332</v>
      </c>
      <c r="AX98" s="109">
        <f>BP98-BB98-BD98*'CALCULO GERAL'!$C$11</f>
        <v>1.7923443236615162</v>
      </c>
      <c r="AY98" s="109">
        <f t="shared" si="9"/>
        <v>1.1650238103799854E-2</v>
      </c>
      <c r="AZ98" s="109">
        <f t="shared" si="10"/>
        <v>5.3770329709845487E-2</v>
      </c>
      <c r="BA98" s="109">
        <f t="shared" si="11"/>
        <v>3.3814678404599352</v>
      </c>
      <c r="BB98" s="109">
        <f t="shared" si="12"/>
        <v>5.0722017606899025E-2</v>
      </c>
      <c r="BC98" s="109">
        <f t="shared" si="13"/>
        <v>3.3814678404599356</v>
      </c>
      <c r="BD98" s="109">
        <f t="shared" si="14"/>
        <v>0.38278215954006473</v>
      </c>
      <c r="BE98" s="109">
        <f t="shared" si="15"/>
        <v>75285</v>
      </c>
      <c r="BF98" s="109">
        <f t="shared" si="16"/>
        <v>112927.5</v>
      </c>
      <c r="BG98" s="109">
        <f t="shared" si="17"/>
        <v>4.06539E-2</v>
      </c>
      <c r="BH98" s="109">
        <f t="shared" si="18"/>
        <v>4.5171000000000003E-2</v>
      </c>
      <c r="BI98" s="109">
        <f t="shared" si="19"/>
        <v>-6.114004000000001E-3</v>
      </c>
      <c r="BJ98" s="109">
        <f t="shared" si="20"/>
        <v>0.6539206409606092</v>
      </c>
      <c r="BK98" s="109">
        <f t="shared" si="35"/>
        <v>3.2560324553145295</v>
      </c>
      <c r="BL98" s="148">
        <v>0.7</v>
      </c>
      <c r="BM98" s="112">
        <f>ROUND((AW98/BL98)+((AW98*BL98)*'CALCULO GERAL'!$E$11)/BL98,2)</f>
        <v>0.75</v>
      </c>
      <c r="BN98" s="186">
        <f t="shared" si="21"/>
        <v>0.75</v>
      </c>
      <c r="BO98" s="186">
        <f t="shared" si="36"/>
        <v>0.879</v>
      </c>
      <c r="BP98" s="109">
        <f>BM98*'CALCULO GERAL'!$C$11</f>
        <v>3.7642500000000001</v>
      </c>
      <c r="BQ98" s="109">
        <f>BO98*'CALCULO GERAL'!$C$11</f>
        <v>4.4117009999999999</v>
      </c>
      <c r="BR98" s="186">
        <f>BN98*'CALCULO GERAL'!$C$11</f>
        <v>3.7642500000000001</v>
      </c>
      <c r="BS98" s="109">
        <f t="shared" si="22"/>
        <v>941062.5</v>
      </c>
      <c r="BT98" s="109">
        <f t="shared" si="23"/>
        <v>941062.5</v>
      </c>
      <c r="BU98" s="109">
        <f t="shared" si="40"/>
        <v>814008.1138286324</v>
      </c>
      <c r="BV98" s="109">
        <f t="shared" si="37"/>
        <v>127054.3861713676</v>
      </c>
      <c r="BW98" s="114">
        <f t="shared" si="24"/>
        <v>0.13501163437217784</v>
      </c>
      <c r="BX98" s="152">
        <f t="shared" si="41"/>
        <v>0.7</v>
      </c>
      <c r="BZ98" s="55"/>
      <c r="CA98" s="113"/>
      <c r="CB98" s="113"/>
      <c r="CD98" s="152">
        <f t="shared" si="42"/>
        <v>0</v>
      </c>
      <c r="CE98" s="152">
        <f t="shared" si="38"/>
        <v>1</v>
      </c>
      <c r="CF98" s="152">
        <f t="shared" si="39"/>
        <v>1</v>
      </c>
      <c r="CG98" s="34"/>
      <c r="CI98" s="11"/>
      <c r="CJ98" s="11"/>
    </row>
    <row r="99" spans="1:88" s="152" customFormat="1" x14ac:dyDescent="0.2">
      <c r="A99" s="340" t="s">
        <v>553</v>
      </c>
      <c r="B99" s="338" t="s">
        <v>545</v>
      </c>
      <c r="C99" s="339">
        <v>0.18</v>
      </c>
      <c r="D99" s="339">
        <v>7.6700000000000004E-2</v>
      </c>
      <c r="E99" s="339">
        <v>2.1000000000000001E-2</v>
      </c>
      <c r="F99" s="339">
        <v>9.6500000000000002E-2</v>
      </c>
      <c r="G99" s="1">
        <v>6.4999999999999997E-3</v>
      </c>
      <c r="H99" s="1">
        <v>0.03</v>
      </c>
      <c r="I99" s="1">
        <v>0.18</v>
      </c>
      <c r="J99" s="1">
        <v>0.04</v>
      </c>
      <c r="K99" s="1">
        <v>0.14000000000000001</v>
      </c>
      <c r="L99" s="1">
        <v>1.4999999999999999E-2</v>
      </c>
      <c r="M99" s="2" t="s">
        <v>175</v>
      </c>
      <c r="N99" s="105">
        <v>750</v>
      </c>
      <c r="O99" s="119"/>
      <c r="P99" s="119"/>
      <c r="Q99" s="119"/>
      <c r="R99" s="119"/>
      <c r="S99" s="119"/>
      <c r="T99" s="119"/>
      <c r="U99" s="119"/>
      <c r="V99" s="119"/>
      <c r="W99" s="119"/>
      <c r="X99" s="119">
        <f t="shared" si="0"/>
        <v>0</v>
      </c>
      <c r="Y99" s="118" t="e">
        <f t="shared" si="1"/>
        <v>#DIV/0!</v>
      </c>
      <c r="Z99" s="109" t="e">
        <f t="shared" si="2"/>
        <v>#DIV/0!</v>
      </c>
      <c r="AA99" s="109">
        <f>'CALCULO GERAL'!$G$10</f>
        <v>6300</v>
      </c>
      <c r="AB99" s="109" t="e">
        <f t="shared" si="3"/>
        <v>#DIV/0!</v>
      </c>
      <c r="AC99" s="109" t="e">
        <f>AB99*'CALCULO GERAL'!$C$11</f>
        <v>#DIV/0!</v>
      </c>
      <c r="AD99" s="109" t="e">
        <f t="shared" si="4"/>
        <v>#DIV/0!</v>
      </c>
      <c r="AE99" s="109" t="e">
        <f t="shared" si="5"/>
        <v>#DIV/0!</v>
      </c>
      <c r="AF99" s="109" t="e">
        <f t="shared" si="6"/>
        <v>#DIV/0!</v>
      </c>
      <c r="AG99" s="109" t="e">
        <f t="shared" si="7"/>
        <v>#DIV/0!</v>
      </c>
      <c r="AH99" s="109">
        <v>154.22999999999999</v>
      </c>
      <c r="AI99" s="109">
        <f>((AA99*'CALCULO GERAL'!$C$11))*0.08+20</f>
        <v>2549.576</v>
      </c>
      <c r="AJ99" s="109">
        <v>1010</v>
      </c>
      <c r="AK99" s="109">
        <v>2500</v>
      </c>
      <c r="AL99" s="109">
        <f>(AA99*('CALCULO GERAL'!$C$11*1.02))-(AA99*'CALCULO GERAL'!$C$11)</f>
        <v>632.39400000000387</v>
      </c>
      <c r="AM99" s="109">
        <v>1800</v>
      </c>
      <c r="AN99" s="109">
        <v>2600</v>
      </c>
      <c r="AO99" s="109">
        <v>9400</v>
      </c>
      <c r="AP99" s="109">
        <v>1000</v>
      </c>
      <c r="AQ99" s="109">
        <v>0</v>
      </c>
      <c r="AR99" s="109">
        <v>0</v>
      </c>
      <c r="AS99" s="109"/>
      <c r="AT99" s="109" t="e">
        <f t="shared" si="34"/>
        <v>#DIV/0!</v>
      </c>
      <c r="AU99" s="111">
        <f t="shared" si="8"/>
        <v>0</v>
      </c>
      <c r="AV99" s="109">
        <f>IFERROR((BS99*'CALCULO GERAL'!$E$11)/N99,0)</f>
        <v>0</v>
      </c>
      <c r="AW99" s="109">
        <f>AU99/'CALCULO GERAL'!$C$11</f>
        <v>0</v>
      </c>
      <c r="AX99" s="109">
        <f>BP99-BB99-BD99*'CALCULO GERAL'!$C$11</f>
        <v>0</v>
      </c>
      <c r="AY99" s="109">
        <f t="shared" si="9"/>
        <v>0</v>
      </c>
      <c r="AZ99" s="109">
        <f t="shared" si="10"/>
        <v>0</v>
      </c>
      <c r="BA99" s="109">
        <f t="shared" si="11"/>
        <v>0</v>
      </c>
      <c r="BB99" s="109">
        <f t="shared" si="12"/>
        <v>0</v>
      </c>
      <c r="BC99" s="109">
        <f t="shared" si="13"/>
        <v>0</v>
      </c>
      <c r="BD99" s="109">
        <f t="shared" si="14"/>
        <v>0</v>
      </c>
      <c r="BE99" s="109">
        <f t="shared" si="15"/>
        <v>0</v>
      </c>
      <c r="BF99" s="109">
        <f t="shared" si="16"/>
        <v>0</v>
      </c>
      <c r="BG99" s="109">
        <f t="shared" si="17"/>
        <v>0</v>
      </c>
      <c r="BH99" s="109">
        <f t="shared" si="18"/>
        <v>0</v>
      </c>
      <c r="BI99" s="109">
        <f t="shared" si="19"/>
        <v>0</v>
      </c>
      <c r="BJ99" s="109">
        <f t="shared" si="20"/>
        <v>0</v>
      </c>
      <c r="BK99" s="109">
        <f t="shared" si="35"/>
        <v>0</v>
      </c>
      <c r="BL99" s="148">
        <v>0.7</v>
      </c>
      <c r="BM99" s="112">
        <f>ROUND((AW99/BL99)+((AW99*BL99)*'CALCULO GERAL'!$E$11)/BL99,2)</f>
        <v>0</v>
      </c>
      <c r="BN99" s="186">
        <f t="shared" si="21"/>
        <v>0</v>
      </c>
      <c r="BO99" s="186">
        <f t="shared" si="36"/>
        <v>0</v>
      </c>
      <c r="BP99" s="109">
        <f>BM99*'CALCULO GERAL'!$C$11</f>
        <v>0</v>
      </c>
      <c r="BQ99" s="109">
        <f>BO99*'CALCULO GERAL'!$C$11</f>
        <v>0</v>
      </c>
      <c r="BR99" s="186">
        <f>BN99*'CALCULO GERAL'!$C$11</f>
        <v>0</v>
      </c>
      <c r="BS99" s="109">
        <f t="shared" si="22"/>
        <v>0</v>
      </c>
      <c r="BT99" s="109">
        <f t="shared" si="23"/>
        <v>0</v>
      </c>
      <c r="BU99" s="109">
        <f t="shared" si="40"/>
        <v>0</v>
      </c>
      <c r="BV99" s="109">
        <f t="shared" si="37"/>
        <v>0</v>
      </c>
      <c r="BW99" s="114" t="e">
        <f t="shared" si="24"/>
        <v>#DIV/0!</v>
      </c>
      <c r="BX99" s="152">
        <f t="shared" si="41"/>
        <v>0.7</v>
      </c>
      <c r="BZ99" s="55"/>
      <c r="CA99" s="113"/>
      <c r="CB99" s="113"/>
      <c r="CD99" s="152">
        <f t="shared" si="42"/>
        <v>0</v>
      </c>
      <c r="CE99" s="152">
        <f t="shared" si="38"/>
        <v>1</v>
      </c>
      <c r="CF99" s="152">
        <f t="shared" si="39"/>
        <v>1</v>
      </c>
      <c r="CG99" s="34"/>
      <c r="CI99" s="11"/>
      <c r="CJ99" s="11"/>
    </row>
    <row r="100" spans="1:88" s="152" customFormat="1" x14ac:dyDescent="0.2">
      <c r="A100" s="351" t="s">
        <v>570</v>
      </c>
      <c r="B100" s="352" t="s">
        <v>571</v>
      </c>
      <c r="C100" s="356">
        <v>0.35</v>
      </c>
      <c r="D100" s="356">
        <v>8.77E-2</v>
      </c>
      <c r="E100" s="353">
        <v>2.1000000000000001E-2</v>
      </c>
      <c r="F100" s="353">
        <v>0.1065</v>
      </c>
      <c r="G100" s="1">
        <v>6.4999999999999997E-3</v>
      </c>
      <c r="H100" s="1">
        <v>0.03</v>
      </c>
      <c r="I100" s="1">
        <v>0.18</v>
      </c>
      <c r="J100" s="1">
        <v>0.04</v>
      </c>
      <c r="K100" s="1">
        <v>0.14000000000000001</v>
      </c>
      <c r="L100" s="1">
        <v>1.4999999999999999E-2</v>
      </c>
      <c r="M100" s="2" t="s">
        <v>175</v>
      </c>
      <c r="N100" s="105">
        <v>10860</v>
      </c>
      <c r="O100" s="119"/>
      <c r="P100" s="119"/>
      <c r="Q100" s="119"/>
      <c r="R100" s="119"/>
      <c r="S100" s="119"/>
      <c r="T100" s="119"/>
      <c r="U100" s="119"/>
      <c r="V100" s="119"/>
      <c r="W100" s="119"/>
      <c r="X100" s="119">
        <f>MIN(O100:W100)</f>
        <v>0</v>
      </c>
      <c r="Y100" s="118" t="e">
        <f>AVERAGE(O100:W100)</f>
        <v>#DIV/0!</v>
      </c>
      <c r="Z100" s="109" t="e">
        <f>Y100*N100</f>
        <v>#DIV/0!</v>
      </c>
      <c r="AA100" s="109">
        <f>'CALCULO GERAL'!$G$10</f>
        <v>6300</v>
      </c>
      <c r="AB100" s="109" t="e">
        <f>Z100+AA100</f>
        <v>#DIV/0!</v>
      </c>
      <c r="AC100" s="109" t="e">
        <f>AB100*'CALCULO GERAL'!$C$11</f>
        <v>#DIV/0!</v>
      </c>
      <c r="AD100" s="109" t="e">
        <f>AC100*C100</f>
        <v>#DIV/0!</v>
      </c>
      <c r="AE100" s="109" t="e">
        <f>(AC100+AD100)*D100</f>
        <v>#DIV/0!</v>
      </c>
      <c r="AF100" s="109" t="e">
        <f>AC100*E100</f>
        <v>#DIV/0!</v>
      </c>
      <c r="AG100" s="109" t="e">
        <f>AC100*F100</f>
        <v>#DIV/0!</v>
      </c>
      <c r="AH100" s="109">
        <v>154.22999999999999</v>
      </c>
      <c r="AI100" s="109">
        <f>((AA100*'CALCULO GERAL'!$C$11))*0.08+20</f>
        <v>2549.576</v>
      </c>
      <c r="AJ100" s="109">
        <v>1010</v>
      </c>
      <c r="AK100" s="109">
        <v>2500</v>
      </c>
      <c r="AL100" s="109">
        <f>(AA100*('CALCULO GERAL'!$C$11*1.02))-(AA100*'CALCULO GERAL'!$C$11)</f>
        <v>632.39400000000387</v>
      </c>
      <c r="AM100" s="109">
        <v>1800</v>
      </c>
      <c r="AN100" s="109">
        <v>2600</v>
      </c>
      <c r="AO100" s="109">
        <v>9400</v>
      </c>
      <c r="AP100" s="109">
        <v>1000</v>
      </c>
      <c r="AQ100" s="109">
        <v>0</v>
      </c>
      <c r="AR100" s="109">
        <v>0</v>
      </c>
      <c r="AS100" s="109"/>
      <c r="AT100" s="109" t="e">
        <f>SUM(AC100:AS100)</f>
        <v>#DIV/0!</v>
      </c>
      <c r="AU100" s="111">
        <f>IFERROR((AT100/N100),0)</f>
        <v>0</v>
      </c>
      <c r="AV100" s="109">
        <f>IFERROR((BS100*'CALCULO GERAL'!$E$11)/N100,0)</f>
        <v>0</v>
      </c>
      <c r="AW100" s="109">
        <f>AU100/'CALCULO GERAL'!$C$11</f>
        <v>0</v>
      </c>
      <c r="AX100" s="109">
        <f>BP100-BB100-BD100*'CALCULO GERAL'!$C$11</f>
        <v>0</v>
      </c>
      <c r="AY100" s="109">
        <f>AX100*G100</f>
        <v>0</v>
      </c>
      <c r="AZ100" s="109">
        <f>AX100*H100</f>
        <v>0</v>
      </c>
      <c r="BA100" s="109">
        <f>BP100-BD100</f>
        <v>0</v>
      </c>
      <c r="BB100" s="109">
        <f>BA100*L100</f>
        <v>0</v>
      </c>
      <c r="BC100" s="109">
        <f>BP100/(1+D100)</f>
        <v>0</v>
      </c>
      <c r="BD100" s="109">
        <f>BC100*D100</f>
        <v>0</v>
      </c>
      <c r="BE100" s="109">
        <f>BT100*0.08</f>
        <v>0</v>
      </c>
      <c r="BF100" s="109">
        <f>BT100*0.12</f>
        <v>0</v>
      </c>
      <c r="BG100" s="109">
        <f>(BF100*0.09)/N100</f>
        <v>0</v>
      </c>
      <c r="BH100" s="109">
        <f>(BE100*0.15)/N100</f>
        <v>0</v>
      </c>
      <c r="BI100" s="109">
        <f>IF(BE100&gt;=$BX$1,($BX$1-BE100)*0.1,IF(BE100&lt;=$BX$1,($BX$1*0)))/N100</f>
        <v>0</v>
      </c>
      <c r="BJ100" s="109">
        <f>(AY100+AZ100+BB100+AV100+BD100+BG100+BH100+BI100)</f>
        <v>0</v>
      </c>
      <c r="BK100" s="109">
        <f>BJ100+AU100</f>
        <v>0</v>
      </c>
      <c r="BL100" s="148">
        <v>0.7</v>
      </c>
      <c r="BM100" s="112">
        <f>ROUND((AW100/BL100)+((AW100*BL100)*'CALCULO GERAL'!$E$11)/BL100,2)</f>
        <v>0</v>
      </c>
      <c r="BN100" s="186">
        <f>BM100</f>
        <v>0</v>
      </c>
      <c r="BO100" s="186">
        <f>ROUND(FV(0.02,8,,BN100)*-1,3)</f>
        <v>0</v>
      </c>
      <c r="BP100" s="109">
        <f>BM100*'CALCULO GERAL'!$C$11</f>
        <v>0</v>
      </c>
      <c r="BQ100" s="109">
        <f>BO100*'CALCULO GERAL'!$C$11</f>
        <v>0</v>
      </c>
      <c r="BR100" s="186">
        <f>BN100*'CALCULO GERAL'!$C$11</f>
        <v>0</v>
      </c>
      <c r="BS100" s="109">
        <f>BP100*N100</f>
        <v>0</v>
      </c>
      <c r="BT100" s="109">
        <f>BR100*N100</f>
        <v>0</v>
      </c>
      <c r="BU100" s="109">
        <f>BK100*N100</f>
        <v>0</v>
      </c>
      <c r="BV100" s="109">
        <f>BS100-BU100</f>
        <v>0</v>
      </c>
      <c r="BW100" s="114" t="e">
        <f>(((BK100*N100)-BS100)/BS100*-1)</f>
        <v>#DIV/0!</v>
      </c>
      <c r="BX100" s="152">
        <f>ROUND(BL100,2)</f>
        <v>0.7</v>
      </c>
      <c r="BZ100" s="55"/>
      <c r="CA100" s="113"/>
      <c r="CB100" s="113"/>
      <c r="CD100" s="152">
        <f>CB100/BX100</f>
        <v>0</v>
      </c>
      <c r="CE100" s="152">
        <f>100%-CD100</f>
        <v>1</v>
      </c>
      <c r="CF100" s="152">
        <f>AVERAGE(CE100,CC100)</f>
        <v>1</v>
      </c>
      <c r="CG100" s="34"/>
      <c r="CI100" s="11"/>
      <c r="CJ100" s="11"/>
    </row>
    <row r="101" spans="1:88" s="152" customFormat="1" ht="14.25" customHeight="1" x14ac:dyDescent="0.2">
      <c r="A101" s="340" t="s">
        <v>556</v>
      </c>
      <c r="B101" s="338" t="s">
        <v>557</v>
      </c>
      <c r="C101" s="339">
        <v>0.112</v>
      </c>
      <c r="D101" s="339">
        <v>0</v>
      </c>
      <c r="E101" s="339">
        <v>2.1000000000000001E-2</v>
      </c>
      <c r="F101" s="339">
        <v>0.1045</v>
      </c>
      <c r="G101" s="1">
        <v>6.4999999999999997E-3</v>
      </c>
      <c r="H101" s="1">
        <v>0.03</v>
      </c>
      <c r="I101" s="1">
        <v>0.18</v>
      </c>
      <c r="J101" s="1">
        <v>0.04</v>
      </c>
      <c r="K101" s="1">
        <v>0.14000000000000001</v>
      </c>
      <c r="L101" s="1">
        <v>1.4999999999999999E-2</v>
      </c>
      <c r="M101" s="2" t="s">
        <v>175</v>
      </c>
      <c r="N101" s="105">
        <v>25</v>
      </c>
      <c r="O101" s="119"/>
      <c r="P101" s="119"/>
      <c r="Q101" s="119"/>
      <c r="R101" s="119"/>
      <c r="S101" s="119"/>
      <c r="T101" s="119"/>
      <c r="U101" s="119"/>
      <c r="V101" s="119"/>
      <c r="W101" s="119"/>
      <c r="X101" s="119">
        <f t="shared" si="0"/>
        <v>0</v>
      </c>
      <c r="Y101" s="118" t="e">
        <f t="shared" si="1"/>
        <v>#DIV/0!</v>
      </c>
      <c r="Z101" s="109" t="e">
        <f t="shared" si="2"/>
        <v>#DIV/0!</v>
      </c>
      <c r="AA101" s="109">
        <f>'CALCULO GERAL'!$G$10</f>
        <v>6300</v>
      </c>
      <c r="AB101" s="109" t="e">
        <f t="shared" si="3"/>
        <v>#DIV/0!</v>
      </c>
      <c r="AC101" s="109" t="e">
        <f>AB101*'CALCULO GERAL'!$C$11</f>
        <v>#DIV/0!</v>
      </c>
      <c r="AD101" s="109" t="e">
        <f t="shared" si="4"/>
        <v>#DIV/0!</v>
      </c>
      <c r="AE101" s="109" t="e">
        <f t="shared" si="5"/>
        <v>#DIV/0!</v>
      </c>
      <c r="AF101" s="109" t="e">
        <f t="shared" si="6"/>
        <v>#DIV/0!</v>
      </c>
      <c r="AG101" s="109" t="e">
        <f t="shared" si="7"/>
        <v>#DIV/0!</v>
      </c>
      <c r="AH101" s="109">
        <v>154.22999999999999</v>
      </c>
      <c r="AI101" s="109">
        <f>((AA101*'CALCULO GERAL'!$C$11))*0.08+20</f>
        <v>2549.576</v>
      </c>
      <c r="AJ101" s="109">
        <v>1010</v>
      </c>
      <c r="AK101" s="109">
        <v>2500</v>
      </c>
      <c r="AL101" s="109">
        <f>(AA101*('CALCULO GERAL'!$C$11*1.02))-(AA101*'CALCULO GERAL'!$C$11)</f>
        <v>632.39400000000387</v>
      </c>
      <c r="AM101" s="109">
        <v>1800</v>
      </c>
      <c r="AN101" s="109">
        <v>2600</v>
      </c>
      <c r="AO101" s="109">
        <v>9400</v>
      </c>
      <c r="AP101" s="109">
        <v>1000</v>
      </c>
      <c r="AQ101" s="109">
        <v>0</v>
      </c>
      <c r="AR101" s="109">
        <v>0</v>
      </c>
      <c r="AS101" s="109"/>
      <c r="AT101" s="109" t="e">
        <f t="shared" si="34"/>
        <v>#DIV/0!</v>
      </c>
      <c r="AU101" s="111">
        <f t="shared" si="8"/>
        <v>0</v>
      </c>
      <c r="AV101" s="109">
        <f>IFERROR((BS101*'CALCULO GERAL'!$E$11)/N101,0)</f>
        <v>0</v>
      </c>
      <c r="AW101" s="109">
        <f>AU101/'CALCULO GERAL'!$C$11</f>
        <v>0</v>
      </c>
      <c r="AX101" s="109">
        <f>BP101-BB101-BD101*'CALCULO GERAL'!$C$11</f>
        <v>0</v>
      </c>
      <c r="AY101" s="109">
        <f t="shared" si="9"/>
        <v>0</v>
      </c>
      <c r="AZ101" s="109">
        <f t="shared" si="10"/>
        <v>0</v>
      </c>
      <c r="BA101" s="109">
        <f t="shared" si="11"/>
        <v>0</v>
      </c>
      <c r="BB101" s="109">
        <f t="shared" si="12"/>
        <v>0</v>
      </c>
      <c r="BC101" s="109">
        <f t="shared" si="13"/>
        <v>0</v>
      </c>
      <c r="BD101" s="109">
        <f t="shared" si="14"/>
        <v>0</v>
      </c>
      <c r="BE101" s="109">
        <f t="shared" si="15"/>
        <v>0</v>
      </c>
      <c r="BF101" s="109">
        <f t="shared" si="16"/>
        <v>0</v>
      </c>
      <c r="BG101" s="109">
        <f t="shared" si="17"/>
        <v>0</v>
      </c>
      <c r="BH101" s="109">
        <f t="shared" si="18"/>
        <v>0</v>
      </c>
      <c r="BI101" s="109">
        <f t="shared" si="19"/>
        <v>0</v>
      </c>
      <c r="BJ101" s="109">
        <f t="shared" si="20"/>
        <v>0</v>
      </c>
      <c r="BK101" s="109">
        <f t="shared" si="35"/>
        <v>0</v>
      </c>
      <c r="BL101" s="148">
        <v>0.7</v>
      </c>
      <c r="BM101" s="112">
        <f>ROUND((AW101/BL101)+((AW101*BL101)*'CALCULO GERAL'!$E$11)/BL101,2)</f>
        <v>0</v>
      </c>
      <c r="BN101" s="186">
        <f t="shared" si="21"/>
        <v>0</v>
      </c>
      <c r="BO101" s="186">
        <f t="shared" si="36"/>
        <v>0</v>
      </c>
      <c r="BP101" s="109">
        <f>BM101*'CALCULO GERAL'!$C$11</f>
        <v>0</v>
      </c>
      <c r="BQ101" s="109">
        <f>BO101*'CALCULO GERAL'!$C$11</f>
        <v>0</v>
      </c>
      <c r="BR101" s="186">
        <f>BN101*'CALCULO GERAL'!$C$11</f>
        <v>0</v>
      </c>
      <c r="BS101" s="109">
        <f t="shared" si="22"/>
        <v>0</v>
      </c>
      <c r="BT101" s="109">
        <f t="shared" si="23"/>
        <v>0</v>
      </c>
      <c r="BU101" s="109">
        <f t="shared" si="40"/>
        <v>0</v>
      </c>
      <c r="BV101" s="109">
        <f t="shared" si="37"/>
        <v>0</v>
      </c>
      <c r="BW101" s="114" t="e">
        <f t="shared" si="24"/>
        <v>#DIV/0!</v>
      </c>
      <c r="BX101" s="152">
        <f t="shared" si="41"/>
        <v>0.7</v>
      </c>
      <c r="BZ101" s="55"/>
      <c r="CA101" s="113"/>
      <c r="CB101" s="113"/>
      <c r="CD101" s="152">
        <f t="shared" si="42"/>
        <v>0</v>
      </c>
      <c r="CE101" s="152">
        <f t="shared" si="38"/>
        <v>1</v>
      </c>
      <c r="CF101" s="152">
        <f t="shared" si="39"/>
        <v>1</v>
      </c>
      <c r="CG101" s="34"/>
      <c r="CI101" s="11"/>
      <c r="CJ101" s="11"/>
    </row>
    <row r="102" spans="1:88" s="152" customFormat="1" ht="14.25" customHeight="1" x14ac:dyDescent="0.2">
      <c r="A102" s="349" t="s">
        <v>578</v>
      </c>
      <c r="B102" s="187" t="s">
        <v>579</v>
      </c>
      <c r="C102" s="339">
        <v>0.14000000000000001</v>
      </c>
      <c r="D102" s="339">
        <v>0</v>
      </c>
      <c r="E102" s="339">
        <v>2.6200000000000001E-2</v>
      </c>
      <c r="F102" s="339">
        <v>0.13370000000000001</v>
      </c>
      <c r="G102" s="1">
        <v>6.4999999999999997E-3</v>
      </c>
      <c r="H102" s="1">
        <v>0.03</v>
      </c>
      <c r="I102" s="1">
        <v>0.18</v>
      </c>
      <c r="J102" s="1">
        <v>0.04</v>
      </c>
      <c r="K102" s="1">
        <v>0.14000000000000001</v>
      </c>
      <c r="L102" s="1">
        <v>1.4999999999999999E-2</v>
      </c>
      <c r="M102" s="2" t="s">
        <v>175</v>
      </c>
      <c r="N102" s="105">
        <v>25</v>
      </c>
      <c r="O102" s="119"/>
      <c r="P102" s="119"/>
      <c r="Q102" s="119"/>
      <c r="R102" s="119"/>
      <c r="S102" s="119"/>
      <c r="T102" s="119"/>
      <c r="U102" s="119"/>
      <c r="V102" s="119"/>
      <c r="W102" s="119"/>
      <c r="X102" s="119">
        <f t="shared" si="0"/>
        <v>0</v>
      </c>
      <c r="Y102" s="118" t="e">
        <f t="shared" si="1"/>
        <v>#DIV/0!</v>
      </c>
      <c r="Z102" s="109" t="e">
        <f t="shared" si="2"/>
        <v>#DIV/0!</v>
      </c>
      <c r="AA102" s="109">
        <f>'CALCULO GERAL'!$G$10</f>
        <v>6300</v>
      </c>
      <c r="AB102" s="109" t="e">
        <f t="shared" si="3"/>
        <v>#DIV/0!</v>
      </c>
      <c r="AC102" s="109" t="e">
        <f>AB102*'CALCULO GERAL'!$C$11</f>
        <v>#DIV/0!</v>
      </c>
      <c r="AD102" s="109" t="e">
        <f t="shared" si="4"/>
        <v>#DIV/0!</v>
      </c>
      <c r="AE102" s="109" t="e">
        <f t="shared" si="5"/>
        <v>#DIV/0!</v>
      </c>
      <c r="AF102" s="109" t="e">
        <f t="shared" si="6"/>
        <v>#DIV/0!</v>
      </c>
      <c r="AG102" s="109" t="e">
        <f t="shared" si="7"/>
        <v>#DIV/0!</v>
      </c>
      <c r="AH102" s="109">
        <v>154.22999999999999</v>
      </c>
      <c r="AI102" s="109">
        <f>((AA102*'CALCULO GERAL'!$C$11))*0.08+20</f>
        <v>2549.576</v>
      </c>
      <c r="AJ102" s="109">
        <v>1010</v>
      </c>
      <c r="AK102" s="109">
        <v>2500</v>
      </c>
      <c r="AL102" s="109">
        <f>(AA102*('CALCULO GERAL'!$C$11*1.02))-(AA102*'CALCULO GERAL'!$C$11)</f>
        <v>632.39400000000387</v>
      </c>
      <c r="AM102" s="109">
        <v>1800</v>
      </c>
      <c r="AN102" s="109">
        <v>2600</v>
      </c>
      <c r="AO102" s="109">
        <v>9400</v>
      </c>
      <c r="AP102" s="109">
        <v>1000</v>
      </c>
      <c r="AQ102" s="109">
        <v>0</v>
      </c>
      <c r="AR102" s="109">
        <v>0</v>
      </c>
      <c r="AS102" s="109"/>
      <c r="AT102" s="109" t="e">
        <f t="shared" si="34"/>
        <v>#DIV/0!</v>
      </c>
      <c r="AU102" s="111">
        <f t="shared" si="8"/>
        <v>0</v>
      </c>
      <c r="AV102" s="109">
        <f>IFERROR((BS102*'CALCULO GERAL'!$E$11)/N102,0)</f>
        <v>0</v>
      </c>
      <c r="AW102" s="109">
        <f>AU102/'CALCULO GERAL'!$C$11</f>
        <v>0</v>
      </c>
      <c r="AX102" s="109">
        <f>BP102-BB102-BD102*'CALCULO GERAL'!$C$11</f>
        <v>0</v>
      </c>
      <c r="AY102" s="109">
        <f t="shared" si="9"/>
        <v>0</v>
      </c>
      <c r="AZ102" s="109">
        <f t="shared" si="10"/>
        <v>0</v>
      </c>
      <c r="BA102" s="109">
        <f t="shared" si="11"/>
        <v>0</v>
      </c>
      <c r="BB102" s="109">
        <f t="shared" si="12"/>
        <v>0</v>
      </c>
      <c r="BC102" s="109">
        <f t="shared" si="13"/>
        <v>0</v>
      </c>
      <c r="BD102" s="109">
        <f t="shared" si="14"/>
        <v>0</v>
      </c>
      <c r="BE102" s="109">
        <f t="shared" si="15"/>
        <v>0</v>
      </c>
      <c r="BF102" s="109">
        <f t="shared" si="16"/>
        <v>0</v>
      </c>
      <c r="BG102" s="109">
        <f t="shared" si="17"/>
        <v>0</v>
      </c>
      <c r="BH102" s="109">
        <f t="shared" si="18"/>
        <v>0</v>
      </c>
      <c r="BI102" s="109">
        <f t="shared" si="19"/>
        <v>0</v>
      </c>
      <c r="BJ102" s="109">
        <f t="shared" si="20"/>
        <v>0</v>
      </c>
      <c r="BK102" s="109">
        <f t="shared" si="35"/>
        <v>0</v>
      </c>
      <c r="BL102" s="148">
        <v>0.7</v>
      </c>
      <c r="BM102" s="112">
        <f>ROUND((AW102/BL102)+((AW102*BL102)*'CALCULO GERAL'!$E$11)/BL102,2)</f>
        <v>0</v>
      </c>
      <c r="BN102" s="186">
        <f t="shared" si="21"/>
        <v>0</v>
      </c>
      <c r="BO102" s="186">
        <f t="shared" si="36"/>
        <v>0</v>
      </c>
      <c r="BP102" s="109">
        <f>BM102*'CALCULO GERAL'!$C$11</f>
        <v>0</v>
      </c>
      <c r="BQ102" s="109">
        <f>BO102*'CALCULO GERAL'!$C$11</f>
        <v>0</v>
      </c>
      <c r="BR102" s="186">
        <f>BN102*'CALCULO GERAL'!$C$11</f>
        <v>0</v>
      </c>
      <c r="BS102" s="109">
        <f t="shared" si="22"/>
        <v>0</v>
      </c>
      <c r="BT102" s="109">
        <f t="shared" si="23"/>
        <v>0</v>
      </c>
      <c r="BU102" s="109">
        <f t="shared" si="40"/>
        <v>0</v>
      </c>
      <c r="BV102" s="109">
        <f t="shared" si="37"/>
        <v>0</v>
      </c>
      <c r="BW102" s="114" t="e">
        <f t="shared" si="24"/>
        <v>#DIV/0!</v>
      </c>
      <c r="BX102" s="152">
        <f t="shared" si="41"/>
        <v>0.7</v>
      </c>
      <c r="BZ102" s="55"/>
      <c r="CA102" s="113"/>
      <c r="CB102" s="113"/>
      <c r="CD102" s="152">
        <f t="shared" si="42"/>
        <v>0</v>
      </c>
      <c r="CE102" s="152">
        <f t="shared" si="38"/>
        <v>1</v>
      </c>
      <c r="CF102" s="152">
        <f t="shared" si="39"/>
        <v>1</v>
      </c>
      <c r="CG102" s="34"/>
      <c r="CI102" s="11"/>
      <c r="CJ102" s="11"/>
    </row>
    <row r="103" spans="1:88" s="152" customFormat="1" x14ac:dyDescent="0.2">
      <c r="A103" s="351" t="s">
        <v>568</v>
      </c>
      <c r="B103" s="352" t="s">
        <v>569</v>
      </c>
      <c r="C103" s="353">
        <v>0.126</v>
      </c>
      <c r="D103" s="353">
        <v>5.8500000000000003E-2</v>
      </c>
      <c r="E103" s="353">
        <v>2.1000000000000001E-2</v>
      </c>
      <c r="F103" s="353">
        <v>9.6500000000000002E-2</v>
      </c>
      <c r="G103" s="1">
        <v>6.4999999999999997E-3</v>
      </c>
      <c r="H103" s="1">
        <v>0.03</v>
      </c>
      <c r="I103" s="1">
        <v>0.18</v>
      </c>
      <c r="J103" s="1">
        <v>0.04</v>
      </c>
      <c r="K103" s="1">
        <v>0.14000000000000001</v>
      </c>
      <c r="L103" s="1">
        <v>1.4999999999999999E-2</v>
      </c>
      <c r="M103" s="2" t="s">
        <v>175</v>
      </c>
      <c r="N103" s="105">
        <v>70</v>
      </c>
      <c r="O103" s="119"/>
      <c r="P103" s="119"/>
      <c r="Q103" s="119"/>
      <c r="R103" s="119"/>
      <c r="S103" s="119"/>
      <c r="T103" s="119"/>
      <c r="U103" s="119"/>
      <c r="V103" s="119">
        <v>370</v>
      </c>
      <c r="W103" s="119"/>
      <c r="X103" s="119">
        <f>MIN(O103:W103)</f>
        <v>370</v>
      </c>
      <c r="Y103" s="118">
        <f>AVERAGE(O103:W103)</f>
        <v>370</v>
      </c>
      <c r="Z103" s="109">
        <f>Y103*N103</f>
        <v>25900</v>
      </c>
      <c r="AA103" s="109">
        <f>'CALCULO GERAL'!$G$10</f>
        <v>6300</v>
      </c>
      <c r="AB103" s="109">
        <f>Z103+AA103</f>
        <v>32200</v>
      </c>
      <c r="AC103" s="109">
        <f>AB103*'CALCULO GERAL'!$C$11</f>
        <v>161611.80000000002</v>
      </c>
      <c r="AD103" s="109">
        <f>AC103*C103</f>
        <v>20363.086800000001</v>
      </c>
      <c r="AE103" s="109">
        <f>(AC103+AD103)*D103</f>
        <v>10645.530877800002</v>
      </c>
      <c r="AF103" s="109">
        <f>AC103*E103</f>
        <v>3393.8478000000005</v>
      </c>
      <c r="AG103" s="109">
        <f>AC103*F103</f>
        <v>15595.538700000003</v>
      </c>
      <c r="AH103" s="109">
        <v>154.22999999999999</v>
      </c>
      <c r="AI103" s="109">
        <f>((AA103*'CALCULO GERAL'!$C$11))*0.08+20</f>
        <v>2549.576</v>
      </c>
      <c r="AJ103" s="109">
        <v>1010</v>
      </c>
      <c r="AK103" s="109">
        <v>2500</v>
      </c>
      <c r="AL103" s="109">
        <f>(AA103*('CALCULO GERAL'!$C$11*1.02))-(AA103*'CALCULO GERAL'!$C$11)</f>
        <v>632.39400000000387</v>
      </c>
      <c r="AM103" s="109">
        <v>1800</v>
      </c>
      <c r="AN103" s="109">
        <v>2600</v>
      </c>
      <c r="AO103" s="109">
        <v>9400</v>
      </c>
      <c r="AP103" s="109">
        <v>1000</v>
      </c>
      <c r="AQ103" s="109">
        <v>0</v>
      </c>
      <c r="AR103" s="109">
        <v>0</v>
      </c>
      <c r="AS103" s="109"/>
      <c r="AT103" s="109">
        <f>SUM(AC103:AS103)</f>
        <v>233256.0041778</v>
      </c>
      <c r="AU103" s="111">
        <f>IFERROR((AT103/N103),0)</f>
        <v>3332.2286311114285</v>
      </c>
      <c r="AV103" s="109">
        <f>IFERROR((BS103*'CALCULO GERAL'!$E$11)/N103,0)</f>
        <v>96.539461200000005</v>
      </c>
      <c r="AW103" s="109">
        <f>AU103/'CALCULO GERAL'!$C$11</f>
        <v>663.9228195081547</v>
      </c>
      <c r="AX103" s="109">
        <f>BP103-BB103-BD103*'CALCULO GERAL'!$C$11</f>
        <v>3419.6425011845158</v>
      </c>
      <c r="AY103" s="109">
        <f>AX103*G103</f>
        <v>22.227676257699351</v>
      </c>
      <c r="AZ103" s="109">
        <f>AX103*H103</f>
        <v>102.58927503553547</v>
      </c>
      <c r="BA103" s="109">
        <f>BP103-BD103</f>
        <v>4560.2012848370341</v>
      </c>
      <c r="BB103" s="109">
        <f>BA103*L103</f>
        <v>68.403019272555511</v>
      </c>
      <c r="BC103" s="109">
        <f>BP103/(1+D103)</f>
        <v>4560.2012848370341</v>
      </c>
      <c r="BD103" s="109">
        <f>BC103*D103</f>
        <v>266.77177516296649</v>
      </c>
      <c r="BE103" s="109">
        <f>BT103*0.08</f>
        <v>27031.049136000001</v>
      </c>
      <c r="BF103" s="109">
        <f>BT103*0.12</f>
        <v>40546.573704000002</v>
      </c>
      <c r="BG103" s="109">
        <f>(BF103*0.09)/N103</f>
        <v>52.131309048000006</v>
      </c>
      <c r="BH103" s="109">
        <f>(BE103*0.15)/N103</f>
        <v>57.923676720000003</v>
      </c>
      <c r="BI103" s="109">
        <f>IF(BE103&gt;=$BX$1,($BX$1-BE103)*0.1,IF(BE103&lt;=$BX$1,($BX$1*0)))/N103</f>
        <v>0</v>
      </c>
      <c r="BJ103" s="109">
        <f>(AY103+AZ103+BB103+AV103+BD103+BG103+BH103+BI103)</f>
        <v>666.58619269675683</v>
      </c>
      <c r="BK103" s="109">
        <f>BJ103+AU103</f>
        <v>3998.8148238081853</v>
      </c>
      <c r="BL103" s="148">
        <v>0.7</v>
      </c>
      <c r="BM103" s="112">
        <f>ROUND((AW103/BL103)+((AW103*BL103)*'CALCULO GERAL'!$E$11)/BL103,2)</f>
        <v>961.74</v>
      </c>
      <c r="BN103" s="186">
        <f>BM103</f>
        <v>961.74</v>
      </c>
      <c r="BO103" s="186">
        <f>ROUND(FV(0.02,8,,BN103)*-1,3)</f>
        <v>1126.8320000000001</v>
      </c>
      <c r="BP103" s="109">
        <f>BM103*'CALCULO GERAL'!$C$11</f>
        <v>4826.9730600000003</v>
      </c>
      <c r="BQ103" s="109">
        <f>BO103*'CALCULO GERAL'!$C$11</f>
        <v>5655.5698080000011</v>
      </c>
      <c r="BR103" s="186">
        <f>BN103*'CALCULO GERAL'!$C$11</f>
        <v>4826.9730600000003</v>
      </c>
      <c r="BS103" s="109">
        <f>BP103*N103</f>
        <v>337888.11420000001</v>
      </c>
      <c r="BT103" s="109">
        <f>BR103*N103</f>
        <v>337888.11420000001</v>
      </c>
      <c r="BU103" s="109">
        <f>BK103*N103</f>
        <v>279917.03766657296</v>
      </c>
      <c r="BV103" s="109">
        <f>BS103-BU103</f>
        <v>57971.076533427055</v>
      </c>
      <c r="BW103" s="114">
        <f>(((BK103*N103)-BS103)/BS103*-1)</f>
        <v>0.17156885399973934</v>
      </c>
      <c r="BX103" s="152">
        <f>ROUND(BL103,2)</f>
        <v>0.7</v>
      </c>
      <c r="BZ103" s="55"/>
      <c r="CA103" s="113"/>
      <c r="CB103" s="113"/>
      <c r="CD103" s="152">
        <f>CB103/BX103</f>
        <v>0</v>
      </c>
      <c r="CE103" s="152">
        <f>100%-CD103</f>
        <v>1</v>
      </c>
      <c r="CF103" s="152">
        <f>AVERAGE(CE103,CC103)</f>
        <v>1</v>
      </c>
      <c r="CG103" s="34"/>
      <c r="CI103" s="11"/>
      <c r="CJ103" s="11"/>
    </row>
    <row r="104" spans="1:88" s="152" customFormat="1" x14ac:dyDescent="0.2">
      <c r="A104" s="340" t="s">
        <v>554</v>
      </c>
      <c r="B104" s="338" t="s">
        <v>546</v>
      </c>
      <c r="C104" s="339">
        <v>0.16200000000000001</v>
      </c>
      <c r="D104" s="339">
        <v>0.1132</v>
      </c>
      <c r="E104" s="339">
        <v>2.1000000000000001E-2</v>
      </c>
      <c r="F104" s="339">
        <v>9.6500000000000002E-2</v>
      </c>
      <c r="G104" s="1">
        <v>6.4999999999999997E-3</v>
      </c>
      <c r="H104" s="1">
        <v>0.03</v>
      </c>
      <c r="I104" s="1">
        <v>0.18</v>
      </c>
      <c r="J104" s="1">
        <v>0.04</v>
      </c>
      <c r="K104" s="1">
        <v>0.14000000000000001</v>
      </c>
      <c r="L104" s="1">
        <v>1.4999999999999999E-2</v>
      </c>
      <c r="M104" s="2" t="s">
        <v>175</v>
      </c>
      <c r="N104" s="105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>
        <f t="shared" si="0"/>
        <v>0</v>
      </c>
      <c r="Y104" s="118" t="e">
        <f t="shared" si="1"/>
        <v>#DIV/0!</v>
      </c>
      <c r="Z104" s="109" t="e">
        <f t="shared" si="2"/>
        <v>#DIV/0!</v>
      </c>
      <c r="AA104" s="109">
        <f>'CALCULO GERAL'!$G$10</f>
        <v>6300</v>
      </c>
      <c r="AB104" s="109" t="e">
        <f t="shared" si="3"/>
        <v>#DIV/0!</v>
      </c>
      <c r="AC104" s="109" t="e">
        <f>AB104*'CALCULO GERAL'!$C$11</f>
        <v>#DIV/0!</v>
      </c>
      <c r="AD104" s="109" t="e">
        <f t="shared" si="4"/>
        <v>#DIV/0!</v>
      </c>
      <c r="AE104" s="109" t="e">
        <f t="shared" si="5"/>
        <v>#DIV/0!</v>
      </c>
      <c r="AF104" s="109" t="e">
        <f t="shared" si="6"/>
        <v>#DIV/0!</v>
      </c>
      <c r="AG104" s="109" t="e">
        <f t="shared" si="7"/>
        <v>#DIV/0!</v>
      </c>
      <c r="AH104" s="109">
        <v>154.22999999999999</v>
      </c>
      <c r="AI104" s="109">
        <f>((AA104*'CALCULO GERAL'!$C$11))*0.08+20</f>
        <v>2549.576</v>
      </c>
      <c r="AJ104" s="109">
        <v>1010</v>
      </c>
      <c r="AK104" s="109">
        <v>2500</v>
      </c>
      <c r="AL104" s="109">
        <f>(AA104*('CALCULO GERAL'!$C$11*1.02))-(AA104*'CALCULO GERAL'!$C$11)</f>
        <v>632.39400000000387</v>
      </c>
      <c r="AM104" s="109">
        <v>1800</v>
      </c>
      <c r="AN104" s="109">
        <v>2600</v>
      </c>
      <c r="AO104" s="109">
        <v>9400</v>
      </c>
      <c r="AP104" s="109">
        <v>1000</v>
      </c>
      <c r="AQ104" s="109">
        <v>0</v>
      </c>
      <c r="AR104" s="109">
        <v>0</v>
      </c>
      <c r="AS104" s="109"/>
      <c r="AT104" s="109" t="e">
        <f t="shared" si="34"/>
        <v>#DIV/0!</v>
      </c>
      <c r="AU104" s="111">
        <f t="shared" si="8"/>
        <v>0</v>
      </c>
      <c r="AV104" s="109">
        <f>IFERROR((BS104*'CALCULO GERAL'!$E$11)/N104,0)</f>
        <v>0</v>
      </c>
      <c r="AW104" s="109">
        <f>AU104/'CALCULO GERAL'!$C$11</f>
        <v>0</v>
      </c>
      <c r="AX104" s="109">
        <f>BP104-BB104-BD104*'CALCULO GERAL'!$C$11</f>
        <v>0</v>
      </c>
      <c r="AY104" s="109">
        <f t="shared" si="9"/>
        <v>0</v>
      </c>
      <c r="AZ104" s="109">
        <f t="shared" si="10"/>
        <v>0</v>
      </c>
      <c r="BA104" s="109">
        <f t="shared" si="11"/>
        <v>0</v>
      </c>
      <c r="BB104" s="109">
        <f t="shared" si="12"/>
        <v>0</v>
      </c>
      <c r="BC104" s="109">
        <f t="shared" si="13"/>
        <v>0</v>
      </c>
      <c r="BD104" s="109">
        <f t="shared" si="14"/>
        <v>0</v>
      </c>
      <c r="BE104" s="109">
        <f t="shared" si="15"/>
        <v>0</v>
      </c>
      <c r="BF104" s="109">
        <f t="shared" si="16"/>
        <v>0</v>
      </c>
      <c r="BG104" s="109" t="e">
        <f t="shared" si="17"/>
        <v>#DIV/0!</v>
      </c>
      <c r="BH104" s="109" t="e">
        <f t="shared" si="18"/>
        <v>#DIV/0!</v>
      </c>
      <c r="BI104" s="109" t="e">
        <f t="shared" si="19"/>
        <v>#DIV/0!</v>
      </c>
      <c r="BJ104" s="109" t="e">
        <f t="shared" si="20"/>
        <v>#DIV/0!</v>
      </c>
      <c r="BK104" s="109" t="e">
        <f t="shared" si="35"/>
        <v>#DIV/0!</v>
      </c>
      <c r="BL104" s="148">
        <v>0.7</v>
      </c>
      <c r="BM104" s="112">
        <f>ROUND((AW104/BL104)+((AW104*BL104)*'CALCULO GERAL'!$E$11)/BL104,2)</f>
        <v>0</v>
      </c>
      <c r="BN104" s="186">
        <f t="shared" si="21"/>
        <v>0</v>
      </c>
      <c r="BO104" s="186">
        <f t="shared" si="36"/>
        <v>0</v>
      </c>
      <c r="BP104" s="109">
        <f>BM104*'CALCULO GERAL'!$C$11</f>
        <v>0</v>
      </c>
      <c r="BQ104" s="109">
        <f>BO104*'CALCULO GERAL'!$C$11</f>
        <v>0</v>
      </c>
      <c r="BR104" s="186">
        <f>BN104*'CALCULO GERAL'!$C$11</f>
        <v>0</v>
      </c>
      <c r="BS104" s="109">
        <f t="shared" si="22"/>
        <v>0</v>
      </c>
      <c r="BT104" s="109">
        <f t="shared" si="23"/>
        <v>0</v>
      </c>
      <c r="BU104" s="109" t="e">
        <f t="shared" si="40"/>
        <v>#DIV/0!</v>
      </c>
      <c r="BV104" s="109" t="e">
        <f t="shared" si="37"/>
        <v>#DIV/0!</v>
      </c>
      <c r="BW104" s="114" t="e">
        <f t="shared" si="24"/>
        <v>#DIV/0!</v>
      </c>
      <c r="BX104" s="152">
        <f t="shared" si="41"/>
        <v>0.7</v>
      </c>
      <c r="BZ104" s="55"/>
      <c r="CA104" s="113"/>
      <c r="CB104" s="113"/>
      <c r="CD104" s="152">
        <f t="shared" si="42"/>
        <v>0</v>
      </c>
      <c r="CE104" s="152">
        <f t="shared" si="38"/>
        <v>1</v>
      </c>
      <c r="CF104" s="152">
        <f t="shared" si="39"/>
        <v>1</v>
      </c>
      <c r="CG104" s="34"/>
      <c r="CI104" s="11"/>
      <c r="CJ104" s="11"/>
    </row>
    <row r="105" spans="1:88" s="152" customFormat="1" x14ac:dyDescent="0.2">
      <c r="A105" s="340" t="s">
        <v>555</v>
      </c>
      <c r="B105" s="187" t="s">
        <v>547</v>
      </c>
      <c r="C105" s="339">
        <v>0.14399999999999999</v>
      </c>
      <c r="D105" s="339">
        <v>0.1115</v>
      </c>
      <c r="E105" s="7">
        <v>2.1000000000000001E-2</v>
      </c>
      <c r="F105" s="7">
        <v>9.6500000000000002E-2</v>
      </c>
      <c r="G105" s="1">
        <v>6.4999999999999997E-3</v>
      </c>
      <c r="H105" s="1">
        <v>0.03</v>
      </c>
      <c r="I105" s="1">
        <v>0.18</v>
      </c>
      <c r="J105" s="1">
        <v>0.04</v>
      </c>
      <c r="K105" s="1">
        <v>0.14000000000000001</v>
      </c>
      <c r="L105" s="1">
        <v>1.4999999999999999E-2</v>
      </c>
      <c r="M105" s="2" t="s">
        <v>175</v>
      </c>
      <c r="N105" s="105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>
        <f t="shared" si="0"/>
        <v>0</v>
      </c>
      <c r="Y105" s="118" t="e">
        <f t="shared" si="1"/>
        <v>#DIV/0!</v>
      </c>
      <c r="Z105" s="109" t="e">
        <f t="shared" si="2"/>
        <v>#DIV/0!</v>
      </c>
      <c r="AA105" s="109">
        <f>'CALCULO GERAL'!$G$10</f>
        <v>6300</v>
      </c>
      <c r="AB105" s="109" t="e">
        <f t="shared" si="3"/>
        <v>#DIV/0!</v>
      </c>
      <c r="AC105" s="109" t="e">
        <f>AB105*'CALCULO GERAL'!$C$11</f>
        <v>#DIV/0!</v>
      </c>
      <c r="AD105" s="109" t="e">
        <f t="shared" si="4"/>
        <v>#DIV/0!</v>
      </c>
      <c r="AE105" s="109" t="e">
        <f t="shared" si="5"/>
        <v>#DIV/0!</v>
      </c>
      <c r="AF105" s="109" t="e">
        <f t="shared" si="6"/>
        <v>#DIV/0!</v>
      </c>
      <c r="AG105" s="109" t="e">
        <f t="shared" si="7"/>
        <v>#DIV/0!</v>
      </c>
      <c r="AH105" s="109">
        <v>154.22999999999999</v>
      </c>
      <c r="AI105" s="109">
        <f>((AA105*'CALCULO GERAL'!$C$11))*0.08+20</f>
        <v>2549.576</v>
      </c>
      <c r="AJ105" s="109">
        <v>1010</v>
      </c>
      <c r="AK105" s="109">
        <v>2500</v>
      </c>
      <c r="AL105" s="109">
        <f>(AA105*('CALCULO GERAL'!$C$11*1.02))-(AA105*'CALCULO GERAL'!$C$11)</f>
        <v>632.39400000000387</v>
      </c>
      <c r="AM105" s="109">
        <v>1800</v>
      </c>
      <c r="AN105" s="109">
        <v>2600</v>
      </c>
      <c r="AO105" s="109">
        <v>9400</v>
      </c>
      <c r="AP105" s="109">
        <v>1000</v>
      </c>
      <c r="AQ105" s="109">
        <v>0</v>
      </c>
      <c r="AR105" s="109">
        <v>0</v>
      </c>
      <c r="AS105" s="109"/>
      <c r="AT105" s="109" t="e">
        <f t="shared" si="34"/>
        <v>#DIV/0!</v>
      </c>
      <c r="AU105" s="111">
        <f t="shared" si="8"/>
        <v>0</v>
      </c>
      <c r="AV105" s="109">
        <f>IFERROR((BS105*'CALCULO GERAL'!$E$11)/N105,0)</f>
        <v>0</v>
      </c>
      <c r="AW105" s="109">
        <f>AU105/'CALCULO GERAL'!$C$11</f>
        <v>0</v>
      </c>
      <c r="AX105" s="109">
        <f>BP105-BB105-BD105*'CALCULO GERAL'!$C$11</f>
        <v>0</v>
      </c>
      <c r="AY105" s="109">
        <f t="shared" si="9"/>
        <v>0</v>
      </c>
      <c r="AZ105" s="109">
        <f t="shared" si="10"/>
        <v>0</v>
      </c>
      <c r="BA105" s="109">
        <f t="shared" si="11"/>
        <v>0</v>
      </c>
      <c r="BB105" s="109">
        <f t="shared" si="12"/>
        <v>0</v>
      </c>
      <c r="BC105" s="109">
        <f t="shared" si="13"/>
        <v>0</v>
      </c>
      <c r="BD105" s="109">
        <f t="shared" si="14"/>
        <v>0</v>
      </c>
      <c r="BE105" s="109">
        <f t="shared" si="15"/>
        <v>0</v>
      </c>
      <c r="BF105" s="109">
        <f t="shared" si="16"/>
        <v>0</v>
      </c>
      <c r="BG105" s="109" t="e">
        <f t="shared" si="17"/>
        <v>#DIV/0!</v>
      </c>
      <c r="BH105" s="109" t="e">
        <f t="shared" si="18"/>
        <v>#DIV/0!</v>
      </c>
      <c r="BI105" s="109" t="e">
        <f t="shared" si="19"/>
        <v>#DIV/0!</v>
      </c>
      <c r="BJ105" s="109" t="e">
        <f t="shared" si="20"/>
        <v>#DIV/0!</v>
      </c>
      <c r="BK105" s="109" t="e">
        <f t="shared" si="35"/>
        <v>#DIV/0!</v>
      </c>
      <c r="BL105" s="148">
        <v>0.7</v>
      </c>
      <c r="BM105" s="112">
        <f>ROUND((AW105/BL105)+((AW105*BL105)*'CALCULO GERAL'!$E$11)/BL105,2)</f>
        <v>0</v>
      </c>
      <c r="BN105" s="186">
        <f t="shared" si="21"/>
        <v>0</v>
      </c>
      <c r="BO105" s="186">
        <f t="shared" si="36"/>
        <v>0</v>
      </c>
      <c r="BP105" s="109">
        <f>BM105*'CALCULO GERAL'!$C$11</f>
        <v>0</v>
      </c>
      <c r="BQ105" s="109">
        <f>BO105*'CALCULO GERAL'!$C$11</f>
        <v>0</v>
      </c>
      <c r="BR105" s="186">
        <f>BN105*'CALCULO GERAL'!$C$11</f>
        <v>0</v>
      </c>
      <c r="BS105" s="109">
        <f t="shared" si="22"/>
        <v>0</v>
      </c>
      <c r="BT105" s="109">
        <f t="shared" si="23"/>
        <v>0</v>
      </c>
      <c r="BU105" s="109" t="e">
        <f t="shared" si="40"/>
        <v>#DIV/0!</v>
      </c>
      <c r="BV105" s="109" t="e">
        <f t="shared" si="37"/>
        <v>#DIV/0!</v>
      </c>
      <c r="BW105" s="114" t="e">
        <f t="shared" si="24"/>
        <v>#DIV/0!</v>
      </c>
      <c r="BX105" s="152">
        <f t="shared" si="41"/>
        <v>0.7</v>
      </c>
      <c r="BZ105" s="55"/>
      <c r="CA105" s="113"/>
      <c r="CB105" s="113"/>
      <c r="CD105" s="152">
        <f t="shared" si="42"/>
        <v>0</v>
      </c>
      <c r="CE105" s="152">
        <f t="shared" si="38"/>
        <v>1</v>
      </c>
      <c r="CF105" s="152">
        <f t="shared" si="39"/>
        <v>1</v>
      </c>
      <c r="CG105" s="34"/>
      <c r="CI105" s="11"/>
      <c r="CJ105" s="11"/>
    </row>
    <row r="106" spans="1:88" s="152" customFormat="1" x14ac:dyDescent="0.2">
      <c r="A106" s="344" t="s">
        <v>560</v>
      </c>
      <c r="B106" s="345" t="s">
        <v>561</v>
      </c>
      <c r="C106" s="346">
        <v>0.14399999999999999</v>
      </c>
      <c r="D106" s="346">
        <v>3.7100000000000001E-2</v>
      </c>
      <c r="E106" s="339">
        <v>2.1000000000000001E-2</v>
      </c>
      <c r="F106" s="339">
        <v>9.6500000000000002E-2</v>
      </c>
      <c r="G106" s="1">
        <v>6.4999999999999997E-3</v>
      </c>
      <c r="H106" s="1">
        <v>0.03</v>
      </c>
      <c r="I106" s="1">
        <v>0.18</v>
      </c>
      <c r="J106" s="1">
        <v>0.04</v>
      </c>
      <c r="K106" s="1">
        <v>0.14000000000000001</v>
      </c>
      <c r="L106" s="1">
        <v>1.4999999999999999E-2</v>
      </c>
      <c r="M106" s="2" t="s">
        <v>175</v>
      </c>
      <c r="N106" s="105">
        <v>200000</v>
      </c>
      <c r="O106" s="119"/>
      <c r="P106" s="119"/>
      <c r="Q106" s="119"/>
      <c r="R106" s="119"/>
      <c r="S106" s="119"/>
      <c r="T106" s="119"/>
      <c r="U106" s="119"/>
      <c r="V106" s="119">
        <v>0.7</v>
      </c>
      <c r="W106" s="119"/>
      <c r="X106" s="119">
        <f>MIN(O106:W106)</f>
        <v>0.7</v>
      </c>
      <c r="Y106" s="118">
        <f>AVERAGE(O106:W106)</f>
        <v>0.7</v>
      </c>
      <c r="Z106" s="109">
        <f>Y106*N106</f>
        <v>140000</v>
      </c>
      <c r="AA106" s="109">
        <f>'CALCULO GERAL'!$G$10</f>
        <v>6300</v>
      </c>
      <c r="AB106" s="109">
        <f>Z106+AA106</f>
        <v>146300</v>
      </c>
      <c r="AC106" s="109">
        <f>AB106*'CALCULO GERAL'!$C$11</f>
        <v>734279.70000000007</v>
      </c>
      <c r="AD106" s="109">
        <f>AC106*C106</f>
        <v>105736.27680000001</v>
      </c>
      <c r="AE106" s="109">
        <f>(AC106+AD106)*D106</f>
        <v>31164.592739280004</v>
      </c>
      <c r="AF106" s="109">
        <f>AC106*E106</f>
        <v>15419.873700000002</v>
      </c>
      <c r="AG106" s="109">
        <f>AC106*F106</f>
        <v>70857.991050000011</v>
      </c>
      <c r="AH106" s="109">
        <v>154.22999999999999</v>
      </c>
      <c r="AI106" s="109">
        <f>((AA106*'CALCULO GERAL'!$C$11))*0.08+20</f>
        <v>2549.576</v>
      </c>
      <c r="AJ106" s="109">
        <v>1010</v>
      </c>
      <c r="AK106" s="109">
        <v>2500</v>
      </c>
      <c r="AL106" s="109">
        <f>(AA106*('CALCULO GERAL'!$C$11*1.02))-(AA106*'CALCULO GERAL'!$C$11)</f>
        <v>632.39400000000387</v>
      </c>
      <c r="AM106" s="109">
        <v>1800</v>
      </c>
      <c r="AN106" s="109">
        <v>2600</v>
      </c>
      <c r="AO106" s="109">
        <v>9400</v>
      </c>
      <c r="AP106" s="109">
        <v>1000</v>
      </c>
      <c r="AQ106" s="109">
        <v>0</v>
      </c>
      <c r="AR106" s="109">
        <v>0</v>
      </c>
      <c r="AS106" s="109"/>
      <c r="AT106" s="109">
        <f>SUM(AC106:AS106)</f>
        <v>979104.63428928005</v>
      </c>
      <c r="AU106" s="111">
        <f>IFERROR((AT106/N106),0)</f>
        <v>4.8955231714464</v>
      </c>
      <c r="AV106" s="109">
        <f>IFERROR((BS106*'CALCULO GERAL'!$E$11)/N106,0)</f>
        <v>0.125475</v>
      </c>
      <c r="AW106" s="109">
        <f>AU106/'CALCULO GERAL'!$C$11</f>
        <v>0.97539812142785409</v>
      </c>
      <c r="AX106" s="109">
        <f>BP106-BB106-BD106*'CALCULO GERAL'!$C$11</f>
        <v>5.0565971300983508</v>
      </c>
      <c r="AY106" s="109">
        <f>AX106*G106</f>
        <v>3.2867881345639276E-2</v>
      </c>
      <c r="AZ106" s="109">
        <f>AX106*H106</f>
        <v>0.15169791390295051</v>
      </c>
      <c r="BA106" s="109">
        <f>BP106-BD106</f>
        <v>6.0493202198437945</v>
      </c>
      <c r="BB106" s="109">
        <f>BA106*L106</f>
        <v>9.0739803297656921E-2</v>
      </c>
      <c r="BC106" s="109">
        <f>BP106/(1+D106)</f>
        <v>6.0493202198437954</v>
      </c>
      <c r="BD106" s="109">
        <f>BC106*D106</f>
        <v>0.22442978015620482</v>
      </c>
      <c r="BE106" s="109">
        <f>BT106*0.08</f>
        <v>100380</v>
      </c>
      <c r="BF106" s="109">
        <f>BT106*0.12</f>
        <v>150570</v>
      </c>
      <c r="BG106" s="109">
        <f>(BF106*0.09)/N106</f>
        <v>6.7756499999999997E-2</v>
      </c>
      <c r="BH106" s="109">
        <f>(BE106*0.15)/N106</f>
        <v>7.5285000000000005E-2</v>
      </c>
      <c r="BI106" s="109">
        <f>IF(BE106&gt;=$BX$1,($BX$1-BE106)*0.1,IF(BE106&lt;=$BX$1,($BX$1*0)))/N106</f>
        <v>-2.0190005E-2</v>
      </c>
      <c r="BJ106" s="109">
        <f>(AY106+AZ106+BB106+AV106+BD106+BG106+BH106+BI106)</f>
        <v>0.74806187370245159</v>
      </c>
      <c r="BK106" s="109">
        <f t="shared" si="35"/>
        <v>5.6435850451488516</v>
      </c>
      <c r="BL106" s="148">
        <v>0.79</v>
      </c>
      <c r="BM106" s="112">
        <f>ROUND((AW106/BL106)+((AW106*BL106)*'CALCULO GERAL'!$E$11)/BL106,2)</f>
        <v>1.25</v>
      </c>
      <c r="BN106" s="186">
        <f>BM106</f>
        <v>1.25</v>
      </c>
      <c r="BO106" s="186">
        <f t="shared" si="36"/>
        <v>1.4650000000000001</v>
      </c>
      <c r="BP106" s="109">
        <f>BM106*'CALCULO GERAL'!$C$11</f>
        <v>6.2737499999999997</v>
      </c>
      <c r="BQ106" s="109">
        <f>BO106*'CALCULO GERAL'!$C$11</f>
        <v>7.3528350000000007</v>
      </c>
      <c r="BR106" s="186">
        <f>BN106*'CALCULO GERAL'!$C$11</f>
        <v>6.2737499999999997</v>
      </c>
      <c r="BS106" s="109">
        <f>BP106*N106</f>
        <v>1254750</v>
      </c>
      <c r="BT106" s="109">
        <f>BR106*N106</f>
        <v>1254750</v>
      </c>
      <c r="BU106" s="109">
        <f>BK106*N106</f>
        <v>1128717.0090297703</v>
      </c>
      <c r="BV106" s="109">
        <f>BS106-BU106</f>
        <v>126032.99097022973</v>
      </c>
      <c r="BW106" s="114">
        <f>(((BK106*N106)-BS106)/BS106*-1)</f>
        <v>0.10044470290514423</v>
      </c>
      <c r="BX106" s="152">
        <f>ROUND(BL106,2)</f>
        <v>0.79</v>
      </c>
      <c r="BZ106" s="55"/>
      <c r="CA106" s="113"/>
      <c r="CB106" s="113"/>
      <c r="CD106" s="152">
        <f>CB106/BX106</f>
        <v>0</v>
      </c>
      <c r="CE106" s="152">
        <f>100%-CD106</f>
        <v>1</v>
      </c>
      <c r="CF106" s="152">
        <f>AVERAGE(CE106,CC106)</f>
        <v>1</v>
      </c>
      <c r="CG106" s="34"/>
      <c r="CI106" s="11"/>
      <c r="CJ106" s="11"/>
    </row>
    <row r="107" spans="1:88" s="152" customFormat="1" x14ac:dyDescent="0.2">
      <c r="A107" s="228" t="s">
        <v>224</v>
      </c>
      <c r="B107" s="188" t="s">
        <v>225</v>
      </c>
      <c r="C107" s="8">
        <v>0.35</v>
      </c>
      <c r="D107" s="8">
        <v>6.5000000000000002E-2</v>
      </c>
      <c r="E107" s="7">
        <v>2.1000000000000001E-2</v>
      </c>
      <c r="F107" s="7">
        <v>0.1065</v>
      </c>
      <c r="G107" s="1">
        <v>6.4999999999999997E-3</v>
      </c>
      <c r="H107" s="1">
        <v>0.03</v>
      </c>
      <c r="I107" s="1">
        <v>0.18</v>
      </c>
      <c r="J107" s="1">
        <v>0.04</v>
      </c>
      <c r="K107" s="1">
        <v>0.14000000000000001</v>
      </c>
      <c r="L107" s="1">
        <v>1.4999999999999999E-2</v>
      </c>
      <c r="M107" s="2" t="s">
        <v>175</v>
      </c>
      <c r="N107" s="105">
        <v>49500</v>
      </c>
      <c r="O107" s="119"/>
      <c r="P107" s="119"/>
      <c r="Q107" s="119"/>
      <c r="R107" s="119"/>
      <c r="S107" s="119"/>
      <c r="T107" s="119"/>
      <c r="U107" s="119"/>
      <c r="V107" s="119">
        <v>0.85499999999999998</v>
      </c>
      <c r="W107" s="119"/>
      <c r="X107" s="119">
        <f t="shared" si="0"/>
        <v>0.85499999999999998</v>
      </c>
      <c r="Y107" s="118">
        <f t="shared" si="1"/>
        <v>0.85499999999999998</v>
      </c>
      <c r="Z107" s="109">
        <f t="shared" si="2"/>
        <v>42322.5</v>
      </c>
      <c r="AA107" s="109">
        <f>'CALCULO GERAL'!$G$10</f>
        <v>6300</v>
      </c>
      <c r="AB107" s="109">
        <f t="shared" si="3"/>
        <v>48622.5</v>
      </c>
      <c r="AC107" s="109">
        <f>AB107*'CALCULO GERAL'!$C$11</f>
        <v>244036.32750000001</v>
      </c>
      <c r="AD107" s="109">
        <f t="shared" si="4"/>
        <v>85412.714624999993</v>
      </c>
      <c r="AE107" s="109">
        <f t="shared" si="5"/>
        <v>21414.187738125001</v>
      </c>
      <c r="AF107" s="109">
        <f t="shared" si="6"/>
        <v>5124.7628775000003</v>
      </c>
      <c r="AG107" s="109">
        <f t="shared" si="7"/>
        <v>25989.86887875</v>
      </c>
      <c r="AH107" s="109">
        <v>154.22999999999999</v>
      </c>
      <c r="AI107" s="109">
        <f>((AA107*'CALCULO GERAL'!$C$11))*0.08+20</f>
        <v>2549.576</v>
      </c>
      <c r="AJ107" s="109">
        <v>1010</v>
      </c>
      <c r="AK107" s="109">
        <v>2500</v>
      </c>
      <c r="AL107" s="109">
        <f>(AA107*('CALCULO GERAL'!$C$11*1.02))-(AA107*'CALCULO GERAL'!$C$11)</f>
        <v>632.39400000000387</v>
      </c>
      <c r="AM107" s="109">
        <v>1800</v>
      </c>
      <c r="AN107" s="109">
        <v>2600</v>
      </c>
      <c r="AO107" s="109">
        <v>9400</v>
      </c>
      <c r="AP107" s="109">
        <v>1000</v>
      </c>
      <c r="AQ107" s="109">
        <v>0</v>
      </c>
      <c r="AR107" s="109">
        <v>0</v>
      </c>
      <c r="AS107" s="109"/>
      <c r="AT107" s="109">
        <f t="shared" si="34"/>
        <v>403624.06161937502</v>
      </c>
      <c r="AU107" s="111">
        <f t="shared" si="8"/>
        <v>8.1540214468560617</v>
      </c>
      <c r="AV107" s="109">
        <f>IFERROR((BS107*'CALCULO GERAL'!$E$11)/N107,0)</f>
        <v>0.20979419999999999</v>
      </c>
      <c r="AW107" s="109">
        <f>AU107/'CALCULO GERAL'!$C$11</f>
        <v>1.6246306927388048</v>
      </c>
      <c r="AX107" s="109">
        <f>BP107-BB107-BD107*'CALCULO GERAL'!$C$11</f>
        <v>7.1287182705633789</v>
      </c>
      <c r="AY107" s="109">
        <f t="shared" si="9"/>
        <v>4.6336668758661964E-2</v>
      </c>
      <c r="AZ107" s="109">
        <f t="shared" si="10"/>
        <v>0.21386154811690136</v>
      </c>
      <c r="BA107" s="109">
        <f t="shared" si="11"/>
        <v>9.8494929577464774</v>
      </c>
      <c r="BB107" s="109">
        <f t="shared" si="12"/>
        <v>0.14774239436619716</v>
      </c>
      <c r="BC107" s="109">
        <f t="shared" si="13"/>
        <v>9.8494929577464774</v>
      </c>
      <c r="BD107" s="109">
        <f t="shared" si="14"/>
        <v>0.64021704225352105</v>
      </c>
      <c r="BE107" s="109">
        <f t="shared" si="15"/>
        <v>41539.251599999996</v>
      </c>
      <c r="BF107" s="109">
        <f t="shared" si="16"/>
        <v>62308.87739999999</v>
      </c>
      <c r="BG107" s="109">
        <f t="shared" si="17"/>
        <v>0.11328886799999997</v>
      </c>
      <c r="BH107" s="109">
        <f t="shared" si="18"/>
        <v>0.12587651999999999</v>
      </c>
      <c r="BI107" s="109">
        <f t="shared" si="19"/>
        <v>0</v>
      </c>
      <c r="BJ107" s="109">
        <f t="shared" si="20"/>
        <v>1.4971172414952814</v>
      </c>
      <c r="BK107" s="109">
        <f t="shared" si="35"/>
        <v>9.6511386883513435</v>
      </c>
      <c r="BL107" s="148">
        <v>0.79</v>
      </c>
      <c r="BM107" s="112">
        <f>ROUND((AW107/BL107)+((AW107*BL107)*'CALCULO GERAL'!$E$11)/BL107,2)</f>
        <v>2.09</v>
      </c>
      <c r="BN107" s="186">
        <f t="shared" si="21"/>
        <v>2.09</v>
      </c>
      <c r="BO107" s="186">
        <f t="shared" si="36"/>
        <v>2.4489999999999998</v>
      </c>
      <c r="BP107" s="109">
        <f>BM107*'CALCULO GERAL'!$C$11</f>
        <v>10.489709999999999</v>
      </c>
      <c r="BQ107" s="109">
        <f>BO107*'CALCULO GERAL'!$C$11</f>
        <v>12.291530999999999</v>
      </c>
      <c r="BR107" s="186">
        <f>BN107*'CALCULO GERAL'!$C$11</f>
        <v>10.489709999999999</v>
      </c>
      <c r="BS107" s="109">
        <f t="shared" si="22"/>
        <v>519240.64499999996</v>
      </c>
      <c r="BT107" s="109">
        <f t="shared" si="23"/>
        <v>519240.64499999996</v>
      </c>
      <c r="BU107" s="109">
        <f t="shared" si="40"/>
        <v>477731.36507339153</v>
      </c>
      <c r="BV107" s="109">
        <f t="shared" si="37"/>
        <v>41509.279926608433</v>
      </c>
      <c r="BW107" s="114">
        <f t="shared" si="24"/>
        <v>7.9942277875046625E-2</v>
      </c>
      <c r="BX107" s="152">
        <f t="shared" si="41"/>
        <v>0.79</v>
      </c>
      <c r="BZ107" s="55"/>
      <c r="CA107" s="113"/>
      <c r="CB107" s="113"/>
      <c r="CD107" s="152">
        <f t="shared" si="42"/>
        <v>0</v>
      </c>
      <c r="CE107" s="152">
        <f t="shared" si="38"/>
        <v>1</v>
      </c>
      <c r="CF107" s="152">
        <f t="shared" si="39"/>
        <v>1</v>
      </c>
      <c r="CG107" s="34"/>
      <c r="CI107" s="11"/>
      <c r="CJ107" s="11"/>
    </row>
    <row r="108" spans="1:88" s="152" customFormat="1" x14ac:dyDescent="0.2">
      <c r="A108" s="311" t="s">
        <v>470</v>
      </c>
      <c r="B108" s="316" t="s">
        <v>471</v>
      </c>
      <c r="C108" s="313">
        <v>0.35</v>
      </c>
      <c r="D108" s="313">
        <v>0</v>
      </c>
      <c r="E108" s="314">
        <v>2.1000000000000001E-2</v>
      </c>
      <c r="F108" s="314">
        <v>0.1065</v>
      </c>
      <c r="G108" s="1">
        <v>6.4999999999999997E-3</v>
      </c>
      <c r="H108" s="1">
        <v>0.03</v>
      </c>
      <c r="I108" s="1">
        <v>0.18</v>
      </c>
      <c r="J108" s="1">
        <v>0.04</v>
      </c>
      <c r="K108" s="1">
        <v>0.14000000000000001</v>
      </c>
      <c r="L108" s="1">
        <v>1.4999999999999999E-2</v>
      </c>
      <c r="M108" s="2" t="s">
        <v>175</v>
      </c>
      <c r="N108" s="105">
        <v>100000</v>
      </c>
      <c r="O108" s="119"/>
      <c r="P108" s="119"/>
      <c r="Q108" s="119"/>
      <c r="R108" s="119"/>
      <c r="S108" s="119"/>
      <c r="T108" s="119"/>
      <c r="U108" s="119"/>
      <c r="V108" s="119">
        <v>1.06</v>
      </c>
      <c r="W108" s="119"/>
      <c r="X108" s="119">
        <f>MIN(O108:W108)</f>
        <v>1.06</v>
      </c>
      <c r="Y108" s="118">
        <f>AVERAGE(O108:W108)</f>
        <v>1.06</v>
      </c>
      <c r="Z108" s="109">
        <f>Y108*N108</f>
        <v>106000</v>
      </c>
      <c r="AA108" s="109">
        <f>'CALCULO GERAL'!$G$10</f>
        <v>6300</v>
      </c>
      <c r="AB108" s="109">
        <f>Z108+AA108</f>
        <v>112300</v>
      </c>
      <c r="AC108" s="109">
        <f>AB108*'CALCULO GERAL'!$C$11</f>
        <v>563633.70000000007</v>
      </c>
      <c r="AD108" s="109">
        <f>AC108*C108</f>
        <v>197271.79500000001</v>
      </c>
      <c r="AE108" s="109">
        <f>(AC108+AD108)*D108</f>
        <v>0</v>
      </c>
      <c r="AF108" s="109">
        <f>AC108*E108</f>
        <v>11836.307700000003</v>
      </c>
      <c r="AG108" s="109">
        <f>AC108*F108</f>
        <v>60026.989050000004</v>
      </c>
      <c r="AH108" s="109">
        <v>154.22999999999999</v>
      </c>
      <c r="AI108" s="109">
        <f>((AA108*'CALCULO GERAL'!$C$11))*0.08+20</f>
        <v>2549.576</v>
      </c>
      <c r="AJ108" s="109">
        <v>1010</v>
      </c>
      <c r="AK108" s="109">
        <v>2500</v>
      </c>
      <c r="AL108" s="109">
        <f>(AA108*('CALCULO GERAL'!$C$11*1.02))-(AA108*'CALCULO GERAL'!$C$11)</f>
        <v>632.39400000000387</v>
      </c>
      <c r="AM108" s="109">
        <v>1800</v>
      </c>
      <c r="AN108" s="109">
        <v>2600</v>
      </c>
      <c r="AO108" s="109">
        <v>9400</v>
      </c>
      <c r="AP108" s="109">
        <v>1000</v>
      </c>
      <c r="AQ108" s="109">
        <v>0</v>
      </c>
      <c r="AR108" s="109">
        <v>0</v>
      </c>
      <c r="AS108" s="109"/>
      <c r="AT108" s="109">
        <f>SUM(AC108:AS108)</f>
        <v>854414.99175000004</v>
      </c>
      <c r="AU108" s="111">
        <f>IFERROR((AT108/N108),0)</f>
        <v>8.5441499175000004</v>
      </c>
      <c r="AV108" s="109">
        <f>IFERROR((BS108*'CALCULO GERAL'!$E$11)/N108,0)</f>
        <v>0.21983220000000001</v>
      </c>
      <c r="AW108" s="109">
        <f>AU108/'CALCULO GERAL'!$C$11</f>
        <v>1.7023610116557084</v>
      </c>
      <c r="AX108" s="109">
        <f>BP108-BB108-BD108*'CALCULO GERAL'!$C$11</f>
        <v>10.82673585</v>
      </c>
      <c r="AY108" s="109">
        <f>AX108*G108</f>
        <v>7.0373783024999997E-2</v>
      </c>
      <c r="AZ108" s="109">
        <f>AX108*H108</f>
        <v>0.32480207550000001</v>
      </c>
      <c r="BA108" s="109">
        <f>BP108-BD108</f>
        <v>10.99161</v>
      </c>
      <c r="BB108" s="109">
        <f>BA108*L108</f>
        <v>0.16487415</v>
      </c>
      <c r="BC108" s="109">
        <f>BP108/(1+D108)</f>
        <v>10.99161</v>
      </c>
      <c r="BD108" s="109">
        <f>BC108*D108</f>
        <v>0</v>
      </c>
      <c r="BE108" s="109">
        <f>BT108*0.08</f>
        <v>87932.88</v>
      </c>
      <c r="BF108" s="109">
        <f>BT108*0.12</f>
        <v>131899.32</v>
      </c>
      <c r="BG108" s="109">
        <f>(BF108*0.09)/N108</f>
        <v>0.118709388</v>
      </c>
      <c r="BH108" s="109">
        <f>(BE108*0.15)/N108</f>
        <v>0.13189932000000001</v>
      </c>
      <c r="BI108" s="109">
        <f>IF(BE108&gt;=$BX$1,($BX$1-BE108)*0.1,IF(BE108&lt;=$BX$1,($BX$1*0)))/N108</f>
        <v>-2.7932890000000005E-2</v>
      </c>
      <c r="BJ108" s="109">
        <f>(AY108+AZ108+BB108+AV108+BD108+BG108+BH108+BI108)</f>
        <v>1.002558026525</v>
      </c>
      <c r="BK108" s="109">
        <f t="shared" si="35"/>
        <v>9.546707944025</v>
      </c>
      <c r="BL108" s="148">
        <v>0.79</v>
      </c>
      <c r="BM108" s="112">
        <f>ROUND((AW108/BL108)+((AW108*BL108)*'CALCULO GERAL'!$E$11)/BL108,2)</f>
        <v>2.19</v>
      </c>
      <c r="BN108" s="186">
        <f>BM108</f>
        <v>2.19</v>
      </c>
      <c r="BO108" s="186">
        <f t="shared" si="36"/>
        <v>2.5659999999999998</v>
      </c>
      <c r="BP108" s="109">
        <f>BM108*'CALCULO GERAL'!$C$11</f>
        <v>10.99161</v>
      </c>
      <c r="BQ108" s="109">
        <f>BO108*'CALCULO GERAL'!$C$11</f>
        <v>12.878753999999999</v>
      </c>
      <c r="BR108" s="186">
        <f>BN108*'CALCULO GERAL'!$C$11</f>
        <v>10.99161</v>
      </c>
      <c r="BS108" s="109">
        <f>BP108*N108</f>
        <v>1099161</v>
      </c>
      <c r="BT108" s="109">
        <f>BR108*N108</f>
        <v>1099161</v>
      </c>
      <c r="BU108" s="109">
        <f>BK108*N108</f>
        <v>954670.79440250003</v>
      </c>
      <c r="BV108" s="109">
        <f>BS108-BU108</f>
        <v>144490.20559749997</v>
      </c>
      <c r="BW108" s="114">
        <f>(((BK108*N108)-BS108)/BS108*-1)</f>
        <v>0.13145499667246197</v>
      </c>
      <c r="BX108" s="152">
        <f>ROUND(BL108,2)</f>
        <v>0.79</v>
      </c>
      <c r="BZ108" s="55"/>
      <c r="CA108" s="113"/>
      <c r="CB108" s="113"/>
      <c r="CD108" s="152">
        <f>CB108/BX108</f>
        <v>0</v>
      </c>
      <c r="CE108" s="152">
        <f>100%-CD108</f>
        <v>1</v>
      </c>
      <c r="CF108" s="152">
        <f>AVERAGE(CE108,CC108)</f>
        <v>1</v>
      </c>
      <c r="CG108" s="34"/>
      <c r="CI108" s="11"/>
      <c r="CJ108" s="11"/>
    </row>
    <row r="109" spans="1:88" x14ac:dyDescent="0.2">
      <c r="A109" s="228" t="s">
        <v>226</v>
      </c>
      <c r="B109" s="188" t="s">
        <v>227</v>
      </c>
      <c r="C109" s="8">
        <v>0.35</v>
      </c>
      <c r="D109" s="8">
        <v>6.5000000000000002E-2</v>
      </c>
      <c r="E109" s="7">
        <v>2.1000000000000001E-2</v>
      </c>
      <c r="F109" s="7">
        <v>0.1065</v>
      </c>
      <c r="G109" s="1">
        <v>6.4999999999999997E-3</v>
      </c>
      <c r="H109" s="1">
        <v>0.03</v>
      </c>
      <c r="I109" s="1">
        <v>0.18</v>
      </c>
      <c r="J109" s="1">
        <v>0.04</v>
      </c>
      <c r="K109" s="1">
        <v>0.14000000000000001</v>
      </c>
      <c r="L109" s="1">
        <v>1.4999999999999999E-2</v>
      </c>
      <c r="M109" s="2" t="s">
        <v>175</v>
      </c>
      <c r="N109" s="105">
        <v>60000</v>
      </c>
      <c r="O109" s="119"/>
      <c r="P109" s="119"/>
      <c r="Q109" s="119"/>
      <c r="R109" s="119"/>
      <c r="S109" s="119"/>
      <c r="T109" s="119"/>
      <c r="U109" s="119"/>
      <c r="V109" s="119">
        <v>0.56999999999999995</v>
      </c>
      <c r="W109" s="119"/>
      <c r="X109" s="119">
        <f>MIN(O109:W109)</f>
        <v>0.56999999999999995</v>
      </c>
      <c r="Y109" s="118">
        <f>AVERAGE(O109:W109)</f>
        <v>0.56999999999999995</v>
      </c>
      <c r="Z109" s="109">
        <f>Y109*N109</f>
        <v>34200</v>
      </c>
      <c r="AA109" s="109">
        <f>'CALCULO GERAL'!$G$10</f>
        <v>6300</v>
      </c>
      <c r="AB109" s="109">
        <f>Z109+AA109</f>
        <v>40500</v>
      </c>
      <c r="AC109" s="109">
        <f>AB109*'CALCULO GERAL'!$C$11</f>
        <v>203269.5</v>
      </c>
      <c r="AD109" s="109">
        <f>AC109*C109</f>
        <v>71144.324999999997</v>
      </c>
      <c r="AE109" s="109">
        <f>(AC109+AD109)*D109</f>
        <v>17836.898625000002</v>
      </c>
      <c r="AF109" s="109">
        <f>AC109*E109</f>
        <v>4268.6595000000007</v>
      </c>
      <c r="AG109" s="109">
        <f>AC109*F109</f>
        <v>21648.20175</v>
      </c>
      <c r="AH109" s="109">
        <v>154.22999999999999</v>
      </c>
      <c r="AI109" s="109">
        <f>((AA109*'CALCULO GERAL'!$C$11))*0.08+20</f>
        <v>2549.576</v>
      </c>
      <c r="AJ109" s="109">
        <v>1010</v>
      </c>
      <c r="AK109" s="109">
        <v>2500</v>
      </c>
      <c r="AL109" s="109">
        <f>(AA109*('CALCULO GERAL'!$C$11*1.02))-(AA109*'CALCULO GERAL'!$C$11)</f>
        <v>632.39400000000387</v>
      </c>
      <c r="AM109" s="109">
        <v>1800</v>
      </c>
      <c r="AN109" s="109">
        <v>2600</v>
      </c>
      <c r="AO109" s="109">
        <v>9400</v>
      </c>
      <c r="AP109" s="109">
        <v>1000</v>
      </c>
      <c r="AQ109" s="109">
        <v>0</v>
      </c>
      <c r="AR109" s="109">
        <v>0</v>
      </c>
      <c r="AS109" s="109"/>
      <c r="AT109" s="109">
        <f t="shared" si="34"/>
        <v>339813.78487500001</v>
      </c>
      <c r="AU109" s="111">
        <f>IFERROR((AT109/N109),0)</f>
        <v>5.6635630812500004</v>
      </c>
      <c r="AV109" s="109">
        <f>IFERROR((BS109*'CALCULO GERAL'!$E$11)/N109,0)</f>
        <v>0.14755859999999998</v>
      </c>
      <c r="AW109" s="109">
        <f>AU109/'CALCULO GERAL'!$C$11</f>
        <v>1.128424602759514</v>
      </c>
      <c r="AX109" s="109">
        <f>BP109-BB109-BD109*'CALCULO GERAL'!$C$11</f>
        <v>5.0139788792957747</v>
      </c>
      <c r="AY109" s="109">
        <f>AX109*G109</f>
        <v>3.2590862715422532E-2</v>
      </c>
      <c r="AZ109" s="109">
        <f>AX109*H109</f>
        <v>0.15041936637887324</v>
      </c>
      <c r="BA109" s="109">
        <f>BP109-BD109</f>
        <v>6.9276338028169011</v>
      </c>
      <c r="BB109" s="109">
        <f>BA109*L109</f>
        <v>0.10391450704225351</v>
      </c>
      <c r="BC109" s="109">
        <f>BP109/(1+D109)</f>
        <v>6.927633802816902</v>
      </c>
      <c r="BD109" s="109">
        <f>BC109*D109</f>
        <v>0.45029619718309866</v>
      </c>
      <c r="BE109" s="109">
        <f>BT109*0.08</f>
        <v>35414.063999999998</v>
      </c>
      <c r="BF109" s="109">
        <f>BT109*0.12</f>
        <v>53121.095999999998</v>
      </c>
      <c r="BG109" s="109">
        <f>(BF109*0.09)/N109</f>
        <v>7.9681643999999996E-2</v>
      </c>
      <c r="BH109" s="109">
        <f>(BE109*0.15)/N109</f>
        <v>8.8535160000000002E-2</v>
      </c>
      <c r="BI109" s="109">
        <f>IF(BE109&gt;=$BX$1,($BX$1-BE109)*0.1,IF(BE109&lt;=$BX$1,($BX$1*0)))/N109</f>
        <v>0</v>
      </c>
      <c r="BJ109" s="109">
        <f>(AY109+AZ109+BB109+AV109+BD109+BG109+BH109+BI109)</f>
        <v>1.052996337319648</v>
      </c>
      <c r="BK109" s="109">
        <f t="shared" si="35"/>
        <v>6.7165594185696484</v>
      </c>
      <c r="BL109" s="148">
        <v>0.78</v>
      </c>
      <c r="BM109" s="112">
        <f>ROUND((AW109/BL109)+((AW109*BL109)*'CALCULO GERAL'!$E$11)/BL109,2)</f>
        <v>1.47</v>
      </c>
      <c r="BN109" s="186">
        <f t="shared" si="21"/>
        <v>1.47</v>
      </c>
      <c r="BO109" s="186">
        <f t="shared" si="36"/>
        <v>1.722</v>
      </c>
      <c r="BP109" s="109">
        <f>BM109*'CALCULO GERAL'!$C$11</f>
        <v>7.3779300000000001</v>
      </c>
      <c r="BQ109" s="109">
        <f>BO109*'CALCULO GERAL'!$C$11</f>
        <v>8.6427180000000003</v>
      </c>
      <c r="BR109" s="186">
        <f>BN109*'CALCULO GERAL'!$C$11</f>
        <v>7.3779300000000001</v>
      </c>
      <c r="BS109" s="109">
        <f>BP109*N109</f>
        <v>442675.8</v>
      </c>
      <c r="BT109" s="109">
        <f>BR109*N109</f>
        <v>442675.8</v>
      </c>
      <c r="BU109" s="109">
        <f t="shared" si="40"/>
        <v>402993.56511417893</v>
      </c>
      <c r="BV109" s="109">
        <f t="shared" si="37"/>
        <v>39682.234885821061</v>
      </c>
      <c r="BW109" s="114">
        <f>(((BK109*N109)-BS109)/BS109*-1)</f>
        <v>8.9641753368539828E-2</v>
      </c>
      <c r="BX109" s="152">
        <f t="shared" si="41"/>
        <v>0.78</v>
      </c>
      <c r="BY109" s="152"/>
      <c r="BZ109" s="55"/>
      <c r="CA109" s="113"/>
      <c r="CB109" s="113"/>
      <c r="CC109" s="152"/>
      <c r="CD109" s="152">
        <f t="shared" si="42"/>
        <v>0</v>
      </c>
      <c r="CE109" s="152">
        <f t="shared" si="38"/>
        <v>1</v>
      </c>
      <c r="CF109" s="152">
        <f t="shared" si="39"/>
        <v>1</v>
      </c>
      <c r="CG109" s="34"/>
    </row>
    <row r="110" spans="1:88" x14ac:dyDescent="0.2">
      <c r="A110" s="228" t="s">
        <v>228</v>
      </c>
      <c r="B110" s="188" t="s">
        <v>227</v>
      </c>
      <c r="C110" s="8">
        <v>0.35</v>
      </c>
      <c r="D110" s="8">
        <v>6.5000000000000002E-2</v>
      </c>
      <c r="E110" s="7">
        <v>2.1000000000000001E-2</v>
      </c>
      <c r="F110" s="7">
        <v>0.1065</v>
      </c>
      <c r="G110" s="1">
        <v>6.4999999999999997E-3</v>
      </c>
      <c r="H110" s="1">
        <v>0.03</v>
      </c>
      <c r="I110" s="1">
        <v>0.18</v>
      </c>
      <c r="J110" s="1">
        <v>0.04</v>
      </c>
      <c r="K110" s="1">
        <v>0.14000000000000001</v>
      </c>
      <c r="L110" s="1">
        <v>1.4999999999999999E-2</v>
      </c>
      <c r="M110" s="2" t="s">
        <v>175</v>
      </c>
      <c r="N110" s="105">
        <v>970000</v>
      </c>
      <c r="O110" s="119"/>
      <c r="P110" s="119"/>
      <c r="Q110" s="119"/>
      <c r="R110" s="119"/>
      <c r="S110" s="119"/>
      <c r="T110" s="119"/>
      <c r="U110" s="119"/>
      <c r="V110" s="119">
        <v>6.6000000000000003E-2</v>
      </c>
      <c r="W110" s="119"/>
      <c r="X110" s="119">
        <f>MIN(O110:W110)</f>
        <v>6.6000000000000003E-2</v>
      </c>
      <c r="Y110" s="118">
        <f>AVERAGE(O110:W110)</f>
        <v>6.6000000000000003E-2</v>
      </c>
      <c r="Z110" s="109">
        <f>Y110*N110</f>
        <v>64020</v>
      </c>
      <c r="AA110" s="109">
        <f>'CALCULO GERAL'!$G$10</f>
        <v>6300</v>
      </c>
      <c r="AB110" s="109">
        <f>Z110+AA110</f>
        <v>70320</v>
      </c>
      <c r="AC110" s="109">
        <f>AB110*'CALCULO GERAL'!$C$11</f>
        <v>352936.08</v>
      </c>
      <c r="AD110" s="109">
        <f>AC110*C110</f>
        <v>123527.628</v>
      </c>
      <c r="AE110" s="109">
        <f>(AC110+AD110)*D110</f>
        <v>30970.141019999999</v>
      </c>
      <c r="AF110" s="109">
        <f>AC110*E110</f>
        <v>7411.6576800000012</v>
      </c>
      <c r="AG110" s="109">
        <f>AC110*F110</f>
        <v>37587.692520000004</v>
      </c>
      <c r="AH110" s="109">
        <v>154.22999999999999</v>
      </c>
      <c r="AI110" s="109">
        <f>((AA110*'CALCULO GERAL'!$C$11))*0.08+20</f>
        <v>2549.576</v>
      </c>
      <c r="AJ110" s="109">
        <v>1010</v>
      </c>
      <c r="AK110" s="109">
        <v>2500</v>
      </c>
      <c r="AL110" s="109">
        <f>(AA110*('CALCULO GERAL'!$C$11*1.02))-(AA110*'CALCULO GERAL'!$C$11)</f>
        <v>632.39400000000387</v>
      </c>
      <c r="AM110" s="109">
        <v>1800</v>
      </c>
      <c r="AN110" s="109">
        <v>2600</v>
      </c>
      <c r="AO110" s="109">
        <v>9400</v>
      </c>
      <c r="AP110" s="109">
        <v>1000</v>
      </c>
      <c r="AQ110" s="109">
        <v>0</v>
      </c>
      <c r="AR110" s="109">
        <v>0</v>
      </c>
      <c r="AS110" s="109"/>
      <c r="AT110" s="109">
        <f t="shared" si="34"/>
        <v>574079.3992199999</v>
      </c>
      <c r="AU110" s="111">
        <f>IFERROR((AT110/N110),0)</f>
        <v>0.59183443218556686</v>
      </c>
      <c r="AV110" s="109">
        <f>IFERROR((BS110*'CALCULO GERAL'!$E$11)/N110,0)</f>
        <v>1.5057000000000001E-2</v>
      </c>
      <c r="AW110" s="109">
        <f>AU110/'CALCULO GERAL'!$C$11</f>
        <v>0.11791879501605237</v>
      </c>
      <c r="AX110" s="109">
        <f>BP110-BB110-BD110*'CALCULO GERAL'!$C$11</f>
        <v>0.51163049788732395</v>
      </c>
      <c r="AY110" s="109">
        <f>AX110*G110</f>
        <v>3.3255982362676057E-3</v>
      </c>
      <c r="AZ110" s="109">
        <f>AX110*H110</f>
        <v>1.5348914936619718E-2</v>
      </c>
      <c r="BA110" s="109">
        <f>BP110-BD110</f>
        <v>0.70690140845070426</v>
      </c>
      <c r="BB110" s="109">
        <f>BA110*L110</f>
        <v>1.0603521126760563E-2</v>
      </c>
      <c r="BC110" s="109">
        <f>BP110/(1+D110)</f>
        <v>0.70690140845070426</v>
      </c>
      <c r="BD110" s="109">
        <f>BC110*D110</f>
        <v>4.5948591549295779E-2</v>
      </c>
      <c r="BE110" s="109">
        <f>BT110*0.08</f>
        <v>58421.16</v>
      </c>
      <c r="BF110" s="109">
        <f>BT110*0.12</f>
        <v>87631.739999999991</v>
      </c>
      <c r="BG110" s="109">
        <f>(BF110*0.09)/N110</f>
        <v>8.1307799999999989E-3</v>
      </c>
      <c r="BH110" s="109">
        <f>(BE110*0.15)/N110</f>
        <v>9.0342000000000009E-3</v>
      </c>
      <c r="BI110" s="109">
        <f>IF(BE110&gt;=$BX$1,($BX$1-BE110)*0.1,IF(BE110&lt;=$BX$1,($BX$1*0)))/N110</f>
        <v>0</v>
      </c>
      <c r="BJ110" s="109">
        <f>(AY110+AZ110+BB110+AV110+BD110+BG110+BH110+BI110)</f>
        <v>0.10744860584894368</v>
      </c>
      <c r="BK110" s="109">
        <f t="shared" si="35"/>
        <v>0.69928303803451053</v>
      </c>
      <c r="BL110" s="148">
        <v>0.78</v>
      </c>
      <c r="BM110" s="112">
        <f>ROUND((AW110/BL110)+((AW110*BL110)*'CALCULO GERAL'!$E$11)/BL110,2)</f>
        <v>0.15</v>
      </c>
      <c r="BN110" s="186">
        <f t="shared" si="21"/>
        <v>0.15</v>
      </c>
      <c r="BO110" s="186">
        <f t="shared" si="36"/>
        <v>0.17599999999999999</v>
      </c>
      <c r="BP110" s="109">
        <f>BM110*'CALCULO GERAL'!$C$11</f>
        <v>0.75285000000000002</v>
      </c>
      <c r="BQ110" s="109">
        <f>BO110*'CALCULO GERAL'!$C$11</f>
        <v>0.88334400000000002</v>
      </c>
      <c r="BR110" s="186">
        <f>BN110*'CALCULO GERAL'!$C$11</f>
        <v>0.75285000000000002</v>
      </c>
      <c r="BS110" s="109">
        <f>BP110*N110</f>
        <v>730264.5</v>
      </c>
      <c r="BT110" s="109">
        <f>BR110*N110</f>
        <v>730264.5</v>
      </c>
      <c r="BU110" s="109">
        <f t="shared" si="40"/>
        <v>678304.54689347523</v>
      </c>
      <c r="BV110" s="109">
        <f t="shared" si="37"/>
        <v>51959.953106524772</v>
      </c>
      <c r="BW110" s="114">
        <f>(((BK110*N110)-BS110)/BS110*-1)</f>
        <v>7.1152237451669598E-2</v>
      </c>
      <c r="BX110" s="152">
        <f t="shared" si="41"/>
        <v>0.78</v>
      </c>
      <c r="BY110" s="152"/>
      <c r="BZ110" s="55"/>
      <c r="CA110" s="113"/>
      <c r="CB110" s="113"/>
      <c r="CC110" s="152"/>
      <c r="CD110" s="152">
        <f t="shared" si="42"/>
        <v>0</v>
      </c>
      <c r="CE110" s="152">
        <f t="shared" si="38"/>
        <v>1</v>
      </c>
      <c r="CF110" s="152">
        <f t="shared" si="39"/>
        <v>1</v>
      </c>
      <c r="CG110" s="34"/>
    </row>
    <row r="111" spans="1:88" x14ac:dyDescent="0.2">
      <c r="A111" s="228" t="s">
        <v>229</v>
      </c>
      <c r="B111" s="187" t="s">
        <v>230</v>
      </c>
      <c r="C111" s="8">
        <v>0.35</v>
      </c>
      <c r="D111" s="8">
        <v>0</v>
      </c>
      <c r="E111" s="7">
        <v>2.1000000000000001E-2</v>
      </c>
      <c r="F111" s="7">
        <v>0.1065</v>
      </c>
      <c r="G111" s="1">
        <v>6.4999999999999997E-3</v>
      </c>
      <c r="H111" s="1">
        <v>0.03</v>
      </c>
      <c r="I111" s="1">
        <v>0.18</v>
      </c>
      <c r="J111" s="1">
        <v>0.04</v>
      </c>
      <c r="K111" s="1">
        <v>0.14000000000000001</v>
      </c>
      <c r="L111" s="1">
        <v>1.4999999999999999E-2</v>
      </c>
      <c r="M111" s="2" t="s">
        <v>175</v>
      </c>
      <c r="N111" s="105">
        <v>18000</v>
      </c>
      <c r="O111" s="119"/>
      <c r="P111" s="119"/>
      <c r="Q111" s="119"/>
      <c r="R111" s="119"/>
      <c r="S111" s="119"/>
      <c r="T111" s="119"/>
      <c r="U111" s="119"/>
      <c r="V111" s="119">
        <v>2.12</v>
      </c>
      <c r="W111" s="119"/>
      <c r="X111" s="119">
        <f t="shared" si="0"/>
        <v>2.12</v>
      </c>
      <c r="Y111" s="118">
        <f t="shared" si="1"/>
        <v>2.12</v>
      </c>
      <c r="Z111" s="109">
        <f t="shared" si="2"/>
        <v>38160</v>
      </c>
      <c r="AA111" s="109">
        <f>'CALCULO GERAL'!$G$10</f>
        <v>6300</v>
      </c>
      <c r="AB111" s="109">
        <f t="shared" si="3"/>
        <v>44460</v>
      </c>
      <c r="AC111" s="109">
        <f>AB111*'CALCULO GERAL'!$C$11</f>
        <v>223144.74000000002</v>
      </c>
      <c r="AD111" s="109">
        <f t="shared" si="4"/>
        <v>78100.659</v>
      </c>
      <c r="AE111" s="109">
        <f t="shared" si="5"/>
        <v>0</v>
      </c>
      <c r="AF111" s="109">
        <f t="shared" si="6"/>
        <v>4686.0395400000007</v>
      </c>
      <c r="AG111" s="109">
        <f t="shared" si="7"/>
        <v>23764.914810000002</v>
      </c>
      <c r="AH111" s="109">
        <v>154.22999999999999</v>
      </c>
      <c r="AI111" s="109">
        <f>((AA111*'CALCULO GERAL'!$C$11))*0.08+20</f>
        <v>2549.576</v>
      </c>
      <c r="AJ111" s="109">
        <v>1010</v>
      </c>
      <c r="AK111" s="109">
        <v>2500</v>
      </c>
      <c r="AL111" s="109">
        <f>(AA111*('CALCULO GERAL'!$C$11*1.02))-(AA111*'CALCULO GERAL'!$C$11)</f>
        <v>632.39400000000387</v>
      </c>
      <c r="AM111" s="109">
        <v>1800</v>
      </c>
      <c r="AN111" s="109">
        <v>2600</v>
      </c>
      <c r="AO111" s="109">
        <v>9400</v>
      </c>
      <c r="AP111" s="109">
        <v>1000</v>
      </c>
      <c r="AQ111" s="109">
        <v>0</v>
      </c>
      <c r="AR111" s="109">
        <v>0</v>
      </c>
      <c r="AS111" s="109"/>
      <c r="AT111" s="109">
        <f t="shared" si="34"/>
        <v>351342.55335000006</v>
      </c>
      <c r="AU111" s="111">
        <f t="shared" si="8"/>
        <v>19.519030741666668</v>
      </c>
      <c r="AV111" s="109">
        <f>IFERROR((BS111*'CALCULO GERAL'!$E$11)/N111,0)</f>
        <v>0.50190000000000001</v>
      </c>
      <c r="AW111" s="109">
        <f>AU111/'CALCULO GERAL'!$C$11</f>
        <v>3.8890278425317129</v>
      </c>
      <c r="AX111" s="109">
        <f>BP111-BB111-BD111*'CALCULO GERAL'!$C$11</f>
        <v>24.718574999999998</v>
      </c>
      <c r="AY111" s="109">
        <f t="shared" si="9"/>
        <v>0.16067073749999997</v>
      </c>
      <c r="AZ111" s="109">
        <f t="shared" si="10"/>
        <v>0.74155724999999995</v>
      </c>
      <c r="BA111" s="109">
        <f t="shared" si="11"/>
        <v>25.094999999999999</v>
      </c>
      <c r="BB111" s="109">
        <f t="shared" si="12"/>
        <v>0.37642499999999995</v>
      </c>
      <c r="BC111" s="109">
        <f t="shared" si="13"/>
        <v>25.094999999999999</v>
      </c>
      <c r="BD111" s="109">
        <f t="shared" si="14"/>
        <v>0</v>
      </c>
      <c r="BE111" s="109">
        <f t="shared" si="15"/>
        <v>36136.800000000003</v>
      </c>
      <c r="BF111" s="109">
        <f t="shared" si="16"/>
        <v>54205.2</v>
      </c>
      <c r="BG111" s="109">
        <f t="shared" si="17"/>
        <v>0.27102599999999999</v>
      </c>
      <c r="BH111" s="109">
        <f t="shared" si="18"/>
        <v>0.30114000000000002</v>
      </c>
      <c r="BI111" s="109">
        <f t="shared" si="19"/>
        <v>0</v>
      </c>
      <c r="BJ111" s="109">
        <f t="shared" si="20"/>
        <v>2.3527189875000003</v>
      </c>
      <c r="BK111" s="109">
        <f t="shared" si="35"/>
        <v>21.87174972916667</v>
      </c>
      <c r="BL111" s="148">
        <v>0.79</v>
      </c>
      <c r="BM111" s="112">
        <f>ROUND((AW111/BL111)+((AW111*BL111)*'CALCULO GERAL'!$E$11)/BL111,2)</f>
        <v>5</v>
      </c>
      <c r="BN111" s="186">
        <f t="shared" si="21"/>
        <v>5</v>
      </c>
      <c r="BO111" s="186">
        <f t="shared" si="36"/>
        <v>5.8579999999999997</v>
      </c>
      <c r="BP111" s="109">
        <f>BM111*'CALCULO GERAL'!$C$11</f>
        <v>25.094999999999999</v>
      </c>
      <c r="BQ111" s="109">
        <f>BO111*'CALCULO GERAL'!$C$11</f>
        <v>29.401301999999998</v>
      </c>
      <c r="BR111" s="186">
        <f>BN111*'CALCULO GERAL'!$C$11</f>
        <v>25.094999999999999</v>
      </c>
      <c r="BS111" s="109">
        <f t="shared" si="22"/>
        <v>451710</v>
      </c>
      <c r="BT111" s="109">
        <f t="shared" si="23"/>
        <v>451710</v>
      </c>
      <c r="BU111" s="109">
        <f t="shared" si="40"/>
        <v>393691.49512500007</v>
      </c>
      <c r="BV111" s="109">
        <f t="shared" si="37"/>
        <v>58018.504874999926</v>
      </c>
      <c r="BW111" s="114">
        <f t="shared" si="24"/>
        <v>0.12844193149365726</v>
      </c>
      <c r="BX111" s="152">
        <f t="shared" si="41"/>
        <v>0.79</v>
      </c>
      <c r="BY111" s="152"/>
      <c r="BZ111" s="55"/>
      <c r="CA111" s="113"/>
      <c r="CB111" s="113"/>
      <c r="CC111" s="152"/>
      <c r="CD111" s="152">
        <f t="shared" si="42"/>
        <v>0</v>
      </c>
      <c r="CE111" s="152">
        <f t="shared" si="38"/>
        <v>1</v>
      </c>
      <c r="CF111" s="152">
        <f t="shared" si="39"/>
        <v>1</v>
      </c>
      <c r="CG111" s="34"/>
    </row>
    <row r="112" spans="1:88" x14ac:dyDescent="0.2">
      <c r="A112" s="228" t="s">
        <v>231</v>
      </c>
      <c r="B112" s="187" t="s">
        <v>230</v>
      </c>
      <c r="C112" s="8">
        <v>0.35</v>
      </c>
      <c r="D112" s="8">
        <v>0</v>
      </c>
      <c r="E112" s="7">
        <v>2.1000000000000001E-2</v>
      </c>
      <c r="F112" s="7">
        <v>0.1065</v>
      </c>
      <c r="G112" s="1">
        <v>6.4999999999999997E-3</v>
      </c>
      <c r="H112" s="1">
        <v>0.03</v>
      </c>
      <c r="I112" s="1">
        <v>0.18</v>
      </c>
      <c r="J112" s="1">
        <v>0.04</v>
      </c>
      <c r="K112" s="1">
        <v>0.14000000000000001</v>
      </c>
      <c r="L112" s="1">
        <v>1.4999999999999999E-2</v>
      </c>
      <c r="M112" s="2" t="s">
        <v>175</v>
      </c>
      <c r="N112" s="105">
        <v>18000</v>
      </c>
      <c r="O112" s="119"/>
      <c r="P112" s="119"/>
      <c r="Q112" s="119"/>
      <c r="R112" s="119"/>
      <c r="S112" s="119"/>
      <c r="T112" s="119"/>
      <c r="U112" s="119"/>
      <c r="V112" s="119">
        <v>2.15</v>
      </c>
      <c r="W112" s="119"/>
      <c r="X112" s="119">
        <f t="shared" si="0"/>
        <v>2.15</v>
      </c>
      <c r="Y112" s="118">
        <f t="shared" si="1"/>
        <v>2.15</v>
      </c>
      <c r="Z112" s="109">
        <f t="shared" si="2"/>
        <v>38700</v>
      </c>
      <c r="AA112" s="109">
        <f>'CALCULO GERAL'!$G$10</f>
        <v>6300</v>
      </c>
      <c r="AB112" s="109">
        <f t="shared" si="3"/>
        <v>45000</v>
      </c>
      <c r="AC112" s="109">
        <f>AB112*'CALCULO GERAL'!$C$11</f>
        <v>225855</v>
      </c>
      <c r="AD112" s="109">
        <f t="shared" si="4"/>
        <v>79049.25</v>
      </c>
      <c r="AE112" s="109">
        <f t="shared" si="5"/>
        <v>0</v>
      </c>
      <c r="AF112" s="109">
        <f t="shared" si="6"/>
        <v>4742.9549999999999</v>
      </c>
      <c r="AG112" s="109">
        <f t="shared" si="7"/>
        <v>24053.557499999999</v>
      </c>
      <c r="AH112" s="109">
        <v>154.22999999999999</v>
      </c>
      <c r="AI112" s="109">
        <f>((AA112*'CALCULO GERAL'!$C$11))*0.08+20</f>
        <v>2549.576</v>
      </c>
      <c r="AJ112" s="109">
        <v>1010</v>
      </c>
      <c r="AK112" s="109">
        <v>2500</v>
      </c>
      <c r="AL112" s="109">
        <f>(AA112*('CALCULO GERAL'!$C$11*1.02))-(AA112*'CALCULO GERAL'!$C$11)</f>
        <v>632.39400000000387</v>
      </c>
      <c r="AM112" s="109">
        <v>1800</v>
      </c>
      <c r="AN112" s="109">
        <v>2600</v>
      </c>
      <c r="AO112" s="109">
        <v>9400</v>
      </c>
      <c r="AP112" s="109">
        <v>1000</v>
      </c>
      <c r="AQ112" s="109">
        <v>0</v>
      </c>
      <c r="AR112" s="109">
        <v>0</v>
      </c>
      <c r="AS112" s="109"/>
      <c r="AT112" s="109">
        <f t="shared" si="34"/>
        <v>355346.96250000002</v>
      </c>
      <c r="AU112" s="111">
        <f t="shared" si="8"/>
        <v>19.741497916666667</v>
      </c>
      <c r="AV112" s="109">
        <f>IFERROR((BS112*'CALCULO GERAL'!$E$11)/N112,0)</f>
        <v>0.50792280000000001</v>
      </c>
      <c r="AW112" s="109">
        <f>AU112/'CALCULO GERAL'!$C$11</f>
        <v>3.9333528425317126</v>
      </c>
      <c r="AX112" s="109">
        <f>BP112-BB112-BD112*'CALCULO GERAL'!$C$11</f>
        <v>25.0151979</v>
      </c>
      <c r="AY112" s="109">
        <f t="shared" si="9"/>
        <v>0.16259878635</v>
      </c>
      <c r="AZ112" s="109">
        <f t="shared" si="10"/>
        <v>0.75045593700000002</v>
      </c>
      <c r="BA112" s="109">
        <f t="shared" si="11"/>
        <v>25.396139999999999</v>
      </c>
      <c r="BB112" s="109">
        <f t="shared" si="12"/>
        <v>0.38094209999999995</v>
      </c>
      <c r="BC112" s="109">
        <f t="shared" si="13"/>
        <v>25.396139999999999</v>
      </c>
      <c r="BD112" s="109">
        <f t="shared" si="14"/>
        <v>0</v>
      </c>
      <c r="BE112" s="109">
        <f t="shared" si="15"/>
        <v>36570.441599999998</v>
      </c>
      <c r="BF112" s="109">
        <f t="shared" si="16"/>
        <v>54855.662399999994</v>
      </c>
      <c r="BG112" s="109">
        <f t="shared" si="17"/>
        <v>0.27427831199999997</v>
      </c>
      <c r="BH112" s="109">
        <f t="shared" si="18"/>
        <v>0.30475367999999997</v>
      </c>
      <c r="BI112" s="109">
        <f t="shared" si="19"/>
        <v>0</v>
      </c>
      <c r="BJ112" s="109">
        <f t="shared" si="20"/>
        <v>2.3809516153500003</v>
      </c>
      <c r="BK112" s="109">
        <f t="shared" si="35"/>
        <v>22.122449532016667</v>
      </c>
      <c r="BL112" s="148">
        <v>0.79</v>
      </c>
      <c r="BM112" s="112">
        <f>ROUND((AW112/BL112)+((AW112*BL112)*'CALCULO GERAL'!$E$11)/BL112,2)</f>
        <v>5.0599999999999996</v>
      </c>
      <c r="BN112" s="186">
        <f t="shared" si="21"/>
        <v>5.0599999999999996</v>
      </c>
      <c r="BO112" s="186">
        <f t="shared" si="36"/>
        <v>5.9290000000000003</v>
      </c>
      <c r="BP112" s="109">
        <f>BM112*'CALCULO GERAL'!$C$11</f>
        <v>25.396139999999999</v>
      </c>
      <c r="BQ112" s="109">
        <f>BO112*'CALCULO GERAL'!$C$11</f>
        <v>29.757651000000003</v>
      </c>
      <c r="BR112" s="186">
        <f>BN112*'CALCULO GERAL'!$C$11</f>
        <v>25.396139999999999</v>
      </c>
      <c r="BS112" s="109">
        <f t="shared" si="22"/>
        <v>457130.51999999996</v>
      </c>
      <c r="BT112" s="109">
        <f t="shared" si="23"/>
        <v>457130.51999999996</v>
      </c>
      <c r="BU112" s="109">
        <f t="shared" si="40"/>
        <v>398204.09157629998</v>
      </c>
      <c r="BV112" s="109">
        <f t="shared" si="37"/>
        <v>58926.428423699981</v>
      </c>
      <c r="BW112" s="114">
        <f t="shared" si="24"/>
        <v>0.12890504100163774</v>
      </c>
      <c r="BX112" s="152">
        <f t="shared" si="41"/>
        <v>0.79</v>
      </c>
      <c r="BY112" s="152"/>
      <c r="BZ112" s="55"/>
      <c r="CA112" s="113"/>
      <c r="CB112" s="113"/>
      <c r="CC112" s="152"/>
      <c r="CD112" s="152">
        <f t="shared" si="42"/>
        <v>0</v>
      </c>
      <c r="CE112" s="152">
        <f t="shared" si="38"/>
        <v>1</v>
      </c>
      <c r="CF112" s="152">
        <f t="shared" si="39"/>
        <v>1</v>
      </c>
      <c r="CG112" s="34"/>
    </row>
    <row r="113" spans="1:88" x14ac:dyDescent="0.2">
      <c r="A113" s="228" t="s">
        <v>232</v>
      </c>
      <c r="B113" s="187" t="s">
        <v>230</v>
      </c>
      <c r="C113" s="8">
        <v>0.35</v>
      </c>
      <c r="D113" s="8">
        <v>0</v>
      </c>
      <c r="E113" s="7">
        <v>2.1000000000000001E-2</v>
      </c>
      <c r="F113" s="7">
        <v>0.1065</v>
      </c>
      <c r="G113" s="1">
        <v>6.4999999999999997E-3</v>
      </c>
      <c r="H113" s="1">
        <v>0.03</v>
      </c>
      <c r="I113" s="1">
        <v>0.18</v>
      </c>
      <c r="J113" s="1">
        <v>0.04</v>
      </c>
      <c r="K113" s="1">
        <v>0.14000000000000001</v>
      </c>
      <c r="L113" s="1">
        <v>1.4999999999999999E-2</v>
      </c>
      <c r="M113" s="2" t="s">
        <v>175</v>
      </c>
      <c r="N113" s="105">
        <v>27200</v>
      </c>
      <c r="O113" s="119"/>
      <c r="P113" s="119"/>
      <c r="Q113" s="119"/>
      <c r="R113" s="119"/>
      <c r="S113" s="119"/>
      <c r="T113" s="119"/>
      <c r="U113" s="119"/>
      <c r="V113" s="119">
        <v>1.9</v>
      </c>
      <c r="W113" s="119"/>
      <c r="X113" s="119">
        <f t="shared" si="0"/>
        <v>1.9</v>
      </c>
      <c r="Y113" s="118">
        <f t="shared" si="1"/>
        <v>1.9</v>
      </c>
      <c r="Z113" s="109">
        <f t="shared" si="2"/>
        <v>51680</v>
      </c>
      <c r="AA113" s="109">
        <f>'CALCULO GERAL'!$G$10</f>
        <v>6300</v>
      </c>
      <c r="AB113" s="109">
        <f t="shared" si="3"/>
        <v>57980</v>
      </c>
      <c r="AC113" s="109">
        <f>AB113*'CALCULO GERAL'!$C$11</f>
        <v>291001.62</v>
      </c>
      <c r="AD113" s="109">
        <f t="shared" si="4"/>
        <v>101850.567</v>
      </c>
      <c r="AE113" s="109">
        <f t="shared" si="5"/>
        <v>0</v>
      </c>
      <c r="AF113" s="109">
        <f t="shared" si="6"/>
        <v>6111.0340200000001</v>
      </c>
      <c r="AG113" s="109">
        <f t="shared" si="7"/>
        <v>30991.67253</v>
      </c>
      <c r="AH113" s="109">
        <v>154.22999999999999</v>
      </c>
      <c r="AI113" s="109">
        <f>((AA113*'CALCULO GERAL'!$C$11))*0.08+20</f>
        <v>2549.576</v>
      </c>
      <c r="AJ113" s="109">
        <v>1010</v>
      </c>
      <c r="AK113" s="109">
        <v>2500</v>
      </c>
      <c r="AL113" s="109">
        <f>(AA113*('CALCULO GERAL'!$C$11*1.02))-(AA113*'CALCULO GERAL'!$C$11)</f>
        <v>632.39400000000387</v>
      </c>
      <c r="AM113" s="109">
        <v>1800</v>
      </c>
      <c r="AN113" s="109">
        <v>2600</v>
      </c>
      <c r="AO113" s="109">
        <v>9400</v>
      </c>
      <c r="AP113" s="109">
        <v>1000</v>
      </c>
      <c r="AQ113" s="109">
        <v>0</v>
      </c>
      <c r="AR113" s="109">
        <v>0</v>
      </c>
      <c r="AS113" s="109"/>
      <c r="AT113" s="109">
        <f t="shared" si="34"/>
        <v>451601.09354999999</v>
      </c>
      <c r="AU113" s="111">
        <f t="shared" si="8"/>
        <v>16.602981380514706</v>
      </c>
      <c r="AV113" s="109">
        <f>IFERROR((BS113*'CALCULO GERAL'!$E$11)/N113,0)</f>
        <v>0.42159600000000003</v>
      </c>
      <c r="AW113" s="109">
        <f>AU113/'CALCULO GERAL'!$C$11</f>
        <v>3.3080257781459865</v>
      </c>
      <c r="AX113" s="109">
        <f>BP113-BB113-BD113*'CALCULO GERAL'!$C$11</f>
        <v>20.763603000000003</v>
      </c>
      <c r="AY113" s="109">
        <f t="shared" si="9"/>
        <v>0.13496341950000001</v>
      </c>
      <c r="AZ113" s="109">
        <f t="shared" si="10"/>
        <v>0.62290809000000003</v>
      </c>
      <c r="BA113" s="109">
        <f t="shared" si="11"/>
        <v>21.079800000000002</v>
      </c>
      <c r="BB113" s="109">
        <f t="shared" si="12"/>
        <v>0.31619700000000001</v>
      </c>
      <c r="BC113" s="109">
        <f t="shared" si="13"/>
        <v>21.079800000000002</v>
      </c>
      <c r="BD113" s="109">
        <f t="shared" si="14"/>
        <v>0</v>
      </c>
      <c r="BE113" s="109">
        <f t="shared" si="15"/>
        <v>45869.644800000002</v>
      </c>
      <c r="BF113" s="109">
        <f t="shared" si="16"/>
        <v>68804.467199999999</v>
      </c>
      <c r="BG113" s="109">
        <f t="shared" si="17"/>
        <v>0.22766184</v>
      </c>
      <c r="BH113" s="109">
        <f t="shared" si="18"/>
        <v>0.2529576</v>
      </c>
      <c r="BI113" s="109">
        <f t="shared" si="19"/>
        <v>0</v>
      </c>
      <c r="BJ113" s="109">
        <f t="shared" si="20"/>
        <v>1.9762839495000002</v>
      </c>
      <c r="BK113" s="109">
        <f t="shared" si="35"/>
        <v>18.579265330014707</v>
      </c>
      <c r="BL113" s="148">
        <v>0.8</v>
      </c>
      <c r="BM113" s="112">
        <f>ROUND((AW113/BL113)+((AW113*BL113)*'CALCULO GERAL'!$E$11)/BL113,2)</f>
        <v>4.2</v>
      </c>
      <c r="BN113" s="186">
        <f t="shared" si="21"/>
        <v>4.2</v>
      </c>
      <c r="BO113" s="186">
        <f t="shared" si="36"/>
        <v>4.9210000000000003</v>
      </c>
      <c r="BP113" s="109">
        <f>BM113*'CALCULO GERAL'!$C$11</f>
        <v>21.079800000000002</v>
      </c>
      <c r="BQ113" s="109">
        <f>BO113*'CALCULO GERAL'!$C$11</f>
        <v>24.698499000000002</v>
      </c>
      <c r="BR113" s="186">
        <f>BN113*'CALCULO GERAL'!$C$11</f>
        <v>21.079800000000002</v>
      </c>
      <c r="BS113" s="109">
        <f t="shared" si="22"/>
        <v>573370.56000000006</v>
      </c>
      <c r="BT113" s="109">
        <f t="shared" si="23"/>
        <v>573370.56000000006</v>
      </c>
      <c r="BU113" s="109">
        <f t="shared" si="40"/>
        <v>505356.01697640005</v>
      </c>
      <c r="BV113" s="109">
        <f t="shared" si="37"/>
        <v>68014.54302360001</v>
      </c>
      <c r="BW113" s="114">
        <f t="shared" si="24"/>
        <v>0.1186223147271461</v>
      </c>
      <c r="BX113" s="152">
        <f t="shared" si="41"/>
        <v>0.8</v>
      </c>
      <c r="BY113" s="152"/>
      <c r="BZ113" s="55"/>
      <c r="CA113" s="113"/>
      <c r="CB113" s="113"/>
      <c r="CC113" s="152"/>
      <c r="CD113" s="152">
        <f t="shared" si="42"/>
        <v>0</v>
      </c>
      <c r="CE113" s="152">
        <f t="shared" si="38"/>
        <v>1</v>
      </c>
      <c r="CF113" s="152">
        <f t="shared" si="39"/>
        <v>1</v>
      </c>
      <c r="CG113" s="34"/>
    </row>
    <row r="114" spans="1:88" x14ac:dyDescent="0.2">
      <c r="A114" s="228" t="s">
        <v>233</v>
      </c>
      <c r="B114" s="187" t="s">
        <v>234</v>
      </c>
      <c r="C114" s="8">
        <v>0.35</v>
      </c>
      <c r="D114" s="8">
        <v>0</v>
      </c>
      <c r="E114" s="7">
        <v>2.1000000000000001E-2</v>
      </c>
      <c r="F114" s="7">
        <v>0.1065</v>
      </c>
      <c r="G114" s="1">
        <v>6.4999999999999997E-3</v>
      </c>
      <c r="H114" s="1">
        <v>0.03</v>
      </c>
      <c r="I114" s="1">
        <v>0.18</v>
      </c>
      <c r="J114" s="1">
        <v>0.04</v>
      </c>
      <c r="K114" s="1">
        <v>0.14000000000000001</v>
      </c>
      <c r="L114" s="1">
        <v>1.4999999999999999E-2</v>
      </c>
      <c r="M114" s="2" t="s">
        <v>175</v>
      </c>
      <c r="N114" s="105">
        <v>25822</v>
      </c>
      <c r="O114" s="119"/>
      <c r="P114" s="119"/>
      <c r="Q114" s="119"/>
      <c r="R114" s="119"/>
      <c r="S114" s="119"/>
      <c r="T114" s="119"/>
      <c r="U114" s="119"/>
      <c r="V114" s="119">
        <v>3.53</v>
      </c>
      <c r="W114" s="119"/>
      <c r="X114" s="119">
        <f t="shared" si="0"/>
        <v>3.53</v>
      </c>
      <c r="Y114" s="118">
        <f t="shared" si="1"/>
        <v>3.53</v>
      </c>
      <c r="Z114" s="109">
        <f t="shared" si="2"/>
        <v>91151.659999999989</v>
      </c>
      <c r="AA114" s="109">
        <f>'CALCULO GERAL'!$G$10</f>
        <v>6300</v>
      </c>
      <c r="AB114" s="109">
        <f t="shared" si="3"/>
        <v>97451.659999999989</v>
      </c>
      <c r="AC114" s="109">
        <f>AB114*'CALCULO GERAL'!$C$11</f>
        <v>489109.88153999997</v>
      </c>
      <c r="AD114" s="109">
        <f t="shared" si="4"/>
        <v>171188.45853899998</v>
      </c>
      <c r="AE114" s="109">
        <f t="shared" si="5"/>
        <v>0</v>
      </c>
      <c r="AF114" s="109">
        <f t="shared" si="6"/>
        <v>10271.307512339999</v>
      </c>
      <c r="AG114" s="109">
        <f t="shared" si="7"/>
        <v>52090.202384009994</v>
      </c>
      <c r="AH114" s="109">
        <v>154.22999999999999</v>
      </c>
      <c r="AI114" s="109">
        <f>((AA114*'CALCULO GERAL'!$C$11))*0.08+20</f>
        <v>2549.576</v>
      </c>
      <c r="AJ114" s="109">
        <v>1010</v>
      </c>
      <c r="AK114" s="109">
        <v>2500</v>
      </c>
      <c r="AL114" s="109">
        <f>(AA114*('CALCULO GERAL'!$C$11*1.02))-(AA114*'CALCULO GERAL'!$C$11)</f>
        <v>632.39400000000387</v>
      </c>
      <c r="AM114" s="109">
        <v>1800</v>
      </c>
      <c r="AN114" s="109">
        <v>2600</v>
      </c>
      <c r="AO114" s="109">
        <v>9400</v>
      </c>
      <c r="AP114" s="109">
        <v>1000</v>
      </c>
      <c r="AQ114" s="109">
        <v>0</v>
      </c>
      <c r="AR114" s="109">
        <v>0</v>
      </c>
      <c r="AS114" s="109"/>
      <c r="AT114" s="109">
        <f t="shared" si="34"/>
        <v>744306.04997534992</v>
      </c>
      <c r="AU114" s="111">
        <f t="shared" si="8"/>
        <v>28.824492679705287</v>
      </c>
      <c r="AV114" s="109">
        <f>IFERROR((BS114*'CALCULO GERAL'!$E$11)/N114,0)</f>
        <v>0.69764100000000007</v>
      </c>
      <c r="AW114" s="109">
        <f>AU114/'CALCULO GERAL'!$C$11</f>
        <v>5.7430748515053374</v>
      </c>
      <c r="AX114" s="109">
        <f>BP114-BB114-BD114*'CALCULO GERAL'!$C$11</f>
        <v>34.358819249999996</v>
      </c>
      <c r="AY114" s="109">
        <f t="shared" si="9"/>
        <v>0.22333232512499995</v>
      </c>
      <c r="AZ114" s="109">
        <f t="shared" si="10"/>
        <v>1.0307645774999998</v>
      </c>
      <c r="BA114" s="109">
        <f t="shared" si="11"/>
        <v>34.88205</v>
      </c>
      <c r="BB114" s="109">
        <f t="shared" si="12"/>
        <v>0.52323074999999997</v>
      </c>
      <c r="BC114" s="109">
        <f t="shared" si="13"/>
        <v>34.88205</v>
      </c>
      <c r="BD114" s="109">
        <f t="shared" si="14"/>
        <v>0</v>
      </c>
      <c r="BE114" s="109">
        <f t="shared" si="15"/>
        <v>72057.943608000001</v>
      </c>
      <c r="BF114" s="109">
        <f t="shared" si="16"/>
        <v>108086.91541199999</v>
      </c>
      <c r="BG114" s="109">
        <f t="shared" si="17"/>
        <v>0.37672613999999999</v>
      </c>
      <c r="BH114" s="109">
        <f t="shared" si="18"/>
        <v>0.41858459999999997</v>
      </c>
      <c r="BI114" s="109">
        <f t="shared" si="19"/>
        <v>-4.6696435628533824E-2</v>
      </c>
      <c r="BJ114" s="109">
        <f t="shared" si="20"/>
        <v>3.223582956996466</v>
      </c>
      <c r="BK114" s="109">
        <f t="shared" si="35"/>
        <v>32.048075636701753</v>
      </c>
      <c r="BL114" s="148">
        <v>0.84</v>
      </c>
      <c r="BM114" s="112">
        <f>ROUND((AW114/BL114)+((AW114*BL114)*'CALCULO GERAL'!$E$11)/BL114,2)</f>
        <v>6.95</v>
      </c>
      <c r="BN114" s="186">
        <f t="shared" si="21"/>
        <v>6.95</v>
      </c>
      <c r="BO114" s="186">
        <f t="shared" si="36"/>
        <v>8.1430000000000007</v>
      </c>
      <c r="BP114" s="109">
        <f>BM114*'CALCULO GERAL'!$C$11</f>
        <v>34.88205</v>
      </c>
      <c r="BQ114" s="109">
        <f>BO114*'CALCULO GERAL'!$C$11</f>
        <v>40.869717000000001</v>
      </c>
      <c r="BR114" s="186">
        <f>BN114*'CALCULO GERAL'!$C$11</f>
        <v>34.88205</v>
      </c>
      <c r="BS114" s="109">
        <f t="shared" si="22"/>
        <v>900724.29509999999</v>
      </c>
      <c r="BT114" s="109">
        <f t="shared" si="23"/>
        <v>900724.29509999999</v>
      </c>
      <c r="BU114" s="109">
        <f t="shared" si="40"/>
        <v>827545.40909091267</v>
      </c>
      <c r="BV114" s="109">
        <f t="shared" si="37"/>
        <v>73178.88600908732</v>
      </c>
      <c r="BW114" s="114">
        <f t="shared" si="24"/>
        <v>8.1244490025621965E-2</v>
      </c>
      <c r="BX114" s="152">
        <f t="shared" si="41"/>
        <v>0.84</v>
      </c>
      <c r="BY114" s="152"/>
      <c r="BZ114" s="55"/>
      <c r="CA114" s="113"/>
      <c r="CB114" s="113"/>
      <c r="CC114" s="152"/>
      <c r="CD114" s="152">
        <f t="shared" si="42"/>
        <v>0</v>
      </c>
      <c r="CE114" s="152">
        <f t="shared" si="38"/>
        <v>1</v>
      </c>
      <c r="CF114" s="152">
        <f t="shared" si="39"/>
        <v>1</v>
      </c>
      <c r="CG114" s="34"/>
      <c r="CI114" s="56"/>
      <c r="CJ114" s="56"/>
    </row>
    <row r="115" spans="1:88" x14ac:dyDescent="0.2">
      <c r="A115" s="228" t="s">
        <v>235</v>
      </c>
      <c r="B115" s="187" t="s">
        <v>236</v>
      </c>
      <c r="C115" s="8">
        <v>0.2</v>
      </c>
      <c r="D115" s="8">
        <v>6.5000000000000002E-2</v>
      </c>
      <c r="E115" s="7">
        <v>2.1000000000000001E-2</v>
      </c>
      <c r="F115" s="7">
        <v>9.6500000000000002E-2</v>
      </c>
      <c r="G115" s="1">
        <v>6.4999999999999997E-3</v>
      </c>
      <c r="H115" s="1">
        <v>0.03</v>
      </c>
      <c r="I115" s="1">
        <v>0.18</v>
      </c>
      <c r="J115" s="1">
        <v>0.04</v>
      </c>
      <c r="K115" s="1">
        <v>0.14000000000000001</v>
      </c>
      <c r="L115" s="1">
        <v>1.4999999999999999E-2</v>
      </c>
      <c r="M115" s="2" t="s">
        <v>175</v>
      </c>
      <c r="N115" s="105">
        <v>59000</v>
      </c>
      <c r="O115" s="119"/>
      <c r="P115" s="119"/>
      <c r="Q115" s="119"/>
      <c r="R115" s="119"/>
      <c r="S115" s="119"/>
      <c r="T115" s="119"/>
      <c r="U115" s="119"/>
      <c r="V115" s="119">
        <v>1.1399999999999999</v>
      </c>
      <c r="W115" s="119"/>
      <c r="X115" s="119">
        <f t="shared" si="0"/>
        <v>1.1399999999999999</v>
      </c>
      <c r="Y115" s="118">
        <f t="shared" si="1"/>
        <v>1.1399999999999999</v>
      </c>
      <c r="Z115" s="109">
        <f t="shared" si="2"/>
        <v>67260</v>
      </c>
      <c r="AA115" s="109">
        <f>'CALCULO GERAL'!$G$10</f>
        <v>6300</v>
      </c>
      <c r="AB115" s="109">
        <f t="shared" si="3"/>
        <v>73560</v>
      </c>
      <c r="AC115" s="109">
        <f>AB115*'CALCULO GERAL'!$C$11</f>
        <v>369197.64</v>
      </c>
      <c r="AD115" s="109">
        <f t="shared" si="4"/>
        <v>73839.528000000006</v>
      </c>
      <c r="AE115" s="109">
        <f t="shared" si="5"/>
        <v>28797.415920000003</v>
      </c>
      <c r="AF115" s="109">
        <f t="shared" si="6"/>
        <v>7753.1504400000003</v>
      </c>
      <c r="AG115" s="109">
        <f t="shared" si="7"/>
        <v>35627.572260000001</v>
      </c>
      <c r="AH115" s="109">
        <v>154.22999999999999</v>
      </c>
      <c r="AI115" s="109">
        <f>((AA115*'CALCULO GERAL'!$C$11))*0.08+20</f>
        <v>2549.576</v>
      </c>
      <c r="AJ115" s="109">
        <v>1010</v>
      </c>
      <c r="AK115" s="109">
        <v>2500</v>
      </c>
      <c r="AL115" s="109">
        <f>(AA115*('CALCULO GERAL'!$C$11*1.02))-(AA115*'CALCULO GERAL'!$C$11)</f>
        <v>632.39400000000387</v>
      </c>
      <c r="AM115" s="109">
        <v>1800</v>
      </c>
      <c r="AN115" s="109">
        <v>2600</v>
      </c>
      <c r="AO115" s="109">
        <v>9400</v>
      </c>
      <c r="AP115" s="109">
        <v>1000</v>
      </c>
      <c r="AQ115" s="109">
        <v>0</v>
      </c>
      <c r="AR115" s="109">
        <v>0</v>
      </c>
      <c r="AS115" s="109"/>
      <c r="AT115" s="109">
        <f t="shared" si="34"/>
        <v>536861.50662</v>
      </c>
      <c r="AU115" s="111">
        <f t="shared" si="8"/>
        <v>9.099347569830508</v>
      </c>
      <c r="AV115" s="109">
        <f>IFERROR((BS115*'CALCULO GERAL'!$E$11)/N115,0)</f>
        <v>0.23388540000000002</v>
      </c>
      <c r="AW115" s="109">
        <f>AU115/'CALCULO GERAL'!$C$11</f>
        <v>1.812980189246963</v>
      </c>
      <c r="AX115" s="109">
        <f>BP115-BB115-BD115*'CALCULO GERAL'!$C$11</f>
        <v>7.9473270671830987</v>
      </c>
      <c r="AY115" s="109">
        <f t="shared" si="9"/>
        <v>5.1657625936690141E-2</v>
      </c>
      <c r="AZ115" s="109">
        <f t="shared" si="10"/>
        <v>0.23841981201549295</v>
      </c>
      <c r="BA115" s="109">
        <f t="shared" si="11"/>
        <v>10.980535211267608</v>
      </c>
      <c r="BB115" s="109">
        <f t="shared" si="12"/>
        <v>0.16470802816901411</v>
      </c>
      <c r="BC115" s="109">
        <f t="shared" si="13"/>
        <v>10.980535211267608</v>
      </c>
      <c r="BD115" s="109">
        <f t="shared" si="14"/>
        <v>0.71373478873239449</v>
      </c>
      <c r="BE115" s="109">
        <f t="shared" si="15"/>
        <v>55196.954400000002</v>
      </c>
      <c r="BF115" s="109">
        <f t="shared" si="16"/>
        <v>82795.431599999996</v>
      </c>
      <c r="BG115" s="109">
        <f t="shared" si="17"/>
        <v>0.12629811599999999</v>
      </c>
      <c r="BH115" s="109">
        <f t="shared" si="18"/>
        <v>0.14033124</v>
      </c>
      <c r="BI115" s="109">
        <f t="shared" si="19"/>
        <v>0</v>
      </c>
      <c r="BJ115" s="109">
        <f t="shared" si="20"/>
        <v>1.6690350108535918</v>
      </c>
      <c r="BK115" s="109">
        <f t="shared" si="35"/>
        <v>10.768382580684101</v>
      </c>
      <c r="BL115" s="148">
        <v>0.79</v>
      </c>
      <c r="BM115" s="112">
        <f>ROUND((AW115/BL115)+((AW115*BL115)*'CALCULO GERAL'!$E$11)/BL115,2)</f>
        <v>2.33</v>
      </c>
      <c r="BN115" s="186">
        <f t="shared" si="21"/>
        <v>2.33</v>
      </c>
      <c r="BO115" s="186">
        <f t="shared" si="36"/>
        <v>2.73</v>
      </c>
      <c r="BP115" s="109">
        <f>BM115*'CALCULO GERAL'!$C$11</f>
        <v>11.694270000000001</v>
      </c>
      <c r="BQ115" s="109">
        <f>BO115*'CALCULO GERAL'!$C$11</f>
        <v>13.70187</v>
      </c>
      <c r="BR115" s="186">
        <f>BN115*'CALCULO GERAL'!$C$11</f>
        <v>11.694270000000001</v>
      </c>
      <c r="BS115" s="109">
        <f t="shared" si="22"/>
        <v>689961.93</v>
      </c>
      <c r="BT115" s="109">
        <f t="shared" si="23"/>
        <v>689961.93</v>
      </c>
      <c r="BU115" s="109">
        <f t="shared" si="40"/>
        <v>635334.57226036198</v>
      </c>
      <c r="BV115" s="109">
        <f t="shared" si="37"/>
        <v>54627.357739638072</v>
      </c>
      <c r="BW115" s="114">
        <f t="shared" si="24"/>
        <v>7.9174452044967272E-2</v>
      </c>
      <c r="BX115" s="152">
        <f t="shared" si="41"/>
        <v>0.79</v>
      </c>
      <c r="BY115" s="152"/>
      <c r="BZ115" s="55"/>
      <c r="CA115" s="113"/>
      <c r="CB115" s="113"/>
      <c r="CC115" s="152"/>
      <c r="CD115" s="152">
        <f t="shared" si="42"/>
        <v>0</v>
      </c>
      <c r="CE115" s="152">
        <f t="shared" si="38"/>
        <v>1</v>
      </c>
      <c r="CF115" s="152">
        <f t="shared" si="39"/>
        <v>1</v>
      </c>
      <c r="CG115" s="34"/>
      <c r="CI115" s="56"/>
      <c r="CJ115" s="56"/>
    </row>
    <row r="116" spans="1:88" x14ac:dyDescent="0.2">
      <c r="A116" s="228" t="s">
        <v>237</v>
      </c>
      <c r="B116" s="187" t="s">
        <v>236</v>
      </c>
      <c r="C116" s="8">
        <v>0.2</v>
      </c>
      <c r="D116" s="8">
        <v>6.5000000000000002E-2</v>
      </c>
      <c r="E116" s="7">
        <v>2.1000000000000001E-2</v>
      </c>
      <c r="F116" s="7">
        <v>9.6500000000000002E-2</v>
      </c>
      <c r="G116" s="1">
        <v>6.4999999999999997E-3</v>
      </c>
      <c r="H116" s="1">
        <v>0.03</v>
      </c>
      <c r="I116" s="1">
        <v>0.18</v>
      </c>
      <c r="J116" s="1">
        <v>0.04</v>
      </c>
      <c r="K116" s="1">
        <v>0.14000000000000001</v>
      </c>
      <c r="L116" s="1">
        <v>1.4999999999999999E-2</v>
      </c>
      <c r="M116" s="2" t="s">
        <v>175</v>
      </c>
      <c r="N116" s="105">
        <v>59000</v>
      </c>
      <c r="O116" s="119"/>
      <c r="P116" s="119"/>
      <c r="Q116" s="119"/>
      <c r="R116" s="119"/>
      <c r="S116" s="119"/>
      <c r="T116" s="119"/>
      <c r="U116" s="119"/>
      <c r="V116" s="119">
        <v>1.3</v>
      </c>
      <c r="W116" s="119"/>
      <c r="X116" s="119">
        <f t="shared" si="0"/>
        <v>1.3</v>
      </c>
      <c r="Y116" s="118">
        <f t="shared" si="1"/>
        <v>1.3</v>
      </c>
      <c r="Z116" s="109">
        <f t="shared" si="2"/>
        <v>76700</v>
      </c>
      <c r="AA116" s="109">
        <f>'CALCULO GERAL'!$G$10</f>
        <v>6300</v>
      </c>
      <c r="AB116" s="109">
        <f t="shared" si="3"/>
        <v>83000</v>
      </c>
      <c r="AC116" s="109">
        <f>AB116*'CALCULO GERAL'!$C$11</f>
        <v>416577</v>
      </c>
      <c r="AD116" s="109">
        <f t="shared" si="4"/>
        <v>83315.400000000009</v>
      </c>
      <c r="AE116" s="109">
        <f t="shared" si="5"/>
        <v>32493.006000000001</v>
      </c>
      <c r="AF116" s="109">
        <f t="shared" si="6"/>
        <v>8748.1170000000002</v>
      </c>
      <c r="AG116" s="109">
        <f t="shared" si="7"/>
        <v>40199.680500000002</v>
      </c>
      <c r="AH116" s="109">
        <v>154.22999999999999</v>
      </c>
      <c r="AI116" s="109">
        <f>((AA116*'CALCULO GERAL'!$C$11))*0.08+20</f>
        <v>2549.576</v>
      </c>
      <c r="AJ116" s="109">
        <v>1010</v>
      </c>
      <c r="AK116" s="109">
        <v>2500</v>
      </c>
      <c r="AL116" s="109">
        <f>(AA116*('CALCULO GERAL'!$C$11*1.02))-(AA116*'CALCULO GERAL'!$C$11)</f>
        <v>632.39400000000387</v>
      </c>
      <c r="AM116" s="109">
        <v>1800</v>
      </c>
      <c r="AN116" s="109">
        <v>2600</v>
      </c>
      <c r="AO116" s="109">
        <v>9400</v>
      </c>
      <c r="AP116" s="109">
        <v>1000</v>
      </c>
      <c r="AQ116" s="109">
        <v>0</v>
      </c>
      <c r="AR116" s="109">
        <v>0</v>
      </c>
      <c r="AS116" s="109"/>
      <c r="AT116" s="109">
        <f t="shared" si="34"/>
        <v>602979.40350000001</v>
      </c>
      <c r="AU116" s="111">
        <f t="shared" si="8"/>
        <v>10.219989889830508</v>
      </c>
      <c r="AV116" s="109">
        <f>IFERROR((BS116*'CALCULO GERAL'!$E$11)/N116,0)</f>
        <v>0.26299560000000005</v>
      </c>
      <c r="AW116" s="109">
        <f>AU116/'CALCULO GERAL'!$C$11</f>
        <v>2.0362601892469629</v>
      </c>
      <c r="AX116" s="109">
        <f>BP116-BB116-BD116*'CALCULO GERAL'!$C$11</f>
        <v>8.9364793630985933</v>
      </c>
      <c r="AY116" s="109">
        <f t="shared" si="9"/>
        <v>5.8087115860140856E-2</v>
      </c>
      <c r="AZ116" s="109">
        <f t="shared" si="10"/>
        <v>0.26809438089295778</v>
      </c>
      <c r="BA116" s="109">
        <f t="shared" si="11"/>
        <v>12.347211267605635</v>
      </c>
      <c r="BB116" s="109">
        <f t="shared" si="12"/>
        <v>0.18520816901408452</v>
      </c>
      <c r="BC116" s="109">
        <f t="shared" si="13"/>
        <v>12.347211267605635</v>
      </c>
      <c r="BD116" s="109">
        <f t="shared" si="14"/>
        <v>0.80256873239436632</v>
      </c>
      <c r="BE116" s="109">
        <f t="shared" si="15"/>
        <v>62066.96160000001</v>
      </c>
      <c r="BF116" s="109">
        <f t="shared" si="16"/>
        <v>93100.442400000014</v>
      </c>
      <c r="BG116" s="109">
        <f t="shared" si="17"/>
        <v>0.14201762400000001</v>
      </c>
      <c r="BH116" s="109">
        <f t="shared" si="18"/>
        <v>0.15779736000000003</v>
      </c>
      <c r="BI116" s="109">
        <f t="shared" si="19"/>
        <v>-3.5033416949152743E-3</v>
      </c>
      <c r="BJ116" s="109">
        <f t="shared" si="20"/>
        <v>1.8732656404666341</v>
      </c>
      <c r="BK116" s="109">
        <f t="shared" si="35"/>
        <v>12.093255530297142</v>
      </c>
      <c r="BL116" s="148">
        <v>0.79</v>
      </c>
      <c r="BM116" s="112">
        <f>ROUND((AW116/BL116)+((AW116*BL116)*'CALCULO GERAL'!$E$11)/BL116,2)</f>
        <v>2.62</v>
      </c>
      <c r="BN116" s="186">
        <f t="shared" si="21"/>
        <v>2.62</v>
      </c>
      <c r="BO116" s="186">
        <f t="shared" si="36"/>
        <v>3.07</v>
      </c>
      <c r="BP116" s="109">
        <f>BM116*'CALCULO GERAL'!$C$11</f>
        <v>13.149780000000002</v>
      </c>
      <c r="BQ116" s="109">
        <f>BO116*'CALCULO GERAL'!$C$11</f>
        <v>15.408329999999999</v>
      </c>
      <c r="BR116" s="186">
        <f>BN116*'CALCULO GERAL'!$C$11</f>
        <v>13.149780000000002</v>
      </c>
      <c r="BS116" s="109">
        <f t="shared" si="22"/>
        <v>775837.02000000014</v>
      </c>
      <c r="BT116" s="109">
        <f t="shared" si="23"/>
        <v>775837.02000000014</v>
      </c>
      <c r="BU116" s="109">
        <f t="shared" si="40"/>
        <v>713502.07628753141</v>
      </c>
      <c r="BV116" s="109">
        <f t="shared" si="37"/>
        <v>62334.943712468725</v>
      </c>
      <c r="BW116" s="114">
        <f t="shared" si="24"/>
        <v>8.0345410318869173E-2</v>
      </c>
      <c r="BX116" s="152">
        <f t="shared" si="41"/>
        <v>0.79</v>
      </c>
      <c r="BY116" s="152"/>
      <c r="BZ116" s="55"/>
      <c r="CA116" s="113"/>
      <c r="CB116" s="113"/>
      <c r="CC116" s="152"/>
      <c r="CD116" s="152">
        <f t="shared" si="42"/>
        <v>0</v>
      </c>
      <c r="CE116" s="152">
        <f t="shared" si="38"/>
        <v>1</v>
      </c>
      <c r="CF116" s="152">
        <f t="shared" si="39"/>
        <v>1</v>
      </c>
      <c r="CG116" s="34"/>
      <c r="CI116" s="56"/>
      <c r="CJ116" s="56"/>
    </row>
    <row r="117" spans="1:88" x14ac:dyDescent="0.2">
      <c r="A117" s="228" t="s">
        <v>238</v>
      </c>
      <c r="B117" s="187" t="s">
        <v>239</v>
      </c>
      <c r="C117" s="8">
        <v>0.35</v>
      </c>
      <c r="D117" s="8">
        <v>0</v>
      </c>
      <c r="E117" s="7">
        <v>2.1000000000000001E-2</v>
      </c>
      <c r="F117" s="7">
        <v>0.1065</v>
      </c>
      <c r="G117" s="1">
        <v>6.4999999999999997E-3</v>
      </c>
      <c r="H117" s="1">
        <v>0.03</v>
      </c>
      <c r="I117" s="1">
        <v>0.18</v>
      </c>
      <c r="J117" s="1">
        <v>0.04</v>
      </c>
      <c r="K117" s="1">
        <v>0.14000000000000001</v>
      </c>
      <c r="L117" s="1">
        <v>1.4999999999999999E-2</v>
      </c>
      <c r="M117" s="2" t="s">
        <v>175</v>
      </c>
      <c r="N117" s="105">
        <v>163000</v>
      </c>
      <c r="O117" s="119"/>
      <c r="P117" s="119"/>
      <c r="Q117" s="119"/>
      <c r="R117" s="119"/>
      <c r="S117" s="119"/>
      <c r="T117" s="119"/>
      <c r="U117" s="119"/>
      <c r="V117" s="119">
        <v>1.72</v>
      </c>
      <c r="W117" s="119"/>
      <c r="X117" s="119">
        <f t="shared" si="0"/>
        <v>1.72</v>
      </c>
      <c r="Y117" s="118">
        <f t="shared" si="1"/>
        <v>1.72</v>
      </c>
      <c r="Z117" s="109">
        <f t="shared" si="2"/>
        <v>280360</v>
      </c>
      <c r="AA117" s="109">
        <f>'CALCULO GERAL'!$G$10</f>
        <v>6300</v>
      </c>
      <c r="AB117" s="109">
        <f t="shared" si="3"/>
        <v>286660</v>
      </c>
      <c r="AC117" s="109">
        <f>AB117*'CALCULO GERAL'!$C$11</f>
        <v>1438746.54</v>
      </c>
      <c r="AD117" s="109">
        <f t="shared" si="4"/>
        <v>503561.28899999999</v>
      </c>
      <c r="AE117" s="109">
        <f t="shared" si="5"/>
        <v>0</v>
      </c>
      <c r="AF117" s="109">
        <f t="shared" si="6"/>
        <v>30213.677340000002</v>
      </c>
      <c r="AG117" s="109">
        <f t="shared" si="7"/>
        <v>153226.50651000001</v>
      </c>
      <c r="AH117" s="109">
        <v>154.22999999999999</v>
      </c>
      <c r="AI117" s="109">
        <f>((AA117*'CALCULO GERAL'!$C$11))*0.08+20</f>
        <v>2549.576</v>
      </c>
      <c r="AJ117" s="109">
        <v>1010</v>
      </c>
      <c r="AK117" s="109">
        <v>2500</v>
      </c>
      <c r="AL117" s="109">
        <f>(AA117*('CALCULO GERAL'!$C$11*1.02))-(AA117*'CALCULO GERAL'!$C$11)</f>
        <v>632.39400000000387</v>
      </c>
      <c r="AM117" s="109">
        <v>1800</v>
      </c>
      <c r="AN117" s="109">
        <v>2600</v>
      </c>
      <c r="AO117" s="109">
        <v>9400</v>
      </c>
      <c r="AP117" s="109">
        <v>1000</v>
      </c>
      <c r="AQ117" s="109">
        <v>0</v>
      </c>
      <c r="AR117" s="109">
        <v>0</v>
      </c>
      <c r="AS117" s="109"/>
      <c r="AT117" s="109">
        <f t="shared" si="34"/>
        <v>2147394.2128499998</v>
      </c>
      <c r="AU117" s="111">
        <f t="shared" si="8"/>
        <v>13.174197624846624</v>
      </c>
      <c r="AV117" s="109">
        <f>IFERROR((BS117*'CALCULO GERAL'!$E$11)/N117,0)</f>
        <v>0.30114000000000002</v>
      </c>
      <c r="AW117" s="109">
        <f>AU117/'CALCULO GERAL'!$C$11</f>
        <v>2.6248650378255873</v>
      </c>
      <c r="AX117" s="109">
        <f>BP117-BB117-BD117*'CALCULO GERAL'!$C$11</f>
        <v>14.831145000000001</v>
      </c>
      <c r="AY117" s="109">
        <f t="shared" si="9"/>
        <v>9.6402442500000005E-2</v>
      </c>
      <c r="AZ117" s="109">
        <f t="shared" si="10"/>
        <v>0.44493435000000003</v>
      </c>
      <c r="BA117" s="109">
        <f t="shared" si="11"/>
        <v>15.057</v>
      </c>
      <c r="BB117" s="109">
        <f t="shared" si="12"/>
        <v>0.225855</v>
      </c>
      <c r="BC117" s="109">
        <f t="shared" si="13"/>
        <v>15.057</v>
      </c>
      <c r="BD117" s="109">
        <f t="shared" si="14"/>
        <v>0</v>
      </c>
      <c r="BE117" s="109">
        <f t="shared" si="15"/>
        <v>196343.28</v>
      </c>
      <c r="BF117" s="109">
        <f t="shared" si="16"/>
        <v>294514.92</v>
      </c>
      <c r="BG117" s="109">
        <f t="shared" si="17"/>
        <v>0.1626156</v>
      </c>
      <c r="BH117" s="109">
        <f t="shared" si="18"/>
        <v>0.18068399999999998</v>
      </c>
      <c r="BI117" s="109">
        <f t="shared" si="19"/>
        <v>-8.3646190184049091E-2</v>
      </c>
      <c r="BJ117" s="109">
        <f t="shared" si="20"/>
        <v>1.3279852023159511</v>
      </c>
      <c r="BK117" s="109">
        <f t="shared" si="35"/>
        <v>14.502182827162574</v>
      </c>
      <c r="BL117" s="148">
        <v>0.89</v>
      </c>
      <c r="BM117" s="112">
        <f>ROUND((AW117/BL117)+((AW117*BL117)*'CALCULO GERAL'!$E$11)/BL117,2)</f>
        <v>3</v>
      </c>
      <c r="BN117" s="186">
        <f t="shared" si="21"/>
        <v>3</v>
      </c>
      <c r="BO117" s="186">
        <f t="shared" si="36"/>
        <v>3.5150000000000001</v>
      </c>
      <c r="BP117" s="109">
        <f>BM117*'CALCULO GERAL'!$C$11</f>
        <v>15.057</v>
      </c>
      <c r="BQ117" s="109">
        <f>BO117*'CALCULO GERAL'!$C$11</f>
        <v>17.641785000000002</v>
      </c>
      <c r="BR117" s="186">
        <f>BN117*'CALCULO GERAL'!$C$11</f>
        <v>15.057</v>
      </c>
      <c r="BS117" s="109">
        <f t="shared" si="22"/>
        <v>2454291</v>
      </c>
      <c r="BT117" s="109">
        <f t="shared" si="23"/>
        <v>2454291</v>
      </c>
      <c r="BU117" s="109">
        <f t="shared" si="40"/>
        <v>2363855.8008274995</v>
      </c>
      <c r="BV117" s="109">
        <f t="shared" si="37"/>
        <v>90435.199172500521</v>
      </c>
      <c r="BW117" s="114">
        <f t="shared" si="24"/>
        <v>3.6847789920796077E-2</v>
      </c>
      <c r="BX117" s="152">
        <f t="shared" si="41"/>
        <v>0.89</v>
      </c>
      <c r="BY117" s="152"/>
      <c r="BZ117" s="55"/>
      <c r="CA117" s="113"/>
      <c r="CB117" s="113"/>
      <c r="CC117" s="152"/>
      <c r="CD117" s="152">
        <f t="shared" si="42"/>
        <v>0</v>
      </c>
      <c r="CE117" s="152">
        <f t="shared" si="38"/>
        <v>1</v>
      </c>
      <c r="CF117" s="152">
        <f t="shared" si="39"/>
        <v>1</v>
      </c>
      <c r="CG117" s="34"/>
      <c r="CI117" s="56"/>
      <c r="CJ117" s="56"/>
    </row>
    <row r="118" spans="1:88" x14ac:dyDescent="0.2">
      <c r="A118" s="228" t="s">
        <v>240</v>
      </c>
      <c r="B118" s="187" t="s">
        <v>241</v>
      </c>
      <c r="C118" s="8">
        <v>0.14399999999999999</v>
      </c>
      <c r="D118" s="8">
        <v>3.2500000000000001E-2</v>
      </c>
      <c r="E118" s="7">
        <v>2.1000000000000001E-2</v>
      </c>
      <c r="F118" s="7">
        <v>0.1065</v>
      </c>
      <c r="G118" s="1">
        <v>6.4999999999999997E-3</v>
      </c>
      <c r="H118" s="1">
        <v>0.03</v>
      </c>
      <c r="I118" s="1">
        <v>0.18</v>
      </c>
      <c r="J118" s="1">
        <v>0.04</v>
      </c>
      <c r="K118" s="1">
        <v>0.14000000000000001</v>
      </c>
      <c r="L118" s="1">
        <v>1.4999999999999999E-2</v>
      </c>
      <c r="M118" s="2" t="s">
        <v>175</v>
      </c>
      <c r="N118" s="105">
        <v>135000</v>
      </c>
      <c r="O118" s="119"/>
      <c r="P118" s="119"/>
      <c r="Q118" s="119"/>
      <c r="R118" s="119"/>
      <c r="S118" s="119"/>
      <c r="T118" s="119"/>
      <c r="U118" s="119"/>
      <c r="V118" s="119">
        <v>1.07</v>
      </c>
      <c r="W118" s="119"/>
      <c r="X118" s="119">
        <f t="shared" si="0"/>
        <v>1.07</v>
      </c>
      <c r="Y118" s="118">
        <f t="shared" si="1"/>
        <v>1.07</v>
      </c>
      <c r="Z118" s="109">
        <f t="shared" si="2"/>
        <v>144450</v>
      </c>
      <c r="AA118" s="109">
        <f>'CALCULO GERAL'!$G$10</f>
        <v>6300</v>
      </c>
      <c r="AB118" s="109">
        <f t="shared" si="3"/>
        <v>150750</v>
      </c>
      <c r="AC118" s="109">
        <f>AB118*'CALCULO GERAL'!$C$11</f>
        <v>756614.25</v>
      </c>
      <c r="AD118" s="109">
        <f t="shared" si="4"/>
        <v>108952.45199999999</v>
      </c>
      <c r="AE118" s="109">
        <f t="shared" si="5"/>
        <v>28130.917815000004</v>
      </c>
      <c r="AF118" s="109">
        <f t="shared" si="6"/>
        <v>15888.89925</v>
      </c>
      <c r="AG118" s="109">
        <f t="shared" si="7"/>
        <v>80579.417625000002</v>
      </c>
      <c r="AH118" s="109">
        <v>154.22999999999999</v>
      </c>
      <c r="AI118" s="109">
        <f>((AA118*'CALCULO GERAL'!$C$11))*0.08+20</f>
        <v>2549.576</v>
      </c>
      <c r="AJ118" s="109">
        <v>1010</v>
      </c>
      <c r="AK118" s="109">
        <v>2500</v>
      </c>
      <c r="AL118" s="109">
        <f>(AA118*('CALCULO GERAL'!$C$11*1.02))-(AA118*'CALCULO GERAL'!$C$11)</f>
        <v>632.39400000000387</v>
      </c>
      <c r="AM118" s="109">
        <v>1800</v>
      </c>
      <c r="AN118" s="109">
        <v>2600</v>
      </c>
      <c r="AO118" s="109">
        <v>9400</v>
      </c>
      <c r="AP118" s="109">
        <v>1000</v>
      </c>
      <c r="AQ118" s="109">
        <v>0</v>
      </c>
      <c r="AR118" s="109">
        <v>0</v>
      </c>
      <c r="AS118" s="109"/>
      <c r="AT118" s="109">
        <f t="shared" si="34"/>
        <v>1011812.1366900001</v>
      </c>
      <c r="AU118" s="111">
        <f t="shared" si="8"/>
        <v>7.4949047162222229</v>
      </c>
      <c r="AV118" s="109">
        <f>IFERROR((BS118*'CALCULO GERAL'!$E$11)/N118,0)</f>
        <v>0.18168780000000001</v>
      </c>
      <c r="AW118" s="109">
        <f>AU118/'CALCULO GERAL'!$C$11</f>
        <v>1.4933063790042285</v>
      </c>
      <c r="AX118" s="109">
        <f>BP118-BB118-BD118*'CALCULO GERAL'!$C$11</f>
        <v>7.5172337425423734</v>
      </c>
      <c r="AY118" s="109">
        <f t="shared" si="9"/>
        <v>4.8862019326525424E-2</v>
      </c>
      <c r="AZ118" s="109">
        <f t="shared" si="10"/>
        <v>0.22551701227627119</v>
      </c>
      <c r="BA118" s="109">
        <f t="shared" si="11"/>
        <v>8.7984406779661022</v>
      </c>
      <c r="BB118" s="109">
        <f t="shared" si="12"/>
        <v>0.13197661016949153</v>
      </c>
      <c r="BC118" s="109">
        <f t="shared" si="13"/>
        <v>8.7984406779661022</v>
      </c>
      <c r="BD118" s="109">
        <f t="shared" si="14"/>
        <v>0.28594932203389833</v>
      </c>
      <c r="BE118" s="109">
        <f t="shared" si="15"/>
        <v>98111.412000000011</v>
      </c>
      <c r="BF118" s="109">
        <f t="shared" si="16"/>
        <v>147167.11800000002</v>
      </c>
      <c r="BG118" s="109">
        <f t="shared" si="17"/>
        <v>9.8111412000000009E-2</v>
      </c>
      <c r="BH118" s="109">
        <f t="shared" si="18"/>
        <v>0.10901268</v>
      </c>
      <c r="BI118" s="109">
        <f t="shared" si="19"/>
        <v>-2.8230682962962973E-2</v>
      </c>
      <c r="BJ118" s="109">
        <f t="shared" si="20"/>
        <v>1.0528861728432235</v>
      </c>
      <c r="BK118" s="109">
        <f t="shared" si="35"/>
        <v>8.5477908890654462</v>
      </c>
      <c r="BL118" s="148">
        <v>0.84</v>
      </c>
      <c r="BM118" s="112">
        <f>ROUND((AW118/BL118)+((AW118*BL118)*'CALCULO GERAL'!$E$11)/BL118,2)</f>
        <v>1.81</v>
      </c>
      <c r="BN118" s="186">
        <f t="shared" si="21"/>
        <v>1.81</v>
      </c>
      <c r="BO118" s="186">
        <f t="shared" si="36"/>
        <v>2.121</v>
      </c>
      <c r="BP118" s="109">
        <f>BM118*'CALCULO GERAL'!$C$11</f>
        <v>9.0843900000000009</v>
      </c>
      <c r="BQ118" s="109">
        <f>BO118*'CALCULO GERAL'!$C$11</f>
        <v>10.645299</v>
      </c>
      <c r="BR118" s="186">
        <f>BN118*'CALCULO GERAL'!$C$11</f>
        <v>9.0843900000000009</v>
      </c>
      <c r="BS118" s="109">
        <f t="shared" si="22"/>
        <v>1226392.6500000001</v>
      </c>
      <c r="BT118" s="109">
        <f t="shared" si="23"/>
        <v>1226392.6500000001</v>
      </c>
      <c r="BU118" s="109">
        <f t="shared" si="40"/>
        <v>1153951.7700238351</v>
      </c>
      <c r="BV118" s="109">
        <f t="shared" si="37"/>
        <v>72440.879976165015</v>
      </c>
      <c r="BW118" s="114">
        <f t="shared" si="24"/>
        <v>5.9068260052084466E-2</v>
      </c>
      <c r="BX118" s="152">
        <f t="shared" si="41"/>
        <v>0.84</v>
      </c>
      <c r="BY118" s="152"/>
      <c r="BZ118" s="55"/>
      <c r="CA118" s="113"/>
      <c r="CB118" s="113"/>
      <c r="CC118" s="152"/>
      <c r="CD118" s="152">
        <f t="shared" si="42"/>
        <v>0</v>
      </c>
      <c r="CE118" s="152">
        <f t="shared" si="38"/>
        <v>1</v>
      </c>
      <c r="CF118" s="152">
        <f t="shared" si="39"/>
        <v>1</v>
      </c>
      <c r="CG118" s="34"/>
      <c r="CI118" s="56"/>
      <c r="CJ118" s="56"/>
    </row>
    <row r="119" spans="1:88" x14ac:dyDescent="0.2">
      <c r="A119" s="228" t="s">
        <v>242</v>
      </c>
      <c r="B119" s="187" t="s">
        <v>243</v>
      </c>
      <c r="C119" s="8">
        <v>0.35</v>
      </c>
      <c r="D119" s="8">
        <v>0</v>
      </c>
      <c r="E119" s="7">
        <v>2.1000000000000001E-2</v>
      </c>
      <c r="F119" s="7">
        <v>9.6500000000000002E-2</v>
      </c>
      <c r="G119" s="1">
        <v>6.4999999999999997E-3</v>
      </c>
      <c r="H119" s="1">
        <v>0.03</v>
      </c>
      <c r="I119" s="1">
        <v>0.18</v>
      </c>
      <c r="J119" s="1">
        <v>0.04</v>
      </c>
      <c r="K119" s="1">
        <v>0.14000000000000001</v>
      </c>
      <c r="L119" s="1">
        <v>1.4999999999999999E-2</v>
      </c>
      <c r="M119" s="2" t="s">
        <v>175</v>
      </c>
      <c r="N119" s="105">
        <v>100000</v>
      </c>
      <c r="O119" s="119"/>
      <c r="P119" s="119"/>
      <c r="Q119" s="119"/>
      <c r="R119" s="119"/>
      <c r="S119" s="119">
        <v>0.3</v>
      </c>
      <c r="T119" s="119"/>
      <c r="U119" s="119"/>
      <c r="V119" s="119"/>
      <c r="W119" s="119"/>
      <c r="X119" s="119">
        <f t="shared" si="0"/>
        <v>0.3</v>
      </c>
      <c r="Y119" s="118">
        <f t="shared" si="1"/>
        <v>0.3</v>
      </c>
      <c r="Z119" s="109">
        <f t="shared" si="2"/>
        <v>30000</v>
      </c>
      <c r="AA119" s="109">
        <f>'CALCULO GERAL'!$G$10</f>
        <v>6300</v>
      </c>
      <c r="AB119" s="109">
        <f t="shared" si="3"/>
        <v>36300</v>
      </c>
      <c r="AC119" s="109">
        <f>AB119*'CALCULO GERAL'!$C$11</f>
        <v>182189.7</v>
      </c>
      <c r="AD119" s="109">
        <f t="shared" si="4"/>
        <v>63766.394999999997</v>
      </c>
      <c r="AE119" s="109">
        <f t="shared" si="5"/>
        <v>0</v>
      </c>
      <c r="AF119" s="109">
        <f t="shared" si="6"/>
        <v>3825.9837000000007</v>
      </c>
      <c r="AG119" s="109">
        <f t="shared" si="7"/>
        <v>17581.306050000003</v>
      </c>
      <c r="AH119" s="109">
        <v>154.22999999999999</v>
      </c>
      <c r="AI119" s="109">
        <f>((AA119*'CALCULO GERAL'!$C$11))*0.08+20</f>
        <v>2549.576</v>
      </c>
      <c r="AJ119" s="109">
        <v>1010</v>
      </c>
      <c r="AK119" s="109">
        <v>2500</v>
      </c>
      <c r="AL119" s="109">
        <f>(AA119*('CALCULO GERAL'!$C$11*1.02))-(AA119*'CALCULO GERAL'!$C$11)</f>
        <v>632.39400000000387</v>
      </c>
      <c r="AM119" s="109">
        <v>1800</v>
      </c>
      <c r="AN119" s="109">
        <v>2600</v>
      </c>
      <c r="AO119" s="109">
        <v>9400</v>
      </c>
      <c r="AP119" s="109">
        <v>1000</v>
      </c>
      <c r="AQ119" s="109">
        <v>0</v>
      </c>
      <c r="AR119" s="109">
        <v>0</v>
      </c>
      <c r="AS119" s="109"/>
      <c r="AT119" s="109">
        <f t="shared" si="34"/>
        <v>289009.58475000004</v>
      </c>
      <c r="AU119" s="111">
        <f t="shared" si="8"/>
        <v>2.8900958475000005</v>
      </c>
      <c r="AV119" s="109">
        <f>IFERROR((BS119*'CALCULO GERAL'!$E$11)/N119,0)</f>
        <v>7.0265999999999981E-2</v>
      </c>
      <c r="AW119" s="109">
        <f>AU119/'CALCULO GERAL'!$C$11</f>
        <v>0.57583101165570838</v>
      </c>
      <c r="AX119" s="109">
        <f>BP119-BB119-BD119*'CALCULO GERAL'!$C$11</f>
        <v>3.4606004999999995</v>
      </c>
      <c r="AY119" s="109">
        <f t="shared" si="9"/>
        <v>2.2493903249999996E-2</v>
      </c>
      <c r="AZ119" s="109">
        <f t="shared" si="10"/>
        <v>0.10381801499999999</v>
      </c>
      <c r="BA119" s="109">
        <f t="shared" si="11"/>
        <v>3.5132999999999996</v>
      </c>
      <c r="BB119" s="109">
        <f t="shared" si="12"/>
        <v>5.2699499999999989E-2</v>
      </c>
      <c r="BC119" s="109">
        <f t="shared" si="13"/>
        <v>3.5132999999999996</v>
      </c>
      <c r="BD119" s="109">
        <f t="shared" si="14"/>
        <v>0</v>
      </c>
      <c r="BE119" s="109">
        <f t="shared" si="15"/>
        <v>28106.399999999994</v>
      </c>
      <c r="BF119" s="109">
        <f t="shared" si="16"/>
        <v>42159.599999999991</v>
      </c>
      <c r="BG119" s="109">
        <f t="shared" si="17"/>
        <v>3.7943639999999994E-2</v>
      </c>
      <c r="BH119" s="109">
        <f t="shared" si="18"/>
        <v>4.2159599999999992E-2</v>
      </c>
      <c r="BI119" s="109">
        <f t="shared" si="19"/>
        <v>0</v>
      </c>
      <c r="BJ119" s="109">
        <f t="shared" si="20"/>
        <v>0.32938065824999996</v>
      </c>
      <c r="BK119" s="109">
        <f t="shared" si="35"/>
        <v>3.2194765057500003</v>
      </c>
      <c r="BL119" s="148">
        <v>0.84</v>
      </c>
      <c r="BM119" s="112">
        <f>ROUND((AW119/BL119)+((AW119*BL119)*'CALCULO GERAL'!$E$11)/BL119,2)</f>
        <v>0.7</v>
      </c>
      <c r="BN119" s="186">
        <f t="shared" si="21"/>
        <v>0.7</v>
      </c>
      <c r="BO119" s="186">
        <f t="shared" si="36"/>
        <v>0.82</v>
      </c>
      <c r="BP119" s="109">
        <f>BM119*'CALCULO GERAL'!$C$11</f>
        <v>3.5132999999999996</v>
      </c>
      <c r="BQ119" s="109">
        <f>BO119*'CALCULO GERAL'!$C$11</f>
        <v>4.1155799999999996</v>
      </c>
      <c r="BR119" s="186">
        <f>BN119*'CALCULO GERAL'!$C$11</f>
        <v>3.5132999999999996</v>
      </c>
      <c r="BS119" s="109">
        <f t="shared" si="22"/>
        <v>351329.99999999994</v>
      </c>
      <c r="BT119" s="109">
        <f t="shared" si="23"/>
        <v>351329.99999999994</v>
      </c>
      <c r="BU119" s="109">
        <f t="shared" si="40"/>
        <v>321947.65057500004</v>
      </c>
      <c r="BV119" s="109">
        <f t="shared" si="37"/>
        <v>29382.349424999906</v>
      </c>
      <c r="BW119" s="114">
        <f t="shared" si="24"/>
        <v>8.3631769063273589E-2</v>
      </c>
      <c r="BX119" s="152">
        <f t="shared" si="41"/>
        <v>0.84</v>
      </c>
      <c r="BY119" s="152"/>
      <c r="BZ119" s="55"/>
      <c r="CA119" s="113"/>
      <c r="CB119" s="113"/>
      <c r="CC119" s="152"/>
      <c r="CD119" s="152">
        <f t="shared" si="42"/>
        <v>0</v>
      </c>
      <c r="CE119" s="152">
        <f t="shared" si="38"/>
        <v>1</v>
      </c>
      <c r="CF119" s="152">
        <f t="shared" si="39"/>
        <v>1</v>
      </c>
      <c r="CG119" s="34"/>
      <c r="CI119" s="56"/>
      <c r="CJ119" s="56"/>
    </row>
    <row r="120" spans="1:88" x14ac:dyDescent="0.2">
      <c r="A120" s="228" t="s">
        <v>244</v>
      </c>
      <c r="B120" s="188" t="s">
        <v>245</v>
      </c>
      <c r="C120" s="8">
        <v>0</v>
      </c>
      <c r="D120" s="8">
        <v>7.8E-2</v>
      </c>
      <c r="E120" s="7">
        <v>2.1000000000000001E-2</v>
      </c>
      <c r="F120" s="7">
        <v>9.6500000000000002E-2</v>
      </c>
      <c r="G120" s="1">
        <v>6.4999999999999997E-3</v>
      </c>
      <c r="H120" s="1">
        <v>0.03</v>
      </c>
      <c r="I120" s="1">
        <v>0.18</v>
      </c>
      <c r="J120" s="1">
        <v>0.04</v>
      </c>
      <c r="K120" s="1">
        <v>0.14000000000000001</v>
      </c>
      <c r="L120" s="1">
        <v>1.4999999999999999E-2</v>
      </c>
      <c r="M120" s="2" t="s">
        <v>175</v>
      </c>
      <c r="N120" s="105">
        <v>100000</v>
      </c>
      <c r="O120" s="119"/>
      <c r="P120" s="119"/>
      <c r="Q120" s="119"/>
      <c r="R120" s="119"/>
      <c r="S120" s="119">
        <v>0.3</v>
      </c>
      <c r="T120" s="119"/>
      <c r="U120" s="119"/>
      <c r="V120" s="119"/>
      <c r="W120" s="119"/>
      <c r="X120" s="119">
        <f t="shared" si="0"/>
        <v>0.3</v>
      </c>
      <c r="Y120" s="118">
        <f t="shared" si="1"/>
        <v>0.3</v>
      </c>
      <c r="Z120" s="109">
        <f t="shared" si="2"/>
        <v>30000</v>
      </c>
      <c r="AA120" s="109">
        <f>'CALCULO GERAL'!$G$10</f>
        <v>6300</v>
      </c>
      <c r="AB120" s="109">
        <f t="shared" si="3"/>
        <v>36300</v>
      </c>
      <c r="AC120" s="109">
        <f>AB120*'CALCULO GERAL'!$C$11</f>
        <v>182189.7</v>
      </c>
      <c r="AD120" s="109">
        <f t="shared" si="4"/>
        <v>0</v>
      </c>
      <c r="AE120" s="109">
        <f t="shared" si="5"/>
        <v>14210.796600000001</v>
      </c>
      <c r="AF120" s="109">
        <f t="shared" si="6"/>
        <v>3825.9837000000007</v>
      </c>
      <c r="AG120" s="109">
        <f t="shared" si="7"/>
        <v>17581.306050000003</v>
      </c>
      <c r="AH120" s="109">
        <v>154.22999999999999</v>
      </c>
      <c r="AI120" s="109">
        <f>((AA120*'CALCULO GERAL'!$C$11))*0.08+20</f>
        <v>2549.576</v>
      </c>
      <c r="AJ120" s="109">
        <v>1010</v>
      </c>
      <c r="AK120" s="109">
        <v>2500</v>
      </c>
      <c r="AL120" s="109">
        <f>(AA120*('CALCULO GERAL'!$C$11*1.02))-(AA120*'CALCULO GERAL'!$C$11)</f>
        <v>632.39400000000387</v>
      </c>
      <c r="AM120" s="109">
        <v>1800</v>
      </c>
      <c r="AN120" s="109">
        <v>2600</v>
      </c>
      <c r="AO120" s="109">
        <v>9400</v>
      </c>
      <c r="AP120" s="109">
        <v>1000</v>
      </c>
      <c r="AQ120" s="109">
        <v>0</v>
      </c>
      <c r="AR120" s="109">
        <v>0</v>
      </c>
      <c r="AS120" s="109"/>
      <c r="AT120" s="109">
        <f t="shared" si="34"/>
        <v>239453.98635000005</v>
      </c>
      <c r="AU120" s="111">
        <f t="shared" si="8"/>
        <v>2.3945398635000004</v>
      </c>
      <c r="AV120" s="109">
        <f>IFERROR((BS120*'CALCULO GERAL'!$E$11)/N120,0)</f>
        <v>5.8220399999999999E-2</v>
      </c>
      <c r="AW120" s="109">
        <f>AU120/'CALCULO GERAL'!$C$11</f>
        <v>0.47709501165570839</v>
      </c>
      <c r="AX120" s="109">
        <f>BP120-BB120-BD120*'CALCULO GERAL'!$C$11</f>
        <v>1.8133602303896101</v>
      </c>
      <c r="AY120" s="109">
        <f t="shared" si="9"/>
        <v>1.1786841497532466E-2</v>
      </c>
      <c r="AZ120" s="109">
        <f t="shared" si="10"/>
        <v>5.4400806911688304E-2</v>
      </c>
      <c r="BA120" s="109">
        <f t="shared" si="11"/>
        <v>2.7003896103896103</v>
      </c>
      <c r="BB120" s="109">
        <f t="shared" si="12"/>
        <v>4.0505844155844156E-2</v>
      </c>
      <c r="BC120" s="109">
        <f t="shared" si="13"/>
        <v>2.7003896103896099</v>
      </c>
      <c r="BD120" s="109">
        <f t="shared" si="14"/>
        <v>0.21063038961038957</v>
      </c>
      <c r="BE120" s="109">
        <f t="shared" si="15"/>
        <v>23288.16</v>
      </c>
      <c r="BF120" s="109">
        <f t="shared" si="16"/>
        <v>34932.239999999998</v>
      </c>
      <c r="BG120" s="109">
        <f t="shared" si="17"/>
        <v>3.1439016E-2</v>
      </c>
      <c r="BH120" s="109">
        <f t="shared" si="18"/>
        <v>3.4932239999999996E-2</v>
      </c>
      <c r="BI120" s="109">
        <f t="shared" si="19"/>
        <v>0</v>
      </c>
      <c r="BJ120" s="109">
        <f t="shared" si="20"/>
        <v>0.44191553817545448</v>
      </c>
      <c r="BK120" s="109">
        <f t="shared" si="35"/>
        <v>2.8364554016754546</v>
      </c>
      <c r="BL120" s="148">
        <v>0.84</v>
      </c>
      <c r="BM120" s="112">
        <f>ROUND((AW120/BL120)+((AW120*BL120)*'CALCULO GERAL'!$E$11)/BL120,2)</f>
        <v>0.57999999999999996</v>
      </c>
      <c r="BN120" s="186">
        <f t="shared" si="21"/>
        <v>0.57999999999999996</v>
      </c>
      <c r="BO120" s="186">
        <f t="shared" si="36"/>
        <v>0.68</v>
      </c>
      <c r="BP120" s="109">
        <f>BM120*'CALCULO GERAL'!$C$11</f>
        <v>2.9110199999999997</v>
      </c>
      <c r="BQ120" s="109">
        <f>BO120*'CALCULO GERAL'!$C$11</f>
        <v>3.4129200000000002</v>
      </c>
      <c r="BR120" s="186">
        <f>BN120*'CALCULO GERAL'!$C$11</f>
        <v>2.9110199999999997</v>
      </c>
      <c r="BS120" s="109">
        <f t="shared" si="22"/>
        <v>291102</v>
      </c>
      <c r="BT120" s="109">
        <f t="shared" si="23"/>
        <v>291102</v>
      </c>
      <c r="BU120" s="109">
        <f t="shared" si="40"/>
        <v>283645.54016754543</v>
      </c>
      <c r="BV120" s="109">
        <f t="shared" si="37"/>
        <v>7456.4598324545659</v>
      </c>
      <c r="BW120" s="114">
        <f t="shared" si="24"/>
        <v>2.561459499575601E-2</v>
      </c>
      <c r="BX120" s="152">
        <f t="shared" si="41"/>
        <v>0.84</v>
      </c>
      <c r="BY120" s="152"/>
      <c r="BZ120" s="55"/>
      <c r="CA120" s="113"/>
      <c r="CB120" s="113"/>
      <c r="CC120" s="152"/>
      <c r="CD120" s="152">
        <f t="shared" si="42"/>
        <v>0</v>
      </c>
      <c r="CE120" s="152">
        <f t="shared" si="38"/>
        <v>1</v>
      </c>
      <c r="CF120" s="152">
        <f t="shared" si="39"/>
        <v>1</v>
      </c>
      <c r="CG120" s="34"/>
      <c r="CI120" s="56"/>
      <c r="CJ120" s="56"/>
    </row>
    <row r="121" spans="1:88" x14ac:dyDescent="0.2">
      <c r="A121" s="228" t="s">
        <v>246</v>
      </c>
      <c r="B121" s="188" t="s">
        <v>247</v>
      </c>
      <c r="C121" s="8">
        <v>0.16200000000000001</v>
      </c>
      <c r="D121" s="8">
        <v>0.1394</v>
      </c>
      <c r="E121" s="7">
        <v>2.1000000000000001E-2</v>
      </c>
      <c r="F121" s="7">
        <v>9.6500000000000002E-2</v>
      </c>
      <c r="G121" s="1">
        <v>6.4999999999999997E-3</v>
      </c>
      <c r="H121" s="1">
        <v>0.03</v>
      </c>
      <c r="I121" s="1">
        <v>0.18</v>
      </c>
      <c r="J121" s="1">
        <v>0.04</v>
      </c>
      <c r="K121" s="1">
        <v>0.14000000000000001</v>
      </c>
      <c r="L121" s="1">
        <v>1.4999999999999999E-2</v>
      </c>
      <c r="M121" s="2"/>
      <c r="N121" s="105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8"/>
      <c r="Z121" s="109"/>
      <c r="AA121" s="109"/>
      <c r="AB121" s="109"/>
      <c r="AC121" s="109"/>
      <c r="AD121" s="109"/>
      <c r="AE121" s="109"/>
      <c r="AF121" s="109"/>
      <c r="AG121" s="109"/>
      <c r="AH121" s="109"/>
      <c r="AI121" s="109"/>
      <c r="AJ121" s="109"/>
      <c r="AK121" s="109"/>
      <c r="AL121" s="109"/>
      <c r="AM121" s="109"/>
      <c r="AN121" s="109"/>
      <c r="AO121" s="109"/>
      <c r="AP121" s="109"/>
      <c r="AQ121" s="109"/>
      <c r="AR121" s="109"/>
      <c r="AS121" s="109"/>
      <c r="AT121" s="109"/>
      <c r="AU121" s="111"/>
      <c r="AV121" s="109">
        <f>IFERROR((BS121*'CALCULO GERAL'!$E$11)/N121,0)</f>
        <v>0</v>
      </c>
      <c r="AW121" s="109"/>
      <c r="AX121" s="109"/>
      <c r="AY121" s="109"/>
      <c r="AZ121" s="109"/>
      <c r="BA121" s="109"/>
      <c r="BB121" s="109"/>
      <c r="BC121" s="109"/>
      <c r="BD121" s="109"/>
      <c r="BE121" s="109"/>
      <c r="BF121" s="109"/>
      <c r="BG121" s="109"/>
      <c r="BH121" s="109"/>
      <c r="BI121" s="109"/>
      <c r="BJ121" s="109"/>
      <c r="BK121" s="109"/>
      <c r="BL121" s="148"/>
      <c r="BM121" s="112"/>
      <c r="BN121" s="186"/>
      <c r="BO121" s="186"/>
      <c r="BP121" s="109"/>
      <c r="BQ121" s="109"/>
      <c r="BR121" s="186"/>
      <c r="BS121" s="109"/>
      <c r="BT121" s="109"/>
      <c r="BU121" s="109"/>
      <c r="BV121" s="109"/>
      <c r="BW121" s="114"/>
      <c r="BX121" s="152"/>
      <c r="BY121" s="152"/>
      <c r="BZ121" s="55"/>
      <c r="CA121" s="113"/>
      <c r="CB121" s="113"/>
      <c r="CC121" s="152"/>
      <c r="CF121" s="152"/>
      <c r="CG121" s="34"/>
      <c r="CI121" s="56"/>
      <c r="CJ121" s="56"/>
    </row>
    <row r="122" spans="1:88" x14ac:dyDescent="0.2">
      <c r="A122" s="311" t="s">
        <v>472</v>
      </c>
      <c r="B122" s="312" t="s">
        <v>473</v>
      </c>
      <c r="C122" s="313">
        <v>0.14399999999999999</v>
      </c>
      <c r="D122" s="313">
        <v>0</v>
      </c>
      <c r="E122" s="314">
        <v>2.1000000000000001E-2</v>
      </c>
      <c r="F122" s="314">
        <v>9.6500000000000002E-2</v>
      </c>
      <c r="G122" s="1">
        <v>6.4999999999999997E-3</v>
      </c>
      <c r="H122" s="1">
        <v>0.03</v>
      </c>
      <c r="I122" s="1">
        <v>0.18</v>
      </c>
      <c r="J122" s="1">
        <v>0.04</v>
      </c>
      <c r="K122" s="1">
        <v>0.14000000000000001</v>
      </c>
      <c r="L122" s="1">
        <v>1.4999999999999999E-2</v>
      </c>
      <c r="M122" s="2" t="s">
        <v>175</v>
      </c>
      <c r="N122" s="105">
        <v>1000</v>
      </c>
      <c r="O122" s="119"/>
      <c r="P122" s="119"/>
      <c r="Q122" s="119"/>
      <c r="R122" s="119"/>
      <c r="S122" s="119"/>
      <c r="T122" s="119"/>
      <c r="U122" s="119"/>
      <c r="V122" s="119">
        <v>49.54</v>
      </c>
      <c r="W122" s="119"/>
      <c r="X122" s="119">
        <f>MIN(O122:W122)</f>
        <v>49.54</v>
      </c>
      <c r="Y122" s="118">
        <f>AVERAGE(O122:W122)</f>
        <v>49.54</v>
      </c>
      <c r="Z122" s="109">
        <f>Y122*N122</f>
        <v>49540</v>
      </c>
      <c r="AA122" s="109">
        <f>'CALCULO GERAL'!$G$10</f>
        <v>6300</v>
      </c>
      <c r="AB122" s="109">
        <f>Z122+AA122</f>
        <v>55840</v>
      </c>
      <c r="AC122" s="109">
        <f>AB122*'CALCULO GERAL'!$C$11</f>
        <v>280260.96000000002</v>
      </c>
      <c r="AD122" s="109">
        <f>AC122*C122</f>
        <v>40357.578240000003</v>
      </c>
      <c r="AE122" s="109">
        <f>(AC122+AD122)*D122</f>
        <v>0</v>
      </c>
      <c r="AF122" s="109">
        <f>AC122*E122</f>
        <v>5885.480160000001</v>
      </c>
      <c r="AG122" s="109">
        <f>AC122*F122</f>
        <v>27045.182640000003</v>
      </c>
      <c r="AH122" s="109">
        <v>154.22999999999999</v>
      </c>
      <c r="AI122" s="109">
        <f>((AA122*'CALCULO GERAL'!$C$11))*0.08+20</f>
        <v>2549.576</v>
      </c>
      <c r="AJ122" s="109">
        <v>1010</v>
      </c>
      <c r="AK122" s="109">
        <v>2500</v>
      </c>
      <c r="AL122" s="109">
        <f>(AA122*('CALCULO GERAL'!$C$11*1.02))-(AA122*'CALCULO GERAL'!$C$11)</f>
        <v>632.39400000000387</v>
      </c>
      <c r="AM122" s="109">
        <v>1800</v>
      </c>
      <c r="AN122" s="109">
        <v>2600</v>
      </c>
      <c r="AO122" s="109">
        <v>9400</v>
      </c>
      <c r="AP122" s="109">
        <v>1000</v>
      </c>
      <c r="AQ122" s="109">
        <v>0</v>
      </c>
      <c r="AR122" s="109">
        <v>0</v>
      </c>
      <c r="AS122" s="109"/>
      <c r="AT122" s="109">
        <f>SUM(AC122:AS122)</f>
        <v>375195.40104000003</v>
      </c>
      <c r="AU122" s="111">
        <f>IFERROR((AT122/N122),0)</f>
        <v>375.19540104000004</v>
      </c>
      <c r="AV122" s="109">
        <f>IFERROR((BS122*'CALCULO GERAL'!$E$11)/N122,0)</f>
        <v>9.0833862000000014</v>
      </c>
      <c r="AW122" s="109">
        <f>AU122/'CALCULO GERAL'!$C$11</f>
        <v>74.755011165570835</v>
      </c>
      <c r="AX122" s="109">
        <f>BP122-BB122-BD122*'CALCULO GERAL'!$C$11</f>
        <v>447.35677034999998</v>
      </c>
      <c r="AY122" s="109">
        <f>AX122*G122</f>
        <v>2.9078190072749996</v>
      </c>
      <c r="AZ122" s="109">
        <f>AX122*H122</f>
        <v>13.420703110499998</v>
      </c>
      <c r="BA122" s="109">
        <f>BP122-BD122</f>
        <v>454.16931</v>
      </c>
      <c r="BB122" s="109">
        <f>BA122*L122</f>
        <v>6.8125396499999997</v>
      </c>
      <c r="BC122" s="109">
        <f>BP122/(1+D122)</f>
        <v>454.16931</v>
      </c>
      <c r="BD122" s="109">
        <f>BC122*D122</f>
        <v>0</v>
      </c>
      <c r="BE122" s="109">
        <f>BT122*0.08</f>
        <v>36333.544800000003</v>
      </c>
      <c r="BF122" s="109">
        <f>BT122*0.12</f>
        <v>54500.317199999998</v>
      </c>
      <c r="BG122" s="109">
        <f>(BF122*0.09)/N122</f>
        <v>4.9050285479999989</v>
      </c>
      <c r="BH122" s="109">
        <f>(BE122*0.15)/N122</f>
        <v>5.4500317200000001</v>
      </c>
      <c r="BI122" s="109">
        <f>IF(BE122&gt;=$BX$1,($BX$1-BE122)*0.1,IF(BE122&lt;=$BX$1,($BX$1*0)))/N122</f>
        <v>0</v>
      </c>
      <c r="BJ122" s="109">
        <f>(AY122+AZ122+BB122+AV122+BD122+BG122+BH122+BI122)</f>
        <v>42.579508235774995</v>
      </c>
      <c r="BK122" s="109">
        <f>BJ122+AU122</f>
        <v>417.77490927577503</v>
      </c>
      <c r="BL122" s="148">
        <v>0.84</v>
      </c>
      <c r="BM122" s="112">
        <f>ROUND((AW122/BL122)+((AW122*BL122)*'CALCULO GERAL'!$E$11)/BL122,2)</f>
        <v>90.49</v>
      </c>
      <c r="BN122" s="186">
        <f>BM122</f>
        <v>90.49</v>
      </c>
      <c r="BO122" s="186">
        <f>ROUND(FV(0.02,8,,BN122)*-1,3)</f>
        <v>106.023</v>
      </c>
      <c r="BP122" s="109">
        <f>BM122*'CALCULO GERAL'!$C$11</f>
        <v>454.16931</v>
      </c>
      <c r="BQ122" s="109">
        <f>BO122*'CALCULO GERAL'!$C$11</f>
        <v>532.12943699999994</v>
      </c>
      <c r="BR122" s="186">
        <f>BN122*'CALCULO GERAL'!$C$11</f>
        <v>454.16931</v>
      </c>
      <c r="BS122" s="109">
        <f>BP122*N122</f>
        <v>454169.31</v>
      </c>
      <c r="BT122" s="109">
        <f>BR122*N122</f>
        <v>454169.31</v>
      </c>
      <c r="BU122" s="109">
        <f>BK122*N122</f>
        <v>417774.90927577502</v>
      </c>
      <c r="BV122" s="109">
        <f>BS122-BU122</f>
        <v>36394.400724224979</v>
      </c>
      <c r="BW122" s="114">
        <f>(((BK122*N122)-BS122)/BS122*-1)</f>
        <v>8.0133993915672067E-2</v>
      </c>
      <c r="BX122" s="152">
        <f>ROUND(BL122,2)</f>
        <v>0.84</v>
      </c>
      <c r="BY122" s="152"/>
      <c r="BZ122" s="55"/>
      <c r="CA122" s="113"/>
      <c r="CB122" s="113"/>
      <c r="CC122" s="152"/>
      <c r="CD122" s="152">
        <f>CB122/BX122</f>
        <v>0</v>
      </c>
      <c r="CE122" s="152">
        <f>100%-CD122</f>
        <v>1</v>
      </c>
      <c r="CF122" s="152">
        <f>AVERAGE(CE122,CC122)</f>
        <v>1</v>
      </c>
      <c r="CG122" s="34"/>
      <c r="CI122" s="56"/>
      <c r="CJ122" s="56"/>
    </row>
    <row r="123" spans="1:88" x14ac:dyDescent="0.2">
      <c r="A123" s="228" t="s">
        <v>248</v>
      </c>
      <c r="B123" s="187" t="s">
        <v>249</v>
      </c>
      <c r="C123" s="8">
        <v>0.14399999999999999</v>
      </c>
      <c r="D123" s="8">
        <v>0.1115</v>
      </c>
      <c r="E123" s="7">
        <v>2.1000000000000001E-2</v>
      </c>
      <c r="F123" s="7">
        <v>9.6500000000000002E-2</v>
      </c>
      <c r="G123" s="1">
        <v>6.4999999999999997E-3</v>
      </c>
      <c r="H123" s="1">
        <v>0.03</v>
      </c>
      <c r="I123" s="1">
        <v>0.18</v>
      </c>
      <c r="J123" s="1">
        <v>0.04</v>
      </c>
      <c r="K123" s="1">
        <v>0.14000000000000001</v>
      </c>
      <c r="L123" s="1">
        <v>1.4999999999999999E-2</v>
      </c>
      <c r="M123" s="2" t="s">
        <v>175</v>
      </c>
      <c r="N123" s="105"/>
      <c r="O123" s="119"/>
      <c r="P123" s="119"/>
      <c r="Q123" s="119"/>
      <c r="R123" s="119"/>
      <c r="S123" s="119">
        <v>0.3</v>
      </c>
      <c r="T123" s="119"/>
      <c r="U123" s="119"/>
      <c r="V123" s="119"/>
      <c r="W123" s="119"/>
      <c r="X123" s="119">
        <f t="shared" ref="X123:X192" si="67">MIN(O123:W123)</f>
        <v>0.3</v>
      </c>
      <c r="Y123" s="118">
        <f t="shared" ref="Y123:Y192" si="68">AVERAGE(O123:W123)</f>
        <v>0.3</v>
      </c>
      <c r="Z123" s="109">
        <f t="shared" ref="Z123:Z189" si="69">Y123*N123</f>
        <v>0</v>
      </c>
      <c r="AA123" s="109">
        <f>'CALCULO GERAL'!$G$10</f>
        <v>6300</v>
      </c>
      <c r="AB123" s="109">
        <f t="shared" ref="AB123:AB192" si="70">Z123+AA123</f>
        <v>6300</v>
      </c>
      <c r="AC123" s="109">
        <f>AB123*'CALCULO GERAL'!$C$11</f>
        <v>31619.7</v>
      </c>
      <c r="AD123" s="109">
        <f t="shared" ref="AD123:AD192" si="71">AC123*C123</f>
        <v>4553.2367999999997</v>
      </c>
      <c r="AE123" s="109">
        <f t="shared" ref="AE123:AE192" si="72">(AC123+AD123)*D123</f>
        <v>4033.2824532000004</v>
      </c>
      <c r="AF123" s="109">
        <f t="shared" ref="AF123:AF192" si="73">AC123*E123</f>
        <v>664.01370000000009</v>
      </c>
      <c r="AG123" s="109">
        <f t="shared" ref="AG123:AG192" si="74">AC123*F123</f>
        <v>3051.30105</v>
      </c>
      <c r="AH123" s="109">
        <v>154.22999999999999</v>
      </c>
      <c r="AI123" s="109">
        <f>((AA123*'CALCULO GERAL'!$C$11))*0.08+20</f>
        <v>2549.576</v>
      </c>
      <c r="AJ123" s="109">
        <v>1010</v>
      </c>
      <c r="AK123" s="109">
        <v>2500</v>
      </c>
      <c r="AL123" s="109">
        <f>(AA123*('CALCULO GERAL'!$C$11*1.02))-(AA123*'CALCULO GERAL'!$C$11)</f>
        <v>632.39400000000387</v>
      </c>
      <c r="AM123" s="109">
        <v>1800</v>
      </c>
      <c r="AN123" s="109">
        <v>2600</v>
      </c>
      <c r="AO123" s="109">
        <v>9400</v>
      </c>
      <c r="AP123" s="109">
        <v>1000</v>
      </c>
      <c r="AQ123" s="109">
        <v>0</v>
      </c>
      <c r="AR123" s="109">
        <v>0</v>
      </c>
      <c r="AS123" s="109"/>
      <c r="AT123" s="109">
        <f>SUM(AC123:AS123)</f>
        <v>65567.734003200021</v>
      </c>
      <c r="AU123" s="111">
        <f t="shared" ref="AU123:AU192" si="75">IFERROR((AT123/N123),0)</f>
        <v>0</v>
      </c>
      <c r="AV123" s="109">
        <f>IFERROR((BS123*'CALCULO GERAL'!$E$11)/N123,0)</f>
        <v>0</v>
      </c>
      <c r="AW123" s="109">
        <f>AU123/'CALCULO GERAL'!$C$11</f>
        <v>0</v>
      </c>
      <c r="AX123" s="109">
        <f>BP123-BB123-BD123*'CALCULO GERAL'!$C$11</f>
        <v>0</v>
      </c>
      <c r="AY123" s="109">
        <f t="shared" ref="AY123:AY192" si="76">AX123*G123</f>
        <v>0</v>
      </c>
      <c r="AZ123" s="109">
        <f t="shared" ref="AZ123:AZ192" si="77">AX123*H123</f>
        <v>0</v>
      </c>
      <c r="BA123" s="109">
        <f t="shared" ref="BA123:BA192" si="78">BP123-BD123</f>
        <v>0</v>
      </c>
      <c r="BB123" s="109">
        <f t="shared" ref="BB123:BB192" si="79">BA123*L123</f>
        <v>0</v>
      </c>
      <c r="BC123" s="109">
        <f t="shared" ref="BC123:BC192" si="80">BP123/(1+D123)</f>
        <v>0</v>
      </c>
      <c r="BD123" s="109">
        <f t="shared" ref="BD123:BD192" si="81">BC123*D123</f>
        <v>0</v>
      </c>
      <c r="BE123" s="109">
        <f t="shared" ref="BE123:BE192" si="82">BT123*0.08</f>
        <v>0</v>
      </c>
      <c r="BF123" s="109">
        <f t="shared" ref="BF123:BF192" si="83">BT123*0.12</f>
        <v>0</v>
      </c>
      <c r="BG123" s="109" t="e">
        <f t="shared" ref="BG123:BG192" si="84">(BF123*0.09)/N123</f>
        <v>#DIV/0!</v>
      </c>
      <c r="BH123" s="109" t="e">
        <f t="shared" ref="BH123:BH192" si="85">(BE123*0.15)/N123</f>
        <v>#DIV/0!</v>
      </c>
      <c r="BI123" s="109" t="e">
        <f t="shared" ref="BI123:BI192" si="86">IF(BE123&gt;=$BX$1,($BX$1-BE123)*0.1,IF(BE123&lt;=$BX$1,($BX$1*0)))/N123</f>
        <v>#DIV/0!</v>
      </c>
      <c r="BJ123" s="109" t="e">
        <f t="shared" ref="BJ123:BJ192" si="87">(AY123+AZ123+BB123+AV123+BD123+BG123+BH123+BI123)</f>
        <v>#DIV/0!</v>
      </c>
      <c r="BK123" s="109" t="e">
        <f t="shared" ref="BK123:BK192" si="88">BJ123+AU123</f>
        <v>#DIV/0!</v>
      </c>
      <c r="BL123" s="148">
        <v>0.84</v>
      </c>
      <c r="BM123" s="112">
        <f>ROUND((AW123/BL123)+((AW123*BL123)*'CALCULO GERAL'!$E$11)/BL123,2)</f>
        <v>0</v>
      </c>
      <c r="BN123" s="186">
        <f>BM123</f>
        <v>0</v>
      </c>
      <c r="BO123" s="186">
        <f t="shared" ref="BO123:BO153" si="89">ROUND(FV(0.02,8,,BN123)*-1,3)</f>
        <v>0</v>
      </c>
      <c r="BP123" s="109">
        <f>BM123*'CALCULO GERAL'!$C$11</f>
        <v>0</v>
      </c>
      <c r="BQ123" s="109">
        <f>BO123*'CALCULO GERAL'!$C$11</f>
        <v>0</v>
      </c>
      <c r="BR123" s="186">
        <f>BN123*'CALCULO GERAL'!$C$11</f>
        <v>0</v>
      </c>
      <c r="BS123" s="109">
        <f t="shared" ref="BS123:BS192" si="90">BP123*N123</f>
        <v>0</v>
      </c>
      <c r="BT123" s="109">
        <f t="shared" ref="BT123:BT192" si="91">BR123*N123</f>
        <v>0</v>
      </c>
      <c r="BU123" s="109" t="e">
        <f>BK123*N123</f>
        <v>#DIV/0!</v>
      </c>
      <c r="BV123" s="109" t="e">
        <f>BS123-BU123</f>
        <v>#DIV/0!</v>
      </c>
      <c r="BW123" s="114" t="e">
        <f t="shared" ref="BW123:BW192" si="92">(((BK123*N123)-BS123)/BS123*-1)</f>
        <v>#DIV/0!</v>
      </c>
      <c r="BX123" s="152">
        <f>ROUND(BL123,2)</f>
        <v>0.84</v>
      </c>
      <c r="BY123" s="152"/>
      <c r="BZ123" s="55"/>
      <c r="CA123" s="113"/>
      <c r="CB123" s="113"/>
      <c r="CC123" s="152"/>
      <c r="CD123" s="152">
        <f>CB123/BX123</f>
        <v>0</v>
      </c>
      <c r="CE123" s="152">
        <f>100%-CD123</f>
        <v>1</v>
      </c>
      <c r="CF123" s="152">
        <f>AVERAGE(CE123,CC123)</f>
        <v>1</v>
      </c>
      <c r="CG123" s="34"/>
      <c r="CI123" s="56"/>
      <c r="CJ123" s="56"/>
    </row>
    <row r="124" spans="1:88" x14ac:dyDescent="0.2">
      <c r="A124" s="269" t="s">
        <v>250</v>
      </c>
      <c r="B124" s="187" t="s">
        <v>251</v>
      </c>
      <c r="C124" s="6">
        <v>0.128</v>
      </c>
      <c r="D124" s="8">
        <v>0.05</v>
      </c>
      <c r="E124" s="7">
        <v>2.1000000000000001E-2</v>
      </c>
      <c r="F124" s="7">
        <v>0.1065</v>
      </c>
      <c r="G124" s="1">
        <v>6.4999999999999997E-3</v>
      </c>
      <c r="H124" s="1">
        <v>0.03</v>
      </c>
      <c r="I124" s="1">
        <v>0.18</v>
      </c>
      <c r="J124" s="1">
        <v>0.04</v>
      </c>
      <c r="K124" s="1">
        <v>0.14000000000000001</v>
      </c>
      <c r="L124" s="1">
        <v>1.4999999999999999E-2</v>
      </c>
      <c r="M124" s="2" t="s">
        <v>175</v>
      </c>
      <c r="N124" s="105">
        <v>1440</v>
      </c>
      <c r="O124" s="119"/>
      <c r="P124" s="119"/>
      <c r="Q124" s="119"/>
      <c r="R124" s="119"/>
      <c r="S124" s="119"/>
      <c r="T124" s="119"/>
      <c r="U124" s="119"/>
      <c r="V124" s="119">
        <v>11.46</v>
      </c>
      <c r="W124" s="119"/>
      <c r="X124" s="119">
        <f t="shared" si="67"/>
        <v>11.46</v>
      </c>
      <c r="Y124" s="118">
        <f t="shared" si="68"/>
        <v>11.46</v>
      </c>
      <c r="Z124" s="109">
        <f t="shared" si="69"/>
        <v>16502.400000000001</v>
      </c>
      <c r="AA124" s="109">
        <f>'CALCULO GERAL'!$G$10</f>
        <v>6300</v>
      </c>
      <c r="AB124" s="109">
        <f t="shared" si="70"/>
        <v>22802.400000000001</v>
      </c>
      <c r="AC124" s="109">
        <f>AB124*'CALCULO GERAL'!$C$11</f>
        <v>114445.24560000001</v>
      </c>
      <c r="AD124" s="109">
        <f t="shared" si="71"/>
        <v>14648.991436800001</v>
      </c>
      <c r="AE124" s="109">
        <f t="shared" si="72"/>
        <v>6454.7118518400011</v>
      </c>
      <c r="AF124" s="109">
        <f t="shared" si="73"/>
        <v>2403.3501576000003</v>
      </c>
      <c r="AG124" s="109">
        <f t="shared" si="74"/>
        <v>12188.418656400001</v>
      </c>
      <c r="AH124" s="109">
        <v>154.22999999999999</v>
      </c>
      <c r="AI124" s="109">
        <f>((AA124*'CALCULO GERAL'!$C$11))*0.08+20</f>
        <v>2549.576</v>
      </c>
      <c r="AJ124" s="109">
        <v>1010</v>
      </c>
      <c r="AK124" s="109">
        <v>2500</v>
      </c>
      <c r="AL124" s="109">
        <f>(AA124*('CALCULO GERAL'!$C$11*1.02))-(AA124*'CALCULO GERAL'!$C$11)</f>
        <v>632.39400000000387</v>
      </c>
      <c r="AM124" s="109">
        <v>1800</v>
      </c>
      <c r="AN124" s="109">
        <v>2600</v>
      </c>
      <c r="AO124" s="109">
        <v>9400</v>
      </c>
      <c r="AP124" s="109">
        <v>1000</v>
      </c>
      <c r="AQ124" s="109">
        <v>0</v>
      </c>
      <c r="AR124" s="109">
        <v>0</v>
      </c>
      <c r="AS124" s="109"/>
      <c r="AT124" s="109">
        <f t="shared" si="34"/>
        <v>171786.91770264003</v>
      </c>
      <c r="AU124" s="111">
        <f t="shared" si="75"/>
        <v>119.29647062683335</v>
      </c>
      <c r="AV124" s="109">
        <f>IFERROR((BS124*'CALCULO GERAL'!$E$11)/N124,0)</f>
        <v>3.9589872000000002</v>
      </c>
      <c r="AW124" s="109">
        <f>AU124/'CALCULO GERAL'!$C$11</f>
        <v>23.768972031646413</v>
      </c>
      <c r="AX124" s="109">
        <f>BP124-BB124-BD124*'CALCULO GERAL'!$C$11</f>
        <v>147.81161495999999</v>
      </c>
      <c r="AY124" s="109">
        <f t="shared" si="76"/>
        <v>0.96077549723999989</v>
      </c>
      <c r="AZ124" s="109">
        <f t="shared" si="77"/>
        <v>4.4343484487999998</v>
      </c>
      <c r="BA124" s="109">
        <f t="shared" si="78"/>
        <v>188.52319999999997</v>
      </c>
      <c r="BB124" s="109">
        <f t="shared" si="79"/>
        <v>2.8278479999999995</v>
      </c>
      <c r="BC124" s="109">
        <f t="shared" si="80"/>
        <v>188.52319999999997</v>
      </c>
      <c r="BD124" s="109">
        <f t="shared" si="81"/>
        <v>9.4261599999999994</v>
      </c>
      <c r="BE124" s="109">
        <f t="shared" si="82"/>
        <v>22803.766272000001</v>
      </c>
      <c r="BF124" s="109">
        <f t="shared" si="83"/>
        <v>34205.649407999997</v>
      </c>
      <c r="BG124" s="109">
        <f t="shared" si="84"/>
        <v>2.1378530879999995</v>
      </c>
      <c r="BH124" s="109">
        <f t="shared" si="85"/>
        <v>2.37539232</v>
      </c>
      <c r="BI124" s="109">
        <f t="shared" si="86"/>
        <v>0</v>
      </c>
      <c r="BJ124" s="109">
        <f t="shared" si="87"/>
        <v>26.121364554039999</v>
      </c>
      <c r="BK124" s="109">
        <f t="shared" si="88"/>
        <v>145.41783518087334</v>
      </c>
      <c r="BL124" s="148">
        <v>0.61</v>
      </c>
      <c r="BM124" s="112">
        <f>ROUND((AW124/BL124)+((AW124*BL124)*'CALCULO GERAL'!$E$11)/BL124,2)</f>
        <v>39.44</v>
      </c>
      <c r="BN124" s="186">
        <f t="shared" si="21"/>
        <v>39.44</v>
      </c>
      <c r="BO124" s="186">
        <f t="shared" si="89"/>
        <v>46.21</v>
      </c>
      <c r="BP124" s="109">
        <f>BM124*'CALCULO GERAL'!$C$11</f>
        <v>197.94935999999998</v>
      </c>
      <c r="BQ124" s="109">
        <f>BO124*'CALCULO GERAL'!$C$11</f>
        <v>231.92799000000002</v>
      </c>
      <c r="BR124" s="186">
        <f>BN124*'CALCULO GERAL'!$C$11</f>
        <v>197.94935999999998</v>
      </c>
      <c r="BS124" s="109">
        <f t="shared" si="90"/>
        <v>285047.0784</v>
      </c>
      <c r="BT124" s="109">
        <f t="shared" si="91"/>
        <v>285047.0784</v>
      </c>
      <c r="BU124" s="109">
        <f t="shared" si="40"/>
        <v>209401.68266045762</v>
      </c>
      <c r="BV124" s="109">
        <f t="shared" si="37"/>
        <v>75645.395739542379</v>
      </c>
      <c r="BW124" s="114">
        <f t="shared" si="92"/>
        <v>0.26537860399814706</v>
      </c>
      <c r="BX124" s="152">
        <f t="shared" si="41"/>
        <v>0.61</v>
      </c>
      <c r="BY124" s="152"/>
      <c r="BZ124" s="55"/>
      <c r="CA124" s="113"/>
      <c r="CB124" s="113"/>
      <c r="CC124" s="152"/>
      <c r="CD124" s="152">
        <f t="shared" si="42"/>
        <v>0</v>
      </c>
      <c r="CE124" s="152">
        <f t="shared" si="38"/>
        <v>1</v>
      </c>
      <c r="CF124" s="152">
        <f t="shared" si="39"/>
        <v>1</v>
      </c>
      <c r="CG124" s="34"/>
      <c r="CI124" s="56"/>
      <c r="CJ124" s="56"/>
    </row>
    <row r="125" spans="1:88" x14ac:dyDescent="0.2">
      <c r="A125" s="269" t="s">
        <v>252</v>
      </c>
      <c r="B125" s="187" t="s">
        <v>251</v>
      </c>
      <c r="C125" s="6">
        <v>0.128</v>
      </c>
      <c r="D125" s="8">
        <v>0.05</v>
      </c>
      <c r="E125" s="7">
        <v>2.1000000000000001E-2</v>
      </c>
      <c r="F125" s="7">
        <v>0.1065</v>
      </c>
      <c r="G125" s="1">
        <v>6.4999999999999997E-3</v>
      </c>
      <c r="H125" s="1">
        <v>0.03</v>
      </c>
      <c r="I125" s="1">
        <v>0.18</v>
      </c>
      <c r="J125" s="1">
        <v>0.04</v>
      </c>
      <c r="K125" s="1">
        <v>0.14000000000000001</v>
      </c>
      <c r="L125" s="1">
        <v>1.4999999999999999E-2</v>
      </c>
      <c r="M125" s="2" t="s">
        <v>175</v>
      </c>
      <c r="N125" s="105">
        <v>840</v>
      </c>
      <c r="O125" s="119"/>
      <c r="P125" s="119"/>
      <c r="Q125" s="119"/>
      <c r="R125" s="119"/>
      <c r="S125" s="119"/>
      <c r="T125" s="119">
        <v>4.8599999999999997E-2</v>
      </c>
      <c r="U125" s="119"/>
      <c r="V125" s="119">
        <v>19.850000000000001</v>
      </c>
      <c r="W125" s="119"/>
      <c r="X125" s="119">
        <f t="shared" si="67"/>
        <v>4.8599999999999997E-2</v>
      </c>
      <c r="Y125" s="118">
        <f t="shared" si="68"/>
        <v>9.9493000000000009</v>
      </c>
      <c r="Z125" s="109">
        <f t="shared" si="69"/>
        <v>8357.4120000000003</v>
      </c>
      <c r="AA125" s="109">
        <f>'CALCULO GERAL'!$G$10</f>
        <v>6300</v>
      </c>
      <c r="AB125" s="109">
        <f t="shared" si="70"/>
        <v>14657.412</v>
      </c>
      <c r="AC125" s="109">
        <f>AB125*'CALCULO GERAL'!$C$11</f>
        <v>73565.550828000007</v>
      </c>
      <c r="AD125" s="109">
        <f t="shared" si="71"/>
        <v>9416.3905059840017</v>
      </c>
      <c r="AE125" s="109">
        <f t="shared" si="72"/>
        <v>4149.0970666992007</v>
      </c>
      <c r="AF125" s="109">
        <f t="shared" si="73"/>
        <v>1544.8765673880002</v>
      </c>
      <c r="AG125" s="109">
        <f t="shared" si="74"/>
        <v>7834.7311631820003</v>
      </c>
      <c r="AH125" s="109">
        <v>154.22999999999999</v>
      </c>
      <c r="AI125" s="109">
        <f>((AA125*'CALCULO GERAL'!$C$11))*0.08+20</f>
        <v>2549.576</v>
      </c>
      <c r="AJ125" s="109">
        <v>1010</v>
      </c>
      <c r="AK125" s="109">
        <v>2500</v>
      </c>
      <c r="AL125" s="109">
        <f>(AA125*('CALCULO GERAL'!$C$11*1.02))-(AA125*'CALCULO GERAL'!$C$11)</f>
        <v>632.39400000000387</v>
      </c>
      <c r="AM125" s="109">
        <v>1800</v>
      </c>
      <c r="AN125" s="109">
        <v>2600</v>
      </c>
      <c r="AO125" s="109">
        <v>9400</v>
      </c>
      <c r="AP125" s="109">
        <v>1000</v>
      </c>
      <c r="AQ125" s="109">
        <v>0</v>
      </c>
      <c r="AR125" s="109">
        <v>0</v>
      </c>
      <c r="AS125" s="109"/>
      <c r="AT125" s="109">
        <f t="shared" si="34"/>
        <v>118156.84613125322</v>
      </c>
      <c r="AU125" s="111">
        <f t="shared" si="75"/>
        <v>140.66291206101573</v>
      </c>
      <c r="AV125" s="109">
        <f>IFERROR((BS125*'CALCULO GERAL'!$E$11)/N125,0)</f>
        <v>4.6676700000000002</v>
      </c>
      <c r="AW125" s="109">
        <f>AU125/'CALCULO GERAL'!$C$11</f>
        <v>28.026083295679562</v>
      </c>
      <c r="AX125" s="109">
        <f>BP125-BB125-BD125*'CALCULO GERAL'!$C$11</f>
        <v>174.2707935</v>
      </c>
      <c r="AY125" s="109">
        <f t="shared" si="76"/>
        <v>1.1327601577499999</v>
      </c>
      <c r="AZ125" s="109">
        <f t="shared" si="77"/>
        <v>5.2281238050000001</v>
      </c>
      <c r="BA125" s="109">
        <f t="shared" si="78"/>
        <v>222.27</v>
      </c>
      <c r="BB125" s="109">
        <f t="shared" si="79"/>
        <v>3.33405</v>
      </c>
      <c r="BC125" s="109">
        <f t="shared" si="80"/>
        <v>222.26999999999998</v>
      </c>
      <c r="BD125" s="109">
        <f t="shared" si="81"/>
        <v>11.1135</v>
      </c>
      <c r="BE125" s="109">
        <f t="shared" si="82"/>
        <v>15683.3712</v>
      </c>
      <c r="BF125" s="109">
        <f t="shared" si="83"/>
        <v>23525.056799999998</v>
      </c>
      <c r="BG125" s="109">
        <f t="shared" si="84"/>
        <v>2.5205417999999997</v>
      </c>
      <c r="BH125" s="109">
        <f t="shared" si="85"/>
        <v>2.8006019999999996</v>
      </c>
      <c r="BI125" s="109">
        <f t="shared" si="86"/>
        <v>0</v>
      </c>
      <c r="BJ125" s="109">
        <f t="shared" si="87"/>
        <v>30.797247762750004</v>
      </c>
      <c r="BK125" s="109">
        <f t="shared" si="88"/>
        <v>171.46015982376574</v>
      </c>
      <c r="BL125" s="148">
        <v>0.61</v>
      </c>
      <c r="BM125" s="112">
        <f>ROUND((AW125/BL125)+((AW125*BL125)*'CALCULO GERAL'!$E$11)/BL125,2)</f>
        <v>46.5</v>
      </c>
      <c r="BN125" s="186">
        <f t="shared" si="21"/>
        <v>46.5</v>
      </c>
      <c r="BO125" s="186">
        <f t="shared" si="89"/>
        <v>54.481999999999999</v>
      </c>
      <c r="BP125" s="109">
        <f>BM125*'CALCULO GERAL'!$C$11</f>
        <v>233.3835</v>
      </c>
      <c r="BQ125" s="109">
        <f>BO125*'CALCULO GERAL'!$C$11</f>
        <v>273.44515799999999</v>
      </c>
      <c r="BR125" s="186">
        <f>BN125*'CALCULO GERAL'!$C$11</f>
        <v>233.3835</v>
      </c>
      <c r="BS125" s="109">
        <f t="shared" si="90"/>
        <v>196042.13999999998</v>
      </c>
      <c r="BT125" s="109">
        <f t="shared" si="91"/>
        <v>196042.13999999998</v>
      </c>
      <c r="BU125" s="109">
        <f t="shared" si="40"/>
        <v>144026.53425196322</v>
      </c>
      <c r="BV125" s="109">
        <f t="shared" si="37"/>
        <v>52015.60574803676</v>
      </c>
      <c r="BW125" s="114">
        <f t="shared" si="92"/>
        <v>0.26532869794237485</v>
      </c>
      <c r="BX125" s="152">
        <f t="shared" si="41"/>
        <v>0.61</v>
      </c>
      <c r="BY125" s="152"/>
      <c r="BZ125" s="55"/>
      <c r="CA125" s="113"/>
      <c r="CB125" s="113"/>
      <c r="CC125" s="152"/>
      <c r="CD125" s="152">
        <f t="shared" si="42"/>
        <v>0</v>
      </c>
      <c r="CE125" s="152">
        <f t="shared" si="38"/>
        <v>1</v>
      </c>
      <c r="CF125" s="152">
        <f t="shared" si="39"/>
        <v>1</v>
      </c>
      <c r="CG125" s="34"/>
      <c r="CI125" s="56"/>
      <c r="CJ125" s="56"/>
    </row>
    <row r="126" spans="1:88" x14ac:dyDescent="0.2">
      <c r="A126" s="471" t="s">
        <v>253</v>
      </c>
      <c r="B126" s="366" t="s">
        <v>251</v>
      </c>
      <c r="C126" s="472">
        <v>0.128</v>
      </c>
      <c r="D126" s="367">
        <v>0.05</v>
      </c>
      <c r="E126" s="368">
        <v>2.1000000000000001E-2</v>
      </c>
      <c r="F126" s="368">
        <v>0.1065</v>
      </c>
      <c r="G126" s="1">
        <v>6.4999999999999997E-3</v>
      </c>
      <c r="H126" s="1">
        <v>0.03</v>
      </c>
      <c r="I126" s="1">
        <v>0.18</v>
      </c>
      <c r="J126" s="1">
        <v>0.04</v>
      </c>
      <c r="K126" s="1">
        <v>0.14000000000000001</v>
      </c>
      <c r="L126" s="1">
        <v>1.4999999999999999E-2</v>
      </c>
      <c r="M126" s="2" t="s">
        <v>175</v>
      </c>
      <c r="N126" s="105">
        <v>2880</v>
      </c>
      <c r="O126" s="119"/>
      <c r="P126" s="119"/>
      <c r="Q126" s="119"/>
      <c r="R126" s="119"/>
      <c r="S126" s="119"/>
      <c r="T126" s="119"/>
      <c r="U126" s="119"/>
      <c r="V126" s="119">
        <v>8.09</v>
      </c>
      <c r="W126" s="119"/>
      <c r="X126" s="119">
        <f>MIN(O126:W126)</f>
        <v>8.09</v>
      </c>
      <c r="Y126" s="118">
        <f>AVERAGE(O126:W126)</f>
        <v>8.09</v>
      </c>
      <c r="Z126" s="109">
        <f>Y126*N126</f>
        <v>23299.200000000001</v>
      </c>
      <c r="AA126" s="109">
        <f>'CALCULO GERAL'!$G$10</f>
        <v>6300</v>
      </c>
      <c r="AB126" s="109">
        <f>Z126+AA126</f>
        <v>29599.200000000001</v>
      </c>
      <c r="AC126" s="109">
        <f>AB126*'CALCULO GERAL'!$C$11</f>
        <v>148558.3848</v>
      </c>
      <c r="AD126" s="109">
        <f>AC126*C126</f>
        <v>19015.4732544</v>
      </c>
      <c r="AE126" s="109">
        <f>(AC126+AD126)*D126</f>
        <v>8378.6929027200003</v>
      </c>
      <c r="AF126" s="109">
        <f>AC126*E126</f>
        <v>3119.7260808000001</v>
      </c>
      <c r="AG126" s="109">
        <f>AC126*F126</f>
        <v>15821.467981199999</v>
      </c>
      <c r="AH126" s="109">
        <v>154.22999999999999</v>
      </c>
      <c r="AI126" s="109">
        <f>((AA126*'CALCULO GERAL'!$C$11))*0.08+20</f>
        <v>2549.576</v>
      </c>
      <c r="AJ126" s="109">
        <v>1010</v>
      </c>
      <c r="AK126" s="109">
        <v>2500</v>
      </c>
      <c r="AL126" s="109">
        <f>(AA126*('CALCULO GERAL'!$C$11*1.02))-(AA126*'CALCULO GERAL'!$C$11)</f>
        <v>632.39400000000387</v>
      </c>
      <c r="AM126" s="109">
        <v>1800</v>
      </c>
      <c r="AN126" s="109">
        <v>2600</v>
      </c>
      <c r="AO126" s="109">
        <v>9400</v>
      </c>
      <c r="AP126" s="109">
        <v>1000</v>
      </c>
      <c r="AQ126" s="109">
        <v>0</v>
      </c>
      <c r="AR126" s="109">
        <v>0</v>
      </c>
      <c r="AS126" s="109"/>
      <c r="AT126" s="109">
        <f>SUM(AC126:AS126)</f>
        <v>216539.94501912003</v>
      </c>
      <c r="AU126" s="111">
        <f>IFERROR((AT126/N126),0)</f>
        <v>75.187480909416678</v>
      </c>
      <c r="AV126" s="109">
        <f>IFERROR((BS126*'CALCULO GERAL'!$E$11)/N126,0)</f>
        <v>2.4954468000000003</v>
      </c>
      <c r="AW126" s="109">
        <f>AU126/'CALCULO GERAL'!$C$11</f>
        <v>14.980570015823208</v>
      </c>
      <c r="AX126" s="109">
        <f>BP126-BB126-BD126*'CALCULO GERAL'!$C$11</f>
        <v>93.169288740000013</v>
      </c>
      <c r="AY126" s="109">
        <f>AX126*G126</f>
        <v>0.60560037681000001</v>
      </c>
      <c r="AZ126" s="109">
        <f>AX126*H126</f>
        <v>2.7950786622000003</v>
      </c>
      <c r="BA126" s="109">
        <f>BP126-BD126</f>
        <v>118.8308</v>
      </c>
      <c r="BB126" s="109">
        <f>BA126*L126</f>
        <v>1.782462</v>
      </c>
      <c r="BC126" s="109">
        <f>BP126/(1+D126)</f>
        <v>118.8308</v>
      </c>
      <c r="BD126" s="109">
        <f>BC126*D126</f>
        <v>5.9415399999999998</v>
      </c>
      <c r="BE126" s="109">
        <f>BT126*0.08</f>
        <v>28747.547136000001</v>
      </c>
      <c r="BF126" s="109">
        <f>BT126*0.12</f>
        <v>43121.320703999998</v>
      </c>
      <c r="BG126" s="109">
        <f>(BF126*0.09)/N126</f>
        <v>1.347541272</v>
      </c>
      <c r="BH126" s="109">
        <f>(BE126*0.15)/N126</f>
        <v>1.49726808</v>
      </c>
      <c r="BI126" s="109">
        <f>IF(BE126&gt;=$BX$1,($BX$1-BE126)*0.1,IF(BE126&lt;=$BX$1,($BX$1*0)))/N126</f>
        <v>0</v>
      </c>
      <c r="BJ126" s="109">
        <f>(AY126+AZ126+BB126+AV126+BD126+BG126+BH126+BI126)</f>
        <v>16.464937191010002</v>
      </c>
      <c r="BK126" s="109">
        <f>BJ126+AU126</f>
        <v>91.652418100426672</v>
      </c>
      <c r="BL126" s="148">
        <v>0.61</v>
      </c>
      <c r="BM126" s="112">
        <f>ROUND((AW126/BL126)+((AW126*BL126)*'CALCULO GERAL'!$E$11)/BL126,2)</f>
        <v>24.86</v>
      </c>
      <c r="BN126" s="186">
        <f>BM126</f>
        <v>24.86</v>
      </c>
      <c r="BO126" s="186">
        <f>ROUND(FV(0.02,8,,BN126)*-1,3)</f>
        <v>29.126999999999999</v>
      </c>
      <c r="BP126" s="109">
        <f>BM126*'CALCULO GERAL'!$C$11</f>
        <v>124.77234</v>
      </c>
      <c r="BQ126" s="109">
        <f>BO126*'CALCULO GERAL'!$C$11</f>
        <v>146.188413</v>
      </c>
      <c r="BR126" s="186">
        <f>BN126*'CALCULO GERAL'!$C$11</f>
        <v>124.77234</v>
      </c>
      <c r="BS126" s="109">
        <f>BP126*N126</f>
        <v>359344.33919999999</v>
      </c>
      <c r="BT126" s="109">
        <f>BR126*N126</f>
        <v>359344.33919999999</v>
      </c>
      <c r="BU126" s="109">
        <f>BK126*N126</f>
        <v>263958.96412922884</v>
      </c>
      <c r="BV126" s="109">
        <f>BS126-BU126</f>
        <v>95385.375070771144</v>
      </c>
      <c r="BW126" s="114">
        <f>(((BK126*N126)-BS126)/BS126*-1)</f>
        <v>0.2654428208974306</v>
      </c>
      <c r="BX126" s="152">
        <f>ROUND(BL126,2)</f>
        <v>0.61</v>
      </c>
      <c r="BY126" s="152"/>
      <c r="BZ126" s="55"/>
      <c r="CA126" s="113"/>
      <c r="CB126" s="113"/>
      <c r="CC126" s="152"/>
      <c r="CD126" s="152">
        <f>CB126/BX126</f>
        <v>0</v>
      </c>
      <c r="CE126" s="152">
        <f>100%-CD126</f>
        <v>1</v>
      </c>
      <c r="CF126" s="152">
        <f>AVERAGE(CE126,CC126)</f>
        <v>1</v>
      </c>
      <c r="CG126" s="34"/>
      <c r="CI126" s="56"/>
      <c r="CJ126" s="56"/>
    </row>
    <row r="127" spans="1:88" x14ac:dyDescent="0.2">
      <c r="A127" s="269" t="s">
        <v>591</v>
      </c>
      <c r="B127" s="187" t="s">
        <v>590</v>
      </c>
      <c r="C127" s="6">
        <v>0.16200000000000001</v>
      </c>
      <c r="D127" s="8">
        <v>0.1132</v>
      </c>
      <c r="E127" s="7">
        <v>2.1000000000000001E-2</v>
      </c>
      <c r="F127" s="7">
        <v>0.1065</v>
      </c>
      <c r="G127" s="1">
        <v>6.4999999999999997E-3</v>
      </c>
      <c r="H127" s="1">
        <v>0.03</v>
      </c>
      <c r="I127" s="1">
        <v>0.18</v>
      </c>
      <c r="J127" s="1">
        <v>0.04</v>
      </c>
      <c r="K127" s="1">
        <v>0.14000000000000001</v>
      </c>
      <c r="L127" s="1">
        <v>1.4999999999999999E-2</v>
      </c>
      <c r="M127" s="2" t="s">
        <v>175</v>
      </c>
      <c r="N127" s="105">
        <v>2880</v>
      </c>
      <c r="O127" s="119"/>
      <c r="P127" s="119"/>
      <c r="Q127" s="119"/>
      <c r="R127" s="119"/>
      <c r="S127" s="119"/>
      <c r="T127" s="119"/>
      <c r="U127" s="119"/>
      <c r="V127" s="119">
        <v>8.09</v>
      </c>
      <c r="W127" s="119"/>
      <c r="X127" s="119">
        <f t="shared" si="67"/>
        <v>8.09</v>
      </c>
      <c r="Y127" s="118">
        <f t="shared" si="68"/>
        <v>8.09</v>
      </c>
      <c r="Z127" s="109">
        <f t="shared" si="69"/>
        <v>23299.200000000001</v>
      </c>
      <c r="AA127" s="109">
        <f>'CALCULO GERAL'!$G$10</f>
        <v>6300</v>
      </c>
      <c r="AB127" s="109">
        <f t="shared" si="70"/>
        <v>29599.200000000001</v>
      </c>
      <c r="AC127" s="109">
        <f>AB127*'CALCULO GERAL'!$C$11</f>
        <v>148558.3848</v>
      </c>
      <c r="AD127" s="109">
        <f t="shared" si="71"/>
        <v>24066.458337600001</v>
      </c>
      <c r="AE127" s="109">
        <f t="shared" si="72"/>
        <v>19541.132243176318</v>
      </c>
      <c r="AF127" s="109">
        <f t="shared" si="73"/>
        <v>3119.7260808000001</v>
      </c>
      <c r="AG127" s="109">
        <f t="shared" si="74"/>
        <v>15821.467981199999</v>
      </c>
      <c r="AH127" s="109">
        <v>154.22999999999999</v>
      </c>
      <c r="AI127" s="109">
        <f>((AA127*'CALCULO GERAL'!$C$11))*0.08+20</f>
        <v>2549.576</v>
      </c>
      <c r="AJ127" s="109">
        <v>1010</v>
      </c>
      <c r="AK127" s="109">
        <v>2500</v>
      </c>
      <c r="AL127" s="109">
        <f>(AA127*('CALCULO GERAL'!$C$11*1.02))-(AA127*'CALCULO GERAL'!$C$11)</f>
        <v>632.39400000000387</v>
      </c>
      <c r="AM127" s="109">
        <v>1800</v>
      </c>
      <c r="AN127" s="109">
        <v>2600</v>
      </c>
      <c r="AO127" s="109">
        <v>9400</v>
      </c>
      <c r="AP127" s="109">
        <v>1000</v>
      </c>
      <c r="AQ127" s="109">
        <v>0</v>
      </c>
      <c r="AR127" s="109">
        <v>0</v>
      </c>
      <c r="AS127" s="109"/>
      <c r="AT127" s="109">
        <f t="shared" si="34"/>
        <v>232753.36944277631</v>
      </c>
      <c r="AU127" s="111">
        <f t="shared" si="75"/>
        <v>80.817142167630664</v>
      </c>
      <c r="AV127" s="109">
        <f>IFERROR((BS127*'CALCULO GERAL'!$E$11)/N127,0)</f>
        <v>2.6821535999999999</v>
      </c>
      <c r="AW127" s="109">
        <f>AU127/'CALCULO GERAL'!$C$11</f>
        <v>16.102239921823205</v>
      </c>
      <c r="AX127" s="109">
        <f>BP127-BB127-BD127*'CALCULO GERAL'!$C$11</f>
        <v>63.855253770980951</v>
      </c>
      <c r="AY127" s="109">
        <f t="shared" si="76"/>
        <v>0.41505914951137618</v>
      </c>
      <c r="AZ127" s="109">
        <f t="shared" si="77"/>
        <v>1.9156576131294285</v>
      </c>
      <c r="BA127" s="109">
        <f t="shared" si="78"/>
        <v>120.47042759611928</v>
      </c>
      <c r="BB127" s="109">
        <f t="shared" si="79"/>
        <v>1.8070564139417891</v>
      </c>
      <c r="BC127" s="109">
        <f t="shared" si="80"/>
        <v>120.47042759611929</v>
      </c>
      <c r="BD127" s="109">
        <f t="shared" si="81"/>
        <v>13.637252403880703</v>
      </c>
      <c r="BE127" s="109">
        <f t="shared" si="82"/>
        <v>30898.409471999999</v>
      </c>
      <c r="BF127" s="109">
        <f t="shared" si="83"/>
        <v>46347.614207999999</v>
      </c>
      <c r="BG127" s="109">
        <f t="shared" si="84"/>
        <v>1.4483629439999999</v>
      </c>
      <c r="BH127" s="109">
        <f t="shared" si="85"/>
        <v>1.6092921599999999</v>
      </c>
      <c r="BI127" s="109">
        <f t="shared" si="86"/>
        <v>0</v>
      </c>
      <c r="BJ127" s="109">
        <f t="shared" si="87"/>
        <v>23.514834284463294</v>
      </c>
      <c r="BK127" s="109">
        <f t="shared" si="88"/>
        <v>104.33197645209395</v>
      </c>
      <c r="BL127" s="148">
        <v>0.61</v>
      </c>
      <c r="BM127" s="112">
        <f>ROUND((AW127/BL127)+((AW127*BL127)*'CALCULO GERAL'!$E$11)/BL127,2)</f>
        <v>26.72</v>
      </c>
      <c r="BN127" s="186">
        <f t="shared" si="21"/>
        <v>26.72</v>
      </c>
      <c r="BO127" s="186">
        <f t="shared" si="89"/>
        <v>31.306999999999999</v>
      </c>
      <c r="BP127" s="109">
        <f>BM127*'CALCULO GERAL'!$C$11</f>
        <v>134.10767999999999</v>
      </c>
      <c r="BQ127" s="109">
        <f>BO127*'CALCULO GERAL'!$C$11</f>
        <v>157.12983299999999</v>
      </c>
      <c r="BR127" s="186">
        <f>BN127*'CALCULO GERAL'!$C$11</f>
        <v>134.10767999999999</v>
      </c>
      <c r="BS127" s="109">
        <f t="shared" si="90"/>
        <v>386230.11839999998</v>
      </c>
      <c r="BT127" s="109">
        <f t="shared" si="91"/>
        <v>386230.11839999998</v>
      </c>
      <c r="BU127" s="109">
        <f t="shared" si="40"/>
        <v>300476.09218203061</v>
      </c>
      <c r="BV127" s="109">
        <f t="shared" si="37"/>
        <v>85754.026217969367</v>
      </c>
      <c r="BW127" s="114">
        <f t="shared" si="92"/>
        <v>0.22202832490955055</v>
      </c>
      <c r="BX127" s="152">
        <f t="shared" si="41"/>
        <v>0.61</v>
      </c>
      <c r="BY127" s="152"/>
      <c r="BZ127" s="55"/>
      <c r="CA127" s="113"/>
      <c r="CB127" s="113"/>
      <c r="CC127" s="152"/>
      <c r="CD127" s="152">
        <f t="shared" si="42"/>
        <v>0</v>
      </c>
      <c r="CE127" s="152">
        <f t="shared" si="38"/>
        <v>1</v>
      </c>
      <c r="CF127" s="152">
        <f t="shared" si="39"/>
        <v>1</v>
      </c>
      <c r="CG127" s="34"/>
      <c r="CI127" s="56"/>
      <c r="CJ127" s="56"/>
    </row>
    <row r="128" spans="1:88" x14ac:dyDescent="0.2">
      <c r="A128" s="473" t="s">
        <v>593</v>
      </c>
      <c r="B128" s="366" t="s">
        <v>592</v>
      </c>
      <c r="C128" s="472">
        <v>0.2</v>
      </c>
      <c r="D128" s="367">
        <v>0</v>
      </c>
      <c r="E128" s="368">
        <v>2.1000000000000001E-2</v>
      </c>
      <c r="F128" s="368">
        <v>0.10249999999999999</v>
      </c>
      <c r="G128" s="1">
        <v>6.4999999999999997E-3</v>
      </c>
      <c r="H128" s="1">
        <v>0.03</v>
      </c>
      <c r="I128" s="1">
        <v>0.18</v>
      </c>
      <c r="J128" s="1">
        <v>0.04</v>
      </c>
      <c r="K128" s="1">
        <v>0.14000000000000001</v>
      </c>
      <c r="L128" s="1">
        <v>1.4999999999999999E-2</v>
      </c>
      <c r="M128" s="2" t="s">
        <v>175</v>
      </c>
      <c r="N128" s="105">
        <v>1</v>
      </c>
      <c r="O128" s="119"/>
      <c r="P128" s="119"/>
      <c r="Q128" s="119"/>
      <c r="R128" s="119"/>
      <c r="S128" s="119"/>
      <c r="T128" s="119"/>
      <c r="U128" s="119"/>
      <c r="V128" s="119">
        <v>2400</v>
      </c>
      <c r="W128" s="119"/>
      <c r="X128" s="119">
        <f>MIN(O128:W128)</f>
        <v>2400</v>
      </c>
      <c r="Y128" s="118">
        <f>AVERAGE(O128:W128)</f>
        <v>2400</v>
      </c>
      <c r="Z128" s="109">
        <f>Y128*N128</f>
        <v>2400</v>
      </c>
      <c r="AA128" s="109">
        <f>'CALCULO GERAL'!$G$10</f>
        <v>6300</v>
      </c>
      <c r="AB128" s="109">
        <f>Z128+AA128</f>
        <v>8700</v>
      </c>
      <c r="AC128" s="109">
        <f>AB128*'CALCULO GERAL'!$C$11</f>
        <v>43665.3</v>
      </c>
      <c r="AD128" s="109">
        <f>AC128*C128</f>
        <v>8733.0600000000013</v>
      </c>
      <c r="AE128" s="109">
        <f>(AC128+AD128)*D128</f>
        <v>0</v>
      </c>
      <c r="AF128" s="109">
        <f>AC128*E128</f>
        <v>916.97130000000016</v>
      </c>
      <c r="AG128" s="109">
        <f>AC128*F128</f>
        <v>4475.6932500000003</v>
      </c>
      <c r="AH128" s="109">
        <v>154.22999999999999</v>
      </c>
      <c r="AI128" s="109">
        <f>((AA128*'CALCULO GERAL'!$C$11))*0.08+20</f>
        <v>2549.576</v>
      </c>
      <c r="AJ128" s="109">
        <v>1010</v>
      </c>
      <c r="AK128" s="109">
        <v>2500</v>
      </c>
      <c r="AL128" s="109">
        <f>(AA128*('CALCULO GERAL'!$C$11*1.02))-(AA128*'CALCULO GERAL'!$C$11)</f>
        <v>632.39400000000387</v>
      </c>
      <c r="AM128" s="109">
        <v>1800</v>
      </c>
      <c r="AN128" s="109">
        <v>2600</v>
      </c>
      <c r="AO128" s="109">
        <v>9400</v>
      </c>
      <c r="AP128" s="109">
        <v>1000</v>
      </c>
      <c r="AQ128" s="109">
        <v>0</v>
      </c>
      <c r="AR128" s="109">
        <v>0</v>
      </c>
      <c r="AS128" s="109"/>
      <c r="AT128" s="109">
        <f>SUM(AC128:AS128)</f>
        <v>79437.224550000014</v>
      </c>
      <c r="AU128" s="111">
        <f>IFERROR((AT128/N128),0)</f>
        <v>79437.224550000014</v>
      </c>
      <c r="AV128" s="109">
        <f>IFERROR((BS128*'CALCULO GERAL'!$E$11)/N128,0)</f>
        <v>2301.4102524</v>
      </c>
      <c r="AW128" s="109">
        <f>AU128/'CALCULO GERAL'!$C$11</f>
        <v>15827.301165570832</v>
      </c>
      <c r="AX128" s="109">
        <f>BP128-BB128-BD128*'CALCULO GERAL'!$C$11</f>
        <v>113344.4549307</v>
      </c>
      <c r="AY128" s="109">
        <f>AX128*G128</f>
        <v>736.73895704954998</v>
      </c>
      <c r="AZ128" s="109">
        <f>AX128*H128</f>
        <v>3400.3336479209997</v>
      </c>
      <c r="BA128" s="109">
        <f>BP128-BD128</f>
        <v>115070.51261999999</v>
      </c>
      <c r="BB128" s="109">
        <f>BA128*L128</f>
        <v>1726.0576892999998</v>
      </c>
      <c r="BC128" s="109">
        <f>BP128/(1+D128)</f>
        <v>115070.51261999999</v>
      </c>
      <c r="BD128" s="109">
        <f>BC128*D128</f>
        <v>0</v>
      </c>
      <c r="BE128" s="109">
        <f>BT128*0.08</f>
        <v>9205.6410096</v>
      </c>
      <c r="BF128" s="109">
        <f>BT128*0.12</f>
        <v>13808.461514399998</v>
      </c>
      <c r="BG128" s="109">
        <f>(BF128*0.09)/N128</f>
        <v>1242.7615362959998</v>
      </c>
      <c r="BH128" s="109">
        <f>(BE128*0.15)/N128</f>
        <v>1380.8461514399999</v>
      </c>
      <c r="BI128" s="109">
        <f>IF(BE128&gt;=$BX$1,($BX$1-BE128)*0.1,IF(BE128&lt;=$BX$1,($BX$1*0)))/N128</f>
        <v>0</v>
      </c>
      <c r="BJ128" s="109">
        <f>(AY128+AZ128+BB128+AV128+BD128+BG128+BH128+BI128)</f>
        <v>10788.14823440655</v>
      </c>
      <c r="BK128" s="109">
        <f>BJ128+AU128</f>
        <v>90225.372784406558</v>
      </c>
      <c r="BL128" s="148">
        <v>0.7</v>
      </c>
      <c r="BM128" s="112">
        <f>ROUND((AW128/BL128)+((AW128*BL128)*'CALCULO GERAL'!$E$11)/BL128,2)</f>
        <v>22926.98</v>
      </c>
      <c r="BN128" s="186">
        <f>BM128</f>
        <v>22926.98</v>
      </c>
      <c r="BO128" s="186">
        <f>ROUND(FV(0.02,8,,BN128)*-1,3)</f>
        <v>26862.611000000001</v>
      </c>
      <c r="BP128" s="109">
        <f>BM128*'CALCULO GERAL'!$C$11</f>
        <v>115070.51261999999</v>
      </c>
      <c r="BQ128" s="109">
        <f>BO128*'CALCULO GERAL'!$C$11</f>
        <v>134823.444609</v>
      </c>
      <c r="BR128" s="186">
        <f>BN128*'CALCULO GERAL'!$C$11</f>
        <v>115070.51261999999</v>
      </c>
      <c r="BS128" s="109">
        <f>BP128*N128</f>
        <v>115070.51261999999</v>
      </c>
      <c r="BT128" s="109">
        <f>BR128*N128</f>
        <v>115070.51261999999</v>
      </c>
      <c r="BU128" s="109">
        <f>BK128*N128</f>
        <v>90225.372784406558</v>
      </c>
      <c r="BV128" s="109">
        <f>BS128-BU128</f>
        <v>24845.139835593436</v>
      </c>
      <c r="BW128" s="114">
        <f>(((BK128*N128)-BS128)/BS128*-1)</f>
        <v>0.21591230689690341</v>
      </c>
      <c r="BX128" s="152">
        <f>ROUND(BL128,2)</f>
        <v>0.7</v>
      </c>
      <c r="BY128" s="152"/>
      <c r="BZ128" s="55"/>
      <c r="CA128" s="113"/>
      <c r="CB128" s="113"/>
      <c r="CC128" s="152"/>
      <c r="CD128" s="152">
        <f>CB128/BX128</f>
        <v>0</v>
      </c>
      <c r="CE128" s="152">
        <f>100%-CD128</f>
        <v>1</v>
      </c>
      <c r="CF128" s="152">
        <f>AVERAGE(CE128,CC128)</f>
        <v>1</v>
      </c>
      <c r="CG128" s="34"/>
      <c r="CI128" s="56"/>
      <c r="CJ128" s="56"/>
    </row>
    <row r="129" spans="1:88" x14ac:dyDescent="0.2">
      <c r="A129" s="473" t="s">
        <v>594</v>
      </c>
      <c r="B129" s="366" t="s">
        <v>595</v>
      </c>
      <c r="C129" s="472">
        <v>0</v>
      </c>
      <c r="D129" s="367">
        <v>0</v>
      </c>
      <c r="E129" s="368">
        <v>2.1000000000000001E-2</v>
      </c>
      <c r="F129" s="368">
        <v>0.10249999999999999</v>
      </c>
      <c r="G129" s="1">
        <v>6.4999999999999997E-3</v>
      </c>
      <c r="H129" s="1">
        <v>0.03</v>
      </c>
      <c r="I129" s="1">
        <v>0.18</v>
      </c>
      <c r="J129" s="1">
        <v>0.04</v>
      </c>
      <c r="K129" s="1">
        <v>0.14000000000000001</v>
      </c>
      <c r="L129" s="1">
        <v>1.4999999999999999E-2</v>
      </c>
      <c r="M129" s="2" t="s">
        <v>175</v>
      </c>
      <c r="N129" s="105">
        <v>1</v>
      </c>
      <c r="O129" s="119"/>
      <c r="P129" s="119"/>
      <c r="Q129" s="119"/>
      <c r="R129" s="119"/>
      <c r="S129" s="119"/>
      <c r="T129" s="119"/>
      <c r="U129" s="119"/>
      <c r="V129" s="119">
        <v>14788</v>
      </c>
      <c r="W129" s="119"/>
      <c r="X129" s="119">
        <f>MIN(O129:W129)</f>
        <v>14788</v>
      </c>
      <c r="Y129" s="118">
        <f>AVERAGE(O129:W129)</f>
        <v>14788</v>
      </c>
      <c r="Z129" s="109">
        <f>Y129*N129</f>
        <v>14788</v>
      </c>
      <c r="AA129" s="109">
        <f>'CALCULO GERAL'!$G$10</f>
        <v>6300</v>
      </c>
      <c r="AB129" s="109">
        <f>Z129+AA129</f>
        <v>21088</v>
      </c>
      <c r="AC129" s="109">
        <f>AB129*'CALCULO GERAL'!$C$11</f>
        <v>105840.67200000001</v>
      </c>
      <c r="AD129" s="109">
        <f>AC129*C129</f>
        <v>0</v>
      </c>
      <c r="AE129" s="109">
        <f>(AC129+AD129)*D129</f>
        <v>0</v>
      </c>
      <c r="AF129" s="109">
        <f>AC129*E129</f>
        <v>2222.6541120000002</v>
      </c>
      <c r="AG129" s="109">
        <f>AC129*F129</f>
        <v>10848.668879999999</v>
      </c>
      <c r="AH129" s="109">
        <v>154.22999999999999</v>
      </c>
      <c r="AI129" s="109">
        <f>((AA129*'CALCULO GERAL'!$C$11))*0.08+20</f>
        <v>2549.576</v>
      </c>
      <c r="AJ129" s="109">
        <v>1010</v>
      </c>
      <c r="AK129" s="109">
        <v>2500</v>
      </c>
      <c r="AL129" s="109">
        <f>(AA129*('CALCULO GERAL'!$C$11*1.02))-(AA129*'CALCULO GERAL'!$C$11)</f>
        <v>632.39400000000387</v>
      </c>
      <c r="AM129" s="109">
        <v>1800</v>
      </c>
      <c r="AN129" s="109">
        <v>2600</v>
      </c>
      <c r="AO129" s="109">
        <v>9400</v>
      </c>
      <c r="AP129" s="109">
        <v>1000</v>
      </c>
      <c r="AQ129" s="109">
        <v>0</v>
      </c>
      <c r="AR129" s="109">
        <v>0</v>
      </c>
      <c r="AS129" s="109"/>
      <c r="AT129" s="109">
        <f>SUM(AC129:AS129)</f>
        <v>140558.194992</v>
      </c>
      <c r="AU129" s="111">
        <f>IFERROR((AT129/N129),0)</f>
        <v>140558.194992</v>
      </c>
      <c r="AV129" s="109">
        <f>IFERROR((BS129*'CALCULO GERAL'!$E$11)/N129,0)</f>
        <v>4072.1716728000001</v>
      </c>
      <c r="AW129" s="109">
        <f>AU129/'CALCULO GERAL'!$C$11</f>
        <v>28005.21916557083</v>
      </c>
      <c r="AX129" s="109">
        <f>BP129-BB129-BD129*'CALCULO GERAL'!$C$11</f>
        <v>200554.45488539999</v>
      </c>
      <c r="AY129" s="109">
        <f>AX129*G129</f>
        <v>1303.6039567550999</v>
      </c>
      <c r="AZ129" s="109">
        <f>AX129*H129</f>
        <v>6016.6336465619997</v>
      </c>
      <c r="BA129" s="109">
        <f>BP129-BD129</f>
        <v>203608.58364</v>
      </c>
      <c r="BB129" s="109">
        <f>BA129*L129</f>
        <v>3054.1287545999999</v>
      </c>
      <c r="BC129" s="109">
        <f>BP129/(1+D129)</f>
        <v>203608.58364</v>
      </c>
      <c r="BD129" s="109">
        <f>BC129*D129</f>
        <v>0</v>
      </c>
      <c r="BE129" s="109">
        <f>BT129*0.08</f>
        <v>16288.6866912</v>
      </c>
      <c r="BF129" s="109">
        <f>BT129*0.12</f>
        <v>24433.030036799999</v>
      </c>
      <c r="BG129" s="109">
        <f>(BF129*0.09)/N129</f>
        <v>2198.9727033119998</v>
      </c>
      <c r="BH129" s="109">
        <f>(BE129*0.15)/N129</f>
        <v>2443.3030036800001</v>
      </c>
      <c r="BI129" s="109">
        <f>IF(BE129&gt;=$BX$1,($BX$1-BE129)*0.1,IF(BE129&lt;=$BX$1,($BX$1*0)))/N129</f>
        <v>0</v>
      </c>
      <c r="BJ129" s="109">
        <f>(AY129+AZ129+BB129+AV129+BD129+BG129+BH129+BI129)</f>
        <v>19088.813737709101</v>
      </c>
      <c r="BK129" s="109">
        <f>BJ129+AU129</f>
        <v>159647.00872970911</v>
      </c>
      <c r="BL129" s="148">
        <v>0.7</v>
      </c>
      <c r="BM129" s="112">
        <f>ROUND((AW129/BL129)+((AW129*BL129)*'CALCULO GERAL'!$E$11)/BL129,2)</f>
        <v>40567.56</v>
      </c>
      <c r="BN129" s="186">
        <f>BM129</f>
        <v>40567.56</v>
      </c>
      <c r="BO129" s="186">
        <f>ROUND(FV(0.02,8,,BN129)*-1,3)</f>
        <v>47531.362000000001</v>
      </c>
      <c r="BP129" s="109">
        <f>BM129*'CALCULO GERAL'!$C$11</f>
        <v>203608.58364</v>
      </c>
      <c r="BQ129" s="109">
        <f>BO129*'CALCULO GERAL'!$C$11</f>
        <v>238559.90587800002</v>
      </c>
      <c r="BR129" s="186">
        <f>BN129*'CALCULO GERAL'!$C$11</f>
        <v>203608.58364</v>
      </c>
      <c r="BS129" s="109">
        <f>BP129*N129</f>
        <v>203608.58364</v>
      </c>
      <c r="BT129" s="109">
        <f>BR129*N129</f>
        <v>203608.58364</v>
      </c>
      <c r="BU129" s="109">
        <f>BK129*N129</f>
        <v>159647.00872970911</v>
      </c>
      <c r="BV129" s="109">
        <f>BS129-BU129</f>
        <v>43961.574910290889</v>
      </c>
      <c r="BW129" s="114">
        <f>(((BK129*N129)-BS129)/BS129*-1)</f>
        <v>0.21591218859426514</v>
      </c>
      <c r="BX129" s="152">
        <f>ROUND(BL129,2)</f>
        <v>0.7</v>
      </c>
      <c r="BY129" s="152"/>
      <c r="BZ129" s="55"/>
      <c r="CA129" s="113"/>
      <c r="CB129" s="113"/>
      <c r="CC129" s="152"/>
      <c r="CD129" s="152">
        <f>CB129/BX129</f>
        <v>0</v>
      </c>
      <c r="CE129" s="152">
        <f>100%-CD129</f>
        <v>1</v>
      </c>
      <c r="CF129" s="152">
        <f>AVERAGE(CE129,CC129)</f>
        <v>1</v>
      </c>
      <c r="CG129" s="34"/>
      <c r="CI129" s="56"/>
      <c r="CJ129" s="56"/>
    </row>
    <row r="130" spans="1:88" x14ac:dyDescent="0.2">
      <c r="A130" s="125" t="s">
        <v>254</v>
      </c>
      <c r="B130" s="187" t="s">
        <v>255</v>
      </c>
      <c r="C130" s="6">
        <v>7.1999999999999995E-2</v>
      </c>
      <c r="D130" s="8">
        <v>0</v>
      </c>
      <c r="E130" s="7">
        <v>2.1000000000000001E-2</v>
      </c>
      <c r="F130" s="7">
        <v>9.6500000000000002E-2</v>
      </c>
      <c r="G130" s="1">
        <v>6.4999999999999997E-3</v>
      </c>
      <c r="H130" s="1">
        <v>0.03</v>
      </c>
      <c r="I130" s="1">
        <v>0.18</v>
      </c>
      <c r="J130" s="1">
        <v>0.04</v>
      </c>
      <c r="K130" s="1">
        <v>0.14000000000000001</v>
      </c>
      <c r="L130" s="1">
        <v>1.4999999999999999E-2</v>
      </c>
      <c r="M130" s="2" t="s">
        <v>175</v>
      </c>
      <c r="N130" s="105">
        <v>2200</v>
      </c>
      <c r="O130" s="119"/>
      <c r="P130" s="119"/>
      <c r="Q130" s="119"/>
      <c r="R130" s="119"/>
      <c r="S130" s="119"/>
      <c r="T130" s="119"/>
      <c r="U130" s="119"/>
      <c r="V130" s="119">
        <v>26.18</v>
      </c>
      <c r="W130" s="119"/>
      <c r="X130" s="119">
        <f t="shared" si="67"/>
        <v>26.18</v>
      </c>
      <c r="Y130" s="118">
        <f t="shared" si="68"/>
        <v>26.18</v>
      </c>
      <c r="Z130" s="109">
        <f t="shared" si="69"/>
        <v>57596</v>
      </c>
      <c r="AA130" s="109">
        <f>'CALCULO GERAL'!$G$10</f>
        <v>6300</v>
      </c>
      <c r="AB130" s="109">
        <f t="shared" si="70"/>
        <v>63896</v>
      </c>
      <c r="AC130" s="109">
        <f>AB130*'CALCULO GERAL'!$C$11</f>
        <v>320694.02400000003</v>
      </c>
      <c r="AD130" s="109">
        <f t="shared" si="71"/>
        <v>23089.969728</v>
      </c>
      <c r="AE130" s="109">
        <f t="shared" si="72"/>
        <v>0</v>
      </c>
      <c r="AF130" s="109">
        <f t="shared" si="73"/>
        <v>6734.5745040000011</v>
      </c>
      <c r="AG130" s="109">
        <f t="shared" si="74"/>
        <v>30946.973316000003</v>
      </c>
      <c r="AH130" s="109">
        <v>154.22999999999999</v>
      </c>
      <c r="AI130" s="109">
        <f>((AA130*'CALCULO GERAL'!$C$11))*0.08+20</f>
        <v>2549.576</v>
      </c>
      <c r="AJ130" s="109">
        <v>1010</v>
      </c>
      <c r="AK130" s="109">
        <v>2500</v>
      </c>
      <c r="AL130" s="109">
        <f>(AA130*('CALCULO GERAL'!$C$11*1.02))-(AA130*'CALCULO GERAL'!$C$11)</f>
        <v>632.39400000000387</v>
      </c>
      <c r="AM130" s="109">
        <v>1800</v>
      </c>
      <c r="AN130" s="109">
        <v>2600</v>
      </c>
      <c r="AO130" s="109">
        <v>9400</v>
      </c>
      <c r="AP130" s="109">
        <v>1000</v>
      </c>
      <c r="AQ130" s="109">
        <v>0</v>
      </c>
      <c r="AR130" s="109">
        <v>0</v>
      </c>
      <c r="AS130" s="109"/>
      <c r="AT130" s="109">
        <f t="shared" si="34"/>
        <v>403111.74154800008</v>
      </c>
      <c r="AU130" s="111">
        <f t="shared" si="75"/>
        <v>183.23260979454548</v>
      </c>
      <c r="AV130" s="109">
        <f>IFERROR((BS130*'CALCULO GERAL'!$E$11)/N130,0)</f>
        <v>5.3080943999999999</v>
      </c>
      <c r="AW130" s="109">
        <f>AU130/'CALCULO GERAL'!$C$11</f>
        <v>36.507792347986744</v>
      </c>
      <c r="AX130" s="109">
        <f>BP130-BB130-BD130*'CALCULO GERAL'!$C$11</f>
        <v>261.4236492</v>
      </c>
      <c r="AY130" s="109">
        <f t="shared" si="76"/>
        <v>1.6992537198</v>
      </c>
      <c r="AZ130" s="109">
        <f t="shared" si="77"/>
        <v>7.8427094759999996</v>
      </c>
      <c r="BA130" s="109">
        <f t="shared" si="78"/>
        <v>265.40472</v>
      </c>
      <c r="BB130" s="109">
        <f t="shared" si="79"/>
        <v>3.9810707999999999</v>
      </c>
      <c r="BC130" s="109">
        <f t="shared" si="80"/>
        <v>265.40472</v>
      </c>
      <c r="BD130" s="109">
        <f t="shared" si="81"/>
        <v>0</v>
      </c>
      <c r="BE130" s="109">
        <f t="shared" si="82"/>
        <v>46711.23072</v>
      </c>
      <c r="BF130" s="109">
        <f t="shared" si="83"/>
        <v>70066.846079999988</v>
      </c>
      <c r="BG130" s="109">
        <f t="shared" si="84"/>
        <v>2.8663709759999998</v>
      </c>
      <c r="BH130" s="109">
        <f t="shared" si="85"/>
        <v>3.18485664</v>
      </c>
      <c r="BI130" s="109">
        <f t="shared" si="86"/>
        <v>0</v>
      </c>
      <c r="BJ130" s="109">
        <f t="shared" si="87"/>
        <v>24.882356011799999</v>
      </c>
      <c r="BK130" s="109">
        <f t="shared" si="88"/>
        <v>208.11496580634548</v>
      </c>
      <c r="BL130" s="148">
        <v>0.7</v>
      </c>
      <c r="BM130" s="112">
        <f>ROUND((AW130/BL130)+((AW130*BL130)*'CALCULO GERAL'!$E$11)/BL130,2)</f>
        <v>52.88</v>
      </c>
      <c r="BN130" s="186">
        <f t="shared" si="21"/>
        <v>52.88</v>
      </c>
      <c r="BO130" s="186">
        <f t="shared" si="89"/>
        <v>61.957000000000001</v>
      </c>
      <c r="BP130" s="109">
        <f>BM130*'CALCULO GERAL'!$C$11</f>
        <v>265.40472</v>
      </c>
      <c r="BQ130" s="109">
        <f>BO130*'CALCULO GERAL'!$C$11</f>
        <v>310.96218300000004</v>
      </c>
      <c r="BR130" s="186">
        <f>BN130*'CALCULO GERAL'!$C$11</f>
        <v>265.40472</v>
      </c>
      <c r="BS130" s="109">
        <f t="shared" si="90"/>
        <v>583890.38399999996</v>
      </c>
      <c r="BT130" s="109">
        <f t="shared" si="91"/>
        <v>583890.38399999996</v>
      </c>
      <c r="BU130" s="109">
        <f t="shared" si="40"/>
        <v>457852.92477396008</v>
      </c>
      <c r="BV130" s="109">
        <f t="shared" si="37"/>
        <v>126037.45922603988</v>
      </c>
      <c r="BW130" s="114">
        <f t="shared" si="92"/>
        <v>0.21585808343444116</v>
      </c>
      <c r="BX130" s="152">
        <f t="shared" si="41"/>
        <v>0.7</v>
      </c>
      <c r="BY130" s="152"/>
      <c r="BZ130" s="55"/>
      <c r="CA130" s="113"/>
      <c r="CB130" s="113"/>
      <c r="CC130" s="152"/>
      <c r="CD130" s="152">
        <f t="shared" si="42"/>
        <v>0</v>
      </c>
      <c r="CE130" s="152">
        <f t="shared" si="38"/>
        <v>1</v>
      </c>
      <c r="CF130" s="152">
        <f t="shared" si="39"/>
        <v>1</v>
      </c>
      <c r="CG130" s="34"/>
      <c r="CI130" s="56"/>
      <c r="CJ130" s="56"/>
    </row>
    <row r="131" spans="1:88" x14ac:dyDescent="0.2">
      <c r="A131" s="125" t="s">
        <v>256</v>
      </c>
      <c r="B131" s="187" t="s">
        <v>580</v>
      </c>
      <c r="C131" s="6">
        <v>3.5999999999999997E-2</v>
      </c>
      <c r="D131" s="8">
        <v>0</v>
      </c>
      <c r="E131" s="7">
        <v>2.1000000000000001E-2</v>
      </c>
      <c r="F131" s="7">
        <v>9.6500000000000002E-2</v>
      </c>
      <c r="G131" s="1">
        <v>6.4999999999999997E-3</v>
      </c>
      <c r="H131" s="1">
        <v>0.03</v>
      </c>
      <c r="I131" s="1">
        <v>0.18</v>
      </c>
      <c r="J131" s="1">
        <v>0.04</v>
      </c>
      <c r="K131" s="1">
        <v>0.14000000000000001</v>
      </c>
      <c r="L131" s="1">
        <v>1.4999999999999999E-2</v>
      </c>
      <c r="M131" s="2" t="s">
        <v>175</v>
      </c>
      <c r="N131" s="105">
        <v>530</v>
      </c>
      <c r="O131" s="119"/>
      <c r="P131" s="119"/>
      <c r="Q131" s="119"/>
      <c r="R131" s="119"/>
      <c r="S131" s="119"/>
      <c r="T131" s="119"/>
      <c r="U131" s="119"/>
      <c r="V131" s="119">
        <v>48</v>
      </c>
      <c r="W131" s="119"/>
      <c r="X131" s="119">
        <f t="shared" si="67"/>
        <v>48</v>
      </c>
      <c r="Y131" s="118">
        <f t="shared" si="68"/>
        <v>48</v>
      </c>
      <c r="Z131" s="109">
        <f t="shared" si="69"/>
        <v>25440</v>
      </c>
      <c r="AA131" s="109">
        <f>'CALCULO GERAL'!$G$10</f>
        <v>6300</v>
      </c>
      <c r="AB131" s="109">
        <f t="shared" si="70"/>
        <v>31740</v>
      </c>
      <c r="AC131" s="109">
        <f>AB131*'CALCULO GERAL'!$C$11</f>
        <v>159303.06</v>
      </c>
      <c r="AD131" s="109">
        <f t="shared" si="71"/>
        <v>5734.9101599999995</v>
      </c>
      <c r="AE131" s="109">
        <f t="shared" si="72"/>
        <v>0</v>
      </c>
      <c r="AF131" s="109">
        <f t="shared" si="73"/>
        <v>3345.3642600000003</v>
      </c>
      <c r="AG131" s="109">
        <f t="shared" si="74"/>
        <v>15372.745290000001</v>
      </c>
      <c r="AH131" s="109">
        <v>154.22999999999999</v>
      </c>
      <c r="AI131" s="109">
        <f>((AA131*'CALCULO GERAL'!$C$11))*0.08+20</f>
        <v>2549.576</v>
      </c>
      <c r="AJ131" s="109">
        <v>1010</v>
      </c>
      <c r="AK131" s="109">
        <v>2500</v>
      </c>
      <c r="AL131" s="109">
        <f>(AA131*('CALCULO GERAL'!$C$11*1.02))-(AA131*'CALCULO GERAL'!$C$11)</f>
        <v>632.39400000000387</v>
      </c>
      <c r="AM131" s="109">
        <v>1800</v>
      </c>
      <c r="AN131" s="109">
        <v>2600</v>
      </c>
      <c r="AO131" s="109">
        <v>9400</v>
      </c>
      <c r="AP131" s="109">
        <v>1000</v>
      </c>
      <c r="AQ131" s="109">
        <v>0</v>
      </c>
      <c r="AR131" s="109">
        <v>0</v>
      </c>
      <c r="AS131" s="109"/>
      <c r="AT131" s="109">
        <f t="shared" si="34"/>
        <v>205402.27971</v>
      </c>
      <c r="AU131" s="111">
        <f t="shared" si="75"/>
        <v>387.55147115094343</v>
      </c>
      <c r="AV131" s="109">
        <f>IFERROR((BS131*'CALCULO GERAL'!$E$11)/N131,0)</f>
        <v>11.227502999999999</v>
      </c>
      <c r="AW131" s="109">
        <f>AU131/'CALCULO GERAL'!$C$11</f>
        <v>77.21687012371855</v>
      </c>
      <c r="AX131" s="109">
        <f>BP131-BB131-BD131*'CALCULO GERAL'!$C$11</f>
        <v>552.95452274999991</v>
      </c>
      <c r="AY131" s="109">
        <f t="shared" si="76"/>
        <v>3.5942043978749991</v>
      </c>
      <c r="AZ131" s="109">
        <f t="shared" si="77"/>
        <v>16.588635682499998</v>
      </c>
      <c r="BA131" s="109">
        <f t="shared" si="78"/>
        <v>561.37514999999996</v>
      </c>
      <c r="BB131" s="109">
        <f t="shared" si="79"/>
        <v>8.420627249999999</v>
      </c>
      <c r="BC131" s="109">
        <f t="shared" si="80"/>
        <v>561.37514999999996</v>
      </c>
      <c r="BD131" s="109">
        <f t="shared" si="81"/>
        <v>0</v>
      </c>
      <c r="BE131" s="109">
        <f t="shared" si="82"/>
        <v>23802.306359999999</v>
      </c>
      <c r="BF131" s="109">
        <f t="shared" si="83"/>
        <v>35703.459539999996</v>
      </c>
      <c r="BG131" s="109">
        <f t="shared" si="84"/>
        <v>6.0628516199999991</v>
      </c>
      <c r="BH131" s="109">
        <f t="shared" si="85"/>
        <v>6.7365018000000001</v>
      </c>
      <c r="BI131" s="109">
        <f t="shared" si="86"/>
        <v>0</v>
      </c>
      <c r="BJ131" s="109">
        <f t="shared" si="87"/>
        <v>52.630323750374991</v>
      </c>
      <c r="BK131" s="109">
        <f t="shared" si="88"/>
        <v>440.18179490131843</v>
      </c>
      <c r="BL131" s="148">
        <v>0.7</v>
      </c>
      <c r="BM131" s="112">
        <f>ROUND((AW131/BL131)+((AW131*BL131)*'CALCULO GERAL'!$E$11)/BL131,2)</f>
        <v>111.85</v>
      </c>
      <c r="BN131" s="186">
        <f t="shared" si="21"/>
        <v>111.85</v>
      </c>
      <c r="BO131" s="186">
        <f t="shared" si="89"/>
        <v>131.05000000000001</v>
      </c>
      <c r="BP131" s="109">
        <f>BM131*'CALCULO GERAL'!$C$11</f>
        <v>561.37514999999996</v>
      </c>
      <c r="BQ131" s="109">
        <f>BO131*'CALCULO GERAL'!$C$11</f>
        <v>657.73995000000002</v>
      </c>
      <c r="BR131" s="186">
        <f>BN131*'CALCULO GERAL'!$C$11</f>
        <v>561.37514999999996</v>
      </c>
      <c r="BS131" s="109">
        <f t="shared" si="90"/>
        <v>297528.82949999999</v>
      </c>
      <c r="BT131" s="109">
        <f t="shared" si="91"/>
        <v>297528.82949999999</v>
      </c>
      <c r="BU131" s="109">
        <f t="shared" si="40"/>
        <v>233296.35129769877</v>
      </c>
      <c r="BV131" s="109">
        <f t="shared" si="37"/>
        <v>64232.478202301223</v>
      </c>
      <c r="BW131" s="114">
        <f t="shared" si="92"/>
        <v>0.2158865690771698</v>
      </c>
      <c r="BX131" s="152">
        <f t="shared" si="41"/>
        <v>0.7</v>
      </c>
      <c r="BY131" s="152"/>
      <c r="BZ131" s="55"/>
      <c r="CA131" s="113"/>
      <c r="CB131" s="113"/>
      <c r="CC131" s="152"/>
      <c r="CD131" s="152">
        <f t="shared" si="42"/>
        <v>0</v>
      </c>
      <c r="CE131" s="152">
        <f t="shared" si="38"/>
        <v>1</v>
      </c>
      <c r="CF131" s="152">
        <f t="shared" si="39"/>
        <v>1</v>
      </c>
      <c r="CG131" s="34"/>
      <c r="CI131" s="56"/>
      <c r="CJ131" s="56"/>
    </row>
    <row r="132" spans="1:88" x14ac:dyDescent="0.2">
      <c r="A132" s="125" t="s">
        <v>257</v>
      </c>
      <c r="B132" s="187" t="s">
        <v>258</v>
      </c>
      <c r="C132" s="6">
        <v>9.6000000000000002E-2</v>
      </c>
      <c r="D132" s="8">
        <v>0</v>
      </c>
      <c r="E132" s="7">
        <v>2.1000000000000001E-2</v>
      </c>
      <c r="F132" s="7">
        <v>9.6500000000000002E-2</v>
      </c>
      <c r="G132" s="1">
        <v>6.4999999999999997E-3</v>
      </c>
      <c r="H132" s="1">
        <v>0.03</v>
      </c>
      <c r="I132" s="1">
        <v>0.18</v>
      </c>
      <c r="J132" s="1">
        <v>0.04</v>
      </c>
      <c r="K132" s="1">
        <v>0.14000000000000001</v>
      </c>
      <c r="L132" s="1">
        <v>1.4999999999999999E-2</v>
      </c>
      <c r="M132" s="2" t="s">
        <v>175</v>
      </c>
      <c r="N132" s="105">
        <v>1200</v>
      </c>
      <c r="O132" s="119"/>
      <c r="P132" s="119"/>
      <c r="Q132" s="119"/>
      <c r="R132" s="119"/>
      <c r="S132" s="119"/>
      <c r="T132" s="119"/>
      <c r="U132" s="119"/>
      <c r="V132" s="119">
        <v>0.99</v>
      </c>
      <c r="W132" s="119"/>
      <c r="X132" s="119">
        <f t="shared" si="67"/>
        <v>0.99</v>
      </c>
      <c r="Y132" s="118">
        <f t="shared" si="68"/>
        <v>0.99</v>
      </c>
      <c r="Z132" s="109">
        <f t="shared" si="69"/>
        <v>1188</v>
      </c>
      <c r="AA132" s="109">
        <f>'CALCULO GERAL'!$G$10</f>
        <v>6300</v>
      </c>
      <c r="AB132" s="109">
        <f t="shared" si="70"/>
        <v>7488</v>
      </c>
      <c r="AC132" s="109">
        <f>AB132*'CALCULO GERAL'!$C$11</f>
        <v>37582.272000000004</v>
      </c>
      <c r="AD132" s="109">
        <f t="shared" si="71"/>
        <v>3607.8981120000003</v>
      </c>
      <c r="AE132" s="109">
        <f t="shared" si="72"/>
        <v>0</v>
      </c>
      <c r="AF132" s="109">
        <f t="shared" si="73"/>
        <v>789.22771200000011</v>
      </c>
      <c r="AG132" s="109">
        <f t="shared" si="74"/>
        <v>3626.6892480000006</v>
      </c>
      <c r="AH132" s="109">
        <v>154.22999999999999</v>
      </c>
      <c r="AI132" s="109">
        <f>((AA132*'CALCULO GERAL'!$C$11))*0.08+20</f>
        <v>2549.576</v>
      </c>
      <c r="AJ132" s="109">
        <v>1010</v>
      </c>
      <c r="AK132" s="109">
        <v>2500</v>
      </c>
      <c r="AL132" s="109">
        <f>(AA132*('CALCULO GERAL'!$C$11*1.02))-(AA132*'CALCULO GERAL'!$C$11)</f>
        <v>632.39400000000387</v>
      </c>
      <c r="AM132" s="109">
        <v>1800</v>
      </c>
      <c r="AN132" s="109">
        <v>2600</v>
      </c>
      <c r="AO132" s="109">
        <v>9400</v>
      </c>
      <c r="AP132" s="109">
        <v>1000</v>
      </c>
      <c r="AQ132" s="109">
        <v>0</v>
      </c>
      <c r="AR132" s="109">
        <v>0</v>
      </c>
      <c r="AS132" s="109"/>
      <c r="AT132" s="109">
        <f t="shared" si="34"/>
        <v>67252.287072000021</v>
      </c>
      <c r="AU132" s="111">
        <f t="shared" si="75"/>
        <v>56.043572560000015</v>
      </c>
      <c r="AV132" s="109">
        <f>IFERROR((BS132*'CALCULO GERAL'!$E$11)/N132,0)</f>
        <v>1.6241483999999999</v>
      </c>
      <c r="AW132" s="109">
        <f>AU132/'CALCULO GERAL'!$C$11</f>
        <v>11.166282637975694</v>
      </c>
      <c r="AX132" s="109">
        <f>BP132-BB132-BD132*'CALCULO GERAL'!$C$11</f>
        <v>79.989308699999995</v>
      </c>
      <c r="AY132" s="109">
        <f t="shared" si="76"/>
        <v>0.51993050654999995</v>
      </c>
      <c r="AZ132" s="109">
        <f t="shared" si="77"/>
        <v>2.3996792609999997</v>
      </c>
      <c r="BA132" s="109">
        <f t="shared" si="78"/>
        <v>81.207419999999999</v>
      </c>
      <c r="BB132" s="109">
        <f t="shared" si="79"/>
        <v>1.2181112999999999</v>
      </c>
      <c r="BC132" s="109">
        <f t="shared" si="80"/>
        <v>81.207419999999999</v>
      </c>
      <c r="BD132" s="109">
        <f t="shared" si="81"/>
        <v>0</v>
      </c>
      <c r="BE132" s="109">
        <f t="shared" si="82"/>
        <v>7795.9123199999995</v>
      </c>
      <c r="BF132" s="109">
        <f t="shared" si="83"/>
        <v>11693.868479999999</v>
      </c>
      <c r="BG132" s="109">
        <f t="shared" si="84"/>
        <v>0.87704013599999997</v>
      </c>
      <c r="BH132" s="109">
        <f t="shared" si="85"/>
        <v>0.97448903999999992</v>
      </c>
      <c r="BI132" s="109">
        <f t="shared" si="86"/>
        <v>0</v>
      </c>
      <c r="BJ132" s="109">
        <f t="shared" si="87"/>
        <v>7.6133986435500001</v>
      </c>
      <c r="BK132" s="109">
        <f t="shared" si="88"/>
        <v>63.656971203550015</v>
      </c>
      <c r="BL132" s="148">
        <v>0.7</v>
      </c>
      <c r="BM132" s="112">
        <f>ROUND((AW132/BL132)+((AW132*BL132)*'CALCULO GERAL'!$E$11)/BL132,2)</f>
        <v>16.18</v>
      </c>
      <c r="BN132" s="186">
        <f t="shared" si="21"/>
        <v>16.18</v>
      </c>
      <c r="BO132" s="186">
        <f t="shared" si="89"/>
        <v>18.957000000000001</v>
      </c>
      <c r="BP132" s="109">
        <f>BM132*'CALCULO GERAL'!$C$11</f>
        <v>81.207419999999999</v>
      </c>
      <c r="BQ132" s="109">
        <f>BO132*'CALCULO GERAL'!$C$11</f>
        <v>95.145183000000003</v>
      </c>
      <c r="BR132" s="186">
        <f>BN132*'CALCULO GERAL'!$C$11</f>
        <v>81.207419999999999</v>
      </c>
      <c r="BS132" s="109">
        <f t="shared" si="90"/>
        <v>97448.903999999995</v>
      </c>
      <c r="BT132" s="109">
        <f t="shared" si="91"/>
        <v>97448.903999999995</v>
      </c>
      <c r="BU132" s="109">
        <f t="shared" si="40"/>
        <v>76388.365444260024</v>
      </c>
      <c r="BV132" s="109">
        <f t="shared" si="37"/>
        <v>21060.538555739971</v>
      </c>
      <c r="BW132" s="114">
        <f t="shared" si="92"/>
        <v>0.21611878319062441</v>
      </c>
      <c r="BX132" s="152">
        <f t="shared" si="41"/>
        <v>0.7</v>
      </c>
      <c r="BY132" s="152"/>
      <c r="BZ132" s="55"/>
      <c r="CA132" s="113"/>
      <c r="CB132" s="113"/>
      <c r="CC132" s="152"/>
      <c r="CD132" s="152">
        <f t="shared" si="42"/>
        <v>0</v>
      </c>
      <c r="CE132" s="152">
        <f t="shared" si="38"/>
        <v>1</v>
      </c>
      <c r="CF132" s="152">
        <f t="shared" si="39"/>
        <v>1</v>
      </c>
      <c r="CG132" s="34"/>
      <c r="CI132" s="56"/>
      <c r="CJ132" s="56"/>
    </row>
    <row r="133" spans="1:88" x14ac:dyDescent="0.2">
      <c r="A133" s="125" t="s">
        <v>259</v>
      </c>
      <c r="B133" s="187" t="s">
        <v>260</v>
      </c>
      <c r="C133" s="6">
        <v>0.25</v>
      </c>
      <c r="D133" s="8">
        <v>0</v>
      </c>
      <c r="E133" s="7">
        <v>2.1000000000000001E-2</v>
      </c>
      <c r="F133" s="7">
        <v>9.6500000000000002E-2</v>
      </c>
      <c r="G133" s="1">
        <v>6.4999999999999997E-3</v>
      </c>
      <c r="H133" s="1">
        <v>0.03</v>
      </c>
      <c r="I133" s="1">
        <v>0.18</v>
      </c>
      <c r="J133" s="1">
        <v>0.04</v>
      </c>
      <c r="K133" s="1">
        <v>0.14000000000000001</v>
      </c>
      <c r="L133" s="1">
        <v>1.4999999999999999E-2</v>
      </c>
      <c r="M133" s="2" t="s">
        <v>175</v>
      </c>
      <c r="N133" s="105">
        <v>2200</v>
      </c>
      <c r="O133" s="119"/>
      <c r="P133" s="119"/>
      <c r="Q133" s="119"/>
      <c r="R133" s="119"/>
      <c r="S133" s="119"/>
      <c r="T133" s="119"/>
      <c r="U133" s="119"/>
      <c r="V133" s="119">
        <v>13.8</v>
      </c>
      <c r="W133" s="119"/>
      <c r="X133" s="119">
        <f t="shared" si="67"/>
        <v>13.8</v>
      </c>
      <c r="Y133" s="118">
        <f t="shared" si="68"/>
        <v>13.8</v>
      </c>
      <c r="Z133" s="109">
        <f t="shared" si="69"/>
        <v>30360</v>
      </c>
      <c r="AA133" s="109">
        <f>'CALCULO GERAL'!$G$10</f>
        <v>6300</v>
      </c>
      <c r="AB133" s="109">
        <f t="shared" si="70"/>
        <v>36660</v>
      </c>
      <c r="AC133" s="109">
        <f>AB133*'CALCULO GERAL'!$C$11</f>
        <v>183996.54</v>
      </c>
      <c r="AD133" s="109">
        <f t="shared" si="71"/>
        <v>45999.135000000002</v>
      </c>
      <c r="AE133" s="109">
        <f t="shared" si="72"/>
        <v>0</v>
      </c>
      <c r="AF133" s="109">
        <f t="shared" si="73"/>
        <v>3863.9273400000002</v>
      </c>
      <c r="AG133" s="109">
        <f t="shared" si="74"/>
        <v>17755.666110000002</v>
      </c>
      <c r="AH133" s="109">
        <v>154.22999999999999</v>
      </c>
      <c r="AI133" s="109">
        <f>((AA133*'CALCULO GERAL'!$C$11))*0.08+20</f>
        <v>2549.576</v>
      </c>
      <c r="AJ133" s="109">
        <v>1010</v>
      </c>
      <c r="AK133" s="109">
        <v>2500</v>
      </c>
      <c r="AL133" s="109">
        <f>(AA133*('CALCULO GERAL'!$C$11*1.02))-(AA133*'CALCULO GERAL'!$C$11)</f>
        <v>632.39400000000387</v>
      </c>
      <c r="AM133" s="109">
        <v>1800</v>
      </c>
      <c r="AN133" s="109">
        <v>2600</v>
      </c>
      <c r="AO133" s="109">
        <v>9400</v>
      </c>
      <c r="AP133" s="109">
        <v>1000</v>
      </c>
      <c r="AQ133" s="109">
        <v>0</v>
      </c>
      <c r="AR133" s="109">
        <v>0</v>
      </c>
      <c r="AS133" s="109"/>
      <c r="AT133" s="109">
        <f t="shared" si="34"/>
        <v>273261.46845000004</v>
      </c>
      <c r="AU133" s="111">
        <f t="shared" si="75"/>
        <v>124.20975838636366</v>
      </c>
      <c r="AV133" s="109">
        <f>IFERROR((BS133*'CALCULO GERAL'!$E$11)/N133,0)</f>
        <v>3.5986230000000003</v>
      </c>
      <c r="AW133" s="109">
        <f>AU133/'CALCULO GERAL'!$C$11</f>
        <v>24.747909620714019</v>
      </c>
      <c r="AX133" s="109">
        <f>BP133-BB133-BD133*'CALCULO GERAL'!$C$11</f>
        <v>177.23218274999999</v>
      </c>
      <c r="AY133" s="109">
        <f t="shared" si="76"/>
        <v>1.1520091878749998</v>
      </c>
      <c r="AZ133" s="109">
        <f t="shared" si="77"/>
        <v>5.3169654824999997</v>
      </c>
      <c r="BA133" s="109">
        <f t="shared" si="78"/>
        <v>179.93115</v>
      </c>
      <c r="BB133" s="109">
        <f t="shared" si="79"/>
        <v>2.6989672499999999</v>
      </c>
      <c r="BC133" s="109">
        <f t="shared" si="80"/>
        <v>179.93115</v>
      </c>
      <c r="BD133" s="109">
        <f t="shared" si="81"/>
        <v>0</v>
      </c>
      <c r="BE133" s="109">
        <f t="shared" si="82"/>
        <v>31667.882400000002</v>
      </c>
      <c r="BF133" s="109">
        <f t="shared" si="83"/>
        <v>47501.823600000003</v>
      </c>
      <c r="BG133" s="109">
        <f t="shared" si="84"/>
        <v>1.94325642</v>
      </c>
      <c r="BH133" s="109">
        <f t="shared" si="85"/>
        <v>2.1591738</v>
      </c>
      <c r="BI133" s="109">
        <f t="shared" si="86"/>
        <v>0</v>
      </c>
      <c r="BJ133" s="109">
        <f t="shared" si="87"/>
        <v>16.868995140375002</v>
      </c>
      <c r="BK133" s="109">
        <f t="shared" si="88"/>
        <v>141.07875352673867</v>
      </c>
      <c r="BL133" s="148">
        <v>0.7</v>
      </c>
      <c r="BM133" s="112">
        <f>ROUND((AW133/BL133)+((AW133*BL133)*'CALCULO GERAL'!$E$11)/BL133,2)</f>
        <v>35.85</v>
      </c>
      <c r="BN133" s="186">
        <f t="shared" si="21"/>
        <v>35.85</v>
      </c>
      <c r="BO133" s="186">
        <f t="shared" si="89"/>
        <v>42.003999999999998</v>
      </c>
      <c r="BP133" s="109">
        <f>BM133*'CALCULO GERAL'!$C$11</f>
        <v>179.93115</v>
      </c>
      <c r="BQ133" s="109">
        <f>BO133*'CALCULO GERAL'!$C$11</f>
        <v>210.81807599999999</v>
      </c>
      <c r="BR133" s="186">
        <f>BN133*'CALCULO GERAL'!$C$11</f>
        <v>179.93115</v>
      </c>
      <c r="BS133" s="109">
        <f t="shared" si="90"/>
        <v>395848.53</v>
      </c>
      <c r="BT133" s="109">
        <f t="shared" si="91"/>
        <v>395848.53</v>
      </c>
      <c r="BU133" s="109">
        <f t="shared" si="40"/>
        <v>310373.25775882509</v>
      </c>
      <c r="BV133" s="109">
        <f t="shared" si="37"/>
        <v>85475.272241174942</v>
      </c>
      <c r="BW133" s="114">
        <f t="shared" si="92"/>
        <v>0.21592924000797714</v>
      </c>
      <c r="BX133" s="152">
        <f t="shared" si="41"/>
        <v>0.7</v>
      </c>
      <c r="BY133" s="152"/>
      <c r="BZ133" s="55"/>
      <c r="CA133" s="113"/>
      <c r="CB133" s="113"/>
      <c r="CC133" s="152"/>
      <c r="CD133" s="152">
        <f t="shared" si="42"/>
        <v>0</v>
      </c>
      <c r="CE133" s="152">
        <f t="shared" si="38"/>
        <v>1</v>
      </c>
      <c r="CF133" s="152">
        <f t="shared" si="39"/>
        <v>1</v>
      </c>
      <c r="CG133" s="34"/>
      <c r="CI133" s="56"/>
      <c r="CJ133" s="56"/>
    </row>
    <row r="134" spans="1:88" x14ac:dyDescent="0.2">
      <c r="A134" s="125" t="s">
        <v>40</v>
      </c>
      <c r="B134" s="187" t="s">
        <v>260</v>
      </c>
      <c r="C134" s="6">
        <v>0.25</v>
      </c>
      <c r="D134" s="8">
        <v>0</v>
      </c>
      <c r="E134" s="7">
        <v>2.1000000000000001E-2</v>
      </c>
      <c r="F134" s="7">
        <v>9.6500000000000002E-2</v>
      </c>
      <c r="G134" s="1">
        <v>6.4999999999999997E-3</v>
      </c>
      <c r="H134" s="1">
        <v>0.03</v>
      </c>
      <c r="I134" s="1">
        <v>0.18</v>
      </c>
      <c r="J134" s="1">
        <v>0.04</v>
      </c>
      <c r="K134" s="1">
        <v>0.14000000000000001</v>
      </c>
      <c r="L134" s="1">
        <v>1.4999999999999999E-2</v>
      </c>
      <c r="M134" s="2" t="s">
        <v>175</v>
      </c>
      <c r="N134" s="105">
        <v>1250</v>
      </c>
      <c r="O134" s="119"/>
      <c r="P134" s="119"/>
      <c r="Q134" s="119"/>
      <c r="R134" s="119"/>
      <c r="S134" s="119"/>
      <c r="T134" s="119"/>
      <c r="U134" s="119"/>
      <c r="V134" s="119">
        <v>31.5</v>
      </c>
      <c r="W134" s="119"/>
      <c r="X134" s="119">
        <f t="shared" si="67"/>
        <v>31.5</v>
      </c>
      <c r="Y134" s="118">
        <f t="shared" si="68"/>
        <v>31.5</v>
      </c>
      <c r="Z134" s="109">
        <f t="shared" si="69"/>
        <v>39375</v>
      </c>
      <c r="AA134" s="109">
        <f>'CALCULO GERAL'!$G$10</f>
        <v>6300</v>
      </c>
      <c r="AB134" s="109">
        <f t="shared" si="70"/>
        <v>45675</v>
      </c>
      <c r="AC134" s="109">
        <f>AB134*'CALCULO GERAL'!$C$11</f>
        <v>229242.82500000001</v>
      </c>
      <c r="AD134" s="109">
        <f t="shared" si="71"/>
        <v>57310.706250000003</v>
      </c>
      <c r="AE134" s="109">
        <f t="shared" si="72"/>
        <v>0</v>
      </c>
      <c r="AF134" s="109">
        <f t="shared" si="73"/>
        <v>4814.0993250000001</v>
      </c>
      <c r="AG134" s="109">
        <f t="shared" si="74"/>
        <v>22121.932612500001</v>
      </c>
      <c r="AH134" s="109">
        <v>154.22999999999999</v>
      </c>
      <c r="AI134" s="109">
        <f>((AA134*'CALCULO GERAL'!$C$11))*0.08+20</f>
        <v>2549.576</v>
      </c>
      <c r="AJ134" s="109">
        <v>1010</v>
      </c>
      <c r="AK134" s="109">
        <v>2500</v>
      </c>
      <c r="AL134" s="109">
        <f>(AA134*('CALCULO GERAL'!$C$11*1.02))-(AA134*'CALCULO GERAL'!$C$11)</f>
        <v>632.39400000000387</v>
      </c>
      <c r="AM134" s="109">
        <v>1800</v>
      </c>
      <c r="AN134" s="109">
        <v>2600</v>
      </c>
      <c r="AO134" s="109">
        <v>9400</v>
      </c>
      <c r="AP134" s="109">
        <v>1000</v>
      </c>
      <c r="AQ134" s="109">
        <v>0</v>
      </c>
      <c r="AR134" s="109">
        <v>0</v>
      </c>
      <c r="AS134" s="109"/>
      <c r="AT134" s="109">
        <f t="shared" si="34"/>
        <v>335135.76318750001</v>
      </c>
      <c r="AU134" s="111">
        <f t="shared" si="75"/>
        <v>268.10861054999998</v>
      </c>
      <c r="AV134" s="109">
        <f>IFERROR((BS134*'CALCULO GERAL'!$E$11)/N134,0)</f>
        <v>7.7674043999999993</v>
      </c>
      <c r="AW134" s="109">
        <f>AU134/'CALCULO GERAL'!$C$11</f>
        <v>53.418730932456661</v>
      </c>
      <c r="AX134" s="109">
        <f>BP134-BB134-BD134*'CALCULO GERAL'!$C$11</f>
        <v>382.54466669999994</v>
      </c>
      <c r="AY134" s="109">
        <f t="shared" si="76"/>
        <v>2.4865403335499994</v>
      </c>
      <c r="AZ134" s="109">
        <f t="shared" si="77"/>
        <v>11.476340000999997</v>
      </c>
      <c r="BA134" s="109">
        <f t="shared" si="78"/>
        <v>388.37021999999996</v>
      </c>
      <c r="BB134" s="109">
        <f t="shared" si="79"/>
        <v>5.8255532999999993</v>
      </c>
      <c r="BC134" s="109">
        <f t="shared" si="80"/>
        <v>388.37021999999996</v>
      </c>
      <c r="BD134" s="109">
        <f t="shared" si="81"/>
        <v>0</v>
      </c>
      <c r="BE134" s="109">
        <f t="shared" si="82"/>
        <v>38837.021999999997</v>
      </c>
      <c r="BF134" s="109">
        <f t="shared" si="83"/>
        <v>58255.532999999996</v>
      </c>
      <c r="BG134" s="109">
        <f t="shared" si="84"/>
        <v>4.1943983759999997</v>
      </c>
      <c r="BH134" s="109">
        <f t="shared" si="85"/>
        <v>4.6604426399999994</v>
      </c>
      <c r="BI134" s="109">
        <f t="shared" si="86"/>
        <v>0</v>
      </c>
      <c r="BJ134" s="109">
        <f t="shared" si="87"/>
        <v>36.410679050549994</v>
      </c>
      <c r="BK134" s="109">
        <f t="shared" si="88"/>
        <v>304.51928960055</v>
      </c>
      <c r="BL134" s="148">
        <v>0.7</v>
      </c>
      <c r="BM134" s="112">
        <f>ROUND((AW134/BL134)+((AW134*BL134)*'CALCULO GERAL'!$E$11)/BL134,2)</f>
        <v>77.38</v>
      </c>
      <c r="BN134" s="186">
        <f t="shared" si="21"/>
        <v>77.38</v>
      </c>
      <c r="BO134" s="186">
        <f t="shared" si="89"/>
        <v>90.662999999999997</v>
      </c>
      <c r="BP134" s="109">
        <f>BM134*'CALCULO GERAL'!$C$11</f>
        <v>388.37021999999996</v>
      </c>
      <c r="BQ134" s="109">
        <f>BO134*'CALCULO GERAL'!$C$11</f>
        <v>455.03759700000001</v>
      </c>
      <c r="BR134" s="186">
        <f>BN134*'CALCULO GERAL'!$C$11</f>
        <v>388.37021999999996</v>
      </c>
      <c r="BS134" s="109">
        <f t="shared" si="90"/>
        <v>485462.77499999997</v>
      </c>
      <c r="BT134" s="109">
        <f t="shared" si="91"/>
        <v>485462.77499999997</v>
      </c>
      <c r="BU134" s="109">
        <f t="shared" si="40"/>
        <v>380649.11200068751</v>
      </c>
      <c r="BV134" s="109">
        <f t="shared" si="37"/>
        <v>104813.66299931245</v>
      </c>
      <c r="BW134" s="114">
        <f t="shared" si="92"/>
        <v>0.21590463449913838</v>
      </c>
      <c r="BX134" s="152">
        <f t="shared" si="41"/>
        <v>0.7</v>
      </c>
      <c r="BY134" s="152"/>
      <c r="BZ134" s="55"/>
      <c r="CA134" s="113"/>
      <c r="CB134" s="113"/>
      <c r="CC134" s="152"/>
      <c r="CD134" s="152">
        <f t="shared" si="42"/>
        <v>0</v>
      </c>
      <c r="CE134" s="152">
        <f t="shared" si="38"/>
        <v>1</v>
      </c>
      <c r="CF134" s="152">
        <f t="shared" si="39"/>
        <v>1</v>
      </c>
      <c r="CG134" s="34"/>
      <c r="CI134" s="56"/>
      <c r="CJ134" s="56"/>
    </row>
    <row r="135" spans="1:88" x14ac:dyDescent="0.2">
      <c r="A135" s="125" t="s">
        <v>474</v>
      </c>
      <c r="B135" s="187" t="s">
        <v>475</v>
      </c>
      <c r="C135" s="6">
        <v>0.09</v>
      </c>
      <c r="D135" s="8">
        <v>0</v>
      </c>
      <c r="E135" s="7">
        <v>2.1000000000000001E-2</v>
      </c>
      <c r="F135" s="7">
        <v>9.6500000000000002E-2</v>
      </c>
      <c r="G135" s="1">
        <v>6.4999999999999997E-3</v>
      </c>
      <c r="H135" s="1">
        <v>0.03</v>
      </c>
      <c r="I135" s="1">
        <v>0.18</v>
      </c>
      <c r="J135" s="1">
        <v>0.04</v>
      </c>
      <c r="K135" s="1">
        <v>0.14000000000000001</v>
      </c>
      <c r="L135" s="1">
        <v>1.4999999999999999E-2</v>
      </c>
      <c r="M135" s="2" t="s">
        <v>175</v>
      </c>
      <c r="N135" s="105">
        <v>5000</v>
      </c>
      <c r="O135" s="119"/>
      <c r="P135" s="119"/>
      <c r="Q135" s="119"/>
      <c r="R135" s="119"/>
      <c r="S135" s="119"/>
      <c r="T135" s="119"/>
      <c r="U135" s="119"/>
      <c r="V135" s="119">
        <v>7.13</v>
      </c>
      <c r="W135" s="119"/>
      <c r="X135" s="119">
        <f t="shared" si="67"/>
        <v>7.13</v>
      </c>
      <c r="Y135" s="118">
        <f t="shared" si="68"/>
        <v>7.13</v>
      </c>
      <c r="Z135" s="109">
        <f t="shared" si="69"/>
        <v>35650</v>
      </c>
      <c r="AA135" s="109">
        <f>'CALCULO GERAL'!$G$10</f>
        <v>6300</v>
      </c>
      <c r="AB135" s="109">
        <f t="shared" si="70"/>
        <v>41950</v>
      </c>
      <c r="AC135" s="109">
        <f>AB135*'CALCULO GERAL'!$C$11</f>
        <v>210547.05000000002</v>
      </c>
      <c r="AD135" s="109">
        <f t="shared" si="71"/>
        <v>18949.234500000002</v>
      </c>
      <c r="AE135" s="109">
        <f t="shared" si="72"/>
        <v>0</v>
      </c>
      <c r="AF135" s="109">
        <f t="shared" si="73"/>
        <v>4421.4880500000008</v>
      </c>
      <c r="AG135" s="109">
        <f t="shared" si="74"/>
        <v>20317.790325000002</v>
      </c>
      <c r="AH135" s="109">
        <v>154.22999999999999</v>
      </c>
      <c r="AI135" s="109">
        <f>((AA135*'CALCULO GERAL'!$C$11))*0.08+20</f>
        <v>2549.576</v>
      </c>
      <c r="AJ135" s="109">
        <v>1010</v>
      </c>
      <c r="AK135" s="109">
        <v>2500</v>
      </c>
      <c r="AL135" s="109">
        <f>(AA135*('CALCULO GERAL'!$C$11*1.02))-(AA135*'CALCULO GERAL'!$C$11)</f>
        <v>632.39400000000387</v>
      </c>
      <c r="AM135" s="109">
        <v>1800</v>
      </c>
      <c r="AN135" s="109">
        <v>2600</v>
      </c>
      <c r="AO135" s="109">
        <v>9400</v>
      </c>
      <c r="AP135" s="109">
        <v>1000</v>
      </c>
      <c r="AQ135" s="109">
        <v>0</v>
      </c>
      <c r="AR135" s="109">
        <v>0</v>
      </c>
      <c r="AS135" s="109"/>
      <c r="AT135" s="109">
        <f t="shared" si="34"/>
        <v>275881.76287500001</v>
      </c>
      <c r="AU135" s="111">
        <f t="shared" si="75"/>
        <v>55.176352575000003</v>
      </c>
      <c r="AV135" s="109">
        <f>IFERROR((BS135*'CALCULO GERAL'!$E$11)/N135,0)</f>
        <v>1.5980496</v>
      </c>
      <c r="AW135" s="109">
        <f>AU135/'CALCULO GERAL'!$C$11</f>
        <v>10.993495233114167</v>
      </c>
      <c r="AX135" s="109">
        <f>BP135-BB135-BD135*'CALCULO GERAL'!$C$11</f>
        <v>78.703942799999993</v>
      </c>
      <c r="AY135" s="109">
        <f t="shared" si="76"/>
        <v>0.51157562819999991</v>
      </c>
      <c r="AZ135" s="109">
        <f t="shared" si="77"/>
        <v>2.3611182839999998</v>
      </c>
      <c r="BA135" s="109">
        <f t="shared" si="78"/>
        <v>79.902479999999997</v>
      </c>
      <c r="BB135" s="109">
        <f t="shared" si="79"/>
        <v>1.1985371999999999</v>
      </c>
      <c r="BC135" s="109">
        <f t="shared" si="80"/>
        <v>79.902479999999997</v>
      </c>
      <c r="BD135" s="109">
        <f t="shared" si="81"/>
        <v>0</v>
      </c>
      <c r="BE135" s="109">
        <f t="shared" si="82"/>
        <v>31960.991999999998</v>
      </c>
      <c r="BF135" s="109">
        <f t="shared" si="83"/>
        <v>47941.487999999998</v>
      </c>
      <c r="BG135" s="109">
        <f t="shared" si="84"/>
        <v>0.86294678399999991</v>
      </c>
      <c r="BH135" s="109">
        <f t="shared" si="85"/>
        <v>0.95882975999999998</v>
      </c>
      <c r="BI135" s="109">
        <f t="shared" si="86"/>
        <v>0</v>
      </c>
      <c r="BJ135" s="109">
        <f t="shared" si="87"/>
        <v>7.4910572561999995</v>
      </c>
      <c r="BK135" s="109">
        <f t="shared" si="88"/>
        <v>62.667409831200004</v>
      </c>
      <c r="BL135" s="148">
        <v>0.7</v>
      </c>
      <c r="BM135" s="112">
        <f>ROUND((AW135/BL135)+((AW135*BL135)*'CALCULO GERAL'!$E$11)/BL135,2)</f>
        <v>15.92</v>
      </c>
      <c r="BN135" s="186">
        <f t="shared" si="21"/>
        <v>15.92</v>
      </c>
      <c r="BO135" s="186">
        <f t="shared" si="89"/>
        <v>18.652999999999999</v>
      </c>
      <c r="BP135" s="109">
        <f>BM135*'CALCULO GERAL'!$C$11</f>
        <v>79.902479999999997</v>
      </c>
      <c r="BQ135" s="109">
        <f>BO135*'CALCULO GERAL'!$C$11</f>
        <v>93.619406999999995</v>
      </c>
      <c r="BR135" s="186">
        <f>BN135*'CALCULO GERAL'!$C$11</f>
        <v>79.902479999999997</v>
      </c>
      <c r="BS135" s="109">
        <f t="shared" si="90"/>
        <v>399512.39999999997</v>
      </c>
      <c r="BT135" s="109">
        <f t="shared" si="91"/>
        <v>399512.39999999997</v>
      </c>
      <c r="BU135" s="109">
        <f t="shared" si="40"/>
        <v>313337.04915600002</v>
      </c>
      <c r="BV135" s="109">
        <f t="shared" si="37"/>
        <v>86175.350843999942</v>
      </c>
      <c r="BW135" s="114">
        <f t="shared" si="92"/>
        <v>0.21570131701544171</v>
      </c>
      <c r="BX135" s="152">
        <f t="shared" si="41"/>
        <v>0.7</v>
      </c>
      <c r="BY135" s="152"/>
      <c r="BZ135" s="55"/>
      <c r="CA135" s="113"/>
      <c r="CB135" s="113"/>
      <c r="CC135" s="152"/>
      <c r="CD135" s="152">
        <f t="shared" si="42"/>
        <v>0</v>
      </c>
      <c r="CE135" s="152">
        <f t="shared" si="38"/>
        <v>1</v>
      </c>
      <c r="CF135" s="152">
        <f t="shared" si="39"/>
        <v>1</v>
      </c>
      <c r="CG135" s="34"/>
      <c r="CI135" s="56"/>
      <c r="CJ135" s="56"/>
    </row>
    <row r="136" spans="1:88" x14ac:dyDescent="0.2">
      <c r="A136" s="125" t="s">
        <v>261</v>
      </c>
      <c r="B136" s="187" t="s">
        <v>262</v>
      </c>
      <c r="C136" s="6">
        <v>0.112</v>
      </c>
      <c r="D136" s="8">
        <v>3.61E-2</v>
      </c>
      <c r="E136" s="7">
        <v>2.1000000000000001E-2</v>
      </c>
      <c r="F136" s="7">
        <v>9.6500000000000002E-2</v>
      </c>
      <c r="G136" s="1">
        <v>6.4999999999999997E-3</v>
      </c>
      <c r="H136" s="1">
        <v>0.03</v>
      </c>
      <c r="I136" s="1">
        <v>0.18</v>
      </c>
      <c r="J136" s="1">
        <v>0.04</v>
      </c>
      <c r="K136" s="1">
        <v>0.14000000000000001</v>
      </c>
      <c r="L136" s="1">
        <v>1.4999999999999999E-2</v>
      </c>
      <c r="M136" s="2" t="s">
        <v>175</v>
      </c>
      <c r="N136" s="105">
        <v>5000</v>
      </c>
      <c r="O136" s="119"/>
      <c r="P136" s="119"/>
      <c r="Q136" s="119"/>
      <c r="R136" s="119"/>
      <c r="S136" s="119"/>
      <c r="T136" s="119"/>
      <c r="U136" s="119"/>
      <c r="V136" s="119">
        <v>7.13</v>
      </c>
      <c r="W136" s="119"/>
      <c r="X136" s="119">
        <f t="shared" si="67"/>
        <v>7.13</v>
      </c>
      <c r="Y136" s="118">
        <f t="shared" si="68"/>
        <v>7.13</v>
      </c>
      <c r="Z136" s="109">
        <f t="shared" si="69"/>
        <v>35650</v>
      </c>
      <c r="AA136" s="109">
        <f>'CALCULO GERAL'!$G$10</f>
        <v>6300</v>
      </c>
      <c r="AB136" s="109">
        <f t="shared" si="70"/>
        <v>41950</v>
      </c>
      <c r="AC136" s="109">
        <f>AB136*'CALCULO GERAL'!$C$11</f>
        <v>210547.05000000002</v>
      </c>
      <c r="AD136" s="109">
        <f t="shared" si="71"/>
        <v>23581.269600000003</v>
      </c>
      <c r="AE136" s="109">
        <f t="shared" si="72"/>
        <v>8452.0323375600001</v>
      </c>
      <c r="AF136" s="109">
        <f t="shared" si="73"/>
        <v>4421.4880500000008</v>
      </c>
      <c r="AG136" s="109">
        <f t="shared" si="74"/>
        <v>20317.790325000002</v>
      </c>
      <c r="AH136" s="109">
        <v>154.22999999999999</v>
      </c>
      <c r="AI136" s="109">
        <f>((AA136*'CALCULO GERAL'!$C$11))*0.08+20</f>
        <v>2549.576</v>
      </c>
      <c r="AJ136" s="109">
        <v>1010</v>
      </c>
      <c r="AK136" s="109">
        <v>2500</v>
      </c>
      <c r="AL136" s="109">
        <f>(AA136*('CALCULO GERAL'!$C$11*1.02))-(AA136*'CALCULO GERAL'!$C$11)</f>
        <v>632.39400000000387</v>
      </c>
      <c r="AM136" s="109">
        <v>1800</v>
      </c>
      <c r="AN136" s="109">
        <v>2600</v>
      </c>
      <c r="AO136" s="109">
        <v>9400</v>
      </c>
      <c r="AP136" s="109">
        <v>1000</v>
      </c>
      <c r="AQ136" s="109">
        <v>0</v>
      </c>
      <c r="AR136" s="109">
        <v>0</v>
      </c>
      <c r="AS136" s="109"/>
      <c r="AT136" s="109">
        <f t="shared" si="34"/>
        <v>288965.83031256002</v>
      </c>
      <c r="AU136" s="111">
        <f t="shared" si="75"/>
        <v>57.793166062512007</v>
      </c>
      <c r="AV136" s="109">
        <f>IFERROR((BS136*'CALCULO GERAL'!$E$11)/N136,0)</f>
        <v>1.6743384000000001</v>
      </c>
      <c r="AW136" s="109">
        <f>AU136/'CALCULO GERAL'!$C$11</f>
        <v>11.514876681114167</v>
      </c>
      <c r="AX136" s="109">
        <f>BP136-BB136-BD136*'CALCULO GERAL'!$C$11</f>
        <v>67.865091705985918</v>
      </c>
      <c r="AY136" s="109">
        <f t="shared" si="76"/>
        <v>0.44112309608890843</v>
      </c>
      <c r="AZ136" s="109">
        <f t="shared" si="77"/>
        <v>2.0359527511795776</v>
      </c>
      <c r="BA136" s="109">
        <f t="shared" si="78"/>
        <v>80.800038606312128</v>
      </c>
      <c r="BB136" s="109">
        <f t="shared" si="79"/>
        <v>1.212000579094682</v>
      </c>
      <c r="BC136" s="109">
        <f t="shared" si="80"/>
        <v>80.800038606312128</v>
      </c>
      <c r="BD136" s="109">
        <f t="shared" si="81"/>
        <v>2.9168813936878677</v>
      </c>
      <c r="BE136" s="109">
        <f t="shared" si="82"/>
        <v>33486.768000000004</v>
      </c>
      <c r="BF136" s="109">
        <f t="shared" si="83"/>
        <v>50230.152000000002</v>
      </c>
      <c r="BG136" s="109">
        <f t="shared" si="84"/>
        <v>0.90414273599999995</v>
      </c>
      <c r="BH136" s="109">
        <f t="shared" si="85"/>
        <v>1.0046030400000001</v>
      </c>
      <c r="BI136" s="109">
        <f t="shared" si="86"/>
        <v>0</v>
      </c>
      <c r="BJ136" s="109">
        <f t="shared" si="87"/>
        <v>10.189041996051035</v>
      </c>
      <c r="BK136" s="109">
        <f t="shared" si="88"/>
        <v>67.982208058563046</v>
      </c>
      <c r="BL136" s="148">
        <v>0.7</v>
      </c>
      <c r="BM136" s="112">
        <f>ROUND((AW136/BL136)+((AW136*BL136)*'CALCULO GERAL'!$E$11)/BL136,2)</f>
        <v>16.68</v>
      </c>
      <c r="BN136" s="186">
        <f t="shared" si="21"/>
        <v>16.68</v>
      </c>
      <c r="BO136" s="186">
        <f t="shared" si="89"/>
        <v>19.542999999999999</v>
      </c>
      <c r="BP136" s="109">
        <f>BM136*'CALCULO GERAL'!$C$11</f>
        <v>83.716920000000002</v>
      </c>
      <c r="BQ136" s="109">
        <f>BO136*'CALCULO GERAL'!$C$11</f>
        <v>98.086316999999994</v>
      </c>
      <c r="BR136" s="186">
        <f>BN136*'CALCULO GERAL'!$C$11</f>
        <v>83.716920000000002</v>
      </c>
      <c r="BS136" s="109">
        <f t="shared" si="90"/>
        <v>418584.60000000003</v>
      </c>
      <c r="BT136" s="109">
        <f t="shared" si="91"/>
        <v>418584.60000000003</v>
      </c>
      <c r="BU136" s="109">
        <f t="shared" si="40"/>
        <v>339911.04029281525</v>
      </c>
      <c r="BV136" s="109">
        <f t="shared" si="37"/>
        <v>78673.559707184788</v>
      </c>
      <c r="BW136" s="114">
        <f t="shared" si="92"/>
        <v>0.18795139550567502</v>
      </c>
      <c r="BX136" s="152">
        <f t="shared" si="41"/>
        <v>0.7</v>
      </c>
      <c r="BY136" s="152"/>
      <c r="BZ136" s="55"/>
      <c r="CA136" s="113"/>
      <c r="CB136" s="113"/>
      <c r="CC136" s="152"/>
      <c r="CD136" s="152">
        <f t="shared" si="42"/>
        <v>0</v>
      </c>
      <c r="CE136" s="152">
        <f t="shared" si="38"/>
        <v>1</v>
      </c>
      <c r="CF136" s="152">
        <f t="shared" si="39"/>
        <v>1</v>
      </c>
      <c r="CG136" s="34"/>
      <c r="CI136" s="56"/>
      <c r="CJ136" s="56"/>
    </row>
    <row r="137" spans="1:88" x14ac:dyDescent="0.2">
      <c r="A137" s="125" t="s">
        <v>263</v>
      </c>
      <c r="B137" s="187" t="s">
        <v>264</v>
      </c>
      <c r="C137" s="6">
        <v>0.126</v>
      </c>
      <c r="D137" s="8">
        <v>0</v>
      </c>
      <c r="E137" s="7">
        <v>2.1000000000000001E-2</v>
      </c>
      <c r="F137" s="7">
        <v>9.6500000000000002E-2</v>
      </c>
      <c r="G137" s="1">
        <v>6.4999999999999997E-3</v>
      </c>
      <c r="H137" s="1">
        <v>0.03</v>
      </c>
      <c r="I137" s="1">
        <v>0.18</v>
      </c>
      <c r="J137" s="1">
        <v>0.04</v>
      </c>
      <c r="K137" s="1">
        <v>0.14000000000000001</v>
      </c>
      <c r="L137" s="1">
        <v>1.4999999999999999E-2</v>
      </c>
      <c r="M137" s="2" t="s">
        <v>175</v>
      </c>
      <c r="N137" s="105">
        <v>458000</v>
      </c>
      <c r="O137" s="119"/>
      <c r="P137" s="119"/>
      <c r="Q137" s="119"/>
      <c r="R137" s="119"/>
      <c r="S137" s="119"/>
      <c r="T137" s="119"/>
      <c r="U137" s="119"/>
      <c r="V137" s="119">
        <v>0.08</v>
      </c>
      <c r="W137" s="119"/>
      <c r="X137" s="119">
        <f>MIN(O137:W137)</f>
        <v>0.08</v>
      </c>
      <c r="Y137" s="118">
        <f>AVERAGE(O137:W137)</f>
        <v>0.08</v>
      </c>
      <c r="Z137" s="109">
        <f>Y137*N137</f>
        <v>36640</v>
      </c>
      <c r="AA137" s="109">
        <f>'CALCULO GERAL'!$G$10</f>
        <v>6300</v>
      </c>
      <c r="AB137" s="109">
        <f>Z137+AA137</f>
        <v>42940</v>
      </c>
      <c r="AC137" s="109">
        <f>AB137*'CALCULO GERAL'!$C$11</f>
        <v>215515.86000000002</v>
      </c>
      <c r="AD137" s="109">
        <f>AC137*C137</f>
        <v>27154.998360000001</v>
      </c>
      <c r="AE137" s="109">
        <f>(AC137+AD137)*D137</f>
        <v>0</v>
      </c>
      <c r="AF137" s="109">
        <f>AC137*E137</f>
        <v>4525.8330600000008</v>
      </c>
      <c r="AG137" s="109">
        <f>AC137*F137</f>
        <v>20797.280490000001</v>
      </c>
      <c r="AH137" s="109">
        <v>154.22999999999999</v>
      </c>
      <c r="AI137" s="109">
        <f>((AA137*'CALCULO GERAL'!$C$11))*0.08+20</f>
        <v>2549.576</v>
      </c>
      <c r="AJ137" s="109">
        <v>1010</v>
      </c>
      <c r="AK137" s="109">
        <v>2500</v>
      </c>
      <c r="AL137" s="109">
        <f>(AA137*('CALCULO GERAL'!$C$11*1.02))-(AA137*'CALCULO GERAL'!$C$11)</f>
        <v>632.39400000000387</v>
      </c>
      <c r="AM137" s="109">
        <v>1800</v>
      </c>
      <c r="AN137" s="109">
        <v>2600</v>
      </c>
      <c r="AO137" s="109">
        <v>9400</v>
      </c>
      <c r="AP137" s="109">
        <v>1000</v>
      </c>
      <c r="AQ137" s="109">
        <v>0</v>
      </c>
      <c r="AR137" s="109">
        <v>0</v>
      </c>
      <c r="AS137" s="109"/>
      <c r="AT137" s="109">
        <f>SUM(AC137:AS137)</f>
        <v>289640.17191000003</v>
      </c>
      <c r="AU137" s="111">
        <f>IFERROR((AT137/N137),0)</f>
        <v>0.63240212207423585</v>
      </c>
      <c r="AV137" s="109">
        <f>IFERROR((BS137*'CALCULO GERAL'!$E$11)/N137,0)</f>
        <v>1.8068399999999998E-2</v>
      </c>
      <c r="AW137" s="109">
        <f>AU137/'CALCULO GERAL'!$C$11</f>
        <v>0.12600161826543851</v>
      </c>
      <c r="AX137" s="109">
        <f>BP137-BB137-BD137*'CALCULO GERAL'!$C$11</f>
        <v>0.88986869999999996</v>
      </c>
      <c r="AY137" s="109">
        <f>AX137*G137</f>
        <v>5.7841465499999991E-3</v>
      </c>
      <c r="AZ137" s="109">
        <f>AX137*H137</f>
        <v>2.6696060999999997E-2</v>
      </c>
      <c r="BA137" s="109">
        <f>BP137-BD137</f>
        <v>0.90342</v>
      </c>
      <c r="BB137" s="109">
        <f>BA137*L137</f>
        <v>1.3551299999999999E-2</v>
      </c>
      <c r="BC137" s="109">
        <f>BP137/(1+D137)</f>
        <v>0.90342</v>
      </c>
      <c r="BD137" s="109">
        <f>BC137*D137</f>
        <v>0</v>
      </c>
      <c r="BE137" s="109">
        <f>BT137*0.08</f>
        <v>33101.308799999999</v>
      </c>
      <c r="BF137" s="109">
        <f>BT137*0.12</f>
        <v>49651.963199999998</v>
      </c>
      <c r="BG137" s="109">
        <f>(BF137*0.09)/N137</f>
        <v>9.756935999999999E-3</v>
      </c>
      <c r="BH137" s="109">
        <f>(BE137*0.15)/N137</f>
        <v>1.084104E-2</v>
      </c>
      <c r="BI137" s="109">
        <f>IF(BE137&gt;=$BX$1,($BX$1-BE137)*0.1,IF(BE137&lt;=$BX$1,($BX$1*0)))/N137</f>
        <v>0</v>
      </c>
      <c r="BJ137" s="109">
        <f>(AY137+AZ137+BB137+AV137+BD137+BG137+BH137+BI137)</f>
        <v>8.4697883549999978E-2</v>
      </c>
      <c r="BK137" s="109">
        <f>BJ137+AU137</f>
        <v>0.71710000562423581</v>
      </c>
      <c r="BL137" s="148">
        <v>0.7</v>
      </c>
      <c r="BM137" s="112">
        <f>ROUND((AW137/BL137)+((AW137*BL137)*'CALCULO GERAL'!$E$11)/BL137,2)</f>
        <v>0.18</v>
      </c>
      <c r="BN137" s="186">
        <f>BM137</f>
        <v>0.18</v>
      </c>
      <c r="BO137" s="186">
        <f>ROUND(FV(0.02,8,,BN137)*-1,3)</f>
        <v>0.21099999999999999</v>
      </c>
      <c r="BP137" s="109">
        <f>BM137*'CALCULO GERAL'!$C$11</f>
        <v>0.90342</v>
      </c>
      <c r="BQ137" s="109">
        <f>BO137*'CALCULO GERAL'!$C$11</f>
        <v>1.0590090000000001</v>
      </c>
      <c r="BR137" s="186">
        <f>BN137*'CALCULO GERAL'!$C$11</f>
        <v>0.90342</v>
      </c>
      <c r="BS137" s="109">
        <f>BP137*N137</f>
        <v>413766.36</v>
      </c>
      <c r="BT137" s="109">
        <f>BR137*N137</f>
        <v>413766.36</v>
      </c>
      <c r="BU137" s="109">
        <f>BK137*N137</f>
        <v>328431.80257589999</v>
      </c>
      <c r="BV137" s="109">
        <f>BS137-BU137</f>
        <v>85334.557424099999</v>
      </c>
      <c r="BW137" s="114">
        <f>(((BK137*N137)-BS137)/BS137*-1)</f>
        <v>0.20623850963645282</v>
      </c>
      <c r="BX137" s="152">
        <f>ROUND(BL137,2)</f>
        <v>0.7</v>
      </c>
      <c r="BY137" s="152"/>
      <c r="BZ137" s="55"/>
      <c r="CA137" s="113"/>
      <c r="CB137" s="113"/>
      <c r="CC137" s="152"/>
      <c r="CD137" s="152">
        <f>CB137/BX137</f>
        <v>0</v>
      </c>
      <c r="CE137" s="152">
        <f>100%-CD137</f>
        <v>1</v>
      </c>
      <c r="CF137" s="152">
        <f>AVERAGE(CE137,CC137)</f>
        <v>1</v>
      </c>
      <c r="CG137" s="34"/>
      <c r="CI137" s="56"/>
      <c r="CJ137" s="56"/>
    </row>
    <row r="138" spans="1:88" x14ac:dyDescent="0.2">
      <c r="A138" s="125" t="s">
        <v>265</v>
      </c>
      <c r="B138" s="187" t="s">
        <v>266</v>
      </c>
      <c r="C138" s="6">
        <v>0.126</v>
      </c>
      <c r="D138" s="8">
        <v>3.6499999999999998E-2</v>
      </c>
      <c r="E138" s="7">
        <v>2.1000000000000001E-2</v>
      </c>
      <c r="F138" s="7">
        <v>9.6500000000000002E-2</v>
      </c>
      <c r="G138" s="1">
        <v>6.4999999999999997E-3</v>
      </c>
      <c r="H138" s="1">
        <v>0.03</v>
      </c>
      <c r="I138" s="1">
        <v>0.18</v>
      </c>
      <c r="J138" s="1">
        <v>0.04</v>
      </c>
      <c r="K138" s="1">
        <v>0.14000000000000001</v>
      </c>
      <c r="L138" s="1">
        <v>1.4999999999999999E-2</v>
      </c>
      <c r="M138" s="2" t="s">
        <v>175</v>
      </c>
      <c r="N138" s="105">
        <v>25000</v>
      </c>
      <c r="O138" s="119"/>
      <c r="P138" s="119"/>
      <c r="Q138" s="119"/>
      <c r="R138" s="119"/>
      <c r="S138" s="119"/>
      <c r="T138" s="119"/>
      <c r="U138" s="119"/>
      <c r="V138" s="119">
        <v>0.68500000000000005</v>
      </c>
      <c r="W138" s="119"/>
      <c r="X138" s="119">
        <f>MIN(O138:W138)</f>
        <v>0.68500000000000005</v>
      </c>
      <c r="Y138" s="118">
        <f>AVERAGE(O138:W138)</f>
        <v>0.68500000000000005</v>
      </c>
      <c r="Z138" s="109">
        <f>Y138*N138</f>
        <v>17125</v>
      </c>
      <c r="AA138" s="109">
        <f>'CALCULO GERAL'!$G$10</f>
        <v>6300</v>
      </c>
      <c r="AB138" s="109">
        <f>Z138+AA138</f>
        <v>23425</v>
      </c>
      <c r="AC138" s="109">
        <f>AB138*'CALCULO GERAL'!$C$11</f>
        <v>117570.075</v>
      </c>
      <c r="AD138" s="109">
        <f>AC138*C138</f>
        <v>14813.829449999999</v>
      </c>
      <c r="AE138" s="109">
        <f>(AC138+AD138)*D138</f>
        <v>4832.0125124249998</v>
      </c>
      <c r="AF138" s="109">
        <f>AC138*E138</f>
        <v>2468.971575</v>
      </c>
      <c r="AG138" s="109">
        <f>AC138*F138</f>
        <v>11345.512237499999</v>
      </c>
      <c r="AH138" s="109">
        <v>154.22999999999999</v>
      </c>
      <c r="AI138" s="109">
        <f>((AA138*'CALCULO GERAL'!$C$11))*0.08+20</f>
        <v>2549.576</v>
      </c>
      <c r="AJ138" s="109">
        <v>1010</v>
      </c>
      <c r="AK138" s="109">
        <v>2500</v>
      </c>
      <c r="AL138" s="109">
        <f>(AA138*('CALCULO GERAL'!$C$11*1.02))-(AA138*'CALCULO GERAL'!$C$11)</f>
        <v>632.39400000000387</v>
      </c>
      <c r="AM138" s="109">
        <v>1800</v>
      </c>
      <c r="AN138" s="109">
        <v>2600</v>
      </c>
      <c r="AO138" s="109">
        <v>9400</v>
      </c>
      <c r="AP138" s="109">
        <v>1000</v>
      </c>
      <c r="AQ138" s="109">
        <v>0</v>
      </c>
      <c r="AR138" s="109">
        <v>0</v>
      </c>
      <c r="AS138" s="109"/>
      <c r="AT138" s="109">
        <f>SUM(AC138:AS138)</f>
        <v>172676.600774925</v>
      </c>
      <c r="AU138" s="111">
        <f>IFERROR((AT138/N138),0)</f>
        <v>6.9070640309969997</v>
      </c>
      <c r="AV138" s="109">
        <f>IFERROR((BS138*'CALCULO GERAL'!$E$11)/N138,0)</f>
        <v>0.19975619999999999</v>
      </c>
      <c r="AW138" s="109">
        <f>AU138/'CALCULO GERAL'!$C$11</f>
        <v>1.3761833096228331</v>
      </c>
      <c r="AX138" s="109">
        <f>BP138-BB138-BD138*'CALCULO GERAL'!$C$11</f>
        <v>8.0779990774384949</v>
      </c>
      <c r="AY138" s="109">
        <f>AX138*G138</f>
        <v>5.2506994003350217E-2</v>
      </c>
      <c r="AZ138" s="109">
        <f>AX138*H138</f>
        <v>0.24233997232315485</v>
      </c>
      <c r="BA138" s="109">
        <f>BP138-BD138</f>
        <v>9.6360926193921852</v>
      </c>
      <c r="BB138" s="109">
        <f>BA138*L138</f>
        <v>0.14454138929088278</v>
      </c>
      <c r="BC138" s="109">
        <f>BP138/(1+D138)</f>
        <v>9.6360926193921852</v>
      </c>
      <c r="BD138" s="109">
        <f>BC138*D138</f>
        <v>0.35171738060781471</v>
      </c>
      <c r="BE138" s="109">
        <f>BT138*0.08</f>
        <v>19975.62</v>
      </c>
      <c r="BF138" s="109">
        <f>BT138*0.12</f>
        <v>29963.43</v>
      </c>
      <c r="BG138" s="109">
        <f>(BF138*0.09)/N138</f>
        <v>0.107868348</v>
      </c>
      <c r="BH138" s="109">
        <f>(BE138*0.15)/N138</f>
        <v>0.11985372</v>
      </c>
      <c r="BI138" s="109">
        <f>IF(BE138&gt;=$BX$1,($BX$1-BE138)*0.1,IF(BE138&lt;=$BX$1,($BX$1*0)))/N138</f>
        <v>0</v>
      </c>
      <c r="BJ138" s="109">
        <f>(AY138+AZ138+BB138+AV138+BD138+BG138+BH138+BI138)</f>
        <v>1.2185840042252025</v>
      </c>
      <c r="BK138" s="109">
        <f>BJ138+AU138</f>
        <v>8.125648035222202</v>
      </c>
      <c r="BL138" s="148">
        <v>0.7</v>
      </c>
      <c r="BM138" s="112">
        <f>ROUND((AW138/BL138)+((AW138*BL138)*'CALCULO GERAL'!$E$11)/BL138,2)</f>
        <v>1.99</v>
      </c>
      <c r="BN138" s="186">
        <f>BM138</f>
        <v>1.99</v>
      </c>
      <c r="BO138" s="186">
        <f>ROUND(FV(0.02,8,,BN138)*-1,3)</f>
        <v>2.3319999999999999</v>
      </c>
      <c r="BP138" s="109">
        <f>BM138*'CALCULO GERAL'!$C$11</f>
        <v>9.9878099999999996</v>
      </c>
      <c r="BQ138" s="109">
        <f>BO138*'CALCULO GERAL'!$C$11</f>
        <v>11.704307999999999</v>
      </c>
      <c r="BR138" s="186">
        <f>BN138*'CALCULO GERAL'!$C$11</f>
        <v>9.9878099999999996</v>
      </c>
      <c r="BS138" s="109">
        <f>BP138*N138</f>
        <v>249695.25</v>
      </c>
      <c r="BT138" s="109">
        <f>BR138*N138</f>
        <v>249695.25</v>
      </c>
      <c r="BU138" s="109">
        <f>BK138*N138</f>
        <v>203141.20088055506</v>
      </c>
      <c r="BV138" s="109">
        <f>BS138-BU138</f>
        <v>46554.049119444942</v>
      </c>
      <c r="BW138" s="114">
        <f>(((BK138*N138)-BS138)/BS138*-1)</f>
        <v>0.18644347106901291</v>
      </c>
      <c r="BX138" s="152">
        <f>ROUND(BL138,2)</f>
        <v>0.7</v>
      </c>
      <c r="BY138" s="152"/>
      <c r="BZ138" s="55"/>
      <c r="CA138" s="113"/>
      <c r="CB138" s="113"/>
      <c r="CC138" s="152"/>
      <c r="CD138" s="152">
        <f>CB138/BX138</f>
        <v>0</v>
      </c>
      <c r="CE138" s="152">
        <f>100%-CD138</f>
        <v>1</v>
      </c>
      <c r="CF138" s="152">
        <f>AVERAGE(CE138,CC138)</f>
        <v>1</v>
      </c>
      <c r="CG138" s="34"/>
      <c r="CI138" s="56"/>
      <c r="CJ138" s="56"/>
    </row>
    <row r="139" spans="1:88" x14ac:dyDescent="0.2">
      <c r="A139" s="125" t="s">
        <v>267</v>
      </c>
      <c r="B139" s="187" t="s">
        <v>268</v>
      </c>
      <c r="C139" s="6">
        <v>0.112</v>
      </c>
      <c r="D139" s="8">
        <v>0</v>
      </c>
      <c r="E139" s="7">
        <v>2.1000000000000001E-2</v>
      </c>
      <c r="F139" s="7">
        <v>0.1065</v>
      </c>
      <c r="G139" s="1">
        <v>6.4999999999999997E-3</v>
      </c>
      <c r="H139" s="1">
        <v>0.03</v>
      </c>
      <c r="I139" s="1">
        <v>0.18</v>
      </c>
      <c r="J139" s="1">
        <v>0.04</v>
      </c>
      <c r="K139" s="1">
        <v>0.14000000000000001</v>
      </c>
      <c r="L139" s="1">
        <v>1.4999999999999999E-2</v>
      </c>
      <c r="M139" s="2" t="s">
        <v>175</v>
      </c>
      <c r="N139" s="105">
        <v>1</v>
      </c>
      <c r="O139" s="119"/>
      <c r="P139" s="119"/>
      <c r="Q139" s="119"/>
      <c r="R139" s="119"/>
      <c r="S139" s="119"/>
      <c r="T139" s="119"/>
      <c r="U139" s="119"/>
      <c r="V139" s="119">
        <v>87000</v>
      </c>
      <c r="W139" s="119">
        <v>78700</v>
      </c>
      <c r="X139" s="119">
        <f>MIN(O139:W139)</f>
        <v>78700</v>
      </c>
      <c r="Y139" s="118">
        <f>AVERAGE(O139:W139)</f>
        <v>82850</v>
      </c>
      <c r="Z139" s="109">
        <f>Y139*N139</f>
        <v>82850</v>
      </c>
      <c r="AA139" s="109">
        <f>'CALCULO GERAL'!$G$10</f>
        <v>6300</v>
      </c>
      <c r="AB139" s="109">
        <f>Z139+AA139</f>
        <v>89150</v>
      </c>
      <c r="AC139" s="109">
        <f>AB139*'CALCULO GERAL'!$C$11</f>
        <v>447443.85000000003</v>
      </c>
      <c r="AD139" s="109">
        <f>AC139*C139</f>
        <v>50113.711200000005</v>
      </c>
      <c r="AE139" s="109">
        <f>(AC139+AD139)*D139</f>
        <v>0</v>
      </c>
      <c r="AF139" s="109">
        <f>AC139*E139</f>
        <v>9396.3208500000019</v>
      </c>
      <c r="AG139" s="109">
        <f>AC139*F139</f>
        <v>47652.770025000005</v>
      </c>
      <c r="AH139" s="109">
        <v>154.22999999999999</v>
      </c>
      <c r="AI139" s="109">
        <f>((AA139*'CALCULO GERAL'!$C$11))*0.08+20</f>
        <v>2549.576</v>
      </c>
      <c r="AJ139" s="109">
        <v>1010</v>
      </c>
      <c r="AK139" s="109">
        <v>2500</v>
      </c>
      <c r="AL139" s="109">
        <f>(AA139*('CALCULO GERAL'!$C$11*1.02))-(AA139*'CALCULO GERAL'!$C$11)</f>
        <v>632.39400000000387</v>
      </c>
      <c r="AM139" s="109">
        <v>1800</v>
      </c>
      <c r="AN139" s="109">
        <v>2600</v>
      </c>
      <c r="AO139" s="109">
        <v>9400</v>
      </c>
      <c r="AP139" s="109">
        <v>1000</v>
      </c>
      <c r="AQ139" s="109">
        <v>0</v>
      </c>
      <c r="AR139" s="109">
        <v>0</v>
      </c>
      <c r="AS139" s="109"/>
      <c r="AT139" s="109">
        <f>SUM(AC139:AS139)</f>
        <v>576252.85207500006</v>
      </c>
      <c r="AU139" s="111">
        <f>IFERROR((AT139/N139),0)</f>
        <v>576252.85207500006</v>
      </c>
      <c r="AV139" s="109">
        <f>IFERROR((BS139*'CALCULO GERAL'!$E$11)/N139,0)</f>
        <v>16694.8683384</v>
      </c>
      <c r="AW139" s="109">
        <f>AU139/'CALCULO GERAL'!$C$11</f>
        <v>114814.27616557085</v>
      </c>
      <c r="AX139" s="109">
        <f>BP139-BB139-BD139*'CALCULO GERAL'!$C$11</f>
        <v>822222.26566619996</v>
      </c>
      <c r="AY139" s="109">
        <f>AX139*G139</f>
        <v>5344.4447268302993</v>
      </c>
      <c r="AZ139" s="109">
        <f>AX139*H139</f>
        <v>24666.667969986</v>
      </c>
      <c r="BA139" s="109">
        <f>BP139-BD139</f>
        <v>834743.41691999999</v>
      </c>
      <c r="BB139" s="109">
        <f>BA139*L139</f>
        <v>12521.151253799999</v>
      </c>
      <c r="BC139" s="109">
        <f>BP139/(1+D139)</f>
        <v>834743.41691999999</v>
      </c>
      <c r="BD139" s="109">
        <f>BC139*D139</f>
        <v>0</v>
      </c>
      <c r="BE139" s="109">
        <f>BT139*0.08</f>
        <v>66779.473353599999</v>
      </c>
      <c r="BF139" s="109">
        <f>BT139*0.12</f>
        <v>100169.21003039999</v>
      </c>
      <c r="BG139" s="109">
        <f>(BF139*0.09)/N139</f>
        <v>9015.2289027359984</v>
      </c>
      <c r="BH139" s="109">
        <f>(BE139*0.15)/N139</f>
        <v>10016.921003039999</v>
      </c>
      <c r="BI139" s="109">
        <f>IF(BE139&gt;=$BX$1,($BX$1-BE139)*0.1,IF(BE139&lt;=$BX$1,($BX$1*0)))/N139</f>
        <v>-677.9483353600001</v>
      </c>
      <c r="BJ139" s="109">
        <f>(AY139+AZ139+BB139+AV139+BD139+BG139+BH139+BI139)</f>
        <v>77581.3338594323</v>
      </c>
      <c r="BK139" s="109">
        <f>BJ139+AU139</f>
        <v>653834.18593443232</v>
      </c>
      <c r="BL139" s="148">
        <v>0.7</v>
      </c>
      <c r="BM139" s="112">
        <f>ROUND((AW139/BL139)+((AW139*BL139)*'CALCULO GERAL'!$E$11)/BL139,2)</f>
        <v>166316.68</v>
      </c>
      <c r="BN139" s="186">
        <f>BM139</f>
        <v>166316.68</v>
      </c>
      <c r="BO139" s="186">
        <f>ROUND(FV(0.02,8,,BN139)*-1,3)</f>
        <v>194866.49799999999</v>
      </c>
      <c r="BP139" s="109">
        <f>BM139*'CALCULO GERAL'!$C$11</f>
        <v>834743.41691999999</v>
      </c>
      <c r="BQ139" s="109">
        <f>BO139*'CALCULO GERAL'!$C$11</f>
        <v>978034.953462</v>
      </c>
      <c r="BR139" s="186">
        <f>BN139*'CALCULO GERAL'!$C$11</f>
        <v>834743.41691999999</v>
      </c>
      <c r="BS139" s="109">
        <f>BP139*N139</f>
        <v>834743.41691999999</v>
      </c>
      <c r="BT139" s="109">
        <f>BR139*N139</f>
        <v>834743.41691999999</v>
      </c>
      <c r="BU139" s="109">
        <f>BK139*N139</f>
        <v>653834.18593443232</v>
      </c>
      <c r="BV139" s="109">
        <f>BS139-BU139</f>
        <v>180909.23098556767</v>
      </c>
      <c r="BW139" s="114">
        <f>(((BK139*N139)-BS139)/BS139*-1)</f>
        <v>0.21672435783091132</v>
      </c>
      <c r="BX139" s="152">
        <f>ROUND(BL139,2)</f>
        <v>0.7</v>
      </c>
      <c r="BY139" s="152"/>
      <c r="BZ139" s="55"/>
      <c r="CA139" s="113"/>
      <c r="CB139" s="113"/>
      <c r="CC139" s="152"/>
      <c r="CD139" s="152">
        <f>CB139/BX139</f>
        <v>0</v>
      </c>
      <c r="CE139" s="152">
        <f>100%-CD139</f>
        <v>1</v>
      </c>
      <c r="CF139" s="152">
        <f>AVERAGE(CE139,CC139)</f>
        <v>1</v>
      </c>
      <c r="CG139" s="34"/>
      <c r="CI139" s="56"/>
      <c r="CJ139" s="56"/>
    </row>
    <row r="140" spans="1:88" x14ac:dyDescent="0.2">
      <c r="A140" s="125" t="s">
        <v>269</v>
      </c>
      <c r="B140" s="187" t="s">
        <v>270</v>
      </c>
      <c r="C140" s="6">
        <v>0.112</v>
      </c>
      <c r="D140" s="8">
        <v>0</v>
      </c>
      <c r="E140" s="7">
        <v>2.1000000000000001E-2</v>
      </c>
      <c r="F140" s="7">
        <v>0.1065</v>
      </c>
      <c r="G140" s="1">
        <v>6.4999999999999997E-3</v>
      </c>
      <c r="H140" s="1">
        <v>0.03</v>
      </c>
      <c r="I140" s="1">
        <v>0.18</v>
      </c>
      <c r="J140" s="1">
        <v>0.04</v>
      </c>
      <c r="K140" s="1">
        <v>0.14000000000000001</v>
      </c>
      <c r="L140" s="1">
        <v>1.4999999999999999E-2</v>
      </c>
      <c r="M140" s="2" t="s">
        <v>175</v>
      </c>
      <c r="N140" s="105">
        <v>1</v>
      </c>
      <c r="O140" s="119"/>
      <c r="P140" s="119"/>
      <c r="Q140" s="119"/>
      <c r="R140" s="119"/>
      <c r="S140" s="119"/>
      <c r="T140" s="119"/>
      <c r="U140" s="119"/>
      <c r="V140" s="119">
        <v>19500</v>
      </c>
      <c r="W140" s="119"/>
      <c r="X140" s="119">
        <f t="shared" si="67"/>
        <v>19500</v>
      </c>
      <c r="Y140" s="118">
        <f t="shared" si="68"/>
        <v>19500</v>
      </c>
      <c r="Z140" s="109">
        <f t="shared" si="69"/>
        <v>19500</v>
      </c>
      <c r="AA140" s="109">
        <f>'CALCULO GERAL'!$G$10</f>
        <v>6300</v>
      </c>
      <c r="AB140" s="109">
        <f t="shared" si="70"/>
        <v>25800</v>
      </c>
      <c r="AC140" s="109">
        <f>AB140*'CALCULO GERAL'!$C$11</f>
        <v>129490.2</v>
      </c>
      <c r="AD140" s="109">
        <f t="shared" si="71"/>
        <v>14502.902400000001</v>
      </c>
      <c r="AE140" s="109">
        <f t="shared" si="72"/>
        <v>0</v>
      </c>
      <c r="AF140" s="109">
        <f t="shared" si="73"/>
        <v>2719.2942000000003</v>
      </c>
      <c r="AG140" s="109">
        <f t="shared" si="74"/>
        <v>13790.7063</v>
      </c>
      <c r="AH140" s="109">
        <v>154.22999999999999</v>
      </c>
      <c r="AI140" s="109">
        <f>((AA140*'CALCULO GERAL'!$C$11))*0.08+20</f>
        <v>2549.576</v>
      </c>
      <c r="AJ140" s="109">
        <v>1010</v>
      </c>
      <c r="AK140" s="109">
        <v>2500</v>
      </c>
      <c r="AL140" s="109">
        <f>(AA140*('CALCULO GERAL'!$C$11*1.02))-(AA140*'CALCULO GERAL'!$C$11)</f>
        <v>632.39400000000387</v>
      </c>
      <c r="AM140" s="109">
        <v>1800</v>
      </c>
      <c r="AN140" s="109">
        <v>2600</v>
      </c>
      <c r="AO140" s="109">
        <v>9400</v>
      </c>
      <c r="AP140" s="109">
        <v>1000</v>
      </c>
      <c r="AQ140" s="109">
        <v>0</v>
      </c>
      <c r="AR140" s="109">
        <v>0</v>
      </c>
      <c r="AS140" s="109"/>
      <c r="AT140" s="109">
        <f t="shared" si="34"/>
        <v>182149.30290000001</v>
      </c>
      <c r="AU140" s="111">
        <f t="shared" si="75"/>
        <v>182149.30290000001</v>
      </c>
      <c r="AV140" s="109">
        <f>IFERROR((BS140*'CALCULO GERAL'!$E$11)/N140,0)</f>
        <v>5277.1251624000006</v>
      </c>
      <c r="AW140" s="109">
        <f>AU140/'CALCULO GERAL'!$C$11</f>
        <v>36291.951165570834</v>
      </c>
      <c r="AX140" s="109">
        <f>BP140-BB140-BD140*'CALCULO GERAL'!$C$11</f>
        <v>259898.41424820002</v>
      </c>
      <c r="AY140" s="109">
        <f t="shared" si="76"/>
        <v>1689.3396926133</v>
      </c>
      <c r="AZ140" s="109">
        <f t="shared" si="77"/>
        <v>7796.952427446</v>
      </c>
      <c r="BA140" s="109">
        <f t="shared" si="78"/>
        <v>263856.25812000001</v>
      </c>
      <c r="BB140" s="109">
        <f t="shared" si="79"/>
        <v>3957.8438718000002</v>
      </c>
      <c r="BC140" s="109">
        <f t="shared" si="80"/>
        <v>263856.25812000001</v>
      </c>
      <c r="BD140" s="109">
        <f t="shared" si="81"/>
        <v>0</v>
      </c>
      <c r="BE140" s="109">
        <f t="shared" si="82"/>
        <v>21108.500649600002</v>
      </c>
      <c r="BF140" s="109">
        <f t="shared" si="83"/>
        <v>31662.750974400002</v>
      </c>
      <c r="BG140" s="109">
        <f t="shared" si="84"/>
        <v>2849.6475876959998</v>
      </c>
      <c r="BH140" s="109">
        <f t="shared" si="85"/>
        <v>3166.2750974400001</v>
      </c>
      <c r="BI140" s="109">
        <f t="shared" si="86"/>
        <v>0</v>
      </c>
      <c r="BJ140" s="109">
        <f t="shared" si="87"/>
        <v>24737.1838393953</v>
      </c>
      <c r="BK140" s="109">
        <f t="shared" si="88"/>
        <v>206886.4867393953</v>
      </c>
      <c r="BL140" s="148">
        <v>0.7</v>
      </c>
      <c r="BM140" s="112">
        <f>ROUND((AW140/BL140)+((AW140*BL140)*'CALCULO GERAL'!$E$11)/BL140,2)</f>
        <v>52571.48</v>
      </c>
      <c r="BN140" s="186">
        <f t="shared" si="21"/>
        <v>52571.48</v>
      </c>
      <c r="BO140" s="186">
        <f t="shared" si="89"/>
        <v>61595.868000000002</v>
      </c>
      <c r="BP140" s="109">
        <f>BM140*'CALCULO GERAL'!$C$11</f>
        <v>263856.25812000001</v>
      </c>
      <c r="BQ140" s="109">
        <f>BO140*'CALCULO GERAL'!$C$11</f>
        <v>309149.66149200004</v>
      </c>
      <c r="BR140" s="186">
        <f>BN140*'CALCULO GERAL'!$C$11</f>
        <v>263856.25812000001</v>
      </c>
      <c r="BS140" s="109">
        <f t="shared" si="90"/>
        <v>263856.25812000001</v>
      </c>
      <c r="BT140" s="109">
        <f t="shared" si="91"/>
        <v>263856.25812000001</v>
      </c>
      <c r="BU140" s="109">
        <f t="shared" si="40"/>
        <v>206886.4867393953</v>
      </c>
      <c r="BV140" s="109">
        <f t="shared" si="37"/>
        <v>56969.77138060471</v>
      </c>
      <c r="BW140" s="114">
        <f t="shared" si="92"/>
        <v>0.21591214772209516</v>
      </c>
      <c r="BX140" s="152">
        <f t="shared" si="41"/>
        <v>0.7</v>
      </c>
      <c r="BY140" s="152"/>
      <c r="BZ140" s="55"/>
      <c r="CA140" s="113"/>
      <c r="CB140" s="113"/>
      <c r="CC140" s="152"/>
      <c r="CD140" s="152">
        <f t="shared" si="42"/>
        <v>0</v>
      </c>
      <c r="CE140" s="152">
        <f t="shared" si="38"/>
        <v>1</v>
      </c>
      <c r="CF140" s="152">
        <f t="shared" si="39"/>
        <v>1</v>
      </c>
      <c r="CG140" s="34"/>
      <c r="CI140" s="56"/>
      <c r="CJ140" s="56"/>
    </row>
    <row r="141" spans="1:88" x14ac:dyDescent="0.2">
      <c r="A141" s="125" t="s">
        <v>599</v>
      </c>
      <c r="B141" s="187" t="s">
        <v>600</v>
      </c>
      <c r="C141" s="6">
        <v>0.12</v>
      </c>
      <c r="D141" s="8">
        <v>6.5000000000000002E-2</v>
      </c>
      <c r="E141" s="7">
        <v>2.1000000000000001E-2</v>
      </c>
      <c r="F141" s="7">
        <v>9.6500000000000002E-2</v>
      </c>
      <c r="G141" s="1">
        <v>6.4999999999999997E-3</v>
      </c>
      <c r="H141" s="1">
        <v>0.03</v>
      </c>
      <c r="I141" s="1">
        <v>0.18</v>
      </c>
      <c r="J141" s="1">
        <v>0.04</v>
      </c>
      <c r="K141" s="1">
        <v>0.14000000000000001</v>
      </c>
      <c r="L141" s="1">
        <v>1.4999999999999999E-2</v>
      </c>
      <c r="M141" s="2" t="s">
        <v>175</v>
      </c>
      <c r="N141" s="105"/>
      <c r="O141" s="119"/>
      <c r="P141" s="119"/>
      <c r="Q141" s="119"/>
      <c r="R141" s="119"/>
      <c r="S141" s="119"/>
      <c r="T141" s="119"/>
      <c r="U141" s="119"/>
      <c r="V141" s="119">
        <v>0.04</v>
      </c>
      <c r="W141" s="119"/>
      <c r="X141" s="119">
        <f>MIN(O141:W141)</f>
        <v>0.04</v>
      </c>
      <c r="Y141" s="118">
        <f>AVERAGE(O141:W141)</f>
        <v>0.04</v>
      </c>
      <c r="Z141" s="109">
        <f>Y141*N141</f>
        <v>0</v>
      </c>
      <c r="AA141" s="109">
        <f>'CALCULO GERAL'!$G$10</f>
        <v>6300</v>
      </c>
      <c r="AB141" s="109">
        <f>Z141+AA141</f>
        <v>6300</v>
      </c>
      <c r="AC141" s="109">
        <f>AB141*'CALCULO GERAL'!$C$11</f>
        <v>31619.7</v>
      </c>
      <c r="AD141" s="109">
        <f>AC141*C141</f>
        <v>3794.364</v>
      </c>
      <c r="AE141" s="109">
        <f>(AC141+AD141)*D141</f>
        <v>2301.9141599999998</v>
      </c>
      <c r="AF141" s="109">
        <f>AC141*E141</f>
        <v>664.01370000000009</v>
      </c>
      <c r="AG141" s="109">
        <f>AC141*F141</f>
        <v>3051.30105</v>
      </c>
      <c r="AH141" s="109">
        <v>154.22999999999999</v>
      </c>
      <c r="AI141" s="109">
        <f>((AA141*'CALCULO GERAL'!$C$11))*0.08+20</f>
        <v>2549.576</v>
      </c>
      <c r="AJ141" s="109">
        <v>1010</v>
      </c>
      <c r="AK141" s="109">
        <v>2500</v>
      </c>
      <c r="AL141" s="109">
        <f>(AA141*('CALCULO GERAL'!$C$11*1.02))-(AA141*'CALCULO GERAL'!$C$11)</f>
        <v>632.39400000000387</v>
      </c>
      <c r="AM141" s="109">
        <v>1800</v>
      </c>
      <c r="AN141" s="109">
        <v>2600</v>
      </c>
      <c r="AO141" s="109">
        <v>9400</v>
      </c>
      <c r="AP141" s="109">
        <v>1000</v>
      </c>
      <c r="AQ141" s="109">
        <v>0</v>
      </c>
      <c r="AR141" s="109">
        <v>0</v>
      </c>
      <c r="AS141" s="109"/>
      <c r="AT141" s="109">
        <f>SUM(AC141:AS141)</f>
        <v>63077.492910000015</v>
      </c>
      <c r="AU141" s="111">
        <f>IFERROR((AT141/N141),0)</f>
        <v>0</v>
      </c>
      <c r="AV141" s="109">
        <f>IFERROR((BS141*'CALCULO GERAL'!$E$11)/N141,0)</f>
        <v>0</v>
      </c>
      <c r="AW141" s="109">
        <f>AU141/'CALCULO GERAL'!$C$11</f>
        <v>0</v>
      </c>
      <c r="AX141" s="109">
        <f>BP141-BB141-BD141*'CALCULO GERAL'!$C$11</f>
        <v>0</v>
      </c>
      <c r="AY141" s="109">
        <f>AX141*G141</f>
        <v>0</v>
      </c>
      <c r="AZ141" s="109">
        <f>AX141*H141</f>
        <v>0</v>
      </c>
      <c r="BA141" s="109">
        <f>BP141-BD141</f>
        <v>0</v>
      </c>
      <c r="BB141" s="109">
        <f>BA141*L141</f>
        <v>0</v>
      </c>
      <c r="BC141" s="109">
        <f>BP141/(1+D141)</f>
        <v>0</v>
      </c>
      <c r="BD141" s="109">
        <f>BC141*D141</f>
        <v>0</v>
      </c>
      <c r="BE141" s="109">
        <f>BT141*0.08</f>
        <v>0</v>
      </c>
      <c r="BF141" s="109">
        <f>BT141*0.12</f>
        <v>0</v>
      </c>
      <c r="BG141" s="109" t="e">
        <f>(BF141*0.09)/N141</f>
        <v>#DIV/0!</v>
      </c>
      <c r="BH141" s="109" t="e">
        <f>(BE141*0.15)/N141</f>
        <v>#DIV/0!</v>
      </c>
      <c r="BI141" s="109" t="e">
        <f>IF(BE141&gt;=$BX$1,($BX$1-BE141)*0.1,IF(BE141&lt;=$BX$1,($BX$1*0)))/N141</f>
        <v>#DIV/0!</v>
      </c>
      <c r="BJ141" s="109" t="e">
        <f>(AY141+AZ141+BB141+AV141+BD141+BG141+BH141+BI141)</f>
        <v>#DIV/0!</v>
      </c>
      <c r="BK141" s="109" t="e">
        <f>BJ141+AU141</f>
        <v>#DIV/0!</v>
      </c>
      <c r="BL141" s="148">
        <v>0.82</v>
      </c>
      <c r="BM141" s="112">
        <f>ROUND((AW141/BL141)+((AW141*BL141)*'CALCULO GERAL'!$E$11)/BL141,2)</f>
        <v>0</v>
      </c>
      <c r="BN141" s="186">
        <f>BM141</f>
        <v>0</v>
      </c>
      <c r="BO141" s="186">
        <f>ROUND(FV(0.02,8,,BN141)*-1,3)</f>
        <v>0</v>
      </c>
      <c r="BP141" s="109">
        <f>BM141*'CALCULO GERAL'!$C$11</f>
        <v>0</v>
      </c>
      <c r="BQ141" s="109">
        <f>BO141*'CALCULO GERAL'!$C$11</f>
        <v>0</v>
      </c>
      <c r="BR141" s="186">
        <f>BN141*'CALCULO GERAL'!$C$11</f>
        <v>0</v>
      </c>
      <c r="BS141" s="109">
        <f>BP141*N141</f>
        <v>0</v>
      </c>
      <c r="BT141" s="109">
        <f>BR141*N141</f>
        <v>0</v>
      </c>
      <c r="BU141" s="109" t="e">
        <f>BK141*N141</f>
        <v>#DIV/0!</v>
      </c>
      <c r="BV141" s="109" t="e">
        <f>BS141-BU141</f>
        <v>#DIV/0!</v>
      </c>
      <c r="BW141" s="114" t="e">
        <f>(((BK141*N141)-BS141)/BS141*-1)</f>
        <v>#DIV/0!</v>
      </c>
      <c r="BX141" s="152">
        <f>ROUND(BL141,2)</f>
        <v>0.82</v>
      </c>
      <c r="BY141" s="152"/>
      <c r="BZ141" s="55"/>
      <c r="CA141" s="113"/>
      <c r="CB141" s="113"/>
      <c r="CC141" s="152"/>
      <c r="CD141" s="152">
        <f>CB141/BX141</f>
        <v>0</v>
      </c>
      <c r="CE141" s="152">
        <f>100%-CD141</f>
        <v>1</v>
      </c>
      <c r="CF141" s="152">
        <f>AVERAGE(CE141,CC141)</f>
        <v>1</v>
      </c>
      <c r="CG141" s="34"/>
      <c r="CI141" s="56"/>
      <c r="CJ141" s="56"/>
    </row>
    <row r="142" spans="1:88" x14ac:dyDescent="0.2">
      <c r="A142" s="125" t="s">
        <v>601</v>
      </c>
      <c r="B142" s="187" t="s">
        <v>602</v>
      </c>
      <c r="C142" s="6">
        <v>0.18</v>
      </c>
      <c r="D142" s="8">
        <v>5.8999999999999997E-2</v>
      </c>
      <c r="E142" s="7">
        <v>2.1000000000000001E-2</v>
      </c>
      <c r="F142" s="7">
        <v>9.6500000000000002E-2</v>
      </c>
      <c r="G142" s="1">
        <v>6.4999999999999997E-3</v>
      </c>
      <c r="H142" s="1">
        <v>0.03</v>
      </c>
      <c r="I142" s="1">
        <v>0.18</v>
      </c>
      <c r="J142" s="1">
        <v>0.04</v>
      </c>
      <c r="K142" s="1">
        <v>0.14000000000000001</v>
      </c>
      <c r="L142" s="1">
        <v>1.4999999999999999E-2</v>
      </c>
      <c r="M142" s="2" t="s">
        <v>175</v>
      </c>
      <c r="N142" s="105"/>
      <c r="O142" s="119"/>
      <c r="P142" s="119"/>
      <c r="Q142" s="119"/>
      <c r="R142" s="119"/>
      <c r="S142" s="119"/>
      <c r="T142" s="119"/>
      <c r="U142" s="119"/>
      <c r="V142" s="119">
        <v>0.04</v>
      </c>
      <c r="W142" s="119"/>
      <c r="X142" s="119">
        <f>MIN(O142:W142)</f>
        <v>0.04</v>
      </c>
      <c r="Y142" s="118">
        <f>AVERAGE(O142:W142)</f>
        <v>0.04</v>
      </c>
      <c r="Z142" s="109">
        <f>Y142*N142</f>
        <v>0</v>
      </c>
      <c r="AA142" s="109">
        <f>'CALCULO GERAL'!$G$10</f>
        <v>6300</v>
      </c>
      <c r="AB142" s="109">
        <f>Z142+AA142</f>
        <v>6300</v>
      </c>
      <c r="AC142" s="109">
        <f>AB142*'CALCULO GERAL'!$C$11</f>
        <v>31619.7</v>
      </c>
      <c r="AD142" s="109">
        <f>AC142*C142</f>
        <v>5691.5460000000003</v>
      </c>
      <c r="AE142" s="109">
        <f>(AC142+AD142)*D142</f>
        <v>2201.3635139999997</v>
      </c>
      <c r="AF142" s="109">
        <f>AC142*E142</f>
        <v>664.01370000000009</v>
      </c>
      <c r="AG142" s="109">
        <f>AC142*F142</f>
        <v>3051.30105</v>
      </c>
      <c r="AH142" s="109">
        <v>154.22999999999999</v>
      </c>
      <c r="AI142" s="109">
        <f>((AA142*'CALCULO GERAL'!$C$11))*0.08+20</f>
        <v>2549.576</v>
      </c>
      <c r="AJ142" s="109">
        <v>1010</v>
      </c>
      <c r="AK142" s="109">
        <v>2500</v>
      </c>
      <c r="AL142" s="109">
        <f>(AA142*('CALCULO GERAL'!$C$11*1.02))-(AA142*'CALCULO GERAL'!$C$11)</f>
        <v>632.39400000000387</v>
      </c>
      <c r="AM142" s="109">
        <v>1800</v>
      </c>
      <c r="AN142" s="109">
        <v>2600</v>
      </c>
      <c r="AO142" s="109">
        <v>9400</v>
      </c>
      <c r="AP142" s="109">
        <v>1000</v>
      </c>
      <c r="AQ142" s="109">
        <v>0</v>
      </c>
      <c r="AR142" s="109">
        <v>0</v>
      </c>
      <c r="AS142" s="109"/>
      <c r="AT142" s="109">
        <f>SUM(AC142:AS142)</f>
        <v>64874.124264000013</v>
      </c>
      <c r="AU142" s="111">
        <f>IFERROR((AT142/N142),0)</f>
        <v>0</v>
      </c>
      <c r="AV142" s="109">
        <f>IFERROR((BS142*'CALCULO GERAL'!$E$11)/N142,0)</f>
        <v>0</v>
      </c>
      <c r="AW142" s="109">
        <f>AU142/'CALCULO GERAL'!$C$11</f>
        <v>0</v>
      </c>
      <c r="AX142" s="109">
        <f>BP142-BB142-BD142*'CALCULO GERAL'!$C$11</f>
        <v>0</v>
      </c>
      <c r="AY142" s="109">
        <f>AX142*G142</f>
        <v>0</v>
      </c>
      <c r="AZ142" s="109">
        <f>AX142*H142</f>
        <v>0</v>
      </c>
      <c r="BA142" s="109">
        <f>BP142-BD142</f>
        <v>0</v>
      </c>
      <c r="BB142" s="109">
        <f>BA142*L142</f>
        <v>0</v>
      </c>
      <c r="BC142" s="109">
        <f>BP142/(1+D142)</f>
        <v>0</v>
      </c>
      <c r="BD142" s="109">
        <f>BC142*D142</f>
        <v>0</v>
      </c>
      <c r="BE142" s="109">
        <f>BT142*0.08</f>
        <v>0</v>
      </c>
      <c r="BF142" s="109">
        <f>BT142*0.12</f>
        <v>0</v>
      </c>
      <c r="BG142" s="109" t="e">
        <f>(BF142*0.09)/N142</f>
        <v>#DIV/0!</v>
      </c>
      <c r="BH142" s="109" t="e">
        <f>(BE142*0.15)/N142</f>
        <v>#DIV/0!</v>
      </c>
      <c r="BI142" s="109" t="e">
        <f>IF(BE142&gt;=$BX$1,($BX$1-BE142)*0.1,IF(BE142&lt;=$BX$1,($BX$1*0)))/N142</f>
        <v>#DIV/0!</v>
      </c>
      <c r="BJ142" s="109" t="e">
        <f>(AY142+AZ142+BB142+AV142+BD142+BG142+BH142+BI142)</f>
        <v>#DIV/0!</v>
      </c>
      <c r="BK142" s="109" t="e">
        <f>BJ142+AU142</f>
        <v>#DIV/0!</v>
      </c>
      <c r="BL142" s="148">
        <v>0.82</v>
      </c>
      <c r="BM142" s="112">
        <f>ROUND((AW142/BL142)+((AW142*BL142)*'CALCULO GERAL'!$E$11)/BL142,2)</f>
        <v>0</v>
      </c>
      <c r="BN142" s="186">
        <f>BM142</f>
        <v>0</v>
      </c>
      <c r="BO142" s="186">
        <f>ROUND(FV(0.02,8,,BN142)*-1,3)</f>
        <v>0</v>
      </c>
      <c r="BP142" s="109">
        <f>BM142*'CALCULO GERAL'!$C$11</f>
        <v>0</v>
      </c>
      <c r="BQ142" s="109">
        <f>BO142*'CALCULO GERAL'!$C$11</f>
        <v>0</v>
      </c>
      <c r="BR142" s="186">
        <f>BN142*'CALCULO GERAL'!$C$11</f>
        <v>0</v>
      </c>
      <c r="BS142" s="109">
        <f>BP142*N142</f>
        <v>0</v>
      </c>
      <c r="BT142" s="109">
        <f>BR142*N142</f>
        <v>0</v>
      </c>
      <c r="BU142" s="109" t="e">
        <f>BK142*N142</f>
        <v>#DIV/0!</v>
      </c>
      <c r="BV142" s="109" t="e">
        <f>BS142-BU142</f>
        <v>#DIV/0!</v>
      </c>
      <c r="BW142" s="114" t="e">
        <f>(((BK142*N142)-BS142)/BS142*-1)</f>
        <v>#DIV/0!</v>
      </c>
      <c r="BX142" s="152">
        <f>ROUND(BL142,2)</f>
        <v>0.82</v>
      </c>
      <c r="BY142" s="152"/>
      <c r="BZ142" s="55"/>
      <c r="CA142" s="113"/>
      <c r="CB142" s="113"/>
      <c r="CC142" s="152"/>
      <c r="CD142" s="152">
        <f>CB142/BX142</f>
        <v>0</v>
      </c>
      <c r="CE142" s="152">
        <f>100%-CD142</f>
        <v>1</v>
      </c>
      <c r="CF142" s="152">
        <f>AVERAGE(CE142,CC142)</f>
        <v>1</v>
      </c>
      <c r="CG142" s="34"/>
      <c r="CI142" s="56"/>
      <c r="CJ142" s="56"/>
    </row>
    <row r="143" spans="1:88" x14ac:dyDescent="0.2">
      <c r="A143" s="125" t="s">
        <v>603</v>
      </c>
      <c r="B143" s="187" t="s">
        <v>604</v>
      </c>
      <c r="C143" s="6">
        <v>0.16200000000000001</v>
      </c>
      <c r="D143" s="8">
        <v>0</v>
      </c>
      <c r="E143" s="7">
        <v>2.1000000000000001E-2</v>
      </c>
      <c r="F143" s="7">
        <v>9.6500000000000002E-2</v>
      </c>
      <c r="G143" s="1">
        <v>6.4999999999999997E-3</v>
      </c>
      <c r="H143" s="1">
        <v>0.03</v>
      </c>
      <c r="I143" s="1">
        <v>0.18</v>
      </c>
      <c r="J143" s="1">
        <v>0.04</v>
      </c>
      <c r="K143" s="1">
        <v>0.14000000000000001</v>
      </c>
      <c r="L143" s="1">
        <v>1.4999999999999999E-2</v>
      </c>
      <c r="M143" s="2" t="s">
        <v>175</v>
      </c>
      <c r="N143" s="105"/>
      <c r="O143" s="119"/>
      <c r="P143" s="119"/>
      <c r="Q143" s="119"/>
      <c r="R143" s="119"/>
      <c r="S143" s="119"/>
      <c r="T143" s="119"/>
      <c r="U143" s="119"/>
      <c r="V143" s="119">
        <v>0.04</v>
      </c>
      <c r="W143" s="119"/>
      <c r="X143" s="119">
        <f>MIN(O143:W143)</f>
        <v>0.04</v>
      </c>
      <c r="Y143" s="118">
        <f>AVERAGE(O143:W143)</f>
        <v>0.04</v>
      </c>
      <c r="Z143" s="109">
        <f>Y143*N143</f>
        <v>0</v>
      </c>
      <c r="AA143" s="109">
        <f>'CALCULO GERAL'!$G$10</f>
        <v>6300</v>
      </c>
      <c r="AB143" s="109">
        <f>Z143+AA143</f>
        <v>6300</v>
      </c>
      <c r="AC143" s="109">
        <f>AB143*'CALCULO GERAL'!$C$11</f>
        <v>31619.7</v>
      </c>
      <c r="AD143" s="109">
        <f>AC143*C143</f>
        <v>5122.3914000000004</v>
      </c>
      <c r="AE143" s="109">
        <f>(AC143+AD143)*D143</f>
        <v>0</v>
      </c>
      <c r="AF143" s="109">
        <f>AC143*E143</f>
        <v>664.01370000000009</v>
      </c>
      <c r="AG143" s="109">
        <f>AC143*F143</f>
        <v>3051.30105</v>
      </c>
      <c r="AH143" s="109">
        <v>154.22999999999999</v>
      </c>
      <c r="AI143" s="109">
        <f>((AA143*'CALCULO GERAL'!$C$11))*0.08+20</f>
        <v>2549.576</v>
      </c>
      <c r="AJ143" s="109">
        <v>1010</v>
      </c>
      <c r="AK143" s="109">
        <v>2500</v>
      </c>
      <c r="AL143" s="109">
        <f>(AA143*('CALCULO GERAL'!$C$11*1.02))-(AA143*'CALCULO GERAL'!$C$11)</f>
        <v>632.39400000000387</v>
      </c>
      <c r="AM143" s="109">
        <v>1800</v>
      </c>
      <c r="AN143" s="109">
        <v>2600</v>
      </c>
      <c r="AO143" s="109">
        <v>9400</v>
      </c>
      <c r="AP143" s="109">
        <v>1000</v>
      </c>
      <c r="AQ143" s="109">
        <v>0</v>
      </c>
      <c r="AR143" s="109">
        <v>0</v>
      </c>
      <c r="AS143" s="109"/>
      <c r="AT143" s="109">
        <f>SUM(AC143:AS143)</f>
        <v>62103.606150000021</v>
      </c>
      <c r="AU143" s="111">
        <f>IFERROR((AT143/N143),0)</f>
        <v>0</v>
      </c>
      <c r="AV143" s="109">
        <f>IFERROR((BS143*'CALCULO GERAL'!$E$11)/N143,0)</f>
        <v>0</v>
      </c>
      <c r="AW143" s="109">
        <f>AU143/'CALCULO GERAL'!$C$11</f>
        <v>0</v>
      </c>
      <c r="AX143" s="109">
        <f>BP143-BB143-BD143*'CALCULO GERAL'!$C$11</f>
        <v>0</v>
      </c>
      <c r="AY143" s="109">
        <f>AX143*G143</f>
        <v>0</v>
      </c>
      <c r="AZ143" s="109">
        <f>AX143*H143</f>
        <v>0</v>
      </c>
      <c r="BA143" s="109">
        <f>BP143-BD143</f>
        <v>0</v>
      </c>
      <c r="BB143" s="109">
        <f>BA143*L143</f>
        <v>0</v>
      </c>
      <c r="BC143" s="109">
        <f>BP143/(1+D143)</f>
        <v>0</v>
      </c>
      <c r="BD143" s="109">
        <f>BC143*D143</f>
        <v>0</v>
      </c>
      <c r="BE143" s="109">
        <f>BT143*0.08</f>
        <v>0</v>
      </c>
      <c r="BF143" s="109">
        <f>BT143*0.12</f>
        <v>0</v>
      </c>
      <c r="BG143" s="109" t="e">
        <f>(BF143*0.09)/N143</f>
        <v>#DIV/0!</v>
      </c>
      <c r="BH143" s="109" t="e">
        <f>(BE143*0.15)/N143</f>
        <v>#DIV/0!</v>
      </c>
      <c r="BI143" s="109" t="e">
        <f>IF(BE143&gt;=$BX$1,($BX$1-BE143)*0.1,IF(BE143&lt;=$BX$1,($BX$1*0)))/N143</f>
        <v>#DIV/0!</v>
      </c>
      <c r="BJ143" s="109" t="e">
        <f>(AY143+AZ143+BB143+AV143+BD143+BG143+BH143+BI143)</f>
        <v>#DIV/0!</v>
      </c>
      <c r="BK143" s="109" t="e">
        <f>BJ143+AU143</f>
        <v>#DIV/0!</v>
      </c>
      <c r="BL143" s="148">
        <v>0.82</v>
      </c>
      <c r="BM143" s="112">
        <f>ROUND((AW143/BL143)+((AW143*BL143)*'CALCULO GERAL'!$E$11)/BL143,2)</f>
        <v>0</v>
      </c>
      <c r="BN143" s="186">
        <f>BM143</f>
        <v>0</v>
      </c>
      <c r="BO143" s="186">
        <f>ROUND(FV(0.02,8,,BN143)*-1,3)</f>
        <v>0</v>
      </c>
      <c r="BP143" s="109">
        <f>BM143*'CALCULO GERAL'!$C$11</f>
        <v>0</v>
      </c>
      <c r="BQ143" s="109">
        <f>BO143*'CALCULO GERAL'!$C$11</f>
        <v>0</v>
      </c>
      <c r="BR143" s="186">
        <f>BN143*'CALCULO GERAL'!$C$11</f>
        <v>0</v>
      </c>
      <c r="BS143" s="109">
        <f>BP143*N143</f>
        <v>0</v>
      </c>
      <c r="BT143" s="109">
        <f>BR143*N143</f>
        <v>0</v>
      </c>
      <c r="BU143" s="109" t="e">
        <f>BK143*N143</f>
        <v>#DIV/0!</v>
      </c>
      <c r="BV143" s="109" t="e">
        <f>BS143-BU143</f>
        <v>#DIV/0!</v>
      </c>
      <c r="BW143" s="114" t="e">
        <f>(((BK143*N143)-BS143)/BS143*-1)</f>
        <v>#DIV/0!</v>
      </c>
      <c r="BX143" s="152">
        <f>ROUND(BL143,2)</f>
        <v>0.82</v>
      </c>
      <c r="BY143" s="152"/>
      <c r="BZ143" s="55"/>
      <c r="CA143" s="113"/>
      <c r="CB143" s="113"/>
      <c r="CC143" s="152"/>
      <c r="CD143" s="152">
        <f>CB143/BX143</f>
        <v>0</v>
      </c>
      <c r="CE143" s="152">
        <f>100%-CD143</f>
        <v>1</v>
      </c>
      <c r="CF143" s="152">
        <f>AVERAGE(CE143,CC143)</f>
        <v>1</v>
      </c>
      <c r="CG143" s="34"/>
      <c r="CI143" s="56"/>
      <c r="CJ143" s="56"/>
    </row>
    <row r="144" spans="1:88" x14ac:dyDescent="0.2">
      <c r="A144" s="125" t="s">
        <v>605</v>
      </c>
      <c r="B144" s="187" t="s">
        <v>606</v>
      </c>
      <c r="C144" s="6">
        <v>0.16200000000000001</v>
      </c>
      <c r="D144" s="8">
        <v>3.7699999999999997E-2</v>
      </c>
      <c r="E144" s="7">
        <v>2.1000000000000001E-2</v>
      </c>
      <c r="F144" s="7">
        <v>9.6500000000000002E-2</v>
      </c>
      <c r="G144" s="1">
        <v>6.4999999999999997E-3</v>
      </c>
      <c r="H144" s="1">
        <v>0.03</v>
      </c>
      <c r="I144" s="1">
        <v>0.18</v>
      </c>
      <c r="J144" s="1">
        <v>0.04</v>
      </c>
      <c r="K144" s="1">
        <v>0.14000000000000001</v>
      </c>
      <c r="L144" s="1">
        <v>1.4999999999999999E-2</v>
      </c>
      <c r="M144" s="2" t="s">
        <v>175</v>
      </c>
      <c r="N144" s="105">
        <v>1000000</v>
      </c>
      <c r="O144" s="119"/>
      <c r="P144" s="119"/>
      <c r="Q144" s="119"/>
      <c r="R144" s="119"/>
      <c r="S144" s="119"/>
      <c r="T144" s="119"/>
      <c r="U144" s="119"/>
      <c r="V144" s="119">
        <v>0.04</v>
      </c>
      <c r="W144" s="119"/>
      <c r="X144" s="119">
        <f t="shared" si="67"/>
        <v>0.04</v>
      </c>
      <c r="Y144" s="118">
        <f t="shared" si="68"/>
        <v>0.04</v>
      </c>
      <c r="Z144" s="109">
        <f t="shared" si="69"/>
        <v>40000</v>
      </c>
      <c r="AA144" s="109">
        <f>'CALCULO GERAL'!$G$10</f>
        <v>6300</v>
      </c>
      <c r="AB144" s="109">
        <f t="shared" si="70"/>
        <v>46300</v>
      </c>
      <c r="AC144" s="109">
        <f>AB144*'CALCULO GERAL'!$C$11</f>
        <v>232379.7</v>
      </c>
      <c r="AD144" s="109">
        <f t="shared" si="71"/>
        <v>37645.511400000003</v>
      </c>
      <c r="AE144" s="109">
        <f t="shared" si="72"/>
        <v>10179.95046978</v>
      </c>
      <c r="AF144" s="109">
        <f t="shared" si="73"/>
        <v>4879.9737000000005</v>
      </c>
      <c r="AG144" s="109">
        <f t="shared" si="74"/>
        <v>22424.641050000002</v>
      </c>
      <c r="AH144" s="109">
        <v>154.22999999999999</v>
      </c>
      <c r="AI144" s="109">
        <f>((AA144*'CALCULO GERAL'!$C$11))*0.08+20</f>
        <v>2549.576</v>
      </c>
      <c r="AJ144" s="109">
        <v>1010</v>
      </c>
      <c r="AK144" s="109">
        <v>2500</v>
      </c>
      <c r="AL144" s="109">
        <f>(AA144*('CALCULO GERAL'!$C$11*1.02))-(AA144*'CALCULO GERAL'!$C$11)</f>
        <v>632.39400000000387</v>
      </c>
      <c r="AM144" s="109">
        <v>1800</v>
      </c>
      <c r="AN144" s="109">
        <v>2600</v>
      </c>
      <c r="AO144" s="109">
        <v>9400</v>
      </c>
      <c r="AP144" s="109">
        <v>1000</v>
      </c>
      <c r="AQ144" s="109">
        <v>0</v>
      </c>
      <c r="AR144" s="109">
        <v>0</v>
      </c>
      <c r="AS144" s="109"/>
      <c r="AT144" s="109">
        <f t="shared" si="34"/>
        <v>329155.97661978001</v>
      </c>
      <c r="AU144" s="111">
        <f t="shared" si="75"/>
        <v>0.32915597661978002</v>
      </c>
      <c r="AV144" s="109">
        <f>IFERROR((BS144*'CALCULO GERAL'!$E$11)/N144,0)</f>
        <v>8.0304000000000018E-3</v>
      </c>
      <c r="AW144" s="109">
        <f>AU144/'CALCULO GERAL'!$C$11</f>
        <v>6.5581983785570827E-2</v>
      </c>
      <c r="AX144" s="109">
        <f>BP144-BB144-BD144*'CALCULO GERAL'!$C$11</f>
        <v>0.32250204801387689</v>
      </c>
      <c r="AY144" s="109">
        <f t="shared" si="76"/>
        <v>2.0962633120901997E-3</v>
      </c>
      <c r="AZ144" s="109">
        <f t="shared" si="77"/>
        <v>9.6750614404163063E-3</v>
      </c>
      <c r="BA144" s="109">
        <f t="shared" si="78"/>
        <v>0.38693263949118245</v>
      </c>
      <c r="BB144" s="109">
        <f t="shared" si="79"/>
        <v>5.8039895923677363E-3</v>
      </c>
      <c r="BC144" s="109">
        <f t="shared" si="80"/>
        <v>0.38693263949118245</v>
      </c>
      <c r="BD144" s="109">
        <f t="shared" si="81"/>
        <v>1.4587360508817577E-2</v>
      </c>
      <c r="BE144" s="109">
        <f t="shared" si="82"/>
        <v>32121.600000000006</v>
      </c>
      <c r="BF144" s="109">
        <f t="shared" si="83"/>
        <v>48182.400000000009</v>
      </c>
      <c r="BG144" s="109">
        <f t="shared" si="84"/>
        <v>4.3364160000000009E-3</v>
      </c>
      <c r="BH144" s="109">
        <f t="shared" si="85"/>
        <v>4.8182400000000005E-3</v>
      </c>
      <c r="BI144" s="109">
        <f t="shared" si="86"/>
        <v>0</v>
      </c>
      <c r="BJ144" s="109">
        <f t="shared" si="87"/>
        <v>4.9347730853691825E-2</v>
      </c>
      <c r="BK144" s="109">
        <f t="shared" si="88"/>
        <v>0.37850370747347184</v>
      </c>
      <c r="BL144" s="148">
        <v>0.82</v>
      </c>
      <c r="BM144" s="112">
        <f>ROUND((AW144/BL144)+((AW144*BL144)*'CALCULO GERAL'!$E$11)/BL144,2)</f>
        <v>0.08</v>
      </c>
      <c r="BN144" s="186">
        <f t="shared" si="21"/>
        <v>0.08</v>
      </c>
      <c r="BO144" s="186">
        <f t="shared" si="89"/>
        <v>9.4E-2</v>
      </c>
      <c r="BP144" s="109">
        <f>BM144*'CALCULO GERAL'!$C$11</f>
        <v>0.40152000000000004</v>
      </c>
      <c r="BQ144" s="109">
        <f>BO144*'CALCULO GERAL'!$C$11</f>
        <v>0.47178600000000004</v>
      </c>
      <c r="BR144" s="186">
        <f>BN144*'CALCULO GERAL'!$C$11</f>
        <v>0.40152000000000004</v>
      </c>
      <c r="BS144" s="109">
        <f t="shared" si="90"/>
        <v>401520.00000000006</v>
      </c>
      <c r="BT144" s="109">
        <f t="shared" si="91"/>
        <v>401520.00000000006</v>
      </c>
      <c r="BU144" s="109">
        <f t="shared" si="40"/>
        <v>378503.70747347182</v>
      </c>
      <c r="BV144" s="109">
        <f t="shared" si="37"/>
        <v>23016.292526528239</v>
      </c>
      <c r="BW144" s="114">
        <f t="shared" si="92"/>
        <v>5.7322904280056375E-2</v>
      </c>
      <c r="BX144" s="152">
        <f t="shared" si="41"/>
        <v>0.82</v>
      </c>
      <c r="BY144" s="152"/>
      <c r="BZ144" s="55"/>
      <c r="CA144" s="113"/>
      <c r="CB144" s="113"/>
      <c r="CC144" s="152"/>
      <c r="CD144" s="152">
        <f t="shared" si="42"/>
        <v>0</v>
      </c>
      <c r="CE144" s="152">
        <f t="shared" si="38"/>
        <v>1</v>
      </c>
      <c r="CF144" s="152">
        <f t="shared" si="39"/>
        <v>1</v>
      </c>
      <c r="CG144" s="34"/>
      <c r="CI144" s="56"/>
      <c r="CJ144" s="56"/>
    </row>
    <row r="145" spans="1:88" x14ac:dyDescent="0.2">
      <c r="A145" s="125" t="s">
        <v>607</v>
      </c>
      <c r="B145" s="188" t="s">
        <v>608</v>
      </c>
      <c r="C145" s="6">
        <v>0.18</v>
      </c>
      <c r="D145" s="8">
        <v>0.115</v>
      </c>
      <c r="E145" s="7">
        <v>2.1000000000000001E-2</v>
      </c>
      <c r="F145" s="7">
        <v>9.6500000000000002E-2</v>
      </c>
      <c r="G145" s="1">
        <v>6.4999999999999997E-3</v>
      </c>
      <c r="H145" s="1">
        <v>0.03</v>
      </c>
      <c r="I145" s="1">
        <v>0.18</v>
      </c>
      <c r="J145" s="1">
        <v>0.04</v>
      </c>
      <c r="K145" s="1">
        <v>0.14000000000000001</v>
      </c>
      <c r="L145" s="1">
        <v>1.4999999999999999E-2</v>
      </c>
      <c r="M145" s="2" t="s">
        <v>175</v>
      </c>
      <c r="N145" s="105">
        <v>25000</v>
      </c>
      <c r="O145" s="119"/>
      <c r="P145" s="119"/>
      <c r="Q145" s="119"/>
      <c r="R145" s="119"/>
      <c r="S145" s="119"/>
      <c r="T145" s="119"/>
      <c r="U145" s="119"/>
      <c r="V145" s="119">
        <v>0.70199999999999996</v>
      </c>
      <c r="W145" s="119"/>
      <c r="X145" s="119">
        <f t="shared" si="67"/>
        <v>0.70199999999999996</v>
      </c>
      <c r="Y145" s="118">
        <f t="shared" si="68"/>
        <v>0.70199999999999996</v>
      </c>
      <c r="Z145" s="109">
        <f t="shared" si="69"/>
        <v>17550</v>
      </c>
      <c r="AA145" s="109">
        <f>'CALCULO GERAL'!$G$10</f>
        <v>6300</v>
      </c>
      <c r="AB145" s="109">
        <f t="shared" si="70"/>
        <v>23850</v>
      </c>
      <c r="AC145" s="109">
        <f>AB145*'CALCULO GERAL'!$C$11</f>
        <v>119703.15000000001</v>
      </c>
      <c r="AD145" s="109">
        <f t="shared" si="71"/>
        <v>21546.566999999999</v>
      </c>
      <c r="AE145" s="109">
        <f t="shared" si="72"/>
        <v>16243.717455000002</v>
      </c>
      <c r="AF145" s="109">
        <f t="shared" si="73"/>
        <v>2513.7661500000004</v>
      </c>
      <c r="AG145" s="109">
        <f t="shared" si="74"/>
        <v>11551.353975000002</v>
      </c>
      <c r="AH145" s="109">
        <v>154.22999999999999</v>
      </c>
      <c r="AI145" s="109">
        <f>((AA145*'CALCULO GERAL'!$C$11))*0.08+20</f>
        <v>2549.576</v>
      </c>
      <c r="AJ145" s="109">
        <v>1010</v>
      </c>
      <c r="AK145" s="109">
        <v>2500</v>
      </c>
      <c r="AL145" s="109">
        <f>(AA145*('CALCULO GERAL'!$C$11*1.02))-(AA145*'CALCULO GERAL'!$C$11)</f>
        <v>632.39400000000387</v>
      </c>
      <c r="AM145" s="109">
        <v>1800</v>
      </c>
      <c r="AN145" s="109">
        <v>2600</v>
      </c>
      <c r="AO145" s="109">
        <v>9400</v>
      </c>
      <c r="AP145" s="109">
        <v>1000</v>
      </c>
      <c r="AQ145" s="109">
        <v>0</v>
      </c>
      <c r="AR145" s="109">
        <v>0</v>
      </c>
      <c r="AS145" s="109"/>
      <c r="AT145" s="109">
        <f t="shared" si="34"/>
        <v>193204.75458000004</v>
      </c>
      <c r="AU145" s="111">
        <f t="shared" si="75"/>
        <v>7.7281901832000015</v>
      </c>
      <c r="AV145" s="109">
        <f>IFERROR((BS145*'CALCULO GERAL'!$E$11)/N145,0)</f>
        <v>0.19172580000000003</v>
      </c>
      <c r="AW145" s="109">
        <f>AU145/'CALCULO GERAL'!$C$11</f>
        <v>1.5397868466228335</v>
      </c>
      <c r="AX145" s="109">
        <f>BP145-BB145-BD145*'CALCULO GERAL'!$C$11</f>
        <v>4.4949383016591922</v>
      </c>
      <c r="AY145" s="109">
        <f t="shared" si="76"/>
        <v>2.9217098960784747E-2</v>
      </c>
      <c r="AZ145" s="109">
        <f t="shared" si="77"/>
        <v>0.13484814904977577</v>
      </c>
      <c r="BA145" s="109">
        <f t="shared" si="78"/>
        <v>8.5975695067264581</v>
      </c>
      <c r="BB145" s="109">
        <f t="shared" si="79"/>
        <v>0.12896354260089687</v>
      </c>
      <c r="BC145" s="109">
        <f t="shared" si="80"/>
        <v>8.5975695067264581</v>
      </c>
      <c r="BD145" s="109">
        <f t="shared" si="81"/>
        <v>0.98872049327354272</v>
      </c>
      <c r="BE145" s="109">
        <f t="shared" si="82"/>
        <v>19172.580000000002</v>
      </c>
      <c r="BF145" s="109">
        <f t="shared" si="83"/>
        <v>28758.87</v>
      </c>
      <c r="BG145" s="109">
        <f t="shared" si="84"/>
        <v>0.10353193199999999</v>
      </c>
      <c r="BH145" s="109">
        <f t="shared" si="85"/>
        <v>0.11503548000000001</v>
      </c>
      <c r="BI145" s="109">
        <f t="shared" si="86"/>
        <v>0</v>
      </c>
      <c r="BJ145" s="109">
        <f t="shared" si="87"/>
        <v>1.692042495885</v>
      </c>
      <c r="BK145" s="109">
        <f t="shared" si="88"/>
        <v>9.4202326790850019</v>
      </c>
      <c r="BL145" s="148">
        <v>0.82</v>
      </c>
      <c r="BM145" s="112">
        <f>ROUND((AW145/BL145)+((AW145*BL145)*'CALCULO GERAL'!$E$11)/BL145,2)</f>
        <v>1.91</v>
      </c>
      <c r="BN145" s="186">
        <f t="shared" si="21"/>
        <v>1.91</v>
      </c>
      <c r="BO145" s="186">
        <f t="shared" si="89"/>
        <v>2.238</v>
      </c>
      <c r="BP145" s="109">
        <f>BM145*'CALCULO GERAL'!$C$11</f>
        <v>9.58629</v>
      </c>
      <c r="BQ145" s="109">
        <f>BO145*'CALCULO GERAL'!$C$11</f>
        <v>11.232521999999999</v>
      </c>
      <c r="BR145" s="186">
        <f>BN145*'CALCULO GERAL'!$C$11</f>
        <v>9.58629</v>
      </c>
      <c r="BS145" s="109">
        <f t="shared" si="90"/>
        <v>239657.25</v>
      </c>
      <c r="BT145" s="109">
        <f t="shared" si="91"/>
        <v>239657.25</v>
      </c>
      <c r="BU145" s="109">
        <f t="shared" si="40"/>
        <v>235505.81697712504</v>
      </c>
      <c r="BV145" s="109">
        <f t="shared" si="37"/>
        <v>4151.4330228749604</v>
      </c>
      <c r="BW145" s="114">
        <f t="shared" si="92"/>
        <v>1.7322376113699713E-2</v>
      </c>
      <c r="BX145" s="152">
        <f t="shared" si="41"/>
        <v>0.82</v>
      </c>
      <c r="BY145" s="152"/>
      <c r="BZ145" s="55"/>
      <c r="CA145" s="113"/>
      <c r="CB145" s="113"/>
      <c r="CC145" s="152"/>
      <c r="CD145" s="152">
        <f t="shared" si="42"/>
        <v>0</v>
      </c>
      <c r="CE145" s="152">
        <f t="shared" si="38"/>
        <v>1</v>
      </c>
      <c r="CF145" s="152">
        <f t="shared" si="39"/>
        <v>1</v>
      </c>
      <c r="CG145" s="34"/>
      <c r="CI145" s="56"/>
      <c r="CJ145" s="56"/>
    </row>
    <row r="146" spans="1:88" x14ac:dyDescent="0.2">
      <c r="A146" s="125" t="s">
        <v>273</v>
      </c>
      <c r="B146" s="187" t="s">
        <v>274</v>
      </c>
      <c r="C146" s="6">
        <v>0.128</v>
      </c>
      <c r="D146" s="8">
        <v>0</v>
      </c>
      <c r="E146" s="7">
        <v>2.1000000000000001E-2</v>
      </c>
      <c r="F146" s="7">
        <v>9.6500000000000002E-2</v>
      </c>
      <c r="G146" s="1">
        <v>6.4999999999999997E-3</v>
      </c>
      <c r="H146" s="1">
        <v>0.03</v>
      </c>
      <c r="I146" s="1">
        <v>0.18</v>
      </c>
      <c r="J146" s="1">
        <v>0.04</v>
      </c>
      <c r="K146" s="1">
        <v>0.14000000000000001</v>
      </c>
      <c r="L146" s="1">
        <v>1.4999999999999999E-2</v>
      </c>
      <c r="M146" s="2" t="s">
        <v>175</v>
      </c>
      <c r="N146" s="105">
        <v>76800</v>
      </c>
      <c r="O146" s="119"/>
      <c r="P146" s="119"/>
      <c r="Q146" s="119"/>
      <c r="R146" s="119"/>
      <c r="S146" s="119"/>
      <c r="T146" s="119">
        <v>3.95</v>
      </c>
      <c r="U146" s="119"/>
      <c r="V146" s="119"/>
      <c r="W146" s="119"/>
      <c r="X146" s="119">
        <f t="shared" si="67"/>
        <v>3.95</v>
      </c>
      <c r="Y146" s="118">
        <f t="shared" si="68"/>
        <v>3.95</v>
      </c>
      <c r="Z146" s="109">
        <f t="shared" si="69"/>
        <v>303360</v>
      </c>
      <c r="AA146" s="109">
        <f>'CALCULO GERAL'!$G$10</f>
        <v>6300</v>
      </c>
      <c r="AB146" s="109">
        <f t="shared" si="70"/>
        <v>309660</v>
      </c>
      <c r="AC146" s="109">
        <f>AB146*'CALCULO GERAL'!$C$11</f>
        <v>1554183.54</v>
      </c>
      <c r="AD146" s="109">
        <f t="shared" si="71"/>
        <v>198935.49312</v>
      </c>
      <c r="AE146" s="109">
        <f t="shared" si="72"/>
        <v>0</v>
      </c>
      <c r="AF146" s="109">
        <f t="shared" si="73"/>
        <v>32637.854340000002</v>
      </c>
      <c r="AG146" s="109">
        <f t="shared" si="74"/>
        <v>149978.71161</v>
      </c>
      <c r="AH146" s="109">
        <v>154.22999999999999</v>
      </c>
      <c r="AI146" s="109">
        <f>((AA146*'CALCULO GERAL'!$C$11))*0.08+20</f>
        <v>2549.576</v>
      </c>
      <c r="AJ146" s="109">
        <v>1010</v>
      </c>
      <c r="AK146" s="109">
        <v>2500</v>
      </c>
      <c r="AL146" s="109">
        <f>(AA146*('CALCULO GERAL'!$C$11*1.02))-(AA146*'CALCULO GERAL'!$C$11)</f>
        <v>632.39400000000387</v>
      </c>
      <c r="AM146" s="109">
        <v>1800</v>
      </c>
      <c r="AN146" s="109">
        <v>2600</v>
      </c>
      <c r="AO146" s="109">
        <v>9400</v>
      </c>
      <c r="AP146" s="109">
        <v>1000</v>
      </c>
      <c r="AQ146" s="109">
        <v>0</v>
      </c>
      <c r="AR146" s="109">
        <v>0</v>
      </c>
      <c r="AS146" s="109"/>
      <c r="AT146" s="109">
        <f t="shared" si="34"/>
        <v>1957381.79907</v>
      </c>
      <c r="AU146" s="111">
        <f t="shared" si="75"/>
        <v>25.486742175390624</v>
      </c>
      <c r="AV146" s="109">
        <f>IFERROR((BS146*'CALCULO GERAL'!$E$11)/N146,0)</f>
        <v>0.63139020000000012</v>
      </c>
      <c r="AW146" s="109">
        <f>AU146/'CALCULO GERAL'!$C$11</f>
        <v>5.0780518380933701</v>
      </c>
      <c r="AX146" s="109">
        <f>BP146-BB146-BD146*'CALCULO GERAL'!$C$11</f>
        <v>31.095967350000002</v>
      </c>
      <c r="AY146" s="109">
        <f t="shared" si="76"/>
        <v>0.20212378777500001</v>
      </c>
      <c r="AZ146" s="109">
        <f t="shared" si="77"/>
        <v>0.93287902050000004</v>
      </c>
      <c r="BA146" s="109">
        <f t="shared" si="78"/>
        <v>31.569510000000001</v>
      </c>
      <c r="BB146" s="109">
        <f t="shared" si="79"/>
        <v>0.47354265000000001</v>
      </c>
      <c r="BC146" s="109">
        <f t="shared" si="80"/>
        <v>31.569510000000001</v>
      </c>
      <c r="BD146" s="109">
        <f t="shared" si="81"/>
        <v>0</v>
      </c>
      <c r="BE146" s="109">
        <f t="shared" si="82"/>
        <v>193963.06944000002</v>
      </c>
      <c r="BF146" s="109">
        <f t="shared" si="83"/>
        <v>290944.60416000005</v>
      </c>
      <c r="BG146" s="109">
        <f t="shared" si="84"/>
        <v>0.34095070800000005</v>
      </c>
      <c r="BH146" s="109">
        <f t="shared" si="85"/>
        <v>0.37883412</v>
      </c>
      <c r="BI146" s="109">
        <f t="shared" si="86"/>
        <v>-0.17443109302083337</v>
      </c>
      <c r="BJ146" s="109">
        <f t="shared" si="87"/>
        <v>2.7852893932541667</v>
      </c>
      <c r="BK146" s="109">
        <f t="shared" si="88"/>
        <v>28.272031568644792</v>
      </c>
      <c r="BL146" s="148">
        <v>0.82</v>
      </c>
      <c r="BM146" s="112">
        <f>ROUND((AW146/BL146)+((AW146*BL146)*'CALCULO GERAL'!$E$11)/BL146,2)</f>
        <v>6.29</v>
      </c>
      <c r="BN146" s="186">
        <f t="shared" si="21"/>
        <v>6.29</v>
      </c>
      <c r="BO146" s="186">
        <f t="shared" si="89"/>
        <v>7.37</v>
      </c>
      <c r="BP146" s="109">
        <f>BM146*'CALCULO GERAL'!$C$11</f>
        <v>31.569510000000001</v>
      </c>
      <c r="BQ146" s="109">
        <f>BO146*'CALCULO GERAL'!$C$11</f>
        <v>36.990030000000004</v>
      </c>
      <c r="BR146" s="186">
        <f>BN146*'CALCULO GERAL'!$C$11</f>
        <v>31.569510000000001</v>
      </c>
      <c r="BS146" s="109">
        <f t="shared" si="90"/>
        <v>2424538.3680000002</v>
      </c>
      <c r="BT146" s="109">
        <f t="shared" si="91"/>
        <v>2424538.3680000002</v>
      </c>
      <c r="BU146" s="109">
        <f t="shared" si="40"/>
        <v>2171292.02447192</v>
      </c>
      <c r="BV146" s="109">
        <f t="shared" si="37"/>
        <v>253246.34352808027</v>
      </c>
      <c r="BW146" s="114">
        <f t="shared" si="92"/>
        <v>0.10445136561686297</v>
      </c>
      <c r="BX146" s="152">
        <f t="shared" si="41"/>
        <v>0.82</v>
      </c>
      <c r="BY146" s="152"/>
      <c r="BZ146" s="55"/>
      <c r="CA146" s="113"/>
      <c r="CB146" s="113"/>
      <c r="CC146" s="152"/>
      <c r="CD146" s="152">
        <f t="shared" si="42"/>
        <v>0</v>
      </c>
      <c r="CE146" s="152">
        <f t="shared" si="38"/>
        <v>1</v>
      </c>
      <c r="CF146" s="152">
        <f t="shared" si="39"/>
        <v>1</v>
      </c>
      <c r="CG146" s="34"/>
      <c r="CI146" s="56"/>
      <c r="CJ146" s="56"/>
    </row>
    <row r="147" spans="1:88" x14ac:dyDescent="0.2">
      <c r="A147" s="125" t="s">
        <v>275</v>
      </c>
      <c r="B147" s="187" t="s">
        <v>274</v>
      </c>
      <c r="C147" s="6">
        <v>0.128</v>
      </c>
      <c r="D147" s="8">
        <v>0</v>
      </c>
      <c r="E147" s="7">
        <v>2.1000000000000001E-2</v>
      </c>
      <c r="F147" s="7">
        <v>9.6500000000000002E-2</v>
      </c>
      <c r="G147" s="1">
        <v>6.4999999999999997E-3</v>
      </c>
      <c r="H147" s="1">
        <v>0.03</v>
      </c>
      <c r="I147" s="1">
        <v>0.18</v>
      </c>
      <c r="J147" s="1">
        <v>0.04</v>
      </c>
      <c r="K147" s="1">
        <v>0.14000000000000001</v>
      </c>
      <c r="L147" s="1">
        <v>1.4999999999999999E-2</v>
      </c>
      <c r="M147" s="2" t="s">
        <v>175</v>
      </c>
      <c r="N147" s="105">
        <v>32200</v>
      </c>
      <c r="O147" s="119"/>
      <c r="P147" s="119"/>
      <c r="Q147" s="119"/>
      <c r="R147" s="119"/>
      <c r="S147" s="119"/>
      <c r="T147" s="119">
        <v>4.3</v>
      </c>
      <c r="U147" s="119"/>
      <c r="V147" s="119"/>
      <c r="W147" s="119"/>
      <c r="X147" s="119">
        <f t="shared" si="67"/>
        <v>4.3</v>
      </c>
      <c r="Y147" s="118">
        <f t="shared" si="68"/>
        <v>4.3</v>
      </c>
      <c r="Z147" s="109">
        <f t="shared" si="69"/>
        <v>138460</v>
      </c>
      <c r="AA147" s="109">
        <f>'CALCULO GERAL'!$G$10</f>
        <v>6300</v>
      </c>
      <c r="AB147" s="109">
        <f t="shared" si="70"/>
        <v>144760</v>
      </c>
      <c r="AC147" s="109">
        <f>AB147*'CALCULO GERAL'!$C$11</f>
        <v>726550.44000000006</v>
      </c>
      <c r="AD147" s="109">
        <f t="shared" si="71"/>
        <v>92998.456320000012</v>
      </c>
      <c r="AE147" s="109">
        <f t="shared" si="72"/>
        <v>0</v>
      </c>
      <c r="AF147" s="109">
        <f t="shared" si="73"/>
        <v>15257.559240000002</v>
      </c>
      <c r="AG147" s="109">
        <f t="shared" si="74"/>
        <v>70112.117460000009</v>
      </c>
      <c r="AH147" s="109">
        <v>154.22999999999999</v>
      </c>
      <c r="AI147" s="109">
        <f>((AA147*'CALCULO GERAL'!$C$11))*0.08+20</f>
        <v>2549.576</v>
      </c>
      <c r="AJ147" s="109">
        <v>1010</v>
      </c>
      <c r="AK147" s="109">
        <v>2500</v>
      </c>
      <c r="AL147" s="109">
        <f>(AA147*('CALCULO GERAL'!$C$11*1.02))-(AA147*'CALCULO GERAL'!$C$11)</f>
        <v>632.39400000000387</v>
      </c>
      <c r="AM147" s="109">
        <v>1800</v>
      </c>
      <c r="AN147" s="109">
        <v>2600</v>
      </c>
      <c r="AO147" s="109">
        <v>9400</v>
      </c>
      <c r="AP147" s="109">
        <v>1000</v>
      </c>
      <c r="AQ147" s="109">
        <v>0</v>
      </c>
      <c r="AR147" s="109">
        <v>0</v>
      </c>
      <c r="AS147" s="109"/>
      <c r="AT147" s="109">
        <f t="shared" si="34"/>
        <v>926564.77301999996</v>
      </c>
      <c r="AU147" s="111">
        <f t="shared" si="75"/>
        <v>28.775303509937888</v>
      </c>
      <c r="AV147" s="109">
        <f>IFERROR((BS147*'CALCULO GERAL'!$E$11)/N147,0)</f>
        <v>0.71370180000000005</v>
      </c>
      <c r="AW147" s="109">
        <f>AU147/'CALCULO GERAL'!$C$11</f>
        <v>5.7332742598003366</v>
      </c>
      <c r="AX147" s="109">
        <f>BP147-BB147-BD147*'CALCULO GERAL'!$C$11</f>
        <v>35.149813650000006</v>
      </c>
      <c r="AY147" s="109">
        <f t="shared" si="76"/>
        <v>0.22847378872500002</v>
      </c>
      <c r="AZ147" s="109">
        <f t="shared" si="77"/>
        <v>1.0544944095000002</v>
      </c>
      <c r="BA147" s="109">
        <f t="shared" si="78"/>
        <v>35.685090000000002</v>
      </c>
      <c r="BB147" s="109">
        <f t="shared" si="79"/>
        <v>0.53527635000000007</v>
      </c>
      <c r="BC147" s="109">
        <f t="shared" si="80"/>
        <v>35.685090000000002</v>
      </c>
      <c r="BD147" s="109">
        <f t="shared" si="81"/>
        <v>0</v>
      </c>
      <c r="BE147" s="109">
        <f t="shared" si="82"/>
        <v>91924.791840000005</v>
      </c>
      <c r="BF147" s="109">
        <f t="shared" si="83"/>
        <v>137887.18776</v>
      </c>
      <c r="BG147" s="109">
        <f t="shared" si="84"/>
        <v>0.38539897199999995</v>
      </c>
      <c r="BH147" s="109">
        <f t="shared" si="85"/>
        <v>0.42822107999999998</v>
      </c>
      <c r="BI147" s="109">
        <f t="shared" si="86"/>
        <v>-9.9145347329192571E-2</v>
      </c>
      <c r="BJ147" s="109">
        <f t="shared" si="87"/>
        <v>3.246421052895808</v>
      </c>
      <c r="BK147" s="109">
        <f t="shared" si="88"/>
        <v>32.021724562833697</v>
      </c>
      <c r="BL147" s="148">
        <v>0.82</v>
      </c>
      <c r="BM147" s="112">
        <f>ROUND((AW147/BL147)+((AW147*BL147)*'CALCULO GERAL'!$E$11)/BL147,2)</f>
        <v>7.11</v>
      </c>
      <c r="BN147" s="186">
        <f t="shared" si="21"/>
        <v>7.11</v>
      </c>
      <c r="BO147" s="186">
        <f t="shared" si="89"/>
        <v>8.33</v>
      </c>
      <c r="BP147" s="109">
        <f>BM147*'CALCULO GERAL'!$C$11</f>
        <v>35.685090000000002</v>
      </c>
      <c r="BQ147" s="109">
        <f>BO147*'CALCULO GERAL'!$C$11</f>
        <v>41.80827</v>
      </c>
      <c r="BR147" s="186">
        <f>BN147*'CALCULO GERAL'!$C$11</f>
        <v>35.685090000000002</v>
      </c>
      <c r="BS147" s="109">
        <f t="shared" si="90"/>
        <v>1149059.898</v>
      </c>
      <c r="BT147" s="109">
        <f t="shared" si="91"/>
        <v>1149059.898</v>
      </c>
      <c r="BU147" s="109">
        <f t="shared" si="40"/>
        <v>1031099.530923245</v>
      </c>
      <c r="BV147" s="109">
        <f t="shared" si="37"/>
        <v>117960.36707675504</v>
      </c>
      <c r="BW147" s="114">
        <f t="shared" si="92"/>
        <v>0.10265815322775718</v>
      </c>
      <c r="BX147" s="152">
        <f t="shared" si="41"/>
        <v>0.82</v>
      </c>
      <c r="BY147" s="152"/>
      <c r="BZ147" s="55"/>
      <c r="CA147" s="113"/>
      <c r="CB147" s="113"/>
      <c r="CC147" s="152"/>
      <c r="CD147" s="152">
        <f t="shared" si="42"/>
        <v>0</v>
      </c>
      <c r="CE147" s="152">
        <f t="shared" si="38"/>
        <v>1</v>
      </c>
      <c r="CF147" s="152">
        <f t="shared" si="39"/>
        <v>1</v>
      </c>
      <c r="CG147" s="34"/>
      <c r="CI147" s="56"/>
      <c r="CJ147" s="56"/>
    </row>
    <row r="148" spans="1:88" x14ac:dyDescent="0.2">
      <c r="A148" s="125" t="s">
        <v>276</v>
      </c>
      <c r="B148" s="187" t="s">
        <v>274</v>
      </c>
      <c r="C148" s="6">
        <v>0.128</v>
      </c>
      <c r="D148" s="8">
        <v>0</v>
      </c>
      <c r="E148" s="7">
        <v>2.1000000000000001E-2</v>
      </c>
      <c r="F148" s="7">
        <v>9.6500000000000002E-2</v>
      </c>
      <c r="G148" s="1">
        <v>6.4999999999999997E-3</v>
      </c>
      <c r="H148" s="1">
        <v>0.03</v>
      </c>
      <c r="I148" s="1">
        <v>0.18</v>
      </c>
      <c r="J148" s="1">
        <v>0.04</v>
      </c>
      <c r="K148" s="1">
        <v>0.14000000000000001</v>
      </c>
      <c r="L148" s="1">
        <v>1.4999999999999999E-2</v>
      </c>
      <c r="M148" s="2" t="s">
        <v>175</v>
      </c>
      <c r="N148" s="105">
        <v>32200</v>
      </c>
      <c r="O148" s="119"/>
      <c r="P148" s="119"/>
      <c r="Q148" s="119"/>
      <c r="R148" s="119"/>
      <c r="S148" s="119"/>
      <c r="T148" s="119">
        <v>4.0999999999999996</v>
      </c>
      <c r="U148" s="119"/>
      <c r="V148" s="119"/>
      <c r="W148" s="119"/>
      <c r="X148" s="119">
        <f t="shared" si="67"/>
        <v>4.0999999999999996</v>
      </c>
      <c r="Y148" s="118">
        <f t="shared" si="68"/>
        <v>4.0999999999999996</v>
      </c>
      <c r="Z148" s="109">
        <f t="shared" si="69"/>
        <v>132020</v>
      </c>
      <c r="AA148" s="109">
        <f>'CALCULO GERAL'!$G$10</f>
        <v>6300</v>
      </c>
      <c r="AB148" s="109">
        <f t="shared" si="70"/>
        <v>138320</v>
      </c>
      <c r="AC148" s="109">
        <f>AB148*'CALCULO GERAL'!$C$11</f>
        <v>694228.08000000007</v>
      </c>
      <c r="AD148" s="109">
        <f t="shared" si="71"/>
        <v>88861.194240000012</v>
      </c>
      <c r="AE148" s="109">
        <f t="shared" si="72"/>
        <v>0</v>
      </c>
      <c r="AF148" s="109">
        <f t="shared" si="73"/>
        <v>14578.789680000002</v>
      </c>
      <c r="AG148" s="109">
        <f t="shared" si="74"/>
        <v>66993.009720000002</v>
      </c>
      <c r="AH148" s="109">
        <v>154.22999999999999</v>
      </c>
      <c r="AI148" s="109">
        <f>((AA148*'CALCULO GERAL'!$C$11))*0.08+20</f>
        <v>2549.576</v>
      </c>
      <c r="AJ148" s="109">
        <v>1010</v>
      </c>
      <c r="AK148" s="109">
        <v>2500</v>
      </c>
      <c r="AL148" s="109">
        <f>(AA148*('CALCULO GERAL'!$C$11*1.02))-(AA148*'CALCULO GERAL'!$C$11)</f>
        <v>632.39400000000387</v>
      </c>
      <c r="AM148" s="109">
        <v>1800</v>
      </c>
      <c r="AN148" s="109">
        <v>2600</v>
      </c>
      <c r="AO148" s="109">
        <v>9400</v>
      </c>
      <c r="AP148" s="109">
        <v>1000</v>
      </c>
      <c r="AQ148" s="109">
        <v>0</v>
      </c>
      <c r="AR148" s="109">
        <v>0</v>
      </c>
      <c r="AS148" s="109"/>
      <c r="AT148" s="109">
        <f t="shared" si="34"/>
        <v>886307.27364000003</v>
      </c>
      <c r="AU148" s="111">
        <f t="shared" si="75"/>
        <v>27.525070609937888</v>
      </c>
      <c r="AV148" s="109">
        <f>IFERROR((BS148*'CALCULO GERAL'!$E$11)/N148,0)</f>
        <v>0.68258399999999997</v>
      </c>
      <c r="AW148" s="109">
        <f>AU148/'CALCULO GERAL'!$C$11</f>
        <v>5.4841742598003362</v>
      </c>
      <c r="AX148" s="109">
        <f>BP148-BB148-BD148*'CALCULO GERAL'!$C$11</f>
        <v>33.617261999999997</v>
      </c>
      <c r="AY148" s="109">
        <f t="shared" si="76"/>
        <v>0.21851220299999996</v>
      </c>
      <c r="AZ148" s="109">
        <f t="shared" si="77"/>
        <v>1.0085178599999998</v>
      </c>
      <c r="BA148" s="109">
        <f t="shared" si="78"/>
        <v>34.129199999999997</v>
      </c>
      <c r="BB148" s="109">
        <f t="shared" si="79"/>
        <v>0.51193799999999989</v>
      </c>
      <c r="BC148" s="109">
        <f t="shared" si="80"/>
        <v>34.129199999999997</v>
      </c>
      <c r="BD148" s="109">
        <f t="shared" si="81"/>
        <v>0</v>
      </c>
      <c r="BE148" s="109">
        <f t="shared" si="82"/>
        <v>87916.819199999998</v>
      </c>
      <c r="BF148" s="109">
        <f t="shared" si="83"/>
        <v>131875.22879999998</v>
      </c>
      <c r="BG148" s="109">
        <f t="shared" si="84"/>
        <v>0.36859535999999993</v>
      </c>
      <c r="BH148" s="109">
        <f t="shared" si="85"/>
        <v>0.40955039999999998</v>
      </c>
      <c r="BI148" s="109">
        <f t="shared" si="86"/>
        <v>-8.6698227329192551E-2</v>
      </c>
      <c r="BJ148" s="109">
        <f t="shared" si="87"/>
        <v>3.1129995956708072</v>
      </c>
      <c r="BK148" s="109">
        <f t="shared" si="88"/>
        <v>30.638070205608695</v>
      </c>
      <c r="BL148" s="148">
        <v>0.82</v>
      </c>
      <c r="BM148" s="112">
        <f>ROUND((AW148/BL148)+((AW148*BL148)*'CALCULO GERAL'!$E$11)/BL148,2)</f>
        <v>6.8</v>
      </c>
      <c r="BN148" s="186">
        <f t="shared" si="21"/>
        <v>6.8</v>
      </c>
      <c r="BO148" s="186">
        <f t="shared" si="89"/>
        <v>7.9669999999999996</v>
      </c>
      <c r="BP148" s="109">
        <f>BM148*'CALCULO GERAL'!$C$11</f>
        <v>34.129199999999997</v>
      </c>
      <c r="BQ148" s="109">
        <f>BO148*'CALCULO GERAL'!$C$11</f>
        <v>39.986373</v>
      </c>
      <c r="BR148" s="186">
        <f>BN148*'CALCULO GERAL'!$C$11</f>
        <v>34.129199999999997</v>
      </c>
      <c r="BS148" s="109">
        <f t="shared" si="90"/>
        <v>1098960.24</v>
      </c>
      <c r="BT148" s="109">
        <f t="shared" si="91"/>
        <v>1098960.24</v>
      </c>
      <c r="BU148" s="109">
        <f t="shared" si="40"/>
        <v>986545.86062059994</v>
      </c>
      <c r="BV148" s="109">
        <f t="shared" si="37"/>
        <v>112414.37937940005</v>
      </c>
      <c r="BW148" s="114">
        <f t="shared" si="92"/>
        <v>0.10229158006608143</v>
      </c>
      <c r="BX148" s="152">
        <f t="shared" si="41"/>
        <v>0.82</v>
      </c>
      <c r="BY148" s="152"/>
      <c r="BZ148" s="55"/>
      <c r="CA148" s="113"/>
      <c r="CB148" s="113"/>
      <c r="CC148" s="152"/>
      <c r="CD148" s="152">
        <f t="shared" si="42"/>
        <v>0</v>
      </c>
      <c r="CE148" s="152">
        <f t="shared" si="38"/>
        <v>1</v>
      </c>
      <c r="CF148" s="152">
        <f t="shared" si="39"/>
        <v>1</v>
      </c>
      <c r="CG148" s="34"/>
      <c r="CI148" s="56"/>
      <c r="CJ148" s="56"/>
    </row>
    <row r="149" spans="1:88" x14ac:dyDescent="0.2">
      <c r="A149" s="125" t="s">
        <v>277</v>
      </c>
      <c r="B149" s="187" t="s">
        <v>274</v>
      </c>
      <c r="C149" s="6">
        <v>0.128</v>
      </c>
      <c r="D149" s="8">
        <v>0</v>
      </c>
      <c r="E149" s="7">
        <v>2.1000000000000001E-2</v>
      </c>
      <c r="F149" s="7">
        <v>9.6500000000000002E-2</v>
      </c>
      <c r="G149" s="1">
        <v>6.4999999999999997E-3</v>
      </c>
      <c r="H149" s="1">
        <v>0.03</v>
      </c>
      <c r="I149" s="1">
        <v>0.18</v>
      </c>
      <c r="J149" s="1">
        <v>0.04</v>
      </c>
      <c r="K149" s="1">
        <v>0.14000000000000001</v>
      </c>
      <c r="L149" s="1">
        <v>1.4999999999999999E-2</v>
      </c>
      <c r="M149" s="2" t="s">
        <v>175</v>
      </c>
      <c r="N149" s="105">
        <v>38600</v>
      </c>
      <c r="O149" s="119"/>
      <c r="P149" s="119"/>
      <c r="Q149" s="119"/>
      <c r="R149" s="119"/>
      <c r="S149" s="119"/>
      <c r="T149" s="119">
        <v>4.8</v>
      </c>
      <c r="U149" s="119"/>
      <c r="V149" s="119"/>
      <c r="W149" s="119"/>
      <c r="X149" s="119">
        <f t="shared" si="67"/>
        <v>4.8</v>
      </c>
      <c r="Y149" s="118">
        <f t="shared" si="68"/>
        <v>4.8</v>
      </c>
      <c r="Z149" s="109">
        <f t="shared" si="69"/>
        <v>185280</v>
      </c>
      <c r="AA149" s="109">
        <f>'CALCULO GERAL'!$G$10</f>
        <v>6300</v>
      </c>
      <c r="AB149" s="109">
        <f t="shared" si="70"/>
        <v>191580</v>
      </c>
      <c r="AC149" s="109">
        <f>AB149*'CALCULO GERAL'!$C$11</f>
        <v>961540.02</v>
      </c>
      <c r="AD149" s="109">
        <f t="shared" si="71"/>
        <v>123077.12256</v>
      </c>
      <c r="AE149" s="109">
        <f t="shared" si="72"/>
        <v>0</v>
      </c>
      <c r="AF149" s="109">
        <f t="shared" si="73"/>
        <v>20192.34042</v>
      </c>
      <c r="AG149" s="109">
        <f t="shared" si="74"/>
        <v>92788.611929999999</v>
      </c>
      <c r="AH149" s="109">
        <v>154.22999999999999</v>
      </c>
      <c r="AI149" s="109">
        <f>((AA149*'CALCULO GERAL'!$C$11))*0.08+20</f>
        <v>2549.576</v>
      </c>
      <c r="AJ149" s="109">
        <v>1010</v>
      </c>
      <c r="AK149" s="109">
        <v>2500</v>
      </c>
      <c r="AL149" s="109">
        <f>(AA149*('CALCULO GERAL'!$C$11*1.02))-(AA149*'CALCULO GERAL'!$C$11)</f>
        <v>632.39400000000387</v>
      </c>
      <c r="AM149" s="109">
        <v>1800</v>
      </c>
      <c r="AN149" s="109">
        <v>2600</v>
      </c>
      <c r="AO149" s="109">
        <v>9400</v>
      </c>
      <c r="AP149" s="109">
        <v>1000</v>
      </c>
      <c r="AQ149" s="109">
        <v>0</v>
      </c>
      <c r="AR149" s="109">
        <v>0</v>
      </c>
      <c r="AS149" s="109"/>
      <c r="AT149" s="109">
        <f t="shared" si="34"/>
        <v>1219244.2949099999</v>
      </c>
      <c r="AU149" s="111">
        <f t="shared" si="75"/>
        <v>31.586639764507769</v>
      </c>
      <c r="AV149" s="109">
        <f>IFERROR((BS149*'CALCULO GERAL'!$E$11)/N149,0)</f>
        <v>0.78296399999999999</v>
      </c>
      <c r="AW149" s="109">
        <f>AU149/'CALCULO GERAL'!$C$11</f>
        <v>6.2934129835640107</v>
      </c>
      <c r="AX149" s="109">
        <f>BP149-BB149-BD149*'CALCULO GERAL'!$C$11</f>
        <v>38.560977000000001</v>
      </c>
      <c r="AY149" s="109">
        <f t="shared" si="76"/>
        <v>0.2506463505</v>
      </c>
      <c r="AZ149" s="109">
        <f t="shared" si="77"/>
        <v>1.15682931</v>
      </c>
      <c r="BA149" s="109">
        <f t="shared" si="78"/>
        <v>39.148200000000003</v>
      </c>
      <c r="BB149" s="109">
        <f t="shared" si="79"/>
        <v>0.58722300000000005</v>
      </c>
      <c r="BC149" s="109">
        <f t="shared" si="80"/>
        <v>39.148200000000003</v>
      </c>
      <c r="BD149" s="109">
        <f t="shared" si="81"/>
        <v>0</v>
      </c>
      <c r="BE149" s="109">
        <f t="shared" si="82"/>
        <v>120889.6416</v>
      </c>
      <c r="BF149" s="109">
        <f t="shared" si="83"/>
        <v>181334.46239999999</v>
      </c>
      <c r="BG149" s="109">
        <f t="shared" si="84"/>
        <v>0.42280055999999994</v>
      </c>
      <c r="BH149" s="109">
        <f t="shared" si="85"/>
        <v>0.46977840000000004</v>
      </c>
      <c r="BI149" s="109">
        <f t="shared" si="86"/>
        <v>-0.15774521139896375</v>
      </c>
      <c r="BJ149" s="109">
        <f t="shared" si="87"/>
        <v>3.5124964091010358</v>
      </c>
      <c r="BK149" s="109">
        <f t="shared" si="88"/>
        <v>35.099136173608805</v>
      </c>
      <c r="BL149" s="148">
        <v>0.82</v>
      </c>
      <c r="BM149" s="112">
        <f>ROUND((AW149/BL149)+((AW149*BL149)*'CALCULO GERAL'!$E$11)/BL149,2)</f>
        <v>7.8</v>
      </c>
      <c r="BN149" s="186">
        <f t="shared" si="21"/>
        <v>7.8</v>
      </c>
      <c r="BO149" s="186">
        <f t="shared" si="89"/>
        <v>9.1389999999999993</v>
      </c>
      <c r="BP149" s="109">
        <f>BM149*'CALCULO GERAL'!$C$11</f>
        <v>39.148200000000003</v>
      </c>
      <c r="BQ149" s="109">
        <f>BO149*'CALCULO GERAL'!$C$11</f>
        <v>45.868640999999997</v>
      </c>
      <c r="BR149" s="186">
        <f>BN149*'CALCULO GERAL'!$C$11</f>
        <v>39.148200000000003</v>
      </c>
      <c r="BS149" s="109">
        <f t="shared" si="90"/>
        <v>1511120.52</v>
      </c>
      <c r="BT149" s="109">
        <f t="shared" si="91"/>
        <v>1511120.52</v>
      </c>
      <c r="BU149" s="109">
        <f t="shared" si="40"/>
        <v>1354826.6563012998</v>
      </c>
      <c r="BV149" s="109">
        <f t="shared" si="37"/>
        <v>156293.86369870021</v>
      </c>
      <c r="BW149" s="114">
        <f t="shared" si="92"/>
        <v>0.10342911874342108</v>
      </c>
      <c r="BX149" s="152">
        <f t="shared" si="41"/>
        <v>0.82</v>
      </c>
      <c r="BY149" s="152"/>
      <c r="BZ149" s="55"/>
      <c r="CA149" s="113"/>
      <c r="CB149" s="113"/>
      <c r="CC149" s="152"/>
      <c r="CD149" s="152">
        <f t="shared" si="42"/>
        <v>0</v>
      </c>
      <c r="CE149" s="152">
        <f t="shared" si="38"/>
        <v>1</v>
      </c>
      <c r="CF149" s="152">
        <f t="shared" si="39"/>
        <v>1</v>
      </c>
      <c r="CG149" s="34"/>
      <c r="CI149" s="56"/>
      <c r="CJ149" s="56"/>
    </row>
    <row r="150" spans="1:88" x14ac:dyDescent="0.2">
      <c r="A150" s="125" t="s">
        <v>278</v>
      </c>
      <c r="B150" s="187" t="s">
        <v>279</v>
      </c>
      <c r="C150" s="6">
        <v>0.16200000000000001</v>
      </c>
      <c r="D150" s="8">
        <v>9.7500000000000003E-2</v>
      </c>
      <c r="E150" s="7">
        <v>2.1000000000000001E-2</v>
      </c>
      <c r="F150" s="7">
        <v>0.1065</v>
      </c>
      <c r="G150" s="1">
        <v>6.4999999999999997E-3</v>
      </c>
      <c r="H150" s="1">
        <v>0.03</v>
      </c>
      <c r="I150" s="1">
        <v>0.18</v>
      </c>
      <c r="J150" s="1">
        <v>0.04</v>
      </c>
      <c r="K150" s="1">
        <v>0.14000000000000001</v>
      </c>
      <c r="L150" s="1">
        <v>1.4999999999999999E-2</v>
      </c>
      <c r="M150" s="2" t="s">
        <v>175</v>
      </c>
      <c r="N150" s="105">
        <v>490</v>
      </c>
      <c r="O150" s="119"/>
      <c r="P150" s="119"/>
      <c r="Q150" s="119"/>
      <c r="R150" s="119"/>
      <c r="S150" s="119"/>
      <c r="T150" s="119"/>
      <c r="U150" s="119"/>
      <c r="V150" s="119">
        <v>25</v>
      </c>
      <c r="W150" s="119"/>
      <c r="X150" s="119">
        <f t="shared" si="67"/>
        <v>25</v>
      </c>
      <c r="Y150" s="118">
        <f t="shared" si="68"/>
        <v>25</v>
      </c>
      <c r="Z150" s="109">
        <f t="shared" si="69"/>
        <v>12250</v>
      </c>
      <c r="AA150" s="109">
        <f>'CALCULO GERAL'!$G$10</f>
        <v>6300</v>
      </c>
      <c r="AB150" s="109">
        <f t="shared" si="70"/>
        <v>18550</v>
      </c>
      <c r="AC150" s="109">
        <f>AB150*'CALCULO GERAL'!$C$11</f>
        <v>93102.45</v>
      </c>
      <c r="AD150" s="109">
        <f t="shared" si="71"/>
        <v>15082.5969</v>
      </c>
      <c r="AE150" s="109">
        <f t="shared" si="72"/>
        <v>10548.04207275</v>
      </c>
      <c r="AF150" s="109">
        <f t="shared" si="73"/>
        <v>1955.1514500000001</v>
      </c>
      <c r="AG150" s="109">
        <f t="shared" si="74"/>
        <v>9915.4109250000001</v>
      </c>
      <c r="AH150" s="109">
        <v>154.22999999999999</v>
      </c>
      <c r="AI150" s="109">
        <f>((AA150*'CALCULO GERAL'!$C$11))*0.08+20</f>
        <v>2549.576</v>
      </c>
      <c r="AJ150" s="109">
        <v>1010</v>
      </c>
      <c r="AK150" s="109">
        <v>2500</v>
      </c>
      <c r="AL150" s="109">
        <f>(AA150*('CALCULO GERAL'!$C$11*1.02))-(AA150*'CALCULO GERAL'!$C$11)</f>
        <v>632.39400000000387</v>
      </c>
      <c r="AM150" s="109">
        <v>1800</v>
      </c>
      <c r="AN150" s="109">
        <v>2600</v>
      </c>
      <c r="AO150" s="109">
        <v>9400</v>
      </c>
      <c r="AP150" s="109">
        <v>1000</v>
      </c>
      <c r="AQ150" s="109">
        <v>0</v>
      </c>
      <c r="AR150" s="109">
        <v>0</v>
      </c>
      <c r="AS150" s="109"/>
      <c r="AT150" s="109">
        <f t="shared" si="34"/>
        <v>152249.85134774999</v>
      </c>
      <c r="AU150" s="111">
        <f t="shared" si="75"/>
        <v>310.71398234234692</v>
      </c>
      <c r="AV150" s="109">
        <f>IFERROR((BS150*'CALCULO GERAL'!$E$11)/N150,0)</f>
        <v>7.8918756000000014</v>
      </c>
      <c r="AW150" s="109">
        <f>AU150/'CALCULO GERAL'!$C$11</f>
        <v>61.907547786879242</v>
      </c>
      <c r="AX150" s="109">
        <f>BP150-BB150-BD150*'CALCULO GERAL'!$C$11</f>
        <v>213.25951172897493</v>
      </c>
      <c r="AY150" s="109">
        <f t="shared" si="76"/>
        <v>1.386186826238337</v>
      </c>
      <c r="AZ150" s="109">
        <f t="shared" si="77"/>
        <v>6.3977853518692474</v>
      </c>
      <c r="BA150" s="109">
        <f t="shared" si="78"/>
        <v>359.53875170842826</v>
      </c>
      <c r="BB150" s="109">
        <f t="shared" si="79"/>
        <v>5.3930812756264235</v>
      </c>
      <c r="BC150" s="109">
        <f t="shared" si="80"/>
        <v>359.53875170842832</v>
      </c>
      <c r="BD150" s="109">
        <f t="shared" si="81"/>
        <v>35.055028291571766</v>
      </c>
      <c r="BE150" s="109">
        <f t="shared" si="82"/>
        <v>15468.076176000002</v>
      </c>
      <c r="BF150" s="109">
        <f t="shared" si="83"/>
        <v>23202.114264000003</v>
      </c>
      <c r="BG150" s="109">
        <f t="shared" si="84"/>
        <v>4.2616128240000002</v>
      </c>
      <c r="BH150" s="109">
        <f t="shared" si="85"/>
        <v>4.7351253600000005</v>
      </c>
      <c r="BI150" s="109">
        <f t="shared" si="86"/>
        <v>0</v>
      </c>
      <c r="BJ150" s="109">
        <f t="shared" si="87"/>
        <v>65.120695529305777</v>
      </c>
      <c r="BK150" s="109">
        <f t="shared" si="88"/>
        <v>375.83467787165273</v>
      </c>
      <c r="BL150" s="148">
        <v>0.8</v>
      </c>
      <c r="BM150" s="112">
        <f>ROUND((AW150/BL150)+((AW150*BL150)*'CALCULO GERAL'!$E$11)/BL150,2)</f>
        <v>78.62</v>
      </c>
      <c r="BN150" s="186">
        <f t="shared" si="21"/>
        <v>78.62</v>
      </c>
      <c r="BO150" s="186">
        <f t="shared" si="89"/>
        <v>92.116</v>
      </c>
      <c r="BP150" s="109">
        <f>BM150*'CALCULO GERAL'!$C$11</f>
        <v>394.59378000000004</v>
      </c>
      <c r="BQ150" s="109">
        <f>BO150*'CALCULO GERAL'!$C$11</f>
        <v>462.33020400000004</v>
      </c>
      <c r="BR150" s="186">
        <f>BN150*'CALCULO GERAL'!$C$11</f>
        <v>394.59378000000004</v>
      </c>
      <c r="BS150" s="109">
        <f t="shared" si="90"/>
        <v>193350.95220000003</v>
      </c>
      <c r="BT150" s="109">
        <f t="shared" si="91"/>
        <v>193350.95220000003</v>
      </c>
      <c r="BU150" s="109">
        <f t="shared" si="40"/>
        <v>184158.99215710984</v>
      </c>
      <c r="BV150" s="109">
        <f t="shared" si="37"/>
        <v>9191.9600428901904</v>
      </c>
      <c r="BW150" s="114">
        <f t="shared" si="92"/>
        <v>4.7540288466653792E-2</v>
      </c>
      <c r="BX150" s="152">
        <f t="shared" si="41"/>
        <v>0.8</v>
      </c>
      <c r="BY150" s="152"/>
      <c r="BZ150" s="55"/>
      <c r="CA150" s="113"/>
      <c r="CB150" s="113"/>
      <c r="CC150" s="152"/>
      <c r="CD150" s="152">
        <f t="shared" si="42"/>
        <v>0</v>
      </c>
      <c r="CE150" s="152">
        <f t="shared" si="38"/>
        <v>1</v>
      </c>
      <c r="CF150" s="152">
        <f t="shared" si="39"/>
        <v>1</v>
      </c>
      <c r="CG150" s="34"/>
      <c r="CI150" s="56"/>
      <c r="CJ150" s="56"/>
    </row>
    <row r="151" spans="1:88" x14ac:dyDescent="0.2">
      <c r="A151" s="125" t="s">
        <v>532</v>
      </c>
      <c r="B151" s="187" t="s">
        <v>533</v>
      </c>
      <c r="C151" s="6">
        <v>3.5999999999999997E-2</v>
      </c>
      <c r="D151" s="8">
        <v>0</v>
      </c>
      <c r="E151" s="7">
        <v>2.1000000000000001E-2</v>
      </c>
      <c r="F151" s="7">
        <v>9.6500000000000002E-2</v>
      </c>
      <c r="G151" s="1">
        <v>6.4999999999999997E-3</v>
      </c>
      <c r="H151" s="1">
        <v>0.03</v>
      </c>
      <c r="I151" s="1">
        <v>0.18</v>
      </c>
      <c r="J151" s="1">
        <v>0.04</v>
      </c>
      <c r="K151" s="1">
        <v>0.14000000000000001</v>
      </c>
      <c r="L151" s="1">
        <v>1.4999999999999999E-2</v>
      </c>
      <c r="M151" s="2" t="s">
        <v>175</v>
      </c>
      <c r="N151" s="105">
        <v>385</v>
      </c>
      <c r="O151" s="119"/>
      <c r="P151" s="119"/>
      <c r="Q151" s="119"/>
      <c r="R151" s="119"/>
      <c r="S151" s="119"/>
      <c r="T151" s="119"/>
      <c r="U151" s="119"/>
      <c r="V151" s="119">
        <v>25</v>
      </c>
      <c r="W151" s="119"/>
      <c r="X151" s="119">
        <f>MIN(O151:W151)</f>
        <v>25</v>
      </c>
      <c r="Y151" s="118">
        <f>AVERAGE(O151:W151)</f>
        <v>25</v>
      </c>
      <c r="Z151" s="109">
        <f>Y151*N151</f>
        <v>9625</v>
      </c>
      <c r="AA151" s="109">
        <f>'CALCULO GERAL'!$G$10</f>
        <v>6300</v>
      </c>
      <c r="AB151" s="109">
        <f>Z151+AA151</f>
        <v>15925</v>
      </c>
      <c r="AC151" s="109">
        <f>AB151*'CALCULO GERAL'!$C$11</f>
        <v>79927.574999999997</v>
      </c>
      <c r="AD151" s="109">
        <f>AC151*C151</f>
        <v>2877.3926999999999</v>
      </c>
      <c r="AE151" s="109">
        <f>(AC151+AD151)*D151</f>
        <v>0</v>
      </c>
      <c r="AF151" s="109">
        <f>AC151*E151</f>
        <v>1678.479075</v>
      </c>
      <c r="AG151" s="109">
        <f>AC151*F151</f>
        <v>7713.0109874999998</v>
      </c>
      <c r="AH151" s="109">
        <v>154.22999999999999</v>
      </c>
      <c r="AI151" s="109">
        <f>((AA151*'CALCULO GERAL'!$C$11))*0.08+20</f>
        <v>2549.576</v>
      </c>
      <c r="AJ151" s="109">
        <v>1010</v>
      </c>
      <c r="AK151" s="109">
        <v>2500</v>
      </c>
      <c r="AL151" s="109">
        <f>(AA151*('CALCULO GERAL'!$C$11*1.02))-(AA151*'CALCULO GERAL'!$C$11)</f>
        <v>632.39400000000387</v>
      </c>
      <c r="AM151" s="109">
        <v>1800</v>
      </c>
      <c r="AN151" s="109">
        <v>2600</v>
      </c>
      <c r="AO151" s="109">
        <v>9400</v>
      </c>
      <c r="AP151" s="109">
        <v>1000</v>
      </c>
      <c r="AQ151" s="109">
        <v>0</v>
      </c>
      <c r="AR151" s="109">
        <v>0</v>
      </c>
      <c r="AS151" s="109"/>
      <c r="AT151" s="109">
        <f>SUM(AC151:AS151)</f>
        <v>113842.65776249999</v>
      </c>
      <c r="AU151" s="111">
        <f>IFERROR((AT151/N151),0)</f>
        <v>295.69521496753242</v>
      </c>
      <c r="AV151" s="109">
        <f>IFERROR((BS151*'CALCULO GERAL'!$E$11)/N151,0)</f>
        <v>7.5104315999999987</v>
      </c>
      <c r="AW151" s="109">
        <f>AU151/'CALCULO GERAL'!$C$11</f>
        <v>58.91516536511903</v>
      </c>
      <c r="AX151" s="109">
        <f>BP151-BB151-BD151*'CALCULO GERAL'!$C$11</f>
        <v>369.88875629999995</v>
      </c>
      <c r="AY151" s="109">
        <f>AX151*G151</f>
        <v>2.4042769159499997</v>
      </c>
      <c r="AZ151" s="109">
        <f>AX151*H151</f>
        <v>11.096662688999999</v>
      </c>
      <c r="BA151" s="109">
        <f>BP151-BD151</f>
        <v>375.52157999999997</v>
      </c>
      <c r="BB151" s="109">
        <f>BA151*L151</f>
        <v>5.6328236999999994</v>
      </c>
      <c r="BC151" s="109">
        <f>BP151/(1+D151)</f>
        <v>375.52157999999997</v>
      </c>
      <c r="BD151" s="109">
        <f>BC151*D151</f>
        <v>0</v>
      </c>
      <c r="BE151" s="109">
        <f>BT151*0.08</f>
        <v>11566.064663999998</v>
      </c>
      <c r="BF151" s="109">
        <f>BT151*0.12</f>
        <v>17349.096995999997</v>
      </c>
      <c r="BG151" s="109">
        <f>(BF151*0.09)/N151</f>
        <v>4.0556330639999993</v>
      </c>
      <c r="BH151" s="109">
        <f>(BE151*0.15)/N151</f>
        <v>4.5062589599999994</v>
      </c>
      <c r="BI151" s="109">
        <f>IF(BE151&gt;=$BX$1,($BX$1-BE151)*0.1,IF(BE151&lt;=$BX$1,($BX$1*0)))/N151</f>
        <v>0</v>
      </c>
      <c r="BJ151" s="109">
        <f>(AY151+AZ151+BB151+AV151+BD151+BG151+BH151+BI151)</f>
        <v>35.206086928949993</v>
      </c>
      <c r="BK151" s="109">
        <f>BJ151+AU151</f>
        <v>330.90130189648244</v>
      </c>
      <c r="BL151" s="148">
        <v>0.8</v>
      </c>
      <c r="BM151" s="112">
        <f>ROUND((AW151/BL151)+((AW151*BL151)*'CALCULO GERAL'!$E$11)/BL151,2)</f>
        <v>74.819999999999993</v>
      </c>
      <c r="BN151" s="186">
        <f>BM151</f>
        <v>74.819999999999993</v>
      </c>
      <c r="BO151" s="186">
        <f>ROUND(FV(0.02,8,,BN151)*-1,3)</f>
        <v>87.664000000000001</v>
      </c>
      <c r="BP151" s="109">
        <f>BM151*'CALCULO GERAL'!$C$11</f>
        <v>375.52157999999997</v>
      </c>
      <c r="BQ151" s="109">
        <f>BO151*'CALCULO GERAL'!$C$11</f>
        <v>439.98561599999999</v>
      </c>
      <c r="BR151" s="186">
        <f>BN151*'CALCULO GERAL'!$C$11</f>
        <v>375.52157999999997</v>
      </c>
      <c r="BS151" s="109">
        <f>BP151*N151</f>
        <v>144575.80829999998</v>
      </c>
      <c r="BT151" s="109">
        <f>BR151*N151</f>
        <v>144575.80829999998</v>
      </c>
      <c r="BU151" s="109">
        <f>BK151*N151</f>
        <v>127397.00123014573</v>
      </c>
      <c r="BV151" s="109">
        <f>BS151-BU151</f>
        <v>17178.807069854243</v>
      </c>
      <c r="BW151" s="114">
        <f>(((BK151*N151)-BS151)/BS151*-1)</f>
        <v>0.11882214093666074</v>
      </c>
      <c r="BX151" s="152">
        <f>ROUND(BL151,2)</f>
        <v>0.8</v>
      </c>
      <c r="BY151" s="152"/>
      <c r="BZ151" s="55"/>
      <c r="CA151" s="113"/>
      <c r="CB151" s="113"/>
      <c r="CC151" s="152"/>
      <c r="CD151" s="152">
        <f>CB151/BX151</f>
        <v>0</v>
      </c>
      <c r="CE151" s="152">
        <f>100%-CD151</f>
        <v>1</v>
      </c>
      <c r="CF151" s="152">
        <f>AVERAGE(CE151,CC151)</f>
        <v>1</v>
      </c>
      <c r="CG151" s="34"/>
      <c r="CI151" s="56"/>
      <c r="CJ151" s="56"/>
    </row>
    <row r="152" spans="1:88" x14ac:dyDescent="0.2">
      <c r="A152" s="125" t="s">
        <v>280</v>
      </c>
      <c r="B152" s="187" t="s">
        <v>281</v>
      </c>
      <c r="C152" s="6">
        <v>0.128</v>
      </c>
      <c r="D152" s="8">
        <v>0</v>
      </c>
      <c r="E152" s="7">
        <v>2.1000000000000001E-2</v>
      </c>
      <c r="F152" s="7">
        <v>9.6500000000000002E-2</v>
      </c>
      <c r="G152" s="1">
        <v>6.4999999999999997E-3</v>
      </c>
      <c r="H152" s="1">
        <v>0.03</v>
      </c>
      <c r="I152" s="1">
        <v>0.18</v>
      </c>
      <c r="J152" s="1">
        <v>0.04</v>
      </c>
      <c r="K152" s="1">
        <v>0.14000000000000001</v>
      </c>
      <c r="L152" s="1">
        <v>1.4999999999999999E-2</v>
      </c>
      <c r="M152" s="2" t="s">
        <v>175</v>
      </c>
      <c r="N152" s="105">
        <f>100*24</f>
        <v>2400</v>
      </c>
      <c r="O152" s="119"/>
      <c r="P152" s="119"/>
      <c r="Q152" s="119"/>
      <c r="R152" s="119"/>
      <c r="S152" s="119"/>
      <c r="T152" s="119"/>
      <c r="U152" s="119"/>
      <c r="V152" s="119">
        <v>0.6875</v>
      </c>
      <c r="W152" s="119"/>
      <c r="X152" s="119">
        <f t="shared" si="67"/>
        <v>0.6875</v>
      </c>
      <c r="Y152" s="118">
        <f t="shared" si="68"/>
        <v>0.6875</v>
      </c>
      <c r="Z152" s="109">
        <f t="shared" si="69"/>
        <v>1650</v>
      </c>
      <c r="AA152" s="109">
        <f>'CALCULO GERAL'!$G$10</f>
        <v>6300</v>
      </c>
      <c r="AB152" s="109">
        <f t="shared" si="70"/>
        <v>7950</v>
      </c>
      <c r="AC152" s="109">
        <f>AB152*'CALCULO GERAL'!$C$11</f>
        <v>39901.050000000003</v>
      </c>
      <c r="AD152" s="109">
        <f t="shared" si="71"/>
        <v>5107.3344000000006</v>
      </c>
      <c r="AE152" s="109">
        <f t="shared" si="72"/>
        <v>0</v>
      </c>
      <c r="AF152" s="109">
        <f t="shared" si="73"/>
        <v>837.92205000000013</v>
      </c>
      <c r="AG152" s="109">
        <f t="shared" si="74"/>
        <v>3850.4513250000005</v>
      </c>
      <c r="AH152" s="109">
        <v>154.22999999999999</v>
      </c>
      <c r="AI152" s="109">
        <f>((AA152*'CALCULO GERAL'!$C$11))*0.08+20</f>
        <v>2549.576</v>
      </c>
      <c r="AJ152" s="109">
        <v>1010</v>
      </c>
      <c r="AK152" s="109">
        <v>2500</v>
      </c>
      <c r="AL152" s="109">
        <f>(AA152*('CALCULO GERAL'!$C$11*1.02))-(AA152*'CALCULO GERAL'!$C$11)</f>
        <v>632.39400000000387</v>
      </c>
      <c r="AM152" s="109">
        <v>1800</v>
      </c>
      <c r="AN152" s="109">
        <v>2600</v>
      </c>
      <c r="AO152" s="109">
        <v>9400</v>
      </c>
      <c r="AP152" s="109">
        <v>1000</v>
      </c>
      <c r="AQ152" s="109">
        <v>0</v>
      </c>
      <c r="AR152" s="109">
        <v>0</v>
      </c>
      <c r="AS152" s="109"/>
      <c r="AT152" s="109">
        <f t="shared" si="34"/>
        <v>71342.957775000017</v>
      </c>
      <c r="AU152" s="111">
        <f t="shared" si="75"/>
        <v>29.726232406250006</v>
      </c>
      <c r="AV152" s="109">
        <f>IFERROR((BS152*'CALCULO GERAL'!$E$11)/N152,0)</f>
        <v>0.75485760000000002</v>
      </c>
      <c r="AW152" s="109">
        <f>AU152/'CALCULO GERAL'!$C$11</f>
        <v>5.9227400689878476</v>
      </c>
      <c r="AX152" s="109">
        <f>BP152-BB152-BD152*'CALCULO GERAL'!$C$11</f>
        <v>37.1767368</v>
      </c>
      <c r="AY152" s="109">
        <f t="shared" si="76"/>
        <v>0.24164878919999999</v>
      </c>
      <c r="AZ152" s="109">
        <f t="shared" si="77"/>
        <v>1.115302104</v>
      </c>
      <c r="BA152" s="109">
        <f t="shared" si="78"/>
        <v>37.74288</v>
      </c>
      <c r="BB152" s="109">
        <f t="shared" si="79"/>
        <v>0.56614319999999996</v>
      </c>
      <c r="BC152" s="109">
        <f t="shared" si="80"/>
        <v>37.74288</v>
      </c>
      <c r="BD152" s="109">
        <f t="shared" si="81"/>
        <v>0</v>
      </c>
      <c r="BE152" s="109">
        <f t="shared" si="82"/>
        <v>7246.6329599999999</v>
      </c>
      <c r="BF152" s="109">
        <f t="shared" si="83"/>
        <v>10869.949439999999</v>
      </c>
      <c r="BG152" s="109">
        <f t="shared" si="84"/>
        <v>0.40762310399999996</v>
      </c>
      <c r="BH152" s="109">
        <f t="shared" si="85"/>
        <v>0.45291456000000002</v>
      </c>
      <c r="BI152" s="109">
        <f t="shared" si="86"/>
        <v>0</v>
      </c>
      <c r="BJ152" s="109">
        <f t="shared" si="87"/>
        <v>3.5384893571999996</v>
      </c>
      <c r="BK152" s="109">
        <f t="shared" si="88"/>
        <v>33.264721763450005</v>
      </c>
      <c r="BL152" s="148">
        <v>0.8</v>
      </c>
      <c r="BM152" s="112">
        <f>ROUND((AW152/BL152)+((AW152*BL152)*'CALCULO GERAL'!$E$11)/BL152,2)</f>
        <v>7.52</v>
      </c>
      <c r="BN152" s="186">
        <f t="shared" si="21"/>
        <v>7.52</v>
      </c>
      <c r="BO152" s="186">
        <f t="shared" si="89"/>
        <v>8.8109999999999999</v>
      </c>
      <c r="BP152" s="109">
        <f>BM152*'CALCULO GERAL'!$C$11</f>
        <v>37.74288</v>
      </c>
      <c r="BQ152" s="109">
        <f>BO152*'CALCULO GERAL'!$C$11</f>
        <v>44.222408999999999</v>
      </c>
      <c r="BR152" s="186">
        <f>BN152*'CALCULO GERAL'!$C$11</f>
        <v>37.74288</v>
      </c>
      <c r="BS152" s="109">
        <f t="shared" si="90"/>
        <v>90582.911999999997</v>
      </c>
      <c r="BT152" s="109">
        <f t="shared" si="91"/>
        <v>90582.911999999997</v>
      </c>
      <c r="BU152" s="109">
        <f t="shared" si="40"/>
        <v>79835.332232280009</v>
      </c>
      <c r="BV152" s="109">
        <f t="shared" si="37"/>
        <v>10747.579767719988</v>
      </c>
      <c r="BW152" s="114">
        <f t="shared" si="92"/>
        <v>0.11864908657076501</v>
      </c>
      <c r="BX152" s="152">
        <f t="shared" si="41"/>
        <v>0.8</v>
      </c>
      <c r="BY152" s="152"/>
      <c r="BZ152" s="55"/>
      <c r="CA152" s="113"/>
      <c r="CB152" s="113"/>
      <c r="CC152" s="152"/>
      <c r="CD152" s="152">
        <f t="shared" si="42"/>
        <v>0</v>
      </c>
      <c r="CE152" s="152">
        <f t="shared" si="38"/>
        <v>1</v>
      </c>
      <c r="CF152" s="152">
        <f t="shared" si="39"/>
        <v>1</v>
      </c>
      <c r="CG152" s="34"/>
      <c r="CI152" s="56"/>
      <c r="CJ152" s="56"/>
    </row>
    <row r="153" spans="1:88" x14ac:dyDescent="0.2">
      <c r="A153" s="125" t="s">
        <v>466</v>
      </c>
      <c r="B153" s="187" t="s">
        <v>467</v>
      </c>
      <c r="C153" s="6">
        <v>0.14399999999999999</v>
      </c>
      <c r="D153" s="8">
        <v>0.1115</v>
      </c>
      <c r="E153" s="7">
        <v>2.1000000000000001E-2</v>
      </c>
      <c r="F153" s="7">
        <v>9.6500000000000002E-2</v>
      </c>
      <c r="G153" s="1">
        <v>6.4999999999999997E-3</v>
      </c>
      <c r="H153" s="1">
        <v>0.03</v>
      </c>
      <c r="I153" s="1">
        <v>0.18</v>
      </c>
      <c r="J153" s="1">
        <v>0.04</v>
      </c>
      <c r="K153" s="1">
        <v>0.14000000000000001</v>
      </c>
      <c r="L153" s="1">
        <v>1.4999999999999999E-2</v>
      </c>
      <c r="M153" s="2" t="s">
        <v>175</v>
      </c>
      <c r="N153" s="105">
        <v>25000</v>
      </c>
      <c r="O153" s="119"/>
      <c r="P153" s="119"/>
      <c r="Q153" s="119"/>
      <c r="R153" s="119"/>
      <c r="S153" s="119"/>
      <c r="T153" s="119"/>
      <c r="U153" s="119"/>
      <c r="V153" s="119">
        <v>2.1</v>
      </c>
      <c r="W153" s="119"/>
      <c r="X153" s="119">
        <f t="shared" si="67"/>
        <v>2.1</v>
      </c>
      <c r="Y153" s="118">
        <f t="shared" si="68"/>
        <v>2.1</v>
      </c>
      <c r="Z153" s="109">
        <f t="shared" si="69"/>
        <v>52500</v>
      </c>
      <c r="AA153" s="109">
        <f>'CALCULO GERAL'!$G$10</f>
        <v>6300</v>
      </c>
      <c r="AB153" s="109">
        <f t="shared" si="70"/>
        <v>58800</v>
      </c>
      <c r="AC153" s="109">
        <f>AB153*'CALCULO GERAL'!$C$11</f>
        <v>295117.2</v>
      </c>
      <c r="AD153" s="109">
        <f t="shared" si="71"/>
        <v>42496.876799999998</v>
      </c>
      <c r="AE153" s="109">
        <f t="shared" si="72"/>
        <v>37643.969563200008</v>
      </c>
      <c r="AF153" s="109">
        <f t="shared" si="73"/>
        <v>6197.4612000000006</v>
      </c>
      <c r="AG153" s="109">
        <f t="shared" si="74"/>
        <v>28478.809800000003</v>
      </c>
      <c r="AH153" s="109">
        <v>154.22999999999999</v>
      </c>
      <c r="AI153" s="109">
        <f>((AA153*'CALCULO GERAL'!$C$11))*0.08+20</f>
        <v>2549.576</v>
      </c>
      <c r="AJ153" s="109">
        <v>1010</v>
      </c>
      <c r="AK153" s="109">
        <v>2500</v>
      </c>
      <c r="AL153" s="109">
        <f>(AA153*('CALCULO GERAL'!$C$11*1.02))-(AA153*'CALCULO GERAL'!$C$11)</f>
        <v>632.39400000000387</v>
      </c>
      <c r="AM153" s="109">
        <v>1800</v>
      </c>
      <c r="AN153" s="109">
        <v>2600</v>
      </c>
      <c r="AO153" s="109">
        <v>9400</v>
      </c>
      <c r="AP153" s="109">
        <v>1000</v>
      </c>
      <c r="AQ153" s="109">
        <v>0</v>
      </c>
      <c r="AR153" s="109">
        <v>0</v>
      </c>
      <c r="AS153" s="109"/>
      <c r="AT153" s="109">
        <f t="shared" si="34"/>
        <v>431580.51736320008</v>
      </c>
      <c r="AU153" s="111">
        <f t="shared" si="75"/>
        <v>17.263220694528002</v>
      </c>
      <c r="AV153" s="109">
        <f>IFERROR((BS153*'CALCULO GERAL'!$E$11)/N153,0)</f>
        <v>0.45572520000000005</v>
      </c>
      <c r="AW153" s="109">
        <f>AU153/'CALCULO GERAL'!$C$11</f>
        <v>3.4395737586228337</v>
      </c>
      <c r="AX153" s="109">
        <f>BP153-BB153-BD153*'CALCULO GERAL'!$C$11</f>
        <v>11.006317092388665</v>
      </c>
      <c r="AY153" s="109">
        <f t="shared" si="76"/>
        <v>7.1541061100526313E-2</v>
      </c>
      <c r="AZ153" s="109">
        <f t="shared" si="77"/>
        <v>0.33018951277165992</v>
      </c>
      <c r="BA153" s="109">
        <f t="shared" si="78"/>
        <v>20.50045883940621</v>
      </c>
      <c r="BB153" s="109">
        <f t="shared" si="79"/>
        <v>0.30750688259109316</v>
      </c>
      <c r="BC153" s="109">
        <f t="shared" si="80"/>
        <v>20.50045883940621</v>
      </c>
      <c r="BD153" s="109">
        <f t="shared" si="81"/>
        <v>2.2858011605937927</v>
      </c>
      <c r="BE153" s="109">
        <f t="shared" si="82"/>
        <v>45572.520000000004</v>
      </c>
      <c r="BF153" s="109">
        <f t="shared" si="83"/>
        <v>68358.78</v>
      </c>
      <c r="BG153" s="109">
        <f t="shared" si="84"/>
        <v>0.24609160799999999</v>
      </c>
      <c r="BH153" s="109">
        <f t="shared" si="85"/>
        <v>0.27343512000000003</v>
      </c>
      <c r="BI153" s="109">
        <f t="shared" si="86"/>
        <v>0</v>
      </c>
      <c r="BJ153" s="109">
        <f t="shared" si="87"/>
        <v>3.9702905450570718</v>
      </c>
      <c r="BK153" s="109">
        <f t="shared" si="88"/>
        <v>21.233511239585074</v>
      </c>
      <c r="BL153" s="148">
        <v>0.77</v>
      </c>
      <c r="BM153" s="112">
        <f>ROUND((AW153/BL153)+((AW153*BL153)*'CALCULO GERAL'!$E$11)/BL153,2)</f>
        <v>4.54</v>
      </c>
      <c r="BN153" s="186">
        <f t="shared" si="21"/>
        <v>4.54</v>
      </c>
      <c r="BO153" s="186">
        <f t="shared" si="89"/>
        <v>5.319</v>
      </c>
      <c r="BP153" s="109">
        <f>BM153*'CALCULO GERAL'!$C$11</f>
        <v>22.786260000000002</v>
      </c>
      <c r="BQ153" s="109">
        <f>BO153*'CALCULO GERAL'!$C$11</f>
        <v>26.696061</v>
      </c>
      <c r="BR153" s="186">
        <f>BN153*'CALCULO GERAL'!$C$11</f>
        <v>22.786260000000002</v>
      </c>
      <c r="BS153" s="109">
        <f t="shared" si="90"/>
        <v>569656.5</v>
      </c>
      <c r="BT153" s="109">
        <f t="shared" si="91"/>
        <v>569656.5</v>
      </c>
      <c r="BU153" s="109">
        <f t="shared" si="40"/>
        <v>530837.78098962689</v>
      </c>
      <c r="BV153" s="109">
        <f t="shared" si="37"/>
        <v>38818.719010373112</v>
      </c>
      <c r="BW153" s="114">
        <f t="shared" si="92"/>
        <v>6.8144081583152494E-2</v>
      </c>
      <c r="BX153" s="152">
        <f t="shared" si="41"/>
        <v>0.77</v>
      </c>
      <c r="BY153" s="152"/>
      <c r="BZ153" s="55"/>
      <c r="CA153" s="113"/>
      <c r="CB153" s="113"/>
      <c r="CC153" s="152"/>
      <c r="CD153" s="152">
        <f t="shared" si="42"/>
        <v>0</v>
      </c>
      <c r="CE153" s="152">
        <f t="shared" si="38"/>
        <v>1</v>
      </c>
      <c r="CF153" s="152">
        <f t="shared" si="39"/>
        <v>1</v>
      </c>
      <c r="CG153" s="34"/>
      <c r="CI153" s="56"/>
      <c r="CJ153" s="56"/>
    </row>
    <row r="154" spans="1:88" x14ac:dyDescent="0.2">
      <c r="A154" s="125" t="s">
        <v>282</v>
      </c>
      <c r="B154" s="187" t="s">
        <v>283</v>
      </c>
      <c r="C154" s="6">
        <v>0.128</v>
      </c>
      <c r="D154" s="8">
        <v>0.05</v>
      </c>
      <c r="E154" s="7">
        <v>2.1000000000000001E-2</v>
      </c>
      <c r="F154" s="7">
        <v>0.1065</v>
      </c>
      <c r="G154" s="1">
        <v>6.4999999999999997E-3</v>
      </c>
      <c r="H154" s="1">
        <v>0.03</v>
      </c>
      <c r="I154" s="1">
        <v>0.18</v>
      </c>
      <c r="J154" s="1">
        <v>0.04</v>
      </c>
      <c r="K154" s="1">
        <v>0.14000000000000001</v>
      </c>
      <c r="L154" s="1">
        <v>1.4999999999999999E-2</v>
      </c>
      <c r="M154" s="2" t="s">
        <v>175</v>
      </c>
      <c r="N154" s="105">
        <v>160000</v>
      </c>
      <c r="O154" s="119"/>
      <c r="P154" s="119"/>
      <c r="Q154" s="119"/>
      <c r="R154" s="119"/>
      <c r="S154" s="119"/>
      <c r="T154" s="119"/>
      <c r="U154" s="119"/>
      <c r="V154" s="119">
        <v>0.17499999999999999</v>
      </c>
      <c r="W154" s="119"/>
      <c r="X154" s="119">
        <f t="shared" si="67"/>
        <v>0.17499999999999999</v>
      </c>
      <c r="Y154" s="118">
        <f t="shared" si="68"/>
        <v>0.17499999999999999</v>
      </c>
      <c r="Z154" s="109">
        <f t="shared" si="69"/>
        <v>28000</v>
      </c>
      <c r="AA154" s="109">
        <f>'CALCULO GERAL'!$G$10</f>
        <v>6300</v>
      </c>
      <c r="AB154" s="109">
        <f t="shared" si="70"/>
        <v>34300</v>
      </c>
      <c r="AC154" s="109">
        <f>AB154*'CALCULO GERAL'!$C$11</f>
        <v>172151.7</v>
      </c>
      <c r="AD154" s="109">
        <f t="shared" si="71"/>
        <v>22035.417600000001</v>
      </c>
      <c r="AE154" s="109">
        <f t="shared" si="72"/>
        <v>9709.355880000001</v>
      </c>
      <c r="AF154" s="109">
        <f t="shared" si="73"/>
        <v>3615.1857000000005</v>
      </c>
      <c r="AG154" s="109">
        <f t="shared" si="74"/>
        <v>18334.156050000001</v>
      </c>
      <c r="AH154" s="109">
        <v>154.22999999999999</v>
      </c>
      <c r="AI154" s="109">
        <f>((AA154*'CALCULO GERAL'!$C$11))*0.08+20</f>
        <v>2549.576</v>
      </c>
      <c r="AJ154" s="109">
        <v>1010</v>
      </c>
      <c r="AK154" s="109">
        <v>2500</v>
      </c>
      <c r="AL154" s="109">
        <f>(AA154*('CALCULO GERAL'!$C$11*1.02))-(AA154*'CALCULO GERAL'!$C$11)</f>
        <v>632.39400000000387</v>
      </c>
      <c r="AM154" s="109">
        <v>1800</v>
      </c>
      <c r="AN154" s="109">
        <v>2600</v>
      </c>
      <c r="AO154" s="109">
        <v>9400</v>
      </c>
      <c r="AP154" s="109">
        <v>1000</v>
      </c>
      <c r="AQ154" s="109">
        <v>0</v>
      </c>
      <c r="AR154" s="109">
        <v>0</v>
      </c>
      <c r="AS154" s="109"/>
      <c r="AT154" s="109">
        <f t="shared" si="34"/>
        <v>247492.01522999999</v>
      </c>
      <c r="AU154" s="111">
        <f t="shared" si="75"/>
        <v>1.5468250951875</v>
      </c>
      <c r="AV154" s="109">
        <f>IFERROR((BS154*'CALCULO GERAL'!$E$11)/N154,0)</f>
        <v>4.1155799999999999E-2</v>
      </c>
      <c r="AW154" s="109">
        <f>AU154/'CALCULO GERAL'!$C$11</f>
        <v>0.3081938822848177</v>
      </c>
      <c r="AX154" s="109">
        <f>BP154-BB154-BD154*'CALCULO GERAL'!$C$11</f>
        <v>1.5365811899999999</v>
      </c>
      <c r="AY154" s="109">
        <f t="shared" si="76"/>
        <v>9.9877777349999999E-3</v>
      </c>
      <c r="AZ154" s="109">
        <f t="shared" si="77"/>
        <v>4.6097435699999995E-2</v>
      </c>
      <c r="BA154" s="109">
        <f t="shared" si="78"/>
        <v>1.9597999999999998</v>
      </c>
      <c r="BB154" s="109">
        <f t="shared" si="79"/>
        <v>2.9396999999999996E-2</v>
      </c>
      <c r="BC154" s="109">
        <f t="shared" si="80"/>
        <v>1.9597999999999998</v>
      </c>
      <c r="BD154" s="109">
        <f t="shared" si="81"/>
        <v>9.7989999999999994E-2</v>
      </c>
      <c r="BE154" s="109">
        <f t="shared" si="82"/>
        <v>26339.712</v>
      </c>
      <c r="BF154" s="109">
        <f t="shared" si="83"/>
        <v>39509.567999999992</v>
      </c>
      <c r="BG154" s="109">
        <f t="shared" si="84"/>
        <v>2.2224131999999994E-2</v>
      </c>
      <c r="BH154" s="109">
        <f t="shared" si="85"/>
        <v>2.469348E-2</v>
      </c>
      <c r="BI154" s="109">
        <f t="shared" si="86"/>
        <v>0</v>
      </c>
      <c r="BJ154" s="109">
        <f t="shared" si="87"/>
        <v>0.27154562543499999</v>
      </c>
      <c r="BK154" s="109">
        <f t="shared" si="88"/>
        <v>1.8183707206224999</v>
      </c>
      <c r="BL154" s="148">
        <v>0.77</v>
      </c>
      <c r="BM154" s="112">
        <f>ROUND((AW154/BL154)+((AW154*BL154)*'CALCULO GERAL'!$E$11)/BL154,2)</f>
        <v>0.41</v>
      </c>
      <c r="BN154" s="186">
        <f t="shared" si="21"/>
        <v>0.41</v>
      </c>
      <c r="BO154" s="186">
        <f>ROUND(FV(0.02,8,,BN154)*-1,3)</f>
        <v>0.48</v>
      </c>
      <c r="BP154" s="109">
        <f>BM154*'CALCULO GERAL'!$C$11</f>
        <v>2.0577899999999998</v>
      </c>
      <c r="BQ154" s="109">
        <f>BO154*'CALCULO GERAL'!$C$11</f>
        <v>2.4091200000000002</v>
      </c>
      <c r="BR154" s="186">
        <f>BN154*'CALCULO GERAL'!$C$11</f>
        <v>2.0577899999999998</v>
      </c>
      <c r="BS154" s="109">
        <f t="shared" si="90"/>
        <v>329246.39999999997</v>
      </c>
      <c r="BT154" s="109">
        <f t="shared" si="91"/>
        <v>329246.39999999997</v>
      </c>
      <c r="BU154" s="109">
        <f t="shared" si="40"/>
        <v>290939.31529960001</v>
      </c>
      <c r="BV154" s="109">
        <f t="shared" si="37"/>
        <v>38307.084700399952</v>
      </c>
      <c r="BW154" s="114">
        <f t="shared" si="92"/>
        <v>0.11634777085003802</v>
      </c>
      <c r="BX154" s="152">
        <f t="shared" si="41"/>
        <v>0.77</v>
      </c>
      <c r="BY154" s="152"/>
      <c r="BZ154" s="55"/>
      <c r="CA154" s="113"/>
      <c r="CB154" s="113"/>
      <c r="CC154" s="152"/>
      <c r="CD154" s="152">
        <f t="shared" si="42"/>
        <v>0</v>
      </c>
      <c r="CE154" s="152">
        <f t="shared" si="38"/>
        <v>1</v>
      </c>
      <c r="CF154" s="152">
        <f t="shared" si="39"/>
        <v>1</v>
      </c>
      <c r="CG154" s="34"/>
      <c r="CI154" s="56"/>
      <c r="CJ154" s="56"/>
    </row>
    <row r="155" spans="1:88" x14ac:dyDescent="0.2">
      <c r="A155" s="125" t="s">
        <v>284</v>
      </c>
      <c r="B155" s="187" t="s">
        <v>283</v>
      </c>
      <c r="C155" s="6">
        <v>0.128</v>
      </c>
      <c r="D155" s="8">
        <v>0.05</v>
      </c>
      <c r="E155" s="7">
        <v>2.1000000000000001E-2</v>
      </c>
      <c r="F155" s="7">
        <v>0.1065</v>
      </c>
      <c r="G155" s="1">
        <v>6.4999999999999997E-3</v>
      </c>
      <c r="H155" s="1">
        <v>0.03</v>
      </c>
      <c r="I155" s="1">
        <v>0.18</v>
      </c>
      <c r="J155" s="1">
        <v>0.04</v>
      </c>
      <c r="K155" s="1">
        <v>0.14000000000000001</v>
      </c>
      <c r="L155" s="1">
        <v>1.4999999999999999E-2</v>
      </c>
      <c r="M155" s="2" t="s">
        <v>175</v>
      </c>
      <c r="N155" s="105">
        <v>105000</v>
      </c>
      <c r="O155" s="119"/>
      <c r="P155" s="119"/>
      <c r="Q155" s="119"/>
      <c r="R155" s="119"/>
      <c r="S155" s="119"/>
      <c r="T155" s="119"/>
      <c r="U155" s="119"/>
      <c r="V155" s="119">
        <v>0.44600000000000001</v>
      </c>
      <c r="W155" s="119"/>
      <c r="X155" s="119">
        <f t="shared" si="67"/>
        <v>0.44600000000000001</v>
      </c>
      <c r="Y155" s="118">
        <f t="shared" si="68"/>
        <v>0.44600000000000001</v>
      </c>
      <c r="Z155" s="109">
        <f t="shared" si="69"/>
        <v>46830</v>
      </c>
      <c r="AA155" s="109">
        <f>'CALCULO GERAL'!$G$10</f>
        <v>6300</v>
      </c>
      <c r="AB155" s="109">
        <f t="shared" si="70"/>
        <v>53130</v>
      </c>
      <c r="AC155" s="109">
        <f>AB155*'CALCULO GERAL'!$C$11</f>
        <v>266659.47000000003</v>
      </c>
      <c r="AD155" s="109">
        <f t="shared" si="71"/>
        <v>34132.412160000007</v>
      </c>
      <c r="AE155" s="109">
        <f t="shared" si="72"/>
        <v>15039.594108000003</v>
      </c>
      <c r="AF155" s="109">
        <f t="shared" si="73"/>
        <v>5599.8488700000007</v>
      </c>
      <c r="AG155" s="109">
        <f t="shared" si="74"/>
        <v>28399.233555000003</v>
      </c>
      <c r="AH155" s="109">
        <v>154.22999999999999</v>
      </c>
      <c r="AI155" s="109">
        <f>((AA155*'CALCULO GERAL'!$C$11))*0.08+20</f>
        <v>2549.576</v>
      </c>
      <c r="AJ155" s="109">
        <v>1010</v>
      </c>
      <c r="AK155" s="109">
        <v>2500</v>
      </c>
      <c r="AL155" s="109">
        <f>(AA155*('CALCULO GERAL'!$C$11*1.02))-(AA155*'CALCULO GERAL'!$C$11)</f>
        <v>632.39400000000387</v>
      </c>
      <c r="AM155" s="109">
        <v>1800</v>
      </c>
      <c r="AN155" s="109">
        <v>2600</v>
      </c>
      <c r="AO155" s="109">
        <v>9400</v>
      </c>
      <c r="AP155" s="109">
        <v>1000</v>
      </c>
      <c r="AQ155" s="109">
        <v>0</v>
      </c>
      <c r="AR155" s="109">
        <v>0</v>
      </c>
      <c r="AS155" s="109"/>
      <c r="AT155" s="109">
        <f t="shared" si="34"/>
        <v>371476.75869300001</v>
      </c>
      <c r="AU155" s="111">
        <f t="shared" si="75"/>
        <v>3.5378738923142858</v>
      </c>
      <c r="AV155" s="109">
        <f>IFERROR((BS155*'CALCULO GERAL'!$E$11)/N155,0)</f>
        <v>8.8334399999999993E-2</v>
      </c>
      <c r="AW155" s="109">
        <f>AU155/'CALCULO GERAL'!$C$11</f>
        <v>0.7048961730054365</v>
      </c>
      <c r="AX155" s="109">
        <f>BP155-BB155-BD155*'CALCULO GERAL'!$C$11</f>
        <v>3.29802792</v>
      </c>
      <c r="AY155" s="109">
        <f t="shared" si="76"/>
        <v>2.1437181479999998E-2</v>
      </c>
      <c r="AZ155" s="109">
        <f t="shared" si="77"/>
        <v>9.8940837599999998E-2</v>
      </c>
      <c r="BA155" s="109">
        <f t="shared" si="78"/>
        <v>4.2063999999999995</v>
      </c>
      <c r="BB155" s="109">
        <f t="shared" si="79"/>
        <v>6.3095999999999985E-2</v>
      </c>
      <c r="BC155" s="109">
        <f t="shared" si="80"/>
        <v>4.2063999999999995</v>
      </c>
      <c r="BD155" s="109">
        <f t="shared" si="81"/>
        <v>0.21031999999999998</v>
      </c>
      <c r="BE155" s="109">
        <f t="shared" si="82"/>
        <v>37100.447999999997</v>
      </c>
      <c r="BF155" s="109">
        <f t="shared" si="83"/>
        <v>55650.671999999999</v>
      </c>
      <c r="BG155" s="109">
        <f t="shared" si="84"/>
        <v>4.7700576000000001E-2</v>
      </c>
      <c r="BH155" s="109">
        <f t="shared" si="85"/>
        <v>5.3000639999999995E-2</v>
      </c>
      <c r="BI155" s="109">
        <f t="shared" si="86"/>
        <v>0</v>
      </c>
      <c r="BJ155" s="109">
        <f t="shared" si="87"/>
        <v>0.58282963507999996</v>
      </c>
      <c r="BK155" s="109">
        <f t="shared" si="88"/>
        <v>4.1207035273942854</v>
      </c>
      <c r="BL155" s="148">
        <v>0.81</v>
      </c>
      <c r="BM155" s="112">
        <f>ROUND((AW155/BL155)+((AW155*BL155)*'CALCULO GERAL'!$E$11)/BL155,2)</f>
        <v>0.88</v>
      </c>
      <c r="BN155" s="186">
        <f t="shared" si="21"/>
        <v>0.88</v>
      </c>
      <c r="BO155" s="186">
        <f>ROUND(FV(0.02,8,,BN155)*-1,3)</f>
        <v>1.0309999999999999</v>
      </c>
      <c r="BP155" s="109">
        <f>BM155*'CALCULO GERAL'!$C$11</f>
        <v>4.4167199999999998</v>
      </c>
      <c r="BQ155" s="109">
        <f>BO155*'CALCULO GERAL'!$C$11</f>
        <v>5.1745890000000001</v>
      </c>
      <c r="BR155" s="186">
        <f>BN155*'CALCULO GERAL'!$C$11</f>
        <v>4.4167199999999998</v>
      </c>
      <c r="BS155" s="109">
        <f t="shared" si="90"/>
        <v>463755.6</v>
      </c>
      <c r="BT155" s="109">
        <f t="shared" si="91"/>
        <v>463755.6</v>
      </c>
      <c r="BU155" s="109">
        <f t="shared" si="40"/>
        <v>432673.87037639995</v>
      </c>
      <c r="BV155" s="109">
        <f t="shared" si="37"/>
        <v>31081.729623600026</v>
      </c>
      <c r="BW155" s="114">
        <f t="shared" si="92"/>
        <v>6.7021788251397998E-2</v>
      </c>
      <c r="BX155" s="152">
        <f t="shared" si="41"/>
        <v>0.81</v>
      </c>
      <c r="BY155" s="152"/>
      <c r="BZ155" s="55"/>
      <c r="CA155" s="113"/>
      <c r="CB155" s="113"/>
      <c r="CC155" s="152"/>
      <c r="CD155" s="152">
        <f t="shared" si="42"/>
        <v>0</v>
      </c>
      <c r="CE155" s="152">
        <f t="shared" si="38"/>
        <v>1</v>
      </c>
      <c r="CF155" s="152">
        <f t="shared" si="39"/>
        <v>1</v>
      </c>
      <c r="CG155" s="34"/>
      <c r="CI155" s="56"/>
      <c r="CJ155" s="56"/>
    </row>
    <row r="156" spans="1:88" x14ac:dyDescent="0.2">
      <c r="A156" s="125" t="s">
        <v>285</v>
      </c>
      <c r="B156" s="187" t="s">
        <v>283</v>
      </c>
      <c r="C156" s="6">
        <v>0.128</v>
      </c>
      <c r="D156" s="8">
        <v>0.05</v>
      </c>
      <c r="E156" s="7">
        <v>2.1000000000000001E-2</v>
      </c>
      <c r="F156" s="7">
        <v>0.1065</v>
      </c>
      <c r="G156" s="1">
        <v>6.4999999999999997E-3</v>
      </c>
      <c r="H156" s="1">
        <v>0.03</v>
      </c>
      <c r="I156" s="1">
        <v>0.18</v>
      </c>
      <c r="J156" s="1">
        <v>0.04</v>
      </c>
      <c r="K156" s="1">
        <v>0.14000000000000001</v>
      </c>
      <c r="L156" s="1">
        <v>1.4999999999999999E-2</v>
      </c>
      <c r="M156" s="2" t="s">
        <v>175</v>
      </c>
      <c r="N156" s="105">
        <v>95000</v>
      </c>
      <c r="O156" s="119"/>
      <c r="P156" s="119"/>
      <c r="Q156" s="119"/>
      <c r="R156" s="119"/>
      <c r="S156" s="119"/>
      <c r="T156" s="119"/>
      <c r="U156" s="119"/>
      <c r="V156" s="119">
        <v>0.74</v>
      </c>
      <c r="W156" s="119"/>
      <c r="X156" s="119">
        <f t="shared" si="67"/>
        <v>0.74</v>
      </c>
      <c r="Y156" s="118">
        <f t="shared" si="68"/>
        <v>0.74</v>
      </c>
      <c r="Z156" s="109">
        <f t="shared" si="69"/>
        <v>70300</v>
      </c>
      <c r="AA156" s="109">
        <f>'CALCULO GERAL'!$G$10</f>
        <v>6300</v>
      </c>
      <c r="AB156" s="109">
        <f t="shared" si="70"/>
        <v>76600</v>
      </c>
      <c r="AC156" s="109">
        <f>AB156*'CALCULO GERAL'!$C$11</f>
        <v>384455.4</v>
      </c>
      <c r="AD156" s="109">
        <f t="shared" si="71"/>
        <v>49210.291200000007</v>
      </c>
      <c r="AE156" s="109">
        <f t="shared" si="72"/>
        <v>21683.28456</v>
      </c>
      <c r="AF156" s="109">
        <f t="shared" si="73"/>
        <v>8073.5634000000009</v>
      </c>
      <c r="AG156" s="109">
        <f t="shared" si="74"/>
        <v>40944.500100000005</v>
      </c>
      <c r="AH156" s="109">
        <v>154.22999999999999</v>
      </c>
      <c r="AI156" s="109">
        <f>((AA156*'CALCULO GERAL'!$C$11))*0.08+20</f>
        <v>2549.576</v>
      </c>
      <c r="AJ156" s="109">
        <v>1010</v>
      </c>
      <c r="AK156" s="109">
        <v>2500</v>
      </c>
      <c r="AL156" s="109">
        <f>(AA156*('CALCULO GERAL'!$C$11*1.02))-(AA156*'CALCULO GERAL'!$C$11)</f>
        <v>632.39400000000387</v>
      </c>
      <c r="AM156" s="109">
        <v>1800</v>
      </c>
      <c r="AN156" s="109">
        <v>2600</v>
      </c>
      <c r="AO156" s="109">
        <v>9400</v>
      </c>
      <c r="AP156" s="109">
        <v>1000</v>
      </c>
      <c r="AQ156" s="109">
        <v>0</v>
      </c>
      <c r="AR156" s="109">
        <v>0</v>
      </c>
      <c r="AS156" s="109"/>
      <c r="AT156" s="109">
        <f t="shared" si="34"/>
        <v>526013.23925999994</v>
      </c>
      <c r="AU156" s="111">
        <f t="shared" si="75"/>
        <v>5.5369814658947361</v>
      </c>
      <c r="AV156" s="109">
        <f>IFERROR((BS156*'CALCULO GERAL'!$E$11)/N156,0)</f>
        <v>0.13551300000000002</v>
      </c>
      <c r="AW156" s="109">
        <f>AU156/'CALCULO GERAL'!$C$11</f>
        <v>1.1032041175323244</v>
      </c>
      <c r="AX156" s="109">
        <f>BP156-BB156-BD156*'CALCULO GERAL'!$C$11</f>
        <v>5.0594746500000003</v>
      </c>
      <c r="AY156" s="109">
        <f t="shared" si="76"/>
        <v>3.2886585225000001E-2</v>
      </c>
      <c r="AZ156" s="109">
        <f t="shared" si="77"/>
        <v>0.1517842395</v>
      </c>
      <c r="BA156" s="109">
        <f t="shared" si="78"/>
        <v>6.4530000000000003</v>
      </c>
      <c r="BB156" s="109">
        <f t="shared" si="79"/>
        <v>9.6795000000000006E-2</v>
      </c>
      <c r="BC156" s="109">
        <f t="shared" si="80"/>
        <v>6.4530000000000003</v>
      </c>
      <c r="BD156" s="109">
        <f t="shared" si="81"/>
        <v>0.32265000000000005</v>
      </c>
      <c r="BE156" s="109">
        <f t="shared" si="82"/>
        <v>51494.94000000001</v>
      </c>
      <c r="BF156" s="109">
        <f t="shared" si="83"/>
        <v>77242.410000000018</v>
      </c>
      <c r="BG156" s="109">
        <f t="shared" si="84"/>
        <v>7.3177020000000023E-2</v>
      </c>
      <c r="BH156" s="109">
        <f t="shared" si="85"/>
        <v>8.1307800000000013E-2</v>
      </c>
      <c r="BI156" s="109">
        <f t="shared" si="86"/>
        <v>0</v>
      </c>
      <c r="BJ156" s="109">
        <f t="shared" si="87"/>
        <v>0.8941136447250001</v>
      </c>
      <c r="BK156" s="109">
        <f t="shared" si="88"/>
        <v>6.4310951106197365</v>
      </c>
      <c r="BL156" s="148">
        <v>0.83</v>
      </c>
      <c r="BM156" s="112">
        <f>ROUND((AW156/BL156)+((AW156*BL156)*'CALCULO GERAL'!$E$11)/BL156,2)</f>
        <v>1.35</v>
      </c>
      <c r="BN156" s="186">
        <f t="shared" si="21"/>
        <v>1.35</v>
      </c>
      <c r="BO156" s="186">
        <f>ROUND(FV(0.02,8,,BN156)*-1,3)</f>
        <v>1.5820000000000001</v>
      </c>
      <c r="BP156" s="109">
        <f>BM156*'CALCULO GERAL'!$C$11</f>
        <v>6.7756500000000006</v>
      </c>
      <c r="BQ156" s="109">
        <f>BO156*'CALCULO GERAL'!$C$11</f>
        <v>7.9400580000000005</v>
      </c>
      <c r="BR156" s="186">
        <f>BN156*'CALCULO GERAL'!$C$11</f>
        <v>6.7756500000000006</v>
      </c>
      <c r="BS156" s="109">
        <f t="shared" si="90"/>
        <v>643686.75000000012</v>
      </c>
      <c r="BT156" s="109">
        <f t="shared" si="91"/>
        <v>643686.75000000012</v>
      </c>
      <c r="BU156" s="109">
        <f t="shared" si="40"/>
        <v>610954.03550887492</v>
      </c>
      <c r="BV156" s="109">
        <f t="shared" si="37"/>
        <v>32732.714491125196</v>
      </c>
      <c r="BW156" s="114">
        <f t="shared" si="92"/>
        <v>5.0851931457537677E-2</v>
      </c>
      <c r="BX156" s="152">
        <f t="shared" si="41"/>
        <v>0.83</v>
      </c>
      <c r="BY156" s="152"/>
      <c r="BZ156" s="55"/>
      <c r="CA156" s="113"/>
      <c r="CB156" s="113"/>
      <c r="CC156" s="152"/>
      <c r="CD156" s="152">
        <f t="shared" si="42"/>
        <v>0</v>
      </c>
      <c r="CE156" s="152">
        <f t="shared" si="38"/>
        <v>1</v>
      </c>
      <c r="CF156" s="152">
        <f t="shared" si="39"/>
        <v>1</v>
      </c>
      <c r="CG156" s="34"/>
      <c r="CI156" s="56"/>
      <c r="CJ156" s="56"/>
    </row>
    <row r="157" spans="1:88" x14ac:dyDescent="0.2">
      <c r="A157" s="125" t="s">
        <v>286</v>
      </c>
      <c r="B157" s="187" t="s">
        <v>287</v>
      </c>
      <c r="C157" s="8">
        <v>0.26</v>
      </c>
      <c r="D157" s="8">
        <v>0</v>
      </c>
      <c r="E157" s="7">
        <v>2.1000000000000001E-2</v>
      </c>
      <c r="F157" s="7">
        <v>0.1065</v>
      </c>
      <c r="G157" s="1">
        <v>6.4999999999999997E-3</v>
      </c>
      <c r="H157" s="1">
        <v>0.03</v>
      </c>
      <c r="I157" s="1">
        <v>0.18</v>
      </c>
      <c r="J157" s="1">
        <v>0.04</v>
      </c>
      <c r="K157" s="1">
        <v>0.14000000000000001</v>
      </c>
      <c r="L157" s="1">
        <v>1.4999999999999999E-2</v>
      </c>
      <c r="M157" s="2" t="s">
        <v>175</v>
      </c>
      <c r="N157" s="105">
        <v>50000</v>
      </c>
      <c r="O157" s="119"/>
      <c r="P157" s="119"/>
      <c r="Q157" s="119"/>
      <c r="R157" s="119"/>
      <c r="S157" s="119"/>
      <c r="T157" s="119"/>
      <c r="U157" s="119">
        <v>2</v>
      </c>
      <c r="V157" s="119"/>
      <c r="W157" s="119">
        <v>1.87</v>
      </c>
      <c r="X157" s="119">
        <f t="shared" si="67"/>
        <v>1.87</v>
      </c>
      <c r="Y157" s="118">
        <f t="shared" si="68"/>
        <v>1.9350000000000001</v>
      </c>
      <c r="Z157" s="109">
        <f t="shared" si="69"/>
        <v>96750</v>
      </c>
      <c r="AA157" s="109">
        <f>'CALCULO GERAL'!$G$10</f>
        <v>6300</v>
      </c>
      <c r="AB157" s="109">
        <f t="shared" si="70"/>
        <v>103050</v>
      </c>
      <c r="AC157" s="109">
        <f>AB157*'CALCULO GERAL'!$C$11</f>
        <v>517207.95</v>
      </c>
      <c r="AD157" s="109">
        <f t="shared" si="71"/>
        <v>134474.06700000001</v>
      </c>
      <c r="AE157" s="109">
        <f t="shared" si="72"/>
        <v>0</v>
      </c>
      <c r="AF157" s="109">
        <f t="shared" si="73"/>
        <v>10861.366950000001</v>
      </c>
      <c r="AG157" s="109">
        <f t="shared" si="74"/>
        <v>55082.646674999996</v>
      </c>
      <c r="AH157" s="109">
        <v>154.22999999999999</v>
      </c>
      <c r="AI157" s="109">
        <f>((AA157*'CALCULO GERAL'!$C$11))*0.08+20</f>
        <v>2549.576</v>
      </c>
      <c r="AJ157" s="109">
        <v>1010</v>
      </c>
      <c r="AK157" s="109">
        <v>2500</v>
      </c>
      <c r="AL157" s="109">
        <f>(AA157*('CALCULO GERAL'!$C$11*1.02))-(AA157*'CALCULO GERAL'!$C$11)</f>
        <v>632.39400000000387</v>
      </c>
      <c r="AM157" s="109">
        <v>1800</v>
      </c>
      <c r="AN157" s="109">
        <v>2600</v>
      </c>
      <c r="AO157" s="109">
        <v>9400</v>
      </c>
      <c r="AP157" s="109">
        <v>1000</v>
      </c>
      <c r="AQ157" s="109">
        <v>0</v>
      </c>
      <c r="AR157" s="109">
        <v>0</v>
      </c>
      <c r="AS157" s="109"/>
      <c r="AT157" s="109">
        <f t="shared" si="34"/>
        <v>739272.23062499997</v>
      </c>
      <c r="AU157" s="111">
        <f t="shared" si="75"/>
        <v>14.785444612499999</v>
      </c>
      <c r="AV157" s="109">
        <f>IFERROR((BS157*'CALCULO GERAL'!$E$11)/N157,0)</f>
        <v>0.33828059999999999</v>
      </c>
      <c r="AW157" s="109">
        <f>AU157/'CALCULO GERAL'!$C$11</f>
        <v>2.9458945233114164</v>
      </c>
      <c r="AX157" s="109">
        <f>BP157-BB157-BD157*'CALCULO GERAL'!$C$11</f>
        <v>16.660319550000001</v>
      </c>
      <c r="AY157" s="109">
        <f t="shared" si="76"/>
        <v>0.10829207707499999</v>
      </c>
      <c r="AZ157" s="109">
        <f t="shared" si="77"/>
        <v>0.49980958650000001</v>
      </c>
      <c r="BA157" s="109">
        <f t="shared" si="78"/>
        <v>16.91403</v>
      </c>
      <c r="BB157" s="109">
        <f t="shared" si="79"/>
        <v>0.25371044999999998</v>
      </c>
      <c r="BC157" s="109">
        <f t="shared" si="80"/>
        <v>16.91403</v>
      </c>
      <c r="BD157" s="109">
        <f t="shared" si="81"/>
        <v>0</v>
      </c>
      <c r="BE157" s="109">
        <f t="shared" si="82"/>
        <v>67656.12</v>
      </c>
      <c r="BF157" s="109">
        <f t="shared" si="83"/>
        <v>101484.18</v>
      </c>
      <c r="BG157" s="109">
        <f t="shared" si="84"/>
        <v>0.182671524</v>
      </c>
      <c r="BH157" s="109">
        <f t="shared" si="85"/>
        <v>0.20296835999999999</v>
      </c>
      <c r="BI157" s="109">
        <f t="shared" si="86"/>
        <v>-1.5312259999999996E-2</v>
      </c>
      <c r="BJ157" s="109">
        <f t="shared" si="87"/>
        <v>1.5704203375750003</v>
      </c>
      <c r="BK157" s="109">
        <f t="shared" si="88"/>
        <v>16.355864950074999</v>
      </c>
      <c r="BL157" s="148">
        <v>0.89</v>
      </c>
      <c r="BM157" s="112">
        <f>ROUND((AW157/BL157)+((AW157*BL157)*'CALCULO GERAL'!$E$11)/BL157,2)</f>
        <v>3.37</v>
      </c>
      <c r="BN157" s="186">
        <f t="shared" si="21"/>
        <v>3.37</v>
      </c>
      <c r="BO157" s="186">
        <f>ROUND(FV(0.02,8,,BN157)*-1,3)</f>
        <v>3.948</v>
      </c>
      <c r="BP157" s="109">
        <f>BM157*'CALCULO GERAL'!$C$11</f>
        <v>16.91403</v>
      </c>
      <c r="BQ157" s="109">
        <f>BO157*'CALCULO GERAL'!$C$11</f>
        <v>19.815011999999999</v>
      </c>
      <c r="BR157" s="186">
        <f>BN157*'CALCULO GERAL'!$C$11</f>
        <v>16.91403</v>
      </c>
      <c r="BS157" s="109">
        <f t="shared" si="90"/>
        <v>845701.5</v>
      </c>
      <c r="BT157" s="109">
        <f t="shared" si="91"/>
        <v>845701.5</v>
      </c>
      <c r="BU157" s="109">
        <f t="shared" si="40"/>
        <v>817793.24750374991</v>
      </c>
      <c r="BV157" s="109">
        <f t="shared" si="37"/>
        <v>27908.25249625009</v>
      </c>
      <c r="BW157" s="114">
        <f t="shared" si="92"/>
        <v>3.3000121787947742E-2</v>
      </c>
      <c r="BX157" s="152">
        <f t="shared" si="41"/>
        <v>0.89</v>
      </c>
      <c r="BY157" s="152"/>
      <c r="BZ157" s="55"/>
      <c r="CA157" s="113"/>
      <c r="CB157" s="113"/>
      <c r="CC157" s="152"/>
      <c r="CD157" s="152">
        <f t="shared" si="42"/>
        <v>0</v>
      </c>
      <c r="CE157" s="152">
        <f t="shared" si="38"/>
        <v>1</v>
      </c>
      <c r="CF157" s="152">
        <f t="shared" si="39"/>
        <v>1</v>
      </c>
      <c r="CG157" s="34"/>
    </row>
    <row r="158" spans="1:88" x14ac:dyDescent="0.2">
      <c r="A158" s="125" t="s">
        <v>288</v>
      </c>
      <c r="B158" s="187" t="s">
        <v>287</v>
      </c>
      <c r="C158" s="8">
        <v>0.26</v>
      </c>
      <c r="D158" s="8">
        <v>0</v>
      </c>
      <c r="E158" s="7">
        <v>2.1000000000000001E-2</v>
      </c>
      <c r="F158" s="7">
        <v>0.1065</v>
      </c>
      <c r="G158" s="1">
        <v>6.4999999999999997E-3</v>
      </c>
      <c r="H158" s="1">
        <v>0.03</v>
      </c>
      <c r="I158" s="1">
        <v>0.18</v>
      </c>
      <c r="J158" s="1">
        <v>0.04</v>
      </c>
      <c r="K158" s="1">
        <v>0.14000000000000001</v>
      </c>
      <c r="L158" s="1">
        <v>1.4999999999999999E-2</v>
      </c>
      <c r="M158" s="2" t="s">
        <v>175</v>
      </c>
      <c r="N158" s="105">
        <v>50000</v>
      </c>
      <c r="O158" s="119"/>
      <c r="P158" s="119"/>
      <c r="Q158" s="119"/>
      <c r="R158" s="119"/>
      <c r="S158" s="119"/>
      <c r="T158" s="119"/>
      <c r="U158" s="119">
        <v>2.5</v>
      </c>
      <c r="V158" s="119"/>
      <c r="W158" s="119">
        <v>2.36</v>
      </c>
      <c r="X158" s="119">
        <f t="shared" si="67"/>
        <v>2.36</v>
      </c>
      <c r="Y158" s="118">
        <f t="shared" si="68"/>
        <v>2.4299999999999997</v>
      </c>
      <c r="Z158" s="109">
        <f t="shared" si="69"/>
        <v>121499.99999999999</v>
      </c>
      <c r="AA158" s="109">
        <f>'CALCULO GERAL'!$G$10</f>
        <v>6300</v>
      </c>
      <c r="AB158" s="109">
        <f t="shared" si="70"/>
        <v>127799.99999999999</v>
      </c>
      <c r="AC158" s="109">
        <f>AB158*'CALCULO GERAL'!$C$11</f>
        <v>641428.19999999995</v>
      </c>
      <c r="AD158" s="109">
        <f t="shared" si="71"/>
        <v>166771.33199999999</v>
      </c>
      <c r="AE158" s="109">
        <f t="shared" si="72"/>
        <v>0</v>
      </c>
      <c r="AF158" s="109">
        <f t="shared" si="73"/>
        <v>13469.992200000001</v>
      </c>
      <c r="AG158" s="109">
        <f t="shared" si="74"/>
        <v>68312.103299999988</v>
      </c>
      <c r="AH158" s="109">
        <v>154.22999999999999</v>
      </c>
      <c r="AI158" s="109">
        <f>((AA158*'CALCULO GERAL'!$C$11))*0.08+20</f>
        <v>2549.576</v>
      </c>
      <c r="AJ158" s="109">
        <v>1010</v>
      </c>
      <c r="AK158" s="109">
        <v>2500</v>
      </c>
      <c r="AL158" s="109">
        <f>(AA158*('CALCULO GERAL'!$C$11*1.02))-(AA158*'CALCULO GERAL'!$C$11)</f>
        <v>632.39400000000387</v>
      </c>
      <c r="AM158" s="109">
        <v>1800</v>
      </c>
      <c r="AN158" s="109">
        <v>2600</v>
      </c>
      <c r="AO158" s="109">
        <v>9400</v>
      </c>
      <c r="AP158" s="109">
        <v>1000</v>
      </c>
      <c r="AQ158" s="109">
        <v>0</v>
      </c>
      <c r="AR158" s="109">
        <v>0</v>
      </c>
      <c r="AS158" s="109"/>
      <c r="AT158" s="109">
        <f t="shared" ref="AT158:AT280" si="93">SUM(AC158:AS158)</f>
        <v>911627.82749999978</v>
      </c>
      <c r="AU158" s="111">
        <f t="shared" si="75"/>
        <v>18.232556549999995</v>
      </c>
      <c r="AV158" s="109">
        <f>IFERROR((BS158*'CALCULO GERAL'!$E$11)/N158,0)</f>
        <v>0.41456940000000003</v>
      </c>
      <c r="AW158" s="109">
        <f>AU158/'CALCULO GERAL'!$C$11</f>
        <v>3.6327070233114154</v>
      </c>
      <c r="AX158" s="109">
        <f>BP158-BB158-BD158*'CALCULO GERAL'!$C$11</f>
        <v>20.417542950000001</v>
      </c>
      <c r="AY158" s="109">
        <f t="shared" si="76"/>
        <v>0.132714029175</v>
      </c>
      <c r="AZ158" s="109">
        <f t="shared" si="77"/>
        <v>0.61252628850000002</v>
      </c>
      <c r="BA158" s="109">
        <f t="shared" si="78"/>
        <v>20.728470000000002</v>
      </c>
      <c r="BB158" s="109">
        <f t="shared" si="79"/>
        <v>0.31092705000000004</v>
      </c>
      <c r="BC158" s="109">
        <f t="shared" si="80"/>
        <v>20.728470000000002</v>
      </c>
      <c r="BD158" s="109">
        <f t="shared" si="81"/>
        <v>0</v>
      </c>
      <c r="BE158" s="109">
        <f t="shared" si="82"/>
        <v>82913.88</v>
      </c>
      <c r="BF158" s="109">
        <f t="shared" si="83"/>
        <v>124370.82</v>
      </c>
      <c r="BG158" s="109">
        <f t="shared" si="84"/>
        <v>0.22386747599999998</v>
      </c>
      <c r="BH158" s="109">
        <f t="shared" si="85"/>
        <v>0.24874164000000001</v>
      </c>
      <c r="BI158" s="109">
        <f t="shared" si="86"/>
        <v>-4.5827780000000012E-2</v>
      </c>
      <c r="BJ158" s="109">
        <f t="shared" si="87"/>
        <v>1.897518103675</v>
      </c>
      <c r="BK158" s="109">
        <f t="shared" si="88"/>
        <v>20.130074653674995</v>
      </c>
      <c r="BL158" s="148">
        <v>0.89500000000000002</v>
      </c>
      <c r="BM158" s="112">
        <f>ROUND((AW158/BL158)+((AW158*BL158)*'CALCULO GERAL'!$E$11)/BL158,2)</f>
        <v>4.13</v>
      </c>
      <c r="BN158" s="186">
        <f t="shared" ref="BN158:BN280" si="94">BM158</f>
        <v>4.13</v>
      </c>
      <c r="BO158" s="186">
        <f t="shared" ref="BO158:BO280" si="95">ROUND(FV(0.02,8,,BN158)*-1,3)</f>
        <v>4.8390000000000004</v>
      </c>
      <c r="BP158" s="109">
        <f>BM158*'CALCULO GERAL'!$C$11</f>
        <v>20.728470000000002</v>
      </c>
      <c r="BQ158" s="109">
        <f>BO158*'CALCULO GERAL'!$C$11</f>
        <v>24.286941000000002</v>
      </c>
      <c r="BR158" s="186">
        <f>BN158*'CALCULO GERAL'!$C$11</f>
        <v>20.728470000000002</v>
      </c>
      <c r="BS158" s="109">
        <f t="shared" si="90"/>
        <v>1036423.5000000001</v>
      </c>
      <c r="BT158" s="109">
        <f t="shared" si="91"/>
        <v>1036423.5000000001</v>
      </c>
      <c r="BU158" s="109">
        <f t="shared" si="40"/>
        <v>1006503.7326837498</v>
      </c>
      <c r="BV158" s="109">
        <f t="shared" ref="BV158:BV280" si="96">BS158-BU158</f>
        <v>29919.767316250363</v>
      </c>
      <c r="BW158" s="114">
        <f t="shared" si="92"/>
        <v>2.8868283395976992E-2</v>
      </c>
      <c r="BX158" s="152">
        <f t="shared" si="41"/>
        <v>0.9</v>
      </c>
      <c r="BY158" s="152"/>
      <c r="BZ158" s="55"/>
      <c r="CA158" s="113"/>
      <c r="CB158" s="113"/>
      <c r="CC158" s="152"/>
      <c r="CD158" s="152">
        <f t="shared" si="42"/>
        <v>0</v>
      </c>
      <c r="CE158" s="152">
        <f t="shared" ref="CE158:CE280" si="97">100%-CD158</f>
        <v>1</v>
      </c>
      <c r="CF158" s="152">
        <f t="shared" ref="CF158:CF280" si="98">AVERAGE(CE158,CC158)</f>
        <v>1</v>
      </c>
      <c r="CG158" s="34"/>
    </row>
    <row r="159" spans="1:88" x14ac:dyDescent="0.2">
      <c r="A159" s="125" t="s">
        <v>289</v>
      </c>
      <c r="B159" s="187" t="s">
        <v>287</v>
      </c>
      <c r="C159" s="8">
        <v>0.26</v>
      </c>
      <c r="D159" s="8">
        <v>0</v>
      </c>
      <c r="E159" s="7">
        <v>2.1000000000000001E-2</v>
      </c>
      <c r="F159" s="7">
        <v>0.1065</v>
      </c>
      <c r="G159" s="1">
        <v>6.4999999999999997E-3</v>
      </c>
      <c r="H159" s="1">
        <v>0.03</v>
      </c>
      <c r="I159" s="1">
        <v>0.18</v>
      </c>
      <c r="J159" s="1">
        <v>0.04</v>
      </c>
      <c r="K159" s="1">
        <v>0.14000000000000001</v>
      </c>
      <c r="L159" s="1">
        <v>1.4999999999999999E-2</v>
      </c>
      <c r="M159" s="2" t="s">
        <v>175</v>
      </c>
      <c r="N159" s="105">
        <v>37500</v>
      </c>
      <c r="O159" s="119"/>
      <c r="P159" s="119"/>
      <c r="Q159" s="119"/>
      <c r="R159" s="119"/>
      <c r="S159" s="119"/>
      <c r="T159" s="119"/>
      <c r="U159" s="119"/>
      <c r="V159" s="119">
        <v>1.73</v>
      </c>
      <c r="W159" s="119"/>
      <c r="X159" s="119">
        <f t="shared" si="67"/>
        <v>1.73</v>
      </c>
      <c r="Y159" s="118">
        <f t="shared" si="68"/>
        <v>1.73</v>
      </c>
      <c r="Z159" s="109">
        <f t="shared" si="69"/>
        <v>64875</v>
      </c>
      <c r="AA159" s="109">
        <f>'CALCULO GERAL'!$G$10</f>
        <v>6300</v>
      </c>
      <c r="AB159" s="109">
        <f t="shared" si="70"/>
        <v>71175</v>
      </c>
      <c r="AC159" s="109">
        <f>AB159*'CALCULO GERAL'!$C$11</f>
        <v>357227.32500000001</v>
      </c>
      <c r="AD159" s="109">
        <f t="shared" si="71"/>
        <v>92879.104500000001</v>
      </c>
      <c r="AE159" s="109">
        <f t="shared" si="72"/>
        <v>0</v>
      </c>
      <c r="AF159" s="109">
        <f t="shared" si="73"/>
        <v>7501.7738250000011</v>
      </c>
      <c r="AG159" s="109">
        <f t="shared" si="74"/>
        <v>38044.710112499997</v>
      </c>
      <c r="AH159" s="109">
        <v>154.22999999999999</v>
      </c>
      <c r="AI159" s="109">
        <f>((AA159*'CALCULO GERAL'!$C$11))*0.08+20</f>
        <v>2549.576</v>
      </c>
      <c r="AJ159" s="109">
        <v>1010</v>
      </c>
      <c r="AK159" s="109">
        <v>2500</v>
      </c>
      <c r="AL159" s="109">
        <f>(AA159*('CALCULO GERAL'!$C$11*1.02))-(AA159*'CALCULO GERAL'!$C$11)</f>
        <v>632.39400000000387</v>
      </c>
      <c r="AM159" s="109">
        <v>1800</v>
      </c>
      <c r="AN159" s="109">
        <v>2600</v>
      </c>
      <c r="AO159" s="109">
        <v>9400</v>
      </c>
      <c r="AP159" s="109">
        <v>1000</v>
      </c>
      <c r="AQ159" s="109">
        <v>0</v>
      </c>
      <c r="AR159" s="109">
        <v>0</v>
      </c>
      <c r="AS159" s="109"/>
      <c r="AT159" s="109">
        <f t="shared" si="93"/>
        <v>517299.11343750003</v>
      </c>
      <c r="AU159" s="111">
        <f t="shared" si="75"/>
        <v>13.794643025000001</v>
      </c>
      <c r="AV159" s="109">
        <f>IFERROR((BS159*'CALCULO GERAL'!$E$11)/N159,0)</f>
        <v>0.3222198</v>
      </c>
      <c r="AW159" s="109">
        <f>AU159/'CALCULO GERAL'!$C$11</f>
        <v>2.7484843644152224</v>
      </c>
      <c r="AX159" s="109">
        <f>BP159-BB159-BD159*'CALCULO GERAL'!$C$11</f>
        <v>15.869325150000002</v>
      </c>
      <c r="AY159" s="109">
        <f t="shared" si="76"/>
        <v>0.103150613475</v>
      </c>
      <c r="AZ159" s="109">
        <f t="shared" si="77"/>
        <v>0.47607975450000001</v>
      </c>
      <c r="BA159" s="109">
        <f t="shared" si="78"/>
        <v>16.110990000000001</v>
      </c>
      <c r="BB159" s="109">
        <f t="shared" si="79"/>
        <v>0.24166485000000001</v>
      </c>
      <c r="BC159" s="109">
        <f t="shared" si="80"/>
        <v>16.110990000000001</v>
      </c>
      <c r="BD159" s="109">
        <f t="shared" si="81"/>
        <v>0</v>
      </c>
      <c r="BE159" s="109">
        <f t="shared" si="82"/>
        <v>48332.97</v>
      </c>
      <c r="BF159" s="109">
        <f t="shared" si="83"/>
        <v>72499.455000000002</v>
      </c>
      <c r="BG159" s="109">
        <f t="shared" si="84"/>
        <v>0.17399869199999998</v>
      </c>
      <c r="BH159" s="109">
        <f t="shared" si="85"/>
        <v>0.19333187999999998</v>
      </c>
      <c r="BI159" s="109">
        <f t="shared" si="86"/>
        <v>0</v>
      </c>
      <c r="BJ159" s="109">
        <f t="shared" si="87"/>
        <v>1.510445589975</v>
      </c>
      <c r="BK159" s="109">
        <f t="shared" si="88"/>
        <v>15.305088614975</v>
      </c>
      <c r="BL159" s="148">
        <v>0.87</v>
      </c>
      <c r="BM159" s="112">
        <f>ROUND((AW159/BL159)+((AW159*BL159)*'CALCULO GERAL'!$E$11)/BL159,2)</f>
        <v>3.21</v>
      </c>
      <c r="BN159" s="186">
        <f t="shared" si="94"/>
        <v>3.21</v>
      </c>
      <c r="BO159" s="186">
        <f t="shared" si="95"/>
        <v>3.7610000000000001</v>
      </c>
      <c r="BP159" s="109">
        <f>BM159*'CALCULO GERAL'!$C$11</f>
        <v>16.110990000000001</v>
      </c>
      <c r="BQ159" s="109">
        <f>BO159*'CALCULO GERAL'!$C$11</f>
        <v>18.876459000000001</v>
      </c>
      <c r="BR159" s="186">
        <f>BN159*'CALCULO GERAL'!$C$11</f>
        <v>16.110990000000001</v>
      </c>
      <c r="BS159" s="109">
        <f t="shared" si="90"/>
        <v>604162.125</v>
      </c>
      <c r="BT159" s="109">
        <f t="shared" si="91"/>
        <v>604162.125</v>
      </c>
      <c r="BU159" s="109">
        <f t="shared" ref="BU159:BU281" si="99">BK159*N159</f>
        <v>573940.82306156249</v>
      </c>
      <c r="BV159" s="109">
        <f t="shared" si="96"/>
        <v>30221.301938437507</v>
      </c>
      <c r="BW159" s="114">
        <f t="shared" si="92"/>
        <v>5.0021841303669122E-2</v>
      </c>
      <c r="BX159" s="152">
        <f t="shared" ref="BX159:BX289" si="100">ROUND(BL159,2)</f>
        <v>0.87</v>
      </c>
      <c r="BY159" s="152"/>
      <c r="BZ159" s="55"/>
      <c r="CA159" s="113"/>
      <c r="CB159" s="113"/>
      <c r="CC159" s="152"/>
      <c r="CD159" s="152">
        <f t="shared" ref="CD159:CD289" si="101">CB159/BX159</f>
        <v>0</v>
      </c>
      <c r="CE159" s="152">
        <f t="shared" si="97"/>
        <v>1</v>
      </c>
      <c r="CF159" s="152">
        <f t="shared" si="98"/>
        <v>1</v>
      </c>
      <c r="CG159" s="34"/>
    </row>
    <row r="160" spans="1:88" x14ac:dyDescent="0.2">
      <c r="A160" s="125" t="s">
        <v>290</v>
      </c>
      <c r="B160" s="187" t="s">
        <v>287</v>
      </c>
      <c r="C160" s="8">
        <v>0.26</v>
      </c>
      <c r="D160" s="8">
        <v>0</v>
      </c>
      <c r="E160" s="7">
        <v>2.1000000000000001E-2</v>
      </c>
      <c r="F160" s="7">
        <v>0.1065</v>
      </c>
      <c r="G160" s="1">
        <v>6.4999999999999997E-3</v>
      </c>
      <c r="H160" s="1">
        <v>0.03</v>
      </c>
      <c r="I160" s="1">
        <v>0.18</v>
      </c>
      <c r="J160" s="1">
        <v>0.04</v>
      </c>
      <c r="K160" s="1">
        <v>0.14000000000000001</v>
      </c>
      <c r="L160" s="1">
        <v>1.4999999999999999E-2</v>
      </c>
      <c r="M160" s="2" t="s">
        <v>175</v>
      </c>
      <c r="N160" s="105">
        <v>45000</v>
      </c>
      <c r="O160" s="119"/>
      <c r="P160" s="119"/>
      <c r="Q160" s="119"/>
      <c r="R160" s="119"/>
      <c r="S160" s="119"/>
      <c r="T160" s="119"/>
      <c r="U160" s="119">
        <v>1.34</v>
      </c>
      <c r="V160" s="119">
        <v>1.34</v>
      </c>
      <c r="W160" s="119">
        <v>1.34</v>
      </c>
      <c r="X160" s="119">
        <f t="shared" si="67"/>
        <v>1.34</v>
      </c>
      <c r="Y160" s="118">
        <f t="shared" si="68"/>
        <v>1.34</v>
      </c>
      <c r="Z160" s="109">
        <f>X160*N160</f>
        <v>60300</v>
      </c>
      <c r="AA160" s="109">
        <f>'CALCULO GERAL'!$G$10</f>
        <v>6300</v>
      </c>
      <c r="AB160" s="109">
        <f t="shared" si="70"/>
        <v>66600</v>
      </c>
      <c r="AC160" s="109">
        <f>AB160*'CALCULO GERAL'!$C$11</f>
        <v>334265.40000000002</v>
      </c>
      <c r="AD160" s="109">
        <f t="shared" si="71"/>
        <v>86909.004000000015</v>
      </c>
      <c r="AE160" s="109">
        <f t="shared" si="72"/>
        <v>0</v>
      </c>
      <c r="AF160" s="109">
        <f t="shared" si="73"/>
        <v>7019.5734000000011</v>
      </c>
      <c r="AG160" s="109">
        <f t="shared" si="74"/>
        <v>35599.265100000004</v>
      </c>
      <c r="AH160" s="109">
        <v>154.22999999999999</v>
      </c>
      <c r="AI160" s="109">
        <f>((AA160*'CALCULO GERAL'!$C$11))*0.08+20</f>
        <v>2549.576</v>
      </c>
      <c r="AJ160" s="109">
        <v>1010</v>
      </c>
      <c r="AK160" s="109">
        <v>2500</v>
      </c>
      <c r="AL160" s="109">
        <f>(AA160*('CALCULO GERAL'!$C$11*1.02))-(AA160*'CALCULO GERAL'!$C$11)</f>
        <v>632.39400000000387</v>
      </c>
      <c r="AM160" s="109">
        <v>1800</v>
      </c>
      <c r="AN160" s="109">
        <v>2600</v>
      </c>
      <c r="AO160" s="109">
        <v>9400</v>
      </c>
      <c r="AP160" s="109">
        <v>1000</v>
      </c>
      <c r="AQ160" s="109">
        <v>0</v>
      </c>
      <c r="AR160" s="109">
        <v>0</v>
      </c>
      <c r="AS160" s="109"/>
      <c r="AT160" s="109">
        <f>SUM(AC160:AS160)</f>
        <v>485439.44250000006</v>
      </c>
      <c r="AU160" s="111">
        <f t="shared" si="75"/>
        <v>10.787543166666667</v>
      </c>
      <c r="AV160" s="109">
        <f>IFERROR((BS160*'CALCULO GERAL'!$E$11)/N160,0)</f>
        <v>0.24994620000000004</v>
      </c>
      <c r="AW160" s="109">
        <f>AU160/'CALCULO GERAL'!$C$11</f>
        <v>2.1493411370126854</v>
      </c>
      <c r="AX160" s="109">
        <f>BP160-BB160-BD160*'CALCULO GERAL'!$C$11</f>
        <v>12.309850350000001</v>
      </c>
      <c r="AY160" s="109">
        <f t="shared" si="76"/>
        <v>8.001402727500001E-2</v>
      </c>
      <c r="AZ160" s="109">
        <f t="shared" si="77"/>
        <v>0.36929551050000003</v>
      </c>
      <c r="BA160" s="109">
        <f t="shared" si="78"/>
        <v>12.497310000000001</v>
      </c>
      <c r="BB160" s="109">
        <f t="shared" si="79"/>
        <v>0.18745965000000001</v>
      </c>
      <c r="BC160" s="109">
        <f t="shared" si="80"/>
        <v>12.497310000000001</v>
      </c>
      <c r="BD160" s="109">
        <f t="shared" si="81"/>
        <v>0</v>
      </c>
      <c r="BE160" s="109">
        <f t="shared" si="82"/>
        <v>44990.316000000006</v>
      </c>
      <c r="BF160" s="109">
        <f t="shared" si="83"/>
        <v>67485.474000000002</v>
      </c>
      <c r="BG160" s="109">
        <f t="shared" si="84"/>
        <v>0.13497094800000001</v>
      </c>
      <c r="BH160" s="109">
        <f t="shared" si="85"/>
        <v>0.14996772</v>
      </c>
      <c r="BI160" s="109">
        <f t="shared" si="86"/>
        <v>0</v>
      </c>
      <c r="BJ160" s="109">
        <f t="shared" si="87"/>
        <v>1.1716540557750001</v>
      </c>
      <c r="BK160" s="109">
        <f t="shared" si="88"/>
        <v>11.959197222441668</v>
      </c>
      <c r="BL160" s="148">
        <v>0.88</v>
      </c>
      <c r="BM160" s="112">
        <f>ROUND((AW160/BL160)+((AW160*BL160)*'CALCULO GERAL'!$E$11)/BL160,2)</f>
        <v>2.4900000000000002</v>
      </c>
      <c r="BN160" s="186">
        <f t="shared" si="94"/>
        <v>2.4900000000000002</v>
      </c>
      <c r="BO160" s="186">
        <f t="shared" si="95"/>
        <v>2.9169999999999998</v>
      </c>
      <c r="BP160" s="109">
        <f>BM160*'CALCULO GERAL'!$C$11</f>
        <v>12.497310000000001</v>
      </c>
      <c r="BQ160" s="109">
        <f>BO160*'CALCULO GERAL'!$C$11</f>
        <v>14.640423</v>
      </c>
      <c r="BR160" s="186">
        <f>BN160*'CALCULO GERAL'!$C$11</f>
        <v>12.497310000000001</v>
      </c>
      <c r="BS160" s="109">
        <f t="shared" si="90"/>
        <v>562378.95000000007</v>
      </c>
      <c r="BT160" s="109">
        <f t="shared" si="91"/>
        <v>562378.95000000007</v>
      </c>
      <c r="BU160" s="109">
        <f t="shared" si="99"/>
        <v>538163.87500987505</v>
      </c>
      <c r="BV160" s="109">
        <f t="shared" si="96"/>
        <v>24215.074990125024</v>
      </c>
      <c r="BW160" s="114">
        <f t="shared" si="92"/>
        <v>4.3058288348319262E-2</v>
      </c>
      <c r="BX160" s="152">
        <f t="shared" si="100"/>
        <v>0.88</v>
      </c>
      <c r="BY160" s="152"/>
      <c r="BZ160" s="55"/>
      <c r="CA160" s="113"/>
      <c r="CB160" s="113"/>
      <c r="CC160" s="152"/>
      <c r="CD160" s="152">
        <f t="shared" si="101"/>
        <v>0</v>
      </c>
      <c r="CE160" s="152">
        <f t="shared" si="97"/>
        <v>1</v>
      </c>
      <c r="CF160" s="152">
        <f t="shared" si="98"/>
        <v>1</v>
      </c>
      <c r="CG160" s="34"/>
    </row>
    <row r="161" spans="1:88" x14ac:dyDescent="0.2">
      <c r="A161" s="125" t="s">
        <v>291</v>
      </c>
      <c r="B161" s="187" t="s">
        <v>287</v>
      </c>
      <c r="C161" s="8">
        <v>0.26</v>
      </c>
      <c r="D161" s="8">
        <v>0</v>
      </c>
      <c r="E161" s="7">
        <v>2.1000000000000001E-2</v>
      </c>
      <c r="F161" s="7">
        <v>0.1065</v>
      </c>
      <c r="G161" s="1">
        <v>6.4999999999999997E-3</v>
      </c>
      <c r="H161" s="1">
        <v>0.03</v>
      </c>
      <c r="I161" s="1">
        <v>0.18</v>
      </c>
      <c r="J161" s="1">
        <v>0.04</v>
      </c>
      <c r="K161" s="1">
        <v>0.14000000000000001</v>
      </c>
      <c r="L161" s="1">
        <v>1.4999999999999999E-2</v>
      </c>
      <c r="M161" s="2" t="s">
        <v>175</v>
      </c>
      <c r="N161" s="105">
        <v>27000</v>
      </c>
      <c r="O161" s="119"/>
      <c r="P161" s="119"/>
      <c r="Q161" s="119"/>
      <c r="R161" s="119"/>
      <c r="S161" s="119"/>
      <c r="T161" s="119"/>
      <c r="U161" s="119"/>
      <c r="V161" s="119">
        <v>2.65</v>
      </c>
      <c r="W161" s="119"/>
      <c r="X161" s="119">
        <f t="shared" si="67"/>
        <v>2.65</v>
      </c>
      <c r="Y161" s="118">
        <f t="shared" si="68"/>
        <v>2.65</v>
      </c>
      <c r="Z161" s="109">
        <f t="shared" si="69"/>
        <v>71550</v>
      </c>
      <c r="AA161" s="109">
        <f>'CALCULO GERAL'!$G$10</f>
        <v>6300</v>
      </c>
      <c r="AB161" s="109">
        <f t="shared" si="70"/>
        <v>77850</v>
      </c>
      <c r="AC161" s="109">
        <f>AB161*'CALCULO GERAL'!$C$11</f>
        <v>390729.15</v>
      </c>
      <c r="AD161" s="109">
        <f t="shared" si="71"/>
        <v>101589.57900000001</v>
      </c>
      <c r="AE161" s="109">
        <f t="shared" si="72"/>
        <v>0</v>
      </c>
      <c r="AF161" s="109">
        <f t="shared" si="73"/>
        <v>8205.3121500000016</v>
      </c>
      <c r="AG161" s="109">
        <f t="shared" si="74"/>
        <v>41612.654475000003</v>
      </c>
      <c r="AH161" s="109">
        <v>154.22999999999999</v>
      </c>
      <c r="AI161" s="109">
        <f>((AA161*'CALCULO GERAL'!$C$11))*0.08+20</f>
        <v>2549.576</v>
      </c>
      <c r="AJ161" s="109">
        <v>1010</v>
      </c>
      <c r="AK161" s="109">
        <v>2500</v>
      </c>
      <c r="AL161" s="109">
        <f>(AA161*('CALCULO GERAL'!$C$11*1.02))-(AA161*'CALCULO GERAL'!$C$11)</f>
        <v>632.39400000000387</v>
      </c>
      <c r="AM161" s="109">
        <v>1800</v>
      </c>
      <c r="AN161" s="109">
        <v>2600</v>
      </c>
      <c r="AO161" s="109">
        <v>9400</v>
      </c>
      <c r="AP161" s="109">
        <v>1000</v>
      </c>
      <c r="AQ161" s="109">
        <v>0</v>
      </c>
      <c r="AR161" s="109">
        <v>0</v>
      </c>
      <c r="AS161" s="109"/>
      <c r="AT161" s="109">
        <f t="shared" si="93"/>
        <v>563782.895625</v>
      </c>
      <c r="AU161" s="111">
        <f t="shared" si="75"/>
        <v>20.88084798611111</v>
      </c>
      <c r="AV161" s="109">
        <f>IFERROR((BS161*'CALCULO GERAL'!$E$11)/N161,0)</f>
        <v>0.48583920000000003</v>
      </c>
      <c r="AW161" s="109">
        <f>AU161/'CALCULO GERAL'!$C$11</f>
        <v>4.1603602283544747</v>
      </c>
      <c r="AX161" s="109">
        <f>BP161-BB161-BD161*'CALCULO GERAL'!$C$11</f>
        <v>23.927580599999999</v>
      </c>
      <c r="AY161" s="109">
        <f t="shared" si="76"/>
        <v>0.15552927389999999</v>
      </c>
      <c r="AZ161" s="109">
        <f t="shared" si="77"/>
        <v>0.71782741799999994</v>
      </c>
      <c r="BA161" s="109">
        <f t="shared" si="78"/>
        <v>24.29196</v>
      </c>
      <c r="BB161" s="109">
        <f t="shared" si="79"/>
        <v>0.36437939999999996</v>
      </c>
      <c r="BC161" s="109">
        <f t="shared" si="80"/>
        <v>24.29196</v>
      </c>
      <c r="BD161" s="109">
        <f t="shared" si="81"/>
        <v>0</v>
      </c>
      <c r="BE161" s="109">
        <f t="shared" si="82"/>
        <v>52470.633600000001</v>
      </c>
      <c r="BF161" s="109">
        <f t="shared" si="83"/>
        <v>78705.950400000002</v>
      </c>
      <c r="BG161" s="109">
        <f t="shared" si="84"/>
        <v>0.26235316800000003</v>
      </c>
      <c r="BH161" s="109">
        <f t="shared" si="85"/>
        <v>0.29150352000000002</v>
      </c>
      <c r="BI161" s="109">
        <f t="shared" si="86"/>
        <v>0</v>
      </c>
      <c r="BJ161" s="109">
        <f t="shared" si="87"/>
        <v>2.2774319799000002</v>
      </c>
      <c r="BK161" s="109">
        <f t="shared" si="88"/>
        <v>23.158279966011111</v>
      </c>
      <c r="BL161" s="148">
        <v>0.875</v>
      </c>
      <c r="BM161" s="112">
        <f>ROUND((AW161/BL161)+((AW161*BL161)*'CALCULO GERAL'!$E$11)/BL161,2)</f>
        <v>4.84</v>
      </c>
      <c r="BN161" s="186">
        <f t="shared" si="94"/>
        <v>4.84</v>
      </c>
      <c r="BO161" s="186">
        <f t="shared" si="95"/>
        <v>5.6710000000000003</v>
      </c>
      <c r="BP161" s="109">
        <f>BM161*'CALCULO GERAL'!$C$11</f>
        <v>24.29196</v>
      </c>
      <c r="BQ161" s="109">
        <f>BO161*'CALCULO GERAL'!$C$11</f>
        <v>28.462749000000002</v>
      </c>
      <c r="BR161" s="186">
        <f>BN161*'CALCULO GERAL'!$C$11</f>
        <v>24.29196</v>
      </c>
      <c r="BS161" s="109">
        <f t="shared" si="90"/>
        <v>655882.92000000004</v>
      </c>
      <c r="BT161" s="109">
        <f t="shared" si="91"/>
        <v>655882.92000000004</v>
      </c>
      <c r="BU161" s="109">
        <f t="shared" si="99"/>
        <v>625273.55908230005</v>
      </c>
      <c r="BV161" s="109">
        <f t="shared" si="96"/>
        <v>30609.360917699989</v>
      </c>
      <c r="BW161" s="114">
        <f t="shared" si="92"/>
        <v>4.666894042262907E-2</v>
      </c>
      <c r="BX161" s="152">
        <f t="shared" si="100"/>
        <v>0.88</v>
      </c>
      <c r="BY161" s="152"/>
      <c r="BZ161" s="55"/>
      <c r="CA161" s="113"/>
      <c r="CB161" s="113"/>
      <c r="CC161" s="152"/>
      <c r="CD161" s="152">
        <f t="shared" si="101"/>
        <v>0</v>
      </c>
      <c r="CE161" s="152">
        <f t="shared" si="97"/>
        <v>1</v>
      </c>
      <c r="CF161" s="152">
        <f t="shared" si="98"/>
        <v>1</v>
      </c>
      <c r="CG161" s="34"/>
    </row>
    <row r="162" spans="1:88" x14ac:dyDescent="0.2">
      <c r="A162" s="125" t="s">
        <v>292</v>
      </c>
      <c r="B162" s="187" t="s">
        <v>287</v>
      </c>
      <c r="C162" s="8">
        <v>0.26</v>
      </c>
      <c r="D162" s="8">
        <v>0</v>
      </c>
      <c r="E162" s="7">
        <v>2.1000000000000001E-2</v>
      </c>
      <c r="F162" s="7">
        <v>0.1065</v>
      </c>
      <c r="G162" s="1">
        <v>6.4999999999999997E-3</v>
      </c>
      <c r="H162" s="1">
        <v>0.03</v>
      </c>
      <c r="I162" s="1">
        <v>0.18</v>
      </c>
      <c r="J162" s="1">
        <v>0.04</v>
      </c>
      <c r="K162" s="1">
        <v>0.14000000000000001</v>
      </c>
      <c r="L162" s="1">
        <v>1.4999999999999999E-2</v>
      </c>
      <c r="M162" s="2" t="s">
        <v>175</v>
      </c>
      <c r="N162" s="105">
        <v>39000</v>
      </c>
      <c r="O162" s="119"/>
      <c r="P162" s="119"/>
      <c r="Q162" s="119"/>
      <c r="R162" s="119"/>
      <c r="S162" s="119"/>
      <c r="T162" s="119"/>
      <c r="U162" s="119"/>
      <c r="V162" s="119">
        <v>1.47</v>
      </c>
      <c r="W162" s="119"/>
      <c r="X162" s="119">
        <f t="shared" si="67"/>
        <v>1.47</v>
      </c>
      <c r="Y162" s="118">
        <f t="shared" si="68"/>
        <v>1.47</v>
      </c>
      <c r="Z162" s="109">
        <f t="shared" si="69"/>
        <v>57330</v>
      </c>
      <c r="AA162" s="109">
        <f>'CALCULO GERAL'!$G$10</f>
        <v>6300</v>
      </c>
      <c r="AB162" s="109">
        <f t="shared" si="70"/>
        <v>63630</v>
      </c>
      <c r="AC162" s="109">
        <f>AB162*'CALCULO GERAL'!$C$11</f>
        <v>319358.97000000003</v>
      </c>
      <c r="AD162" s="109">
        <f t="shared" si="71"/>
        <v>83033.332200000004</v>
      </c>
      <c r="AE162" s="109">
        <f t="shared" si="72"/>
        <v>0</v>
      </c>
      <c r="AF162" s="109">
        <f t="shared" si="73"/>
        <v>6706.5383700000011</v>
      </c>
      <c r="AG162" s="109">
        <f t="shared" si="74"/>
        <v>34011.730305000005</v>
      </c>
      <c r="AH162" s="109">
        <v>154.22999999999999</v>
      </c>
      <c r="AI162" s="109">
        <f>((AA162*'CALCULO GERAL'!$C$11))*0.08+20</f>
        <v>2549.576</v>
      </c>
      <c r="AJ162" s="109">
        <v>1010</v>
      </c>
      <c r="AK162" s="109">
        <v>2500</v>
      </c>
      <c r="AL162" s="109">
        <f>(AA162*('CALCULO GERAL'!$C$11*1.02))-(AA162*'CALCULO GERAL'!$C$11)</f>
        <v>632.39400000000387</v>
      </c>
      <c r="AM162" s="109">
        <v>1800</v>
      </c>
      <c r="AN162" s="109">
        <v>2600</v>
      </c>
      <c r="AO162" s="109">
        <v>9400</v>
      </c>
      <c r="AP162" s="109">
        <v>1000</v>
      </c>
      <c r="AQ162" s="109">
        <v>0</v>
      </c>
      <c r="AR162" s="109">
        <v>0</v>
      </c>
      <c r="AS162" s="109"/>
      <c r="AT162" s="109">
        <f t="shared" si="93"/>
        <v>464756.7708750001</v>
      </c>
      <c r="AU162" s="111">
        <f t="shared" si="75"/>
        <v>11.916840278846157</v>
      </c>
      <c r="AV162" s="109">
        <f>IFERROR((BS162*'CALCULO GERAL'!$E$11)/N162,0)</f>
        <v>0.28206780000000009</v>
      </c>
      <c r="AW162" s="109">
        <f>AU162/'CALCULO GERAL'!$C$11</f>
        <v>2.3743455427069451</v>
      </c>
      <c r="AX162" s="109">
        <f>BP162-BB162-BD162*'CALCULO GERAL'!$C$11</f>
        <v>13.891839150000001</v>
      </c>
      <c r="AY162" s="109">
        <f t="shared" si="76"/>
        <v>9.0296954474999996E-2</v>
      </c>
      <c r="AZ162" s="109">
        <f t="shared" si="77"/>
        <v>0.41675517449999999</v>
      </c>
      <c r="BA162" s="109">
        <f t="shared" si="78"/>
        <v>14.103390000000001</v>
      </c>
      <c r="BB162" s="109">
        <f t="shared" si="79"/>
        <v>0.21155085000000001</v>
      </c>
      <c r="BC162" s="109">
        <f t="shared" si="80"/>
        <v>14.103390000000001</v>
      </c>
      <c r="BD162" s="109">
        <f t="shared" si="81"/>
        <v>0</v>
      </c>
      <c r="BE162" s="109">
        <f t="shared" si="82"/>
        <v>44002.57680000001</v>
      </c>
      <c r="BF162" s="109">
        <f t="shared" si="83"/>
        <v>66003.8652</v>
      </c>
      <c r="BG162" s="109">
        <f t="shared" si="84"/>
        <v>0.15231661199999999</v>
      </c>
      <c r="BH162" s="109">
        <f t="shared" si="85"/>
        <v>0.16924068000000003</v>
      </c>
      <c r="BI162" s="109">
        <f t="shared" si="86"/>
        <v>0</v>
      </c>
      <c r="BJ162" s="109">
        <f t="shared" si="87"/>
        <v>1.3222280709750001</v>
      </c>
      <c r="BK162" s="109">
        <f t="shared" si="88"/>
        <v>13.239068349821157</v>
      </c>
      <c r="BL162" s="148">
        <v>0.86</v>
      </c>
      <c r="BM162" s="112">
        <f>ROUND((AW162/BL162)+((AW162*BL162)*'CALCULO GERAL'!$E$11)/BL162,2)</f>
        <v>2.81</v>
      </c>
      <c r="BN162" s="186">
        <f t="shared" si="94"/>
        <v>2.81</v>
      </c>
      <c r="BO162" s="186">
        <f t="shared" si="95"/>
        <v>3.2919999999999998</v>
      </c>
      <c r="BP162" s="109">
        <f>BM162*'CALCULO GERAL'!$C$11</f>
        <v>14.103390000000001</v>
      </c>
      <c r="BQ162" s="109">
        <f>BO162*'CALCULO GERAL'!$C$11</f>
        <v>16.522548</v>
      </c>
      <c r="BR162" s="186">
        <f>BN162*'CALCULO GERAL'!$C$11</f>
        <v>14.103390000000001</v>
      </c>
      <c r="BS162" s="109">
        <f t="shared" si="90"/>
        <v>550032.21000000008</v>
      </c>
      <c r="BT162" s="109">
        <f t="shared" si="91"/>
        <v>550032.21000000008</v>
      </c>
      <c r="BU162" s="109">
        <f t="shared" si="99"/>
        <v>516323.66564302513</v>
      </c>
      <c r="BV162" s="109">
        <f t="shared" si="96"/>
        <v>33708.544356974948</v>
      </c>
      <c r="BW162" s="114">
        <f t="shared" si="92"/>
        <v>6.1284673413898691E-2</v>
      </c>
      <c r="BX162" s="152">
        <f t="shared" si="100"/>
        <v>0.86</v>
      </c>
      <c r="BY162" s="152"/>
      <c r="BZ162" s="55"/>
      <c r="CA162" s="113"/>
      <c r="CB162" s="113"/>
      <c r="CC162" s="152"/>
      <c r="CD162" s="152">
        <f t="shared" si="101"/>
        <v>0</v>
      </c>
      <c r="CE162" s="152">
        <f t="shared" si="97"/>
        <v>1</v>
      </c>
      <c r="CF162" s="152">
        <f t="shared" si="98"/>
        <v>1</v>
      </c>
      <c r="CG162" s="34"/>
    </row>
    <row r="163" spans="1:88" x14ac:dyDescent="0.2">
      <c r="A163" s="125" t="s">
        <v>293</v>
      </c>
      <c r="B163" s="187" t="s">
        <v>287</v>
      </c>
      <c r="C163" s="8">
        <v>0.26</v>
      </c>
      <c r="D163" s="8">
        <v>0</v>
      </c>
      <c r="E163" s="7">
        <v>2.1000000000000001E-2</v>
      </c>
      <c r="F163" s="7">
        <v>0.1065</v>
      </c>
      <c r="G163" s="1">
        <v>6.4999999999999997E-3</v>
      </c>
      <c r="H163" s="1">
        <v>0.03</v>
      </c>
      <c r="I163" s="1">
        <v>0.18</v>
      </c>
      <c r="J163" s="1">
        <v>0.04</v>
      </c>
      <c r="K163" s="1">
        <v>0.14000000000000001</v>
      </c>
      <c r="L163" s="1">
        <v>1.4999999999999999E-2</v>
      </c>
      <c r="M163" s="2" t="s">
        <v>175</v>
      </c>
      <c r="N163" s="105">
        <v>39000</v>
      </c>
      <c r="O163" s="119"/>
      <c r="P163" s="119"/>
      <c r="Q163" s="119"/>
      <c r="R163" s="119"/>
      <c r="S163" s="119"/>
      <c r="T163" s="119"/>
      <c r="U163" s="119"/>
      <c r="V163" s="119">
        <v>1.38</v>
      </c>
      <c r="W163" s="119"/>
      <c r="X163" s="119">
        <f t="shared" si="67"/>
        <v>1.38</v>
      </c>
      <c r="Y163" s="118">
        <f t="shared" si="68"/>
        <v>1.38</v>
      </c>
      <c r="Z163" s="109">
        <f t="shared" si="69"/>
        <v>53819.999999999993</v>
      </c>
      <c r="AA163" s="109">
        <f>'CALCULO GERAL'!$G$10</f>
        <v>6300</v>
      </c>
      <c r="AB163" s="109">
        <f t="shared" si="70"/>
        <v>60119.999999999993</v>
      </c>
      <c r="AC163" s="109">
        <f>AB163*'CALCULO GERAL'!$C$11</f>
        <v>301742.27999999997</v>
      </c>
      <c r="AD163" s="109">
        <f t="shared" si="71"/>
        <v>78452.992799999993</v>
      </c>
      <c r="AE163" s="109">
        <f t="shared" si="72"/>
        <v>0</v>
      </c>
      <c r="AF163" s="109">
        <f t="shared" si="73"/>
        <v>6336.58788</v>
      </c>
      <c r="AG163" s="109">
        <f t="shared" si="74"/>
        <v>32135.552819999997</v>
      </c>
      <c r="AH163" s="109">
        <v>154.22999999999999</v>
      </c>
      <c r="AI163" s="109">
        <f>((AA163*'CALCULO GERAL'!$C$11))*0.08+20</f>
        <v>2549.576</v>
      </c>
      <c r="AJ163" s="109">
        <v>1010</v>
      </c>
      <c r="AK163" s="109">
        <v>2500</v>
      </c>
      <c r="AL163" s="109">
        <f>(AA163*('CALCULO GERAL'!$C$11*1.02))-(AA163*'CALCULO GERAL'!$C$11)</f>
        <v>632.39400000000387</v>
      </c>
      <c r="AM163" s="109">
        <v>1800</v>
      </c>
      <c r="AN163" s="109">
        <v>2600</v>
      </c>
      <c r="AO163" s="109">
        <v>9400</v>
      </c>
      <c r="AP163" s="109">
        <v>1000</v>
      </c>
      <c r="AQ163" s="109">
        <v>0</v>
      </c>
      <c r="AR163" s="109">
        <v>0</v>
      </c>
      <c r="AS163" s="109"/>
      <c r="AT163" s="109">
        <f t="shared" si="93"/>
        <v>440313.61349999998</v>
      </c>
      <c r="AU163" s="111">
        <f t="shared" si="75"/>
        <v>11.290092653846154</v>
      </c>
      <c r="AV163" s="109">
        <f>IFERROR((BS163*'CALCULO GERAL'!$E$11)/N163,0)</f>
        <v>0.26701079999999999</v>
      </c>
      <c r="AW163" s="109">
        <f>AU163/'CALCULO GERAL'!$C$11</f>
        <v>2.2494705427069444</v>
      </c>
      <c r="AX163" s="109">
        <f>BP163-BB163-BD163*'CALCULO GERAL'!$C$11</f>
        <v>13.150281900000001</v>
      </c>
      <c r="AY163" s="109">
        <f t="shared" si="76"/>
        <v>8.5476832350000004E-2</v>
      </c>
      <c r="AZ163" s="109">
        <f t="shared" si="77"/>
        <v>0.39450845700000003</v>
      </c>
      <c r="BA163" s="109">
        <f t="shared" si="78"/>
        <v>13.350540000000001</v>
      </c>
      <c r="BB163" s="109">
        <f t="shared" si="79"/>
        <v>0.20025809999999999</v>
      </c>
      <c r="BC163" s="109">
        <f t="shared" si="80"/>
        <v>13.350540000000001</v>
      </c>
      <c r="BD163" s="109">
        <f t="shared" si="81"/>
        <v>0</v>
      </c>
      <c r="BE163" s="109">
        <f t="shared" si="82"/>
        <v>41653.684800000003</v>
      </c>
      <c r="BF163" s="109">
        <f t="shared" si="83"/>
        <v>62480.527199999997</v>
      </c>
      <c r="BG163" s="109">
        <f t="shared" si="84"/>
        <v>0.14418583199999999</v>
      </c>
      <c r="BH163" s="109">
        <f t="shared" si="85"/>
        <v>0.16020648000000001</v>
      </c>
      <c r="BI163" s="109">
        <f t="shared" si="86"/>
        <v>0</v>
      </c>
      <c r="BJ163" s="109">
        <f t="shared" si="87"/>
        <v>1.25164650135</v>
      </c>
      <c r="BK163" s="109">
        <f t="shared" si="88"/>
        <v>12.541739155196154</v>
      </c>
      <c r="BL163" s="148">
        <v>0.86</v>
      </c>
      <c r="BM163" s="112">
        <f>ROUND((AW163/BL163)+((AW163*BL163)*'CALCULO GERAL'!$E$11)/BL163,2)</f>
        <v>2.66</v>
      </c>
      <c r="BN163" s="186">
        <f t="shared" si="94"/>
        <v>2.66</v>
      </c>
      <c r="BO163" s="186">
        <f t="shared" si="95"/>
        <v>3.117</v>
      </c>
      <c r="BP163" s="109">
        <f>BM163*'CALCULO GERAL'!$C$11</f>
        <v>13.350540000000001</v>
      </c>
      <c r="BQ163" s="109">
        <f>BO163*'CALCULO GERAL'!$C$11</f>
        <v>15.644223</v>
      </c>
      <c r="BR163" s="186">
        <f>BN163*'CALCULO GERAL'!$C$11</f>
        <v>13.350540000000001</v>
      </c>
      <c r="BS163" s="109">
        <f t="shared" si="90"/>
        <v>520671.06</v>
      </c>
      <c r="BT163" s="109">
        <f t="shared" si="91"/>
        <v>520671.06</v>
      </c>
      <c r="BU163" s="109">
        <f t="shared" si="99"/>
        <v>489127.82705265004</v>
      </c>
      <c r="BV163" s="109">
        <f t="shared" si="96"/>
        <v>31543.232947349956</v>
      </c>
      <c r="BW163" s="114">
        <f t="shared" si="92"/>
        <v>6.0581882440998269E-2</v>
      </c>
      <c r="BX163" s="152">
        <f t="shared" si="100"/>
        <v>0.86</v>
      </c>
      <c r="BY163" s="152"/>
      <c r="BZ163" s="55"/>
      <c r="CA163" s="113"/>
      <c r="CB163" s="113"/>
      <c r="CC163" s="152"/>
      <c r="CD163" s="152">
        <f t="shared" si="101"/>
        <v>0</v>
      </c>
      <c r="CE163" s="152">
        <f t="shared" si="97"/>
        <v>1</v>
      </c>
      <c r="CF163" s="152">
        <f t="shared" si="98"/>
        <v>1</v>
      </c>
      <c r="CG163" s="34"/>
    </row>
    <row r="164" spans="1:88" s="152" customFormat="1" x14ac:dyDescent="0.2">
      <c r="A164" s="125" t="s">
        <v>296</v>
      </c>
      <c r="B164" s="187" t="s">
        <v>297</v>
      </c>
      <c r="C164" s="8">
        <v>0.26</v>
      </c>
      <c r="D164" s="8">
        <v>0</v>
      </c>
      <c r="E164" s="7">
        <v>2.1000000000000001E-2</v>
      </c>
      <c r="F164" s="7">
        <v>0.1065</v>
      </c>
      <c r="G164" s="1">
        <v>6.4999999999999997E-3</v>
      </c>
      <c r="H164" s="1">
        <v>0.03</v>
      </c>
      <c r="I164" s="1">
        <v>0.18</v>
      </c>
      <c r="J164" s="1">
        <v>0.04</v>
      </c>
      <c r="K164" s="1">
        <v>0.14000000000000001</v>
      </c>
      <c r="L164" s="1">
        <v>1.4999999999999999E-2</v>
      </c>
      <c r="M164" s="2" t="s">
        <v>175</v>
      </c>
      <c r="N164" s="105">
        <v>62000</v>
      </c>
      <c r="O164" s="119"/>
      <c r="P164" s="119"/>
      <c r="Q164" s="119"/>
      <c r="R164" s="119"/>
      <c r="S164" s="119"/>
      <c r="T164" s="119"/>
      <c r="U164" s="119"/>
      <c r="V164" s="119">
        <v>1.1200000000000001</v>
      </c>
      <c r="W164" s="119"/>
      <c r="X164" s="119">
        <f t="shared" si="67"/>
        <v>1.1200000000000001</v>
      </c>
      <c r="Y164" s="118">
        <f t="shared" si="68"/>
        <v>1.1200000000000001</v>
      </c>
      <c r="Z164" s="109">
        <f t="shared" si="69"/>
        <v>69440</v>
      </c>
      <c r="AA164" s="109">
        <f>'CALCULO GERAL'!$G$10</f>
        <v>6300</v>
      </c>
      <c r="AB164" s="109">
        <f t="shared" si="70"/>
        <v>75740</v>
      </c>
      <c r="AC164" s="109">
        <f>AB164*'CALCULO GERAL'!$C$11</f>
        <v>380139.06</v>
      </c>
      <c r="AD164" s="109">
        <f t="shared" si="71"/>
        <v>98836.155599999998</v>
      </c>
      <c r="AE164" s="109">
        <f t="shared" si="72"/>
        <v>0</v>
      </c>
      <c r="AF164" s="109">
        <f t="shared" si="73"/>
        <v>7982.9202600000008</v>
      </c>
      <c r="AG164" s="109">
        <f t="shared" si="74"/>
        <v>40484.809889999997</v>
      </c>
      <c r="AH164" s="109">
        <v>154.22999999999999</v>
      </c>
      <c r="AI164" s="109">
        <f>((AA164*'CALCULO GERAL'!$C$11))*0.08+20</f>
        <v>2549.576</v>
      </c>
      <c r="AJ164" s="109">
        <v>1010</v>
      </c>
      <c r="AK164" s="109">
        <v>2500</v>
      </c>
      <c r="AL164" s="109">
        <f>(AA164*('CALCULO GERAL'!$C$11*1.02))-(AA164*'CALCULO GERAL'!$C$11)</f>
        <v>632.39400000000387</v>
      </c>
      <c r="AM164" s="109">
        <v>1800</v>
      </c>
      <c r="AN164" s="109">
        <v>2600</v>
      </c>
      <c r="AO164" s="109">
        <v>9400</v>
      </c>
      <c r="AP164" s="109">
        <v>1000</v>
      </c>
      <c r="AQ164" s="109">
        <v>0</v>
      </c>
      <c r="AR164" s="109">
        <v>0</v>
      </c>
      <c r="AS164" s="109"/>
      <c r="AT164" s="109">
        <f t="shared" si="93"/>
        <v>549089.14574999991</v>
      </c>
      <c r="AU164" s="111">
        <f t="shared" si="75"/>
        <v>8.8562765443548379</v>
      </c>
      <c r="AV164" s="109">
        <f>IFERROR((BS164*'CALCULO GERAL'!$E$11)/N164,0)</f>
        <v>0.20577900000000002</v>
      </c>
      <c r="AW164" s="109">
        <f>AU164/'CALCULO GERAL'!$C$11</f>
        <v>1.7645500187995293</v>
      </c>
      <c r="AX164" s="109">
        <f>BP164-BB164-BD164*'CALCULO GERAL'!$C$11</f>
        <v>10.13461575</v>
      </c>
      <c r="AY164" s="109">
        <f t="shared" si="76"/>
        <v>6.5875002374999991E-2</v>
      </c>
      <c r="AZ164" s="109">
        <f t="shared" si="77"/>
        <v>0.30403847249999999</v>
      </c>
      <c r="BA164" s="109">
        <f t="shared" si="78"/>
        <v>10.28895</v>
      </c>
      <c r="BB164" s="109">
        <f t="shared" si="79"/>
        <v>0.15433424999999998</v>
      </c>
      <c r="BC164" s="109">
        <f t="shared" si="80"/>
        <v>10.28895</v>
      </c>
      <c r="BD164" s="109">
        <f t="shared" si="81"/>
        <v>0</v>
      </c>
      <c r="BE164" s="109">
        <f t="shared" si="82"/>
        <v>51033.192000000003</v>
      </c>
      <c r="BF164" s="109">
        <f t="shared" si="83"/>
        <v>76549.788</v>
      </c>
      <c r="BG164" s="109">
        <f t="shared" si="84"/>
        <v>0.11112066</v>
      </c>
      <c r="BH164" s="109">
        <f t="shared" si="85"/>
        <v>0.12346739999999999</v>
      </c>
      <c r="BI164" s="109">
        <f t="shared" si="86"/>
        <v>0</v>
      </c>
      <c r="BJ164" s="109">
        <f t="shared" si="87"/>
        <v>0.96461478487499996</v>
      </c>
      <c r="BK164" s="109">
        <f t="shared" si="88"/>
        <v>9.8208913292298377</v>
      </c>
      <c r="BL164" s="148">
        <v>0.875</v>
      </c>
      <c r="BM164" s="112">
        <f>ROUND((AW164/BL164)+((AW164*BL164)*'CALCULO GERAL'!$E$11)/BL164,2)</f>
        <v>2.0499999999999998</v>
      </c>
      <c r="BN164" s="186">
        <f t="shared" si="94"/>
        <v>2.0499999999999998</v>
      </c>
      <c r="BO164" s="186">
        <f t="shared" si="95"/>
        <v>2.4020000000000001</v>
      </c>
      <c r="BP164" s="109">
        <f>BM164*'CALCULO GERAL'!$C$11</f>
        <v>10.28895</v>
      </c>
      <c r="BQ164" s="109">
        <f>BO164*'CALCULO GERAL'!$C$11</f>
        <v>12.055638000000002</v>
      </c>
      <c r="BR164" s="186">
        <f>BN164*'CALCULO GERAL'!$C$11</f>
        <v>10.28895</v>
      </c>
      <c r="BS164" s="109">
        <f t="shared" si="90"/>
        <v>637914.9</v>
      </c>
      <c r="BT164" s="109">
        <f t="shared" si="91"/>
        <v>637914.9</v>
      </c>
      <c r="BU164" s="109">
        <f t="shared" si="99"/>
        <v>608895.26241224993</v>
      </c>
      <c r="BV164" s="109">
        <f t="shared" si="96"/>
        <v>29019.637587750098</v>
      </c>
      <c r="BW164" s="114">
        <f t="shared" si="92"/>
        <v>4.5491393268522334E-2</v>
      </c>
      <c r="BX164" s="152">
        <f t="shared" si="100"/>
        <v>0.88</v>
      </c>
      <c r="BZ164" s="55"/>
      <c r="CA164" s="113"/>
      <c r="CB164" s="113"/>
      <c r="CD164" s="152">
        <f t="shared" si="101"/>
        <v>0</v>
      </c>
      <c r="CE164" s="152">
        <f t="shared" si="97"/>
        <v>1</v>
      </c>
      <c r="CF164" s="152">
        <f t="shared" si="98"/>
        <v>1</v>
      </c>
      <c r="CG164" s="34"/>
      <c r="CI164" s="11"/>
      <c r="CJ164" s="11"/>
    </row>
    <row r="165" spans="1:88" s="152" customFormat="1" x14ac:dyDescent="0.2">
      <c r="A165" s="125" t="s">
        <v>298</v>
      </c>
      <c r="B165" s="187" t="s">
        <v>297</v>
      </c>
      <c r="C165" s="8">
        <v>0.26</v>
      </c>
      <c r="D165" s="8">
        <v>0</v>
      </c>
      <c r="E165" s="7">
        <v>2.1000000000000001E-2</v>
      </c>
      <c r="F165" s="7">
        <v>0.1065</v>
      </c>
      <c r="G165" s="1">
        <v>6.4999999999999997E-3</v>
      </c>
      <c r="H165" s="1">
        <v>0.03</v>
      </c>
      <c r="I165" s="1">
        <v>0.18</v>
      </c>
      <c r="J165" s="1">
        <v>0.04</v>
      </c>
      <c r="K165" s="1">
        <v>0.14000000000000001</v>
      </c>
      <c r="L165" s="1">
        <v>1.4999999999999999E-2</v>
      </c>
      <c r="M165" s="2" t="s">
        <v>175</v>
      </c>
      <c r="N165" s="105">
        <v>62000</v>
      </c>
      <c r="O165" s="119"/>
      <c r="P165" s="119"/>
      <c r="Q165" s="119"/>
      <c r="R165" s="119"/>
      <c r="S165" s="119"/>
      <c r="T165" s="119"/>
      <c r="U165" s="119"/>
      <c r="V165" s="119">
        <v>1.1599999999999999</v>
      </c>
      <c r="W165" s="119"/>
      <c r="X165" s="119">
        <f t="shared" si="67"/>
        <v>1.1599999999999999</v>
      </c>
      <c r="Y165" s="118">
        <f t="shared" si="68"/>
        <v>1.1599999999999999</v>
      </c>
      <c r="Z165" s="109">
        <f t="shared" si="69"/>
        <v>71920</v>
      </c>
      <c r="AA165" s="109">
        <f>'CALCULO GERAL'!$G$10</f>
        <v>6300</v>
      </c>
      <c r="AB165" s="109">
        <f t="shared" si="70"/>
        <v>78220</v>
      </c>
      <c r="AC165" s="109">
        <f>AB165*'CALCULO GERAL'!$C$11</f>
        <v>392586.18</v>
      </c>
      <c r="AD165" s="109">
        <f t="shared" si="71"/>
        <v>102072.4068</v>
      </c>
      <c r="AE165" s="109">
        <f t="shared" si="72"/>
        <v>0</v>
      </c>
      <c r="AF165" s="109">
        <f t="shared" si="73"/>
        <v>8244.3097799999996</v>
      </c>
      <c r="AG165" s="109">
        <f t="shared" si="74"/>
        <v>41810.428169999999</v>
      </c>
      <c r="AH165" s="109">
        <v>154.22999999999999</v>
      </c>
      <c r="AI165" s="109">
        <f>((AA165*'CALCULO GERAL'!$C$11))*0.08+20</f>
        <v>2549.576</v>
      </c>
      <c r="AJ165" s="109">
        <v>1010</v>
      </c>
      <c r="AK165" s="109">
        <v>2500</v>
      </c>
      <c r="AL165" s="109">
        <f>(AA165*('CALCULO GERAL'!$C$11*1.02))-(AA165*'CALCULO GERAL'!$C$11)</f>
        <v>632.39400000000387</v>
      </c>
      <c r="AM165" s="109">
        <v>1800</v>
      </c>
      <c r="AN165" s="109">
        <v>2600</v>
      </c>
      <c r="AO165" s="109">
        <v>9400</v>
      </c>
      <c r="AP165" s="109">
        <v>1000</v>
      </c>
      <c r="AQ165" s="109">
        <v>0</v>
      </c>
      <c r="AR165" s="109">
        <v>0</v>
      </c>
      <c r="AS165" s="109"/>
      <c r="AT165" s="109">
        <f t="shared" si="93"/>
        <v>566359.52474999998</v>
      </c>
      <c r="AU165" s="111">
        <f t="shared" si="75"/>
        <v>9.1348310443548382</v>
      </c>
      <c r="AV165" s="109">
        <f>IFERROR((BS165*'CALCULO GERAL'!$E$11)/N165,0)</f>
        <v>0.21280560000000001</v>
      </c>
      <c r="AW165" s="109">
        <f>AU165/'CALCULO GERAL'!$C$11</f>
        <v>1.8200500187995294</v>
      </c>
      <c r="AX165" s="109">
        <f>BP165-BB165-BD165*'CALCULO GERAL'!$C$11</f>
        <v>10.4806758</v>
      </c>
      <c r="AY165" s="109">
        <f t="shared" si="76"/>
        <v>6.8124392699999994E-2</v>
      </c>
      <c r="AZ165" s="109">
        <f t="shared" si="77"/>
        <v>0.314420274</v>
      </c>
      <c r="BA165" s="109">
        <f t="shared" si="78"/>
        <v>10.640280000000001</v>
      </c>
      <c r="BB165" s="109">
        <f t="shared" si="79"/>
        <v>0.1596042</v>
      </c>
      <c r="BC165" s="109">
        <f t="shared" si="80"/>
        <v>10.640280000000001</v>
      </c>
      <c r="BD165" s="109">
        <f t="shared" si="81"/>
        <v>0</v>
      </c>
      <c r="BE165" s="109">
        <f t="shared" si="82"/>
        <v>52775.788800000002</v>
      </c>
      <c r="BF165" s="109">
        <f t="shared" si="83"/>
        <v>79163.683199999999</v>
      </c>
      <c r="BG165" s="109">
        <f t="shared" si="84"/>
        <v>0.11491502399999999</v>
      </c>
      <c r="BH165" s="109">
        <f t="shared" si="85"/>
        <v>0.12768336</v>
      </c>
      <c r="BI165" s="109">
        <f t="shared" si="86"/>
        <v>0</v>
      </c>
      <c r="BJ165" s="109">
        <f t="shared" si="87"/>
        <v>0.99755285069999999</v>
      </c>
      <c r="BK165" s="109">
        <f t="shared" si="88"/>
        <v>10.132383895054838</v>
      </c>
      <c r="BL165" s="148">
        <v>0.875</v>
      </c>
      <c r="BM165" s="112">
        <f>ROUND((AW165/BL165)+((AW165*BL165)*'CALCULO GERAL'!$E$11)/BL165,2)</f>
        <v>2.12</v>
      </c>
      <c r="BN165" s="186">
        <f t="shared" si="94"/>
        <v>2.12</v>
      </c>
      <c r="BO165" s="186">
        <f t="shared" si="95"/>
        <v>2.484</v>
      </c>
      <c r="BP165" s="109">
        <f>BM165*'CALCULO GERAL'!$C$11</f>
        <v>10.640280000000001</v>
      </c>
      <c r="BQ165" s="109">
        <f>BO165*'CALCULO GERAL'!$C$11</f>
        <v>12.467196</v>
      </c>
      <c r="BR165" s="186">
        <f>BN165*'CALCULO GERAL'!$C$11</f>
        <v>10.640280000000001</v>
      </c>
      <c r="BS165" s="109">
        <f t="shared" si="90"/>
        <v>659697.36</v>
      </c>
      <c r="BT165" s="109">
        <f t="shared" si="91"/>
        <v>659697.36</v>
      </c>
      <c r="BU165" s="109">
        <f t="shared" si="99"/>
        <v>628207.80149340001</v>
      </c>
      <c r="BV165" s="109">
        <f t="shared" si="96"/>
        <v>31489.558506599977</v>
      </c>
      <c r="BW165" s="114">
        <f t="shared" si="92"/>
        <v>4.773334018890113E-2</v>
      </c>
      <c r="BX165" s="152">
        <f t="shared" si="100"/>
        <v>0.88</v>
      </c>
      <c r="BZ165" s="55"/>
      <c r="CA165" s="113"/>
      <c r="CB165" s="113"/>
      <c r="CD165" s="152">
        <f t="shared" si="101"/>
        <v>0</v>
      </c>
      <c r="CE165" s="152">
        <f t="shared" si="97"/>
        <v>1</v>
      </c>
      <c r="CF165" s="152">
        <f t="shared" si="98"/>
        <v>1</v>
      </c>
      <c r="CG165" s="34"/>
      <c r="CI165" s="11"/>
      <c r="CJ165" s="11"/>
    </row>
    <row r="166" spans="1:88" s="152" customFormat="1" x14ac:dyDescent="0.2">
      <c r="A166" s="125" t="s">
        <v>299</v>
      </c>
      <c r="B166" s="187" t="s">
        <v>297</v>
      </c>
      <c r="C166" s="8">
        <v>0.26</v>
      </c>
      <c r="D166" s="8">
        <v>0</v>
      </c>
      <c r="E166" s="7">
        <v>2.1000000000000001E-2</v>
      </c>
      <c r="F166" s="7">
        <v>0.1065</v>
      </c>
      <c r="G166" s="1">
        <v>6.4999999999999997E-3</v>
      </c>
      <c r="H166" s="1">
        <v>0.03</v>
      </c>
      <c r="I166" s="1">
        <v>0.18</v>
      </c>
      <c r="J166" s="1">
        <v>0.04</v>
      </c>
      <c r="K166" s="1">
        <v>0.14000000000000001</v>
      </c>
      <c r="L166" s="1">
        <v>1.4999999999999999E-2</v>
      </c>
      <c r="M166" s="2" t="s">
        <v>175</v>
      </c>
      <c r="N166" s="105">
        <v>62000</v>
      </c>
      <c r="O166" s="119"/>
      <c r="P166" s="119"/>
      <c r="Q166" s="119"/>
      <c r="R166" s="119"/>
      <c r="S166" s="119"/>
      <c r="T166" s="119"/>
      <c r="U166" s="119"/>
      <c r="V166" s="119"/>
      <c r="W166" s="119"/>
      <c r="X166" s="119">
        <f t="shared" si="67"/>
        <v>0</v>
      </c>
      <c r="Y166" s="118" t="e">
        <f t="shared" si="68"/>
        <v>#DIV/0!</v>
      </c>
      <c r="Z166" s="109" t="e">
        <f t="shared" si="69"/>
        <v>#DIV/0!</v>
      </c>
      <c r="AA166" s="109">
        <f>'CALCULO GERAL'!$G$10</f>
        <v>6300</v>
      </c>
      <c r="AB166" s="109" t="e">
        <f t="shared" si="70"/>
        <v>#DIV/0!</v>
      </c>
      <c r="AC166" s="109" t="e">
        <f>AB166*'CALCULO GERAL'!$C$11</f>
        <v>#DIV/0!</v>
      </c>
      <c r="AD166" s="109" t="e">
        <f t="shared" si="71"/>
        <v>#DIV/0!</v>
      </c>
      <c r="AE166" s="109" t="e">
        <f t="shared" si="72"/>
        <v>#DIV/0!</v>
      </c>
      <c r="AF166" s="109" t="e">
        <f t="shared" si="73"/>
        <v>#DIV/0!</v>
      </c>
      <c r="AG166" s="109" t="e">
        <f t="shared" si="74"/>
        <v>#DIV/0!</v>
      </c>
      <c r="AH166" s="109">
        <v>154.22999999999999</v>
      </c>
      <c r="AI166" s="109">
        <f>((AA166*'CALCULO GERAL'!$C$11))*0.08+20</f>
        <v>2549.576</v>
      </c>
      <c r="AJ166" s="109">
        <v>1010</v>
      </c>
      <c r="AK166" s="109">
        <v>2500</v>
      </c>
      <c r="AL166" s="109">
        <f>(AA166*('CALCULO GERAL'!$C$11*1.02))-(AA166*'CALCULO GERAL'!$C$11)</f>
        <v>632.39400000000387</v>
      </c>
      <c r="AM166" s="109">
        <v>1800</v>
      </c>
      <c r="AN166" s="109">
        <v>2600</v>
      </c>
      <c r="AO166" s="109">
        <v>9400</v>
      </c>
      <c r="AP166" s="109">
        <v>1000</v>
      </c>
      <c r="AQ166" s="109">
        <v>0</v>
      </c>
      <c r="AR166" s="109">
        <v>0</v>
      </c>
      <c r="AS166" s="109"/>
      <c r="AT166" s="109" t="e">
        <f t="shared" si="93"/>
        <v>#DIV/0!</v>
      </c>
      <c r="AU166" s="111">
        <f t="shared" si="75"/>
        <v>0</v>
      </c>
      <c r="AV166" s="109">
        <f>IFERROR((BS166*'CALCULO GERAL'!$E$11)/N166,0)</f>
        <v>0</v>
      </c>
      <c r="AW166" s="109">
        <f>AU166/'CALCULO GERAL'!$C$11</f>
        <v>0</v>
      </c>
      <c r="AX166" s="109" t="e">
        <f>BP166-BB166-BD166*'CALCULO GERAL'!$C$11</f>
        <v>#DIV/0!</v>
      </c>
      <c r="AY166" s="109" t="e">
        <f t="shared" si="76"/>
        <v>#DIV/0!</v>
      </c>
      <c r="AZ166" s="109" t="e">
        <f t="shared" si="77"/>
        <v>#DIV/0!</v>
      </c>
      <c r="BA166" s="109" t="e">
        <f t="shared" si="78"/>
        <v>#DIV/0!</v>
      </c>
      <c r="BB166" s="109" t="e">
        <f t="shared" si="79"/>
        <v>#DIV/0!</v>
      </c>
      <c r="BC166" s="109" t="e">
        <f t="shared" si="80"/>
        <v>#DIV/0!</v>
      </c>
      <c r="BD166" s="109" t="e">
        <f t="shared" si="81"/>
        <v>#DIV/0!</v>
      </c>
      <c r="BE166" s="109" t="e">
        <f t="shared" si="82"/>
        <v>#DIV/0!</v>
      </c>
      <c r="BF166" s="109" t="e">
        <f t="shared" si="83"/>
        <v>#DIV/0!</v>
      </c>
      <c r="BG166" s="109" t="e">
        <f t="shared" si="84"/>
        <v>#DIV/0!</v>
      </c>
      <c r="BH166" s="109" t="e">
        <f t="shared" si="85"/>
        <v>#DIV/0!</v>
      </c>
      <c r="BI166" s="109" t="e">
        <f t="shared" si="86"/>
        <v>#DIV/0!</v>
      </c>
      <c r="BJ166" s="109" t="e">
        <f t="shared" si="87"/>
        <v>#DIV/0!</v>
      </c>
      <c r="BK166" s="109" t="e">
        <f t="shared" si="88"/>
        <v>#DIV/0!</v>
      </c>
      <c r="BL166" s="148" t="e">
        <v>#DIV/0!</v>
      </c>
      <c r="BM166" s="112" t="e">
        <f>ROUND((AW166/BL166)+((AW166*BL166)*'CALCULO GERAL'!$E$11)/BL166,2)</f>
        <v>#DIV/0!</v>
      </c>
      <c r="BN166" s="186" t="e">
        <f t="shared" si="94"/>
        <v>#DIV/0!</v>
      </c>
      <c r="BO166" s="186" t="e">
        <f t="shared" si="95"/>
        <v>#DIV/0!</v>
      </c>
      <c r="BP166" s="109" t="e">
        <f>BM166*'CALCULO GERAL'!$C$11</f>
        <v>#DIV/0!</v>
      </c>
      <c r="BQ166" s="109" t="e">
        <f>BO166*'CALCULO GERAL'!$C$11</f>
        <v>#DIV/0!</v>
      </c>
      <c r="BR166" s="186" t="e">
        <f>BN166*'CALCULO GERAL'!$C$11</f>
        <v>#DIV/0!</v>
      </c>
      <c r="BS166" s="109" t="e">
        <f t="shared" si="90"/>
        <v>#DIV/0!</v>
      </c>
      <c r="BT166" s="109" t="e">
        <f t="shared" si="91"/>
        <v>#DIV/0!</v>
      </c>
      <c r="BU166" s="109" t="e">
        <f t="shared" si="99"/>
        <v>#DIV/0!</v>
      </c>
      <c r="BV166" s="109" t="e">
        <f t="shared" si="96"/>
        <v>#DIV/0!</v>
      </c>
      <c r="BW166" s="114" t="e">
        <f t="shared" si="92"/>
        <v>#DIV/0!</v>
      </c>
      <c r="BX166" s="152" t="e">
        <f t="shared" si="100"/>
        <v>#DIV/0!</v>
      </c>
      <c r="BZ166" s="55"/>
      <c r="CA166" s="113"/>
      <c r="CB166" s="113"/>
      <c r="CD166" s="152" t="e">
        <f t="shared" si="101"/>
        <v>#DIV/0!</v>
      </c>
      <c r="CE166" s="152" t="e">
        <f t="shared" si="97"/>
        <v>#DIV/0!</v>
      </c>
      <c r="CF166" s="152" t="e">
        <f t="shared" si="98"/>
        <v>#DIV/0!</v>
      </c>
      <c r="CG166" s="34"/>
      <c r="CI166" s="11"/>
      <c r="CJ166" s="11"/>
    </row>
    <row r="167" spans="1:88" s="152" customFormat="1" x14ac:dyDescent="0.2">
      <c r="A167" s="125" t="s">
        <v>300</v>
      </c>
      <c r="B167" s="187" t="s">
        <v>297</v>
      </c>
      <c r="C167" s="8">
        <v>0.26</v>
      </c>
      <c r="D167" s="8">
        <v>0</v>
      </c>
      <c r="E167" s="7">
        <v>2.1000000000000001E-2</v>
      </c>
      <c r="F167" s="7">
        <v>0.1065</v>
      </c>
      <c r="G167" s="1">
        <v>6.4999999999999997E-3</v>
      </c>
      <c r="H167" s="1">
        <v>0.03</v>
      </c>
      <c r="I167" s="1">
        <v>0.18</v>
      </c>
      <c r="J167" s="1">
        <v>0.04</v>
      </c>
      <c r="K167" s="1">
        <v>0.14000000000000001</v>
      </c>
      <c r="L167" s="1">
        <v>1.4999999999999999E-2</v>
      </c>
      <c r="M167" s="2" t="s">
        <v>175</v>
      </c>
      <c r="N167" s="105">
        <v>62000</v>
      </c>
      <c r="O167" s="119"/>
      <c r="P167" s="119"/>
      <c r="Q167" s="119"/>
      <c r="R167" s="119"/>
      <c r="S167" s="119"/>
      <c r="T167" s="119"/>
      <c r="U167" s="119"/>
      <c r="V167" s="119"/>
      <c r="W167" s="119"/>
      <c r="X167" s="119">
        <f t="shared" si="67"/>
        <v>0</v>
      </c>
      <c r="Y167" s="118" t="e">
        <f t="shared" si="68"/>
        <v>#DIV/0!</v>
      </c>
      <c r="Z167" s="109" t="e">
        <f t="shared" si="69"/>
        <v>#DIV/0!</v>
      </c>
      <c r="AA167" s="109">
        <f>'CALCULO GERAL'!$G$10</f>
        <v>6300</v>
      </c>
      <c r="AB167" s="109" t="e">
        <f t="shared" si="70"/>
        <v>#DIV/0!</v>
      </c>
      <c r="AC167" s="109" t="e">
        <f>AB167*'CALCULO GERAL'!$C$11</f>
        <v>#DIV/0!</v>
      </c>
      <c r="AD167" s="109" t="e">
        <f t="shared" si="71"/>
        <v>#DIV/0!</v>
      </c>
      <c r="AE167" s="109" t="e">
        <f t="shared" si="72"/>
        <v>#DIV/0!</v>
      </c>
      <c r="AF167" s="109" t="e">
        <f t="shared" si="73"/>
        <v>#DIV/0!</v>
      </c>
      <c r="AG167" s="109" t="e">
        <f t="shared" si="74"/>
        <v>#DIV/0!</v>
      </c>
      <c r="AH167" s="109">
        <v>154.22999999999999</v>
      </c>
      <c r="AI167" s="109">
        <f>((AA167*'CALCULO GERAL'!$C$11))*0.08+20</f>
        <v>2549.576</v>
      </c>
      <c r="AJ167" s="109">
        <v>1010</v>
      </c>
      <c r="AK167" s="109">
        <v>2500</v>
      </c>
      <c r="AL167" s="109">
        <f>(AA167*('CALCULO GERAL'!$C$11*1.02))-(AA167*'CALCULO GERAL'!$C$11)</f>
        <v>632.39400000000387</v>
      </c>
      <c r="AM167" s="109">
        <v>1800</v>
      </c>
      <c r="AN167" s="109">
        <v>2600</v>
      </c>
      <c r="AO167" s="109">
        <v>9400</v>
      </c>
      <c r="AP167" s="109">
        <v>1000</v>
      </c>
      <c r="AQ167" s="109">
        <v>0</v>
      </c>
      <c r="AR167" s="109">
        <v>0</v>
      </c>
      <c r="AS167" s="109"/>
      <c r="AT167" s="109" t="e">
        <f t="shared" si="93"/>
        <v>#DIV/0!</v>
      </c>
      <c r="AU167" s="111">
        <f t="shared" si="75"/>
        <v>0</v>
      </c>
      <c r="AV167" s="109">
        <f>IFERROR((BS167*'CALCULO GERAL'!$E$11)/N167,0)</f>
        <v>0</v>
      </c>
      <c r="AW167" s="109">
        <f>AU167/'CALCULO GERAL'!$C$11</f>
        <v>0</v>
      </c>
      <c r="AX167" s="109" t="e">
        <f>BP167-BB167-BD167*'CALCULO GERAL'!$C$11</f>
        <v>#DIV/0!</v>
      </c>
      <c r="AY167" s="109" t="e">
        <f t="shared" si="76"/>
        <v>#DIV/0!</v>
      </c>
      <c r="AZ167" s="109" t="e">
        <f t="shared" si="77"/>
        <v>#DIV/0!</v>
      </c>
      <c r="BA167" s="109" t="e">
        <f t="shared" si="78"/>
        <v>#DIV/0!</v>
      </c>
      <c r="BB167" s="109" t="e">
        <f t="shared" si="79"/>
        <v>#DIV/0!</v>
      </c>
      <c r="BC167" s="109" t="e">
        <f t="shared" si="80"/>
        <v>#DIV/0!</v>
      </c>
      <c r="BD167" s="109" t="e">
        <f t="shared" si="81"/>
        <v>#DIV/0!</v>
      </c>
      <c r="BE167" s="109" t="e">
        <f t="shared" si="82"/>
        <v>#DIV/0!</v>
      </c>
      <c r="BF167" s="109" t="e">
        <f t="shared" si="83"/>
        <v>#DIV/0!</v>
      </c>
      <c r="BG167" s="109" t="e">
        <f t="shared" si="84"/>
        <v>#DIV/0!</v>
      </c>
      <c r="BH167" s="109" t="e">
        <f t="shared" si="85"/>
        <v>#DIV/0!</v>
      </c>
      <c r="BI167" s="109" t="e">
        <f t="shared" si="86"/>
        <v>#DIV/0!</v>
      </c>
      <c r="BJ167" s="109" t="e">
        <f t="shared" si="87"/>
        <v>#DIV/0!</v>
      </c>
      <c r="BK167" s="109" t="e">
        <f t="shared" si="88"/>
        <v>#DIV/0!</v>
      </c>
      <c r="BL167" s="148" t="e">
        <v>#DIV/0!</v>
      </c>
      <c r="BM167" s="112" t="e">
        <f>ROUND((AW167/BL167)+((AW167*BL167)*'CALCULO GERAL'!$E$11)/BL167,2)</f>
        <v>#DIV/0!</v>
      </c>
      <c r="BN167" s="186" t="e">
        <f t="shared" si="94"/>
        <v>#DIV/0!</v>
      </c>
      <c r="BO167" s="186" t="e">
        <f t="shared" si="95"/>
        <v>#DIV/0!</v>
      </c>
      <c r="BP167" s="109" t="e">
        <f>BM167*'CALCULO GERAL'!$C$11</f>
        <v>#DIV/0!</v>
      </c>
      <c r="BQ167" s="109" t="e">
        <f>BO167*'CALCULO GERAL'!$C$11</f>
        <v>#DIV/0!</v>
      </c>
      <c r="BR167" s="186" t="e">
        <f>BN167*'CALCULO GERAL'!$C$11</f>
        <v>#DIV/0!</v>
      </c>
      <c r="BS167" s="109" t="e">
        <f t="shared" si="90"/>
        <v>#DIV/0!</v>
      </c>
      <c r="BT167" s="109" t="e">
        <f t="shared" si="91"/>
        <v>#DIV/0!</v>
      </c>
      <c r="BU167" s="109" t="e">
        <f t="shared" si="99"/>
        <v>#DIV/0!</v>
      </c>
      <c r="BV167" s="109" t="e">
        <f t="shared" si="96"/>
        <v>#DIV/0!</v>
      </c>
      <c r="BW167" s="114" t="e">
        <f t="shared" si="92"/>
        <v>#DIV/0!</v>
      </c>
      <c r="BX167" s="152" t="e">
        <f t="shared" si="100"/>
        <v>#DIV/0!</v>
      </c>
      <c r="BZ167" s="55"/>
      <c r="CA167" s="113"/>
      <c r="CB167" s="113"/>
      <c r="CD167" s="152" t="e">
        <f t="shared" si="101"/>
        <v>#DIV/0!</v>
      </c>
      <c r="CE167" s="152" t="e">
        <f t="shared" si="97"/>
        <v>#DIV/0!</v>
      </c>
      <c r="CF167" s="152" t="e">
        <f t="shared" si="98"/>
        <v>#DIV/0!</v>
      </c>
      <c r="CG167" s="34"/>
      <c r="CI167" s="11"/>
      <c r="CJ167" s="11"/>
    </row>
    <row r="168" spans="1:88" s="152" customFormat="1" x14ac:dyDescent="0.2">
      <c r="A168" s="125" t="s">
        <v>301</v>
      </c>
      <c r="B168" s="187" t="s">
        <v>302</v>
      </c>
      <c r="C168" s="8">
        <v>0.26</v>
      </c>
      <c r="D168" s="8">
        <v>0</v>
      </c>
      <c r="E168" s="7">
        <v>2.1000000000000001E-2</v>
      </c>
      <c r="F168" s="7">
        <v>0.1065</v>
      </c>
      <c r="G168" s="1">
        <v>6.4999999999999997E-3</v>
      </c>
      <c r="H168" s="1">
        <v>0.03</v>
      </c>
      <c r="I168" s="1">
        <v>0.18</v>
      </c>
      <c r="J168" s="1">
        <v>0.04</v>
      </c>
      <c r="K168" s="1">
        <v>0.14000000000000001</v>
      </c>
      <c r="L168" s="1">
        <v>1.4999999999999999E-2</v>
      </c>
      <c r="M168" s="2" t="s">
        <v>175</v>
      </c>
      <c r="N168" s="105">
        <v>17500</v>
      </c>
      <c r="O168" s="119"/>
      <c r="P168" s="119"/>
      <c r="Q168" s="119"/>
      <c r="R168" s="119"/>
      <c r="S168" s="119"/>
      <c r="T168" s="119"/>
      <c r="U168" s="119"/>
      <c r="V168" s="119">
        <v>2.35</v>
      </c>
      <c r="W168" s="119">
        <v>2.25</v>
      </c>
      <c r="X168" s="119">
        <f t="shared" si="67"/>
        <v>2.25</v>
      </c>
      <c r="Y168" s="118">
        <f t="shared" si="68"/>
        <v>2.2999999999999998</v>
      </c>
      <c r="Z168" s="109">
        <f t="shared" si="69"/>
        <v>40250</v>
      </c>
      <c r="AA168" s="109">
        <f>'CALCULO GERAL'!$G$10</f>
        <v>6300</v>
      </c>
      <c r="AB168" s="109">
        <f t="shared" si="70"/>
        <v>46550</v>
      </c>
      <c r="AC168" s="109">
        <f>AB168*'CALCULO GERAL'!$C$11</f>
        <v>233634.45</v>
      </c>
      <c r="AD168" s="109">
        <f t="shared" si="71"/>
        <v>60744.957000000002</v>
      </c>
      <c r="AE168" s="109">
        <f t="shared" si="72"/>
        <v>0</v>
      </c>
      <c r="AF168" s="109">
        <f t="shared" si="73"/>
        <v>4906.3234500000008</v>
      </c>
      <c r="AG168" s="109">
        <f t="shared" si="74"/>
        <v>24882.068925</v>
      </c>
      <c r="AH168" s="109">
        <v>154.22999999999999</v>
      </c>
      <c r="AI168" s="109">
        <f>((AA168*'CALCULO GERAL'!$C$11))*0.08+20</f>
        <v>2549.576</v>
      </c>
      <c r="AJ168" s="109">
        <v>1010</v>
      </c>
      <c r="AK168" s="109">
        <v>2500</v>
      </c>
      <c r="AL168" s="109">
        <f>(AA168*('CALCULO GERAL'!$C$11*1.02))-(AA168*'CALCULO GERAL'!$C$11)</f>
        <v>632.39400000000387</v>
      </c>
      <c r="AM168" s="109">
        <v>1800</v>
      </c>
      <c r="AN168" s="109">
        <v>2600</v>
      </c>
      <c r="AO168" s="109">
        <v>9400</v>
      </c>
      <c r="AP168" s="109">
        <v>1000</v>
      </c>
      <c r="AQ168" s="109">
        <v>0</v>
      </c>
      <c r="AR168" s="109">
        <v>0</v>
      </c>
      <c r="AS168" s="109"/>
      <c r="AT168" s="109">
        <f t="shared" si="93"/>
        <v>345813.99937500007</v>
      </c>
      <c r="AU168" s="111">
        <f t="shared" si="75"/>
        <v>19.76079996428572</v>
      </c>
      <c r="AV168" s="109">
        <f>IFERROR((BS168*'CALCULO GERAL'!$E$11)/N168,0)</f>
        <v>0.47881259999999998</v>
      </c>
      <c r="AW168" s="109">
        <f>AU168/'CALCULO GERAL'!$C$11</f>
        <v>3.93719863803262</v>
      </c>
      <c r="AX168" s="109">
        <f>BP168-BB168-BD168*'CALCULO GERAL'!$C$11</f>
        <v>23.58152055</v>
      </c>
      <c r="AY168" s="109">
        <f t="shared" si="76"/>
        <v>0.153279883575</v>
      </c>
      <c r="AZ168" s="109">
        <f t="shared" si="77"/>
        <v>0.70744561650000004</v>
      </c>
      <c r="BA168" s="109">
        <f t="shared" si="78"/>
        <v>23.940629999999999</v>
      </c>
      <c r="BB168" s="109">
        <f t="shared" si="79"/>
        <v>0.35910944999999994</v>
      </c>
      <c r="BC168" s="109">
        <f t="shared" si="80"/>
        <v>23.940629999999999</v>
      </c>
      <c r="BD168" s="109">
        <f t="shared" si="81"/>
        <v>0</v>
      </c>
      <c r="BE168" s="109">
        <f t="shared" si="82"/>
        <v>33516.881999999998</v>
      </c>
      <c r="BF168" s="109">
        <f t="shared" si="83"/>
        <v>50275.322999999997</v>
      </c>
      <c r="BG168" s="109">
        <f t="shared" si="84"/>
        <v>0.25855880399999998</v>
      </c>
      <c r="BH168" s="109">
        <f t="shared" si="85"/>
        <v>0.28728756</v>
      </c>
      <c r="BI168" s="109">
        <f t="shared" si="86"/>
        <v>0</v>
      </c>
      <c r="BJ168" s="109">
        <f t="shared" si="87"/>
        <v>2.244493914075</v>
      </c>
      <c r="BK168" s="109">
        <f t="shared" si="88"/>
        <v>22.005293878360721</v>
      </c>
      <c r="BL168" s="148">
        <v>0.84</v>
      </c>
      <c r="BM168" s="112">
        <f>ROUND((AW168/BL168)+((AW168*BL168)*'CALCULO GERAL'!$E$11)/BL168,2)</f>
        <v>4.7699999999999996</v>
      </c>
      <c r="BN168" s="186">
        <f t="shared" si="94"/>
        <v>4.7699999999999996</v>
      </c>
      <c r="BO168" s="186">
        <f t="shared" si="95"/>
        <v>5.5890000000000004</v>
      </c>
      <c r="BP168" s="109">
        <f>BM168*'CALCULO GERAL'!$C$11</f>
        <v>23.940629999999999</v>
      </c>
      <c r="BQ168" s="109">
        <f>BO168*'CALCULO GERAL'!$C$11</f>
        <v>28.051191000000003</v>
      </c>
      <c r="BR168" s="186">
        <f>BN168*'CALCULO GERAL'!$C$11</f>
        <v>23.940629999999999</v>
      </c>
      <c r="BS168" s="109">
        <f t="shared" si="90"/>
        <v>418961.02499999997</v>
      </c>
      <c r="BT168" s="109">
        <f t="shared" si="91"/>
        <v>418961.02499999997</v>
      </c>
      <c r="BU168" s="109">
        <f t="shared" si="99"/>
        <v>385092.64287131262</v>
      </c>
      <c r="BV168" s="109">
        <f t="shared" si="96"/>
        <v>33868.382128687343</v>
      </c>
      <c r="BW168" s="114">
        <f t="shared" si="92"/>
        <v>8.0838980496305946E-2</v>
      </c>
      <c r="BX168" s="152">
        <f t="shared" si="100"/>
        <v>0.84</v>
      </c>
      <c r="BZ168" s="55"/>
      <c r="CA168" s="113"/>
      <c r="CB168" s="113"/>
      <c r="CD168" s="152">
        <f t="shared" si="101"/>
        <v>0</v>
      </c>
      <c r="CE168" s="152">
        <f t="shared" si="97"/>
        <v>1</v>
      </c>
      <c r="CF168" s="152">
        <f t="shared" si="98"/>
        <v>1</v>
      </c>
      <c r="CG168" s="34"/>
      <c r="CI168" s="11"/>
      <c r="CJ168" s="11"/>
    </row>
    <row r="169" spans="1:88" s="152" customFormat="1" x14ac:dyDescent="0.2">
      <c r="A169" s="125" t="s">
        <v>303</v>
      </c>
      <c r="B169" s="187" t="s">
        <v>304</v>
      </c>
      <c r="C169" s="8">
        <v>0.26</v>
      </c>
      <c r="D169" s="8">
        <v>0</v>
      </c>
      <c r="E169" s="7">
        <v>2.1000000000000001E-2</v>
      </c>
      <c r="F169" s="7">
        <v>0.1065</v>
      </c>
      <c r="G169" s="1">
        <v>6.4999999999999997E-3</v>
      </c>
      <c r="H169" s="1">
        <v>0.03</v>
      </c>
      <c r="I169" s="1">
        <v>0.18</v>
      </c>
      <c r="J169" s="1">
        <v>0.04</v>
      </c>
      <c r="K169" s="1">
        <v>0.14000000000000001</v>
      </c>
      <c r="L169" s="1">
        <v>1.4999999999999999E-2</v>
      </c>
      <c r="M169" s="2" t="s">
        <v>175</v>
      </c>
      <c r="N169" s="105">
        <v>17500</v>
      </c>
      <c r="O169" s="119"/>
      <c r="P169" s="119"/>
      <c r="Q169" s="119"/>
      <c r="R169" s="119"/>
      <c r="S169" s="119"/>
      <c r="T169" s="119"/>
      <c r="U169" s="119"/>
      <c r="V169" s="119">
        <v>1.65</v>
      </c>
      <c r="W169" s="119">
        <v>1.55</v>
      </c>
      <c r="X169" s="119">
        <f t="shared" si="67"/>
        <v>1.55</v>
      </c>
      <c r="Y169" s="118">
        <f t="shared" si="68"/>
        <v>1.6</v>
      </c>
      <c r="Z169" s="109">
        <f t="shared" si="69"/>
        <v>28000</v>
      </c>
      <c r="AA169" s="109">
        <f>'CALCULO GERAL'!$G$10</f>
        <v>6300</v>
      </c>
      <c r="AB169" s="109">
        <f t="shared" si="70"/>
        <v>34300</v>
      </c>
      <c r="AC169" s="109">
        <f>AB169*'CALCULO GERAL'!$C$11</f>
        <v>172151.7</v>
      </c>
      <c r="AD169" s="109">
        <f t="shared" si="71"/>
        <v>44759.442000000003</v>
      </c>
      <c r="AE169" s="109">
        <f t="shared" si="72"/>
        <v>0</v>
      </c>
      <c r="AF169" s="109">
        <f t="shared" si="73"/>
        <v>3615.1857000000005</v>
      </c>
      <c r="AG169" s="109">
        <f t="shared" si="74"/>
        <v>18334.156050000001</v>
      </c>
      <c r="AH169" s="109">
        <v>154.22999999999999</v>
      </c>
      <c r="AI169" s="109">
        <f>((AA169*'CALCULO GERAL'!$C$11))*0.08+20</f>
        <v>2549.576</v>
      </c>
      <c r="AJ169" s="109">
        <v>1010</v>
      </c>
      <c r="AK169" s="109">
        <v>2500</v>
      </c>
      <c r="AL169" s="109">
        <f>(AA169*('CALCULO GERAL'!$C$11*1.02))-(AA169*'CALCULO GERAL'!$C$11)</f>
        <v>632.39400000000387</v>
      </c>
      <c r="AM169" s="109">
        <v>1800</v>
      </c>
      <c r="AN169" s="109">
        <v>2600</v>
      </c>
      <c r="AO169" s="109">
        <v>9400</v>
      </c>
      <c r="AP169" s="109">
        <v>1000</v>
      </c>
      <c r="AQ169" s="109">
        <v>0</v>
      </c>
      <c r="AR169" s="109">
        <v>0</v>
      </c>
      <c r="AS169" s="109"/>
      <c r="AT169" s="109">
        <f t="shared" si="93"/>
        <v>260506.68375000003</v>
      </c>
      <c r="AU169" s="111">
        <f t="shared" si="75"/>
        <v>14.886096214285716</v>
      </c>
      <c r="AV169" s="109">
        <f>IFERROR((BS169*'CALCULO GERAL'!$E$11)/N169,0)</f>
        <v>0.36939840000000002</v>
      </c>
      <c r="AW169" s="109">
        <f>AU169/'CALCULO GERAL'!$C$11</f>
        <v>2.9659486380326192</v>
      </c>
      <c r="AX169" s="109">
        <f>BP169-BB169-BD169*'CALCULO GERAL'!$C$11</f>
        <v>18.192871200000003</v>
      </c>
      <c r="AY169" s="109">
        <f t="shared" si="76"/>
        <v>0.11825366280000001</v>
      </c>
      <c r="AZ169" s="109">
        <f t="shared" si="77"/>
        <v>0.54578613600000003</v>
      </c>
      <c r="BA169" s="109">
        <f t="shared" si="78"/>
        <v>18.469920000000002</v>
      </c>
      <c r="BB169" s="109">
        <f t="shared" si="79"/>
        <v>0.27704880000000004</v>
      </c>
      <c r="BC169" s="109">
        <f t="shared" si="80"/>
        <v>18.469920000000002</v>
      </c>
      <c r="BD169" s="109">
        <f t="shared" si="81"/>
        <v>0</v>
      </c>
      <c r="BE169" s="109">
        <f t="shared" si="82"/>
        <v>25857.888000000003</v>
      </c>
      <c r="BF169" s="109">
        <f t="shared" si="83"/>
        <v>38786.832000000002</v>
      </c>
      <c r="BG169" s="109">
        <f t="shared" si="84"/>
        <v>0.199475136</v>
      </c>
      <c r="BH169" s="109">
        <f t="shared" si="85"/>
        <v>0.22163904000000001</v>
      </c>
      <c r="BI169" s="109">
        <f t="shared" si="86"/>
        <v>0</v>
      </c>
      <c r="BJ169" s="109">
        <f t="shared" si="87"/>
        <v>1.7316011748000002</v>
      </c>
      <c r="BK169" s="109">
        <f t="shared" si="88"/>
        <v>16.617697389085716</v>
      </c>
      <c r="BL169" s="148">
        <v>0.82</v>
      </c>
      <c r="BM169" s="112">
        <f>ROUND((AW169/BL169)+((AW169*BL169)*'CALCULO GERAL'!$E$11)/BL169,2)</f>
        <v>3.68</v>
      </c>
      <c r="BN169" s="186">
        <f t="shared" si="94"/>
        <v>3.68</v>
      </c>
      <c r="BO169" s="186">
        <f t="shared" si="95"/>
        <v>4.3120000000000003</v>
      </c>
      <c r="BP169" s="109">
        <f>BM169*'CALCULO GERAL'!$C$11</f>
        <v>18.469920000000002</v>
      </c>
      <c r="BQ169" s="109">
        <f>BO169*'CALCULO GERAL'!$C$11</f>
        <v>21.641928000000004</v>
      </c>
      <c r="BR169" s="186">
        <f>BN169*'CALCULO GERAL'!$C$11</f>
        <v>18.469920000000002</v>
      </c>
      <c r="BS169" s="109">
        <f t="shared" si="90"/>
        <v>323223.60000000003</v>
      </c>
      <c r="BT169" s="109">
        <f t="shared" si="91"/>
        <v>323223.60000000003</v>
      </c>
      <c r="BU169" s="109">
        <f t="shared" si="99"/>
        <v>290809.70430900005</v>
      </c>
      <c r="BV169" s="109">
        <f t="shared" si="96"/>
        <v>32413.895690999983</v>
      </c>
      <c r="BW169" s="114">
        <f t="shared" si="92"/>
        <v>0.10028319618678828</v>
      </c>
      <c r="BX169" s="152">
        <f t="shared" si="100"/>
        <v>0.82</v>
      </c>
      <c r="BZ169" s="55"/>
      <c r="CA169" s="113"/>
      <c r="CB169" s="113"/>
      <c r="CD169" s="152">
        <f t="shared" si="101"/>
        <v>0</v>
      </c>
      <c r="CE169" s="152">
        <f t="shared" si="97"/>
        <v>1</v>
      </c>
      <c r="CF169" s="152">
        <f t="shared" si="98"/>
        <v>1</v>
      </c>
      <c r="CG169" s="34"/>
      <c r="CI169" s="11"/>
      <c r="CJ169" s="11"/>
    </row>
    <row r="170" spans="1:88" s="152" customFormat="1" x14ac:dyDescent="0.2">
      <c r="A170" s="125" t="s">
        <v>305</v>
      </c>
      <c r="B170" s="187" t="s">
        <v>302</v>
      </c>
      <c r="C170" s="8">
        <v>0.26</v>
      </c>
      <c r="D170" s="8">
        <v>0</v>
      </c>
      <c r="E170" s="7">
        <v>2.1000000000000001E-2</v>
      </c>
      <c r="F170" s="7">
        <v>0.1065</v>
      </c>
      <c r="G170" s="1">
        <v>6.4999999999999997E-3</v>
      </c>
      <c r="H170" s="1">
        <v>0.03</v>
      </c>
      <c r="I170" s="1">
        <v>0.18</v>
      </c>
      <c r="J170" s="1">
        <v>0.04</v>
      </c>
      <c r="K170" s="1">
        <v>0.14000000000000001</v>
      </c>
      <c r="L170" s="1">
        <v>1.4999999999999999E-2</v>
      </c>
      <c r="M170" s="2" t="s">
        <v>175</v>
      </c>
      <c r="N170" s="105">
        <v>17500</v>
      </c>
      <c r="O170" s="119"/>
      <c r="P170" s="119"/>
      <c r="Q170" s="119"/>
      <c r="R170" s="119"/>
      <c r="S170" s="119"/>
      <c r="T170" s="119"/>
      <c r="U170" s="119"/>
      <c r="V170" s="119">
        <v>2.2999999999999998</v>
      </c>
      <c r="W170" s="119">
        <v>2.2200000000000002</v>
      </c>
      <c r="X170" s="119">
        <f t="shared" si="67"/>
        <v>2.2200000000000002</v>
      </c>
      <c r="Y170" s="118">
        <f t="shared" si="68"/>
        <v>2.2599999999999998</v>
      </c>
      <c r="Z170" s="109">
        <f t="shared" si="69"/>
        <v>39549.999999999993</v>
      </c>
      <c r="AA170" s="109">
        <f>'CALCULO GERAL'!$G$10</f>
        <v>6300</v>
      </c>
      <c r="AB170" s="109">
        <f t="shared" si="70"/>
        <v>45849.999999999993</v>
      </c>
      <c r="AC170" s="109">
        <f>AB170*'CALCULO GERAL'!$C$11</f>
        <v>230121.14999999997</v>
      </c>
      <c r="AD170" s="109">
        <f t="shared" si="71"/>
        <v>59831.498999999996</v>
      </c>
      <c r="AE170" s="109">
        <f t="shared" si="72"/>
        <v>0</v>
      </c>
      <c r="AF170" s="109">
        <f t="shared" si="73"/>
        <v>4832.5441499999997</v>
      </c>
      <c r="AG170" s="109">
        <f t="shared" si="74"/>
        <v>24507.902474999995</v>
      </c>
      <c r="AH170" s="109">
        <v>154.22999999999999</v>
      </c>
      <c r="AI170" s="109">
        <f>((AA170*'CALCULO GERAL'!$C$11))*0.08+20</f>
        <v>2549.576</v>
      </c>
      <c r="AJ170" s="109">
        <v>1010</v>
      </c>
      <c r="AK170" s="109">
        <v>2500</v>
      </c>
      <c r="AL170" s="109">
        <f>(AA170*('CALCULO GERAL'!$C$11*1.02))-(AA170*'CALCULO GERAL'!$C$11)</f>
        <v>632.39400000000387</v>
      </c>
      <c r="AM170" s="109">
        <v>1800</v>
      </c>
      <c r="AN170" s="109">
        <v>2600</v>
      </c>
      <c r="AO170" s="109">
        <v>9400</v>
      </c>
      <c r="AP170" s="109">
        <v>1000</v>
      </c>
      <c r="AQ170" s="109">
        <v>0</v>
      </c>
      <c r="AR170" s="109">
        <v>0</v>
      </c>
      <c r="AS170" s="109"/>
      <c r="AT170" s="109">
        <f t="shared" si="93"/>
        <v>340939.29562499997</v>
      </c>
      <c r="AU170" s="111">
        <f t="shared" si="75"/>
        <v>19.482245464285711</v>
      </c>
      <c r="AV170" s="109">
        <f>IFERROR((BS170*'CALCULO GERAL'!$E$11)/N170,0)</f>
        <v>0.47178600000000004</v>
      </c>
      <c r="AW170" s="109">
        <f>AU170/'CALCULO GERAL'!$C$11</f>
        <v>3.8816986380326179</v>
      </c>
      <c r="AX170" s="109">
        <f>BP170-BB170-BD170*'CALCULO GERAL'!$C$11</f>
        <v>23.235460500000002</v>
      </c>
      <c r="AY170" s="109">
        <f t="shared" si="76"/>
        <v>0.15103049325000001</v>
      </c>
      <c r="AZ170" s="109">
        <f t="shared" si="77"/>
        <v>0.69706381500000003</v>
      </c>
      <c r="BA170" s="109">
        <f t="shared" si="78"/>
        <v>23.589300000000001</v>
      </c>
      <c r="BB170" s="109">
        <f t="shared" si="79"/>
        <v>0.35383950000000003</v>
      </c>
      <c r="BC170" s="109">
        <f t="shared" si="80"/>
        <v>23.589300000000001</v>
      </c>
      <c r="BD170" s="109">
        <f t="shared" si="81"/>
        <v>0</v>
      </c>
      <c r="BE170" s="109">
        <f t="shared" si="82"/>
        <v>33025.020000000004</v>
      </c>
      <c r="BF170" s="109">
        <f t="shared" si="83"/>
        <v>49537.53</v>
      </c>
      <c r="BG170" s="109">
        <f t="shared" si="84"/>
        <v>0.25476443999999998</v>
      </c>
      <c r="BH170" s="109">
        <f t="shared" si="85"/>
        <v>0.28307160000000003</v>
      </c>
      <c r="BI170" s="109">
        <f t="shared" si="86"/>
        <v>0</v>
      </c>
      <c r="BJ170" s="109">
        <f t="shared" si="87"/>
        <v>2.2115558482500002</v>
      </c>
      <c r="BK170" s="109">
        <f t="shared" si="88"/>
        <v>21.693801312535712</v>
      </c>
      <c r="BL170" s="148">
        <v>0.84</v>
      </c>
      <c r="BM170" s="112">
        <f>ROUND((AW170/BL170)+((AW170*BL170)*'CALCULO GERAL'!$E$11)/BL170,2)</f>
        <v>4.7</v>
      </c>
      <c r="BN170" s="186">
        <f t="shared" si="94"/>
        <v>4.7</v>
      </c>
      <c r="BO170" s="186">
        <f t="shared" si="95"/>
        <v>5.5069999999999997</v>
      </c>
      <c r="BP170" s="109">
        <f>BM170*'CALCULO GERAL'!$C$11</f>
        <v>23.589300000000001</v>
      </c>
      <c r="BQ170" s="109">
        <f>BO170*'CALCULO GERAL'!$C$11</f>
        <v>27.639633</v>
      </c>
      <c r="BR170" s="186">
        <f>BN170*'CALCULO GERAL'!$C$11</f>
        <v>23.589300000000001</v>
      </c>
      <c r="BS170" s="109">
        <f t="shared" si="90"/>
        <v>412812.75</v>
      </c>
      <c r="BT170" s="109">
        <f t="shared" si="91"/>
        <v>412812.75</v>
      </c>
      <c r="BU170" s="109">
        <f t="shared" si="99"/>
        <v>379641.52296937496</v>
      </c>
      <c r="BV170" s="109">
        <f t="shared" si="96"/>
        <v>33171.227030625043</v>
      </c>
      <c r="BW170" s="114">
        <f t="shared" si="92"/>
        <v>8.0354172759017364E-2</v>
      </c>
      <c r="BX170" s="152">
        <f t="shared" si="100"/>
        <v>0.84</v>
      </c>
      <c r="BZ170" s="55"/>
      <c r="CA170" s="113"/>
      <c r="CB170" s="113"/>
      <c r="CD170" s="152">
        <f t="shared" si="101"/>
        <v>0</v>
      </c>
      <c r="CE170" s="152">
        <f t="shared" si="97"/>
        <v>1</v>
      </c>
      <c r="CF170" s="152">
        <f t="shared" si="98"/>
        <v>1</v>
      </c>
      <c r="CG170" s="34"/>
      <c r="CI170" s="11"/>
      <c r="CJ170" s="11"/>
    </row>
    <row r="171" spans="1:88" s="152" customFormat="1" x14ac:dyDescent="0.2">
      <c r="A171" s="125" t="s">
        <v>306</v>
      </c>
      <c r="B171" s="187" t="s">
        <v>304</v>
      </c>
      <c r="C171" s="8">
        <v>0.26</v>
      </c>
      <c r="D171" s="8">
        <v>0</v>
      </c>
      <c r="E171" s="7">
        <v>2.1000000000000001E-2</v>
      </c>
      <c r="F171" s="7">
        <v>0.1065</v>
      </c>
      <c r="G171" s="1">
        <v>6.4999999999999997E-3</v>
      </c>
      <c r="H171" s="1">
        <v>0.03</v>
      </c>
      <c r="I171" s="1">
        <v>0.18</v>
      </c>
      <c r="J171" s="1">
        <v>0.04</v>
      </c>
      <c r="K171" s="1">
        <v>0.14000000000000001</v>
      </c>
      <c r="L171" s="1">
        <v>1.4999999999999999E-2</v>
      </c>
      <c r="M171" s="2" t="s">
        <v>175</v>
      </c>
      <c r="N171" s="105">
        <v>17500</v>
      </c>
      <c r="O171" s="119"/>
      <c r="P171" s="119"/>
      <c r="Q171" s="119"/>
      <c r="R171" s="119"/>
      <c r="S171" s="119"/>
      <c r="T171" s="119"/>
      <c r="U171" s="119"/>
      <c r="V171" s="119">
        <v>1.82</v>
      </c>
      <c r="W171" s="119">
        <v>1.75</v>
      </c>
      <c r="X171" s="119">
        <f t="shared" si="67"/>
        <v>1.75</v>
      </c>
      <c r="Y171" s="118">
        <f t="shared" si="68"/>
        <v>1.7850000000000001</v>
      </c>
      <c r="Z171" s="109">
        <f t="shared" si="69"/>
        <v>31237.500000000004</v>
      </c>
      <c r="AA171" s="109">
        <f>'CALCULO GERAL'!$G$10</f>
        <v>6300</v>
      </c>
      <c r="AB171" s="109">
        <f t="shared" si="70"/>
        <v>37537.5</v>
      </c>
      <c r="AC171" s="109">
        <f>AB171*'CALCULO GERAL'!$C$11</f>
        <v>188400.71249999999</v>
      </c>
      <c r="AD171" s="109">
        <f t="shared" si="71"/>
        <v>48984.185250000002</v>
      </c>
      <c r="AE171" s="109">
        <f t="shared" si="72"/>
        <v>0</v>
      </c>
      <c r="AF171" s="109">
        <f t="shared" si="73"/>
        <v>3956.4149625</v>
      </c>
      <c r="AG171" s="109">
        <f t="shared" si="74"/>
        <v>20064.675881249997</v>
      </c>
      <c r="AH171" s="109">
        <v>154.22999999999999</v>
      </c>
      <c r="AI171" s="109">
        <f>((AA171*'CALCULO GERAL'!$C$11))*0.08+20</f>
        <v>2549.576</v>
      </c>
      <c r="AJ171" s="109">
        <v>1010</v>
      </c>
      <c r="AK171" s="109">
        <v>2500</v>
      </c>
      <c r="AL171" s="109">
        <f>(AA171*('CALCULO GERAL'!$C$11*1.02))-(AA171*'CALCULO GERAL'!$C$11)</f>
        <v>632.39400000000387</v>
      </c>
      <c r="AM171" s="109">
        <v>1800</v>
      </c>
      <c r="AN171" s="109">
        <v>2600</v>
      </c>
      <c r="AO171" s="109">
        <v>9400</v>
      </c>
      <c r="AP171" s="109">
        <v>1000</v>
      </c>
      <c r="AQ171" s="109">
        <v>0</v>
      </c>
      <c r="AR171" s="109">
        <v>0</v>
      </c>
      <c r="AS171" s="109"/>
      <c r="AT171" s="109">
        <f t="shared" si="93"/>
        <v>283052.18859375006</v>
      </c>
      <c r="AU171" s="111">
        <f t="shared" si="75"/>
        <v>16.174410776785717</v>
      </c>
      <c r="AV171" s="109">
        <f>IFERROR((BS171*'CALCULO GERAL'!$E$11)/N171,0)</f>
        <v>0.39850860000000005</v>
      </c>
      <c r="AW171" s="109">
        <f>AU171/'CALCULO GERAL'!$C$11</f>
        <v>3.2226361380326192</v>
      </c>
      <c r="AX171" s="109">
        <f>BP171-BB171-BD171*'CALCULO GERAL'!$C$11</f>
        <v>19.626548550000003</v>
      </c>
      <c r="AY171" s="109">
        <f t="shared" si="76"/>
        <v>0.12757256557500002</v>
      </c>
      <c r="AZ171" s="109">
        <f t="shared" si="77"/>
        <v>0.58879645650000001</v>
      </c>
      <c r="BA171" s="109">
        <f t="shared" si="78"/>
        <v>19.925430000000002</v>
      </c>
      <c r="BB171" s="109">
        <f t="shared" si="79"/>
        <v>0.29888145000000005</v>
      </c>
      <c r="BC171" s="109">
        <f t="shared" si="80"/>
        <v>19.925430000000002</v>
      </c>
      <c r="BD171" s="109">
        <f t="shared" si="81"/>
        <v>0</v>
      </c>
      <c r="BE171" s="109">
        <f t="shared" si="82"/>
        <v>27895.602000000003</v>
      </c>
      <c r="BF171" s="109">
        <f t="shared" si="83"/>
        <v>41843.402999999998</v>
      </c>
      <c r="BG171" s="109">
        <f t="shared" si="84"/>
        <v>0.21519464399999996</v>
      </c>
      <c r="BH171" s="109">
        <f t="shared" si="85"/>
        <v>0.23910515999999998</v>
      </c>
      <c r="BI171" s="109">
        <f t="shared" si="86"/>
        <v>0</v>
      </c>
      <c r="BJ171" s="109">
        <f t="shared" si="87"/>
        <v>1.8680588760750001</v>
      </c>
      <c r="BK171" s="109">
        <f t="shared" si="88"/>
        <v>18.042469652860717</v>
      </c>
      <c r="BL171" s="148">
        <v>0.82499999999999996</v>
      </c>
      <c r="BM171" s="112">
        <f>ROUND((AW171/BL171)+((AW171*BL171)*'CALCULO GERAL'!$E$11)/BL171,2)</f>
        <v>3.97</v>
      </c>
      <c r="BN171" s="186">
        <f t="shared" si="94"/>
        <v>3.97</v>
      </c>
      <c r="BO171" s="186">
        <f t="shared" si="95"/>
        <v>4.6509999999999998</v>
      </c>
      <c r="BP171" s="109">
        <f>BM171*'CALCULO GERAL'!$C$11</f>
        <v>19.925430000000002</v>
      </c>
      <c r="BQ171" s="109">
        <f>BO171*'CALCULO GERAL'!$C$11</f>
        <v>23.343368999999999</v>
      </c>
      <c r="BR171" s="186">
        <f>BN171*'CALCULO GERAL'!$C$11</f>
        <v>19.925430000000002</v>
      </c>
      <c r="BS171" s="109">
        <f t="shared" si="90"/>
        <v>348695.02500000002</v>
      </c>
      <c r="BT171" s="109">
        <f t="shared" si="91"/>
        <v>348695.02500000002</v>
      </c>
      <c r="BU171" s="109">
        <f t="shared" si="99"/>
        <v>315743.21892506257</v>
      </c>
      <c r="BV171" s="109">
        <f t="shared" si="96"/>
        <v>32951.806074937456</v>
      </c>
      <c r="BW171" s="114">
        <f t="shared" si="92"/>
        <v>9.4500361956519036E-2</v>
      </c>
      <c r="BX171" s="152">
        <f t="shared" si="100"/>
        <v>0.83</v>
      </c>
      <c r="BZ171" s="55"/>
      <c r="CA171" s="113"/>
      <c r="CB171" s="113"/>
      <c r="CD171" s="152">
        <f t="shared" si="101"/>
        <v>0</v>
      </c>
      <c r="CE171" s="152">
        <f t="shared" si="97"/>
        <v>1</v>
      </c>
      <c r="CF171" s="152">
        <f t="shared" si="98"/>
        <v>1</v>
      </c>
      <c r="CG171" s="34"/>
      <c r="CI171" s="11"/>
      <c r="CJ171" s="11"/>
    </row>
    <row r="172" spans="1:88" s="152" customFormat="1" x14ac:dyDescent="0.2">
      <c r="A172" s="125" t="s">
        <v>307</v>
      </c>
      <c r="B172" s="187" t="s">
        <v>304</v>
      </c>
      <c r="C172" s="8">
        <v>0.26</v>
      </c>
      <c r="D172" s="8">
        <v>0</v>
      </c>
      <c r="E172" s="7">
        <v>2.1000000000000001E-2</v>
      </c>
      <c r="F172" s="7">
        <v>0.1065</v>
      </c>
      <c r="G172" s="1">
        <v>6.4999999999999997E-3</v>
      </c>
      <c r="H172" s="1">
        <v>0.03</v>
      </c>
      <c r="I172" s="1">
        <v>0.18</v>
      </c>
      <c r="J172" s="1">
        <v>0.04</v>
      </c>
      <c r="K172" s="1">
        <v>0.14000000000000001</v>
      </c>
      <c r="L172" s="1">
        <v>1.4999999999999999E-2</v>
      </c>
      <c r="M172" s="2" t="s">
        <v>175</v>
      </c>
      <c r="N172" s="105">
        <v>17000</v>
      </c>
      <c r="O172" s="119"/>
      <c r="P172" s="119"/>
      <c r="Q172" s="119"/>
      <c r="R172" s="119"/>
      <c r="S172" s="119"/>
      <c r="T172" s="119"/>
      <c r="U172" s="119"/>
      <c r="V172" s="119">
        <v>1.82</v>
      </c>
      <c r="W172" s="119">
        <v>1.76</v>
      </c>
      <c r="X172" s="119">
        <f t="shared" si="67"/>
        <v>1.76</v>
      </c>
      <c r="Y172" s="118">
        <f t="shared" si="68"/>
        <v>1.79</v>
      </c>
      <c r="Z172" s="109">
        <f t="shared" si="69"/>
        <v>30430</v>
      </c>
      <c r="AA172" s="109">
        <f>'CALCULO GERAL'!$G$10</f>
        <v>6300</v>
      </c>
      <c r="AB172" s="109">
        <f t="shared" si="70"/>
        <v>36730</v>
      </c>
      <c r="AC172" s="109">
        <f>AB172*'CALCULO GERAL'!$C$11</f>
        <v>184347.87</v>
      </c>
      <c r="AD172" s="109">
        <f t="shared" si="71"/>
        <v>47930.446199999998</v>
      </c>
      <c r="AE172" s="109">
        <f t="shared" si="72"/>
        <v>0</v>
      </c>
      <c r="AF172" s="109">
        <f t="shared" si="73"/>
        <v>3871.3052700000003</v>
      </c>
      <c r="AG172" s="109">
        <f t="shared" si="74"/>
        <v>19633.048155</v>
      </c>
      <c r="AH172" s="109">
        <v>154.22999999999999</v>
      </c>
      <c r="AI172" s="109">
        <f>((AA172*'CALCULO GERAL'!$C$11))*0.08+20</f>
        <v>2549.576</v>
      </c>
      <c r="AJ172" s="109">
        <v>1010</v>
      </c>
      <c r="AK172" s="109">
        <v>2500</v>
      </c>
      <c r="AL172" s="109">
        <f>(AA172*('CALCULO GERAL'!$C$11*1.02))-(AA172*'CALCULO GERAL'!$C$11)</f>
        <v>632.39400000000387</v>
      </c>
      <c r="AM172" s="109">
        <v>1800</v>
      </c>
      <c r="AN172" s="109">
        <v>2600</v>
      </c>
      <c r="AO172" s="109">
        <v>9400</v>
      </c>
      <c r="AP172" s="109">
        <v>1000</v>
      </c>
      <c r="AQ172" s="109">
        <v>0</v>
      </c>
      <c r="AR172" s="109">
        <v>0</v>
      </c>
      <c r="AS172" s="109"/>
      <c r="AT172" s="109">
        <f t="shared" si="93"/>
        <v>277428.86962500005</v>
      </c>
      <c r="AU172" s="111">
        <f t="shared" si="75"/>
        <v>16.319345272058825</v>
      </c>
      <c r="AV172" s="109">
        <f>IFERROR((BS172*'CALCULO GERAL'!$E$11)/N172,0)</f>
        <v>0.40453140000000004</v>
      </c>
      <c r="AW172" s="109">
        <f>AU172/'CALCULO GERAL'!$C$11</f>
        <v>3.251513303857108</v>
      </c>
      <c r="AX172" s="109">
        <f>BP172-BB172-BD172*'CALCULO GERAL'!$C$11</f>
        <v>19.923171450000002</v>
      </c>
      <c r="AY172" s="109">
        <f t="shared" si="76"/>
        <v>0.12950061442499999</v>
      </c>
      <c r="AZ172" s="109">
        <f t="shared" si="77"/>
        <v>0.59769514350000008</v>
      </c>
      <c r="BA172" s="109">
        <f t="shared" si="78"/>
        <v>20.226570000000002</v>
      </c>
      <c r="BB172" s="109">
        <f t="shared" si="79"/>
        <v>0.30339855000000004</v>
      </c>
      <c r="BC172" s="109">
        <f t="shared" si="80"/>
        <v>20.226570000000002</v>
      </c>
      <c r="BD172" s="109">
        <f t="shared" si="81"/>
        <v>0</v>
      </c>
      <c r="BE172" s="109">
        <f t="shared" si="82"/>
        <v>27508.135200000004</v>
      </c>
      <c r="BF172" s="109">
        <f t="shared" si="83"/>
        <v>41262.202800000006</v>
      </c>
      <c r="BG172" s="109">
        <f t="shared" si="84"/>
        <v>0.21844695600000003</v>
      </c>
      <c r="BH172" s="109">
        <f t="shared" si="85"/>
        <v>0.24271884000000002</v>
      </c>
      <c r="BI172" s="109">
        <f t="shared" si="86"/>
        <v>0</v>
      </c>
      <c r="BJ172" s="109">
        <f t="shared" si="87"/>
        <v>1.8962915039250001</v>
      </c>
      <c r="BK172" s="109">
        <f t="shared" si="88"/>
        <v>18.215636775983825</v>
      </c>
      <c r="BL172" s="148">
        <v>0.82</v>
      </c>
      <c r="BM172" s="112">
        <f>ROUND((AW172/BL172)+((AW172*BL172)*'CALCULO GERAL'!$E$11)/BL172,2)</f>
        <v>4.03</v>
      </c>
      <c r="BN172" s="186">
        <f t="shared" si="94"/>
        <v>4.03</v>
      </c>
      <c r="BO172" s="186">
        <f t="shared" si="95"/>
        <v>4.7220000000000004</v>
      </c>
      <c r="BP172" s="109">
        <f>BM172*'CALCULO GERAL'!$C$11</f>
        <v>20.226570000000002</v>
      </c>
      <c r="BQ172" s="109">
        <f>BO172*'CALCULO GERAL'!$C$11</f>
        <v>23.699718000000004</v>
      </c>
      <c r="BR172" s="186">
        <f>BN172*'CALCULO GERAL'!$C$11</f>
        <v>20.226570000000002</v>
      </c>
      <c r="BS172" s="109">
        <f t="shared" si="90"/>
        <v>343851.69000000006</v>
      </c>
      <c r="BT172" s="109">
        <f t="shared" si="91"/>
        <v>343851.69000000006</v>
      </c>
      <c r="BU172" s="109">
        <f t="shared" si="99"/>
        <v>309665.82519172505</v>
      </c>
      <c r="BV172" s="109">
        <f t="shared" si="96"/>
        <v>34185.864808275015</v>
      </c>
      <c r="BW172" s="114">
        <f t="shared" si="92"/>
        <v>9.9420377454812012E-2</v>
      </c>
      <c r="BX172" s="152">
        <f t="shared" si="100"/>
        <v>0.82</v>
      </c>
      <c r="BZ172" s="55"/>
      <c r="CA172" s="113"/>
      <c r="CB172" s="113"/>
      <c r="CD172" s="152">
        <f t="shared" si="101"/>
        <v>0</v>
      </c>
      <c r="CE172" s="152">
        <f t="shared" si="97"/>
        <v>1</v>
      </c>
      <c r="CF172" s="152">
        <f t="shared" si="98"/>
        <v>1</v>
      </c>
      <c r="CG172" s="34"/>
      <c r="CI172" s="11"/>
      <c r="CJ172" s="11"/>
    </row>
    <row r="173" spans="1:88" s="152" customFormat="1" x14ac:dyDescent="0.2">
      <c r="A173" s="125" t="s">
        <v>308</v>
      </c>
      <c r="B173" s="366" t="s">
        <v>573</v>
      </c>
      <c r="C173" s="367">
        <v>0.26</v>
      </c>
      <c r="D173" s="367">
        <v>4.0899999999999999E-2</v>
      </c>
      <c r="E173" s="368">
        <v>2.1000000000000001E-2</v>
      </c>
      <c r="F173" s="368">
        <v>0.1045</v>
      </c>
      <c r="G173" s="1">
        <v>6.4999999999999997E-3</v>
      </c>
      <c r="H173" s="1">
        <v>0.03</v>
      </c>
      <c r="I173" s="1">
        <v>0.18</v>
      </c>
      <c r="J173" s="1">
        <v>0.04</v>
      </c>
      <c r="K173" s="1">
        <v>0.14000000000000001</v>
      </c>
      <c r="L173" s="1">
        <v>1.4999999999999999E-2</v>
      </c>
      <c r="M173" s="2" t="s">
        <v>175</v>
      </c>
      <c r="N173" s="105">
        <v>29000</v>
      </c>
      <c r="O173" s="119"/>
      <c r="P173" s="119"/>
      <c r="Q173" s="119"/>
      <c r="R173" s="119"/>
      <c r="S173" s="119"/>
      <c r="T173" s="119"/>
      <c r="U173" s="119"/>
      <c r="V173" s="119">
        <v>1.72</v>
      </c>
      <c r="W173" s="119">
        <v>1.55</v>
      </c>
      <c r="X173" s="119">
        <f t="shared" si="67"/>
        <v>1.55</v>
      </c>
      <c r="Y173" s="118">
        <f t="shared" si="68"/>
        <v>1.635</v>
      </c>
      <c r="Z173" s="109">
        <f>Y173*N173</f>
        <v>47415</v>
      </c>
      <c r="AA173" s="109">
        <f>'CALCULO GERAL'!$G$10</f>
        <v>6300</v>
      </c>
      <c r="AB173" s="109">
        <f t="shared" si="70"/>
        <v>53715</v>
      </c>
      <c r="AC173" s="109">
        <f>AB173*'CALCULO GERAL'!$C$11</f>
        <v>269595.58500000002</v>
      </c>
      <c r="AD173" s="109">
        <f t="shared" si="71"/>
        <v>70094.852100000004</v>
      </c>
      <c r="AE173" s="109">
        <f t="shared" si="72"/>
        <v>13893.338877390001</v>
      </c>
      <c r="AF173" s="109">
        <f t="shared" si="73"/>
        <v>5661.5072850000006</v>
      </c>
      <c r="AG173" s="109">
        <f t="shared" si="74"/>
        <v>28172.738632500001</v>
      </c>
      <c r="AH173" s="109">
        <v>154.22999999999999</v>
      </c>
      <c r="AI173" s="109">
        <f>((AA173*'CALCULO GERAL'!$C$11))*0.08+20</f>
        <v>2549.576</v>
      </c>
      <c r="AJ173" s="109">
        <v>1010</v>
      </c>
      <c r="AK173" s="109">
        <v>2500</v>
      </c>
      <c r="AL173" s="109">
        <f>(AA173*('CALCULO GERAL'!$C$11*1.02))-(AA173*'CALCULO GERAL'!$C$11)</f>
        <v>632.39400000000387</v>
      </c>
      <c r="AM173" s="109">
        <v>1800</v>
      </c>
      <c r="AN173" s="109">
        <v>2600</v>
      </c>
      <c r="AO173" s="109">
        <v>9400</v>
      </c>
      <c r="AP173" s="109">
        <v>1000</v>
      </c>
      <c r="AQ173" s="109">
        <v>0</v>
      </c>
      <c r="AR173" s="109">
        <v>0</v>
      </c>
      <c r="AS173" s="109"/>
      <c r="AT173" s="109">
        <f t="shared" si="93"/>
        <v>409064.22189489007</v>
      </c>
      <c r="AU173" s="111">
        <f t="shared" si="75"/>
        <v>14.105662823961726</v>
      </c>
      <c r="AV173" s="109">
        <f>IFERROR((BS173*'CALCULO GERAL'!$E$11)/N173,0)</f>
        <v>0.33727679999999999</v>
      </c>
      <c r="AW173" s="109">
        <f>AU173/'CALCULO GERAL'!$C$11</f>
        <v>2.8104528439852015</v>
      </c>
      <c r="AX173" s="109">
        <f>BP173-BB173-BD173*'CALCULO GERAL'!$C$11</f>
        <v>13.295084336570275</v>
      </c>
      <c r="AY173" s="109">
        <f t="shared" si="76"/>
        <v>8.6418048187706778E-2</v>
      </c>
      <c r="AZ173" s="109">
        <f t="shared" si="77"/>
        <v>0.39885253009710825</v>
      </c>
      <c r="BA173" s="109">
        <f t="shared" si="78"/>
        <v>16.201210490921319</v>
      </c>
      <c r="BB173" s="109">
        <f t="shared" si="79"/>
        <v>0.24301815736381979</v>
      </c>
      <c r="BC173" s="109">
        <f t="shared" si="80"/>
        <v>16.201210490921319</v>
      </c>
      <c r="BD173" s="109">
        <f t="shared" si="81"/>
        <v>0.6626295090786819</v>
      </c>
      <c r="BE173" s="109">
        <f t="shared" si="82"/>
        <v>39124.108800000002</v>
      </c>
      <c r="BF173" s="109">
        <f t="shared" si="83"/>
        <v>58686.163199999995</v>
      </c>
      <c r="BG173" s="109">
        <f t="shared" si="84"/>
        <v>0.18212947199999996</v>
      </c>
      <c r="BH173" s="109">
        <f t="shared" si="85"/>
        <v>0.20236608</v>
      </c>
      <c r="BI173" s="109">
        <f t="shared" si="86"/>
        <v>0</v>
      </c>
      <c r="BJ173" s="109">
        <f t="shared" si="87"/>
        <v>2.1126905967273171</v>
      </c>
      <c r="BK173" s="109">
        <f t="shared" si="88"/>
        <v>16.218353420689041</v>
      </c>
      <c r="BL173" s="148">
        <v>0.85</v>
      </c>
      <c r="BM173" s="112">
        <f>ROUND((AW173/BL173)+((AW173*BL173)*'CALCULO GERAL'!$E$11)/BL173,2)</f>
        <v>3.36</v>
      </c>
      <c r="BN173" s="186">
        <f t="shared" si="94"/>
        <v>3.36</v>
      </c>
      <c r="BO173" s="186">
        <f t="shared" si="95"/>
        <v>3.9369999999999998</v>
      </c>
      <c r="BP173" s="109">
        <f>BM173*'CALCULO GERAL'!$C$11</f>
        <v>16.86384</v>
      </c>
      <c r="BQ173" s="109">
        <f>BO173*'CALCULO GERAL'!$C$11</f>
        <v>19.759802999999998</v>
      </c>
      <c r="BR173" s="186">
        <f>BN173*'CALCULO GERAL'!$C$11</f>
        <v>16.86384</v>
      </c>
      <c r="BS173" s="109">
        <f t="shared" si="90"/>
        <v>489051.36</v>
      </c>
      <c r="BT173" s="109">
        <f t="shared" si="91"/>
        <v>489051.36</v>
      </c>
      <c r="BU173" s="109">
        <f t="shared" si="99"/>
        <v>470332.24919998221</v>
      </c>
      <c r="BV173" s="109">
        <f t="shared" si="96"/>
        <v>18719.110800017777</v>
      </c>
      <c r="BW173" s="114">
        <f t="shared" si="92"/>
        <v>3.8276369991114591E-2</v>
      </c>
      <c r="BX173" s="152">
        <f t="shared" si="100"/>
        <v>0.85</v>
      </c>
      <c r="BZ173" s="55"/>
      <c r="CA173" s="113"/>
      <c r="CB173" s="113"/>
      <c r="CD173" s="152">
        <f t="shared" si="101"/>
        <v>0</v>
      </c>
      <c r="CE173" s="152">
        <f t="shared" si="97"/>
        <v>1</v>
      </c>
      <c r="CF173" s="152">
        <f t="shared" si="98"/>
        <v>1</v>
      </c>
      <c r="CG173" s="34"/>
      <c r="CI173" s="11"/>
      <c r="CJ173" s="11"/>
    </row>
    <row r="174" spans="1:88" s="152" customFormat="1" x14ac:dyDescent="0.2">
      <c r="A174" s="357" t="s">
        <v>572</v>
      </c>
      <c r="B174" s="352" t="s">
        <v>573</v>
      </c>
      <c r="C174" s="356">
        <v>0.26</v>
      </c>
      <c r="D174" s="356">
        <v>4.0899999999999999E-2</v>
      </c>
      <c r="E174" s="353">
        <v>2.1000000000000001E-2</v>
      </c>
      <c r="F174" s="353">
        <v>0.1045</v>
      </c>
      <c r="G174" s="1">
        <v>6.4999999999999997E-3</v>
      </c>
      <c r="H174" s="1">
        <v>0.03</v>
      </c>
      <c r="I174" s="1">
        <v>0.18</v>
      </c>
      <c r="J174" s="1">
        <v>0.04</v>
      </c>
      <c r="K174" s="1">
        <v>0.14000000000000001</v>
      </c>
      <c r="L174" s="1">
        <v>1.4999999999999999E-2</v>
      </c>
      <c r="M174" s="2" t="s">
        <v>175</v>
      </c>
      <c r="N174" s="105">
        <v>85000</v>
      </c>
      <c r="O174" s="119"/>
      <c r="P174" s="119"/>
      <c r="Q174" s="119"/>
      <c r="R174" s="119"/>
      <c r="S174" s="119"/>
      <c r="T174" s="119"/>
      <c r="U174" s="119"/>
      <c r="V174" s="119"/>
      <c r="W174" s="119">
        <v>0.94</v>
      </c>
      <c r="X174" s="119">
        <f>MIN(O174:W174)</f>
        <v>0.94</v>
      </c>
      <c r="Y174" s="118">
        <f>AVERAGE(O174:W174)</f>
        <v>0.94</v>
      </c>
      <c r="Z174" s="109">
        <f>Y174*N174</f>
        <v>79900</v>
      </c>
      <c r="AA174" s="109">
        <f>'CALCULO GERAL'!$G$10</f>
        <v>6300</v>
      </c>
      <c r="AB174" s="109">
        <f>Z174+AA174</f>
        <v>86200</v>
      </c>
      <c r="AC174" s="109">
        <f>AB174*'CALCULO GERAL'!$C$11</f>
        <v>432637.8</v>
      </c>
      <c r="AD174" s="109">
        <f>AC174*C174</f>
        <v>112485.82799999999</v>
      </c>
      <c r="AE174" s="109">
        <f>(AC174+AD174)*D174</f>
        <v>22295.556385200001</v>
      </c>
      <c r="AF174" s="109">
        <f>AC174*E174</f>
        <v>9085.3937999999998</v>
      </c>
      <c r="AG174" s="109">
        <f>AC174*F174</f>
        <v>45210.650099999999</v>
      </c>
      <c r="AH174" s="109">
        <v>154.22999999999999</v>
      </c>
      <c r="AI174" s="109">
        <f>((AA174*'CALCULO GERAL'!$C$11))*0.08+20</f>
        <v>2549.576</v>
      </c>
      <c r="AJ174" s="109">
        <v>1010</v>
      </c>
      <c r="AK174" s="109">
        <v>2500</v>
      </c>
      <c r="AL174" s="109">
        <f>(AA174*('CALCULO GERAL'!$C$11*1.02))-(AA174*'CALCULO GERAL'!$C$11)</f>
        <v>632.39400000000387</v>
      </c>
      <c r="AM174" s="109">
        <v>1800</v>
      </c>
      <c r="AN174" s="109">
        <v>2600</v>
      </c>
      <c r="AO174" s="109">
        <v>9400</v>
      </c>
      <c r="AP174" s="109">
        <v>1000</v>
      </c>
      <c r="AQ174" s="109">
        <v>0</v>
      </c>
      <c r="AR174" s="109">
        <v>0</v>
      </c>
      <c r="AS174" s="109"/>
      <c r="AT174" s="109">
        <f>SUM(AC174:AS174)</f>
        <v>643361.42828519992</v>
      </c>
      <c r="AU174" s="111">
        <f>IFERROR((AT174/N174),0)</f>
        <v>7.568957979825881</v>
      </c>
      <c r="AV174" s="109">
        <f>IFERROR((BS174*'CALCULO GERAL'!$E$11)/N174,0)</f>
        <v>0.18068399999999998</v>
      </c>
      <c r="AW174" s="109">
        <f>AU174/'CALCULO GERAL'!$C$11</f>
        <v>1.5080609643008329</v>
      </c>
      <c r="AX174" s="109">
        <f>BP174-BB174-BD174*'CALCULO GERAL'!$C$11</f>
        <v>7.1223666088769333</v>
      </c>
      <c r="AY174" s="109">
        <f>AX174*G174</f>
        <v>4.6295382957700061E-2</v>
      </c>
      <c r="AZ174" s="109">
        <f>AX174*H174</f>
        <v>0.213670998266308</v>
      </c>
      <c r="BA174" s="109">
        <f>BP174-BD174</f>
        <v>8.6792199058507062</v>
      </c>
      <c r="BB174" s="109">
        <f>BA174*L174</f>
        <v>0.1301882985877606</v>
      </c>
      <c r="BC174" s="109">
        <f>BP174/(1+D174)</f>
        <v>8.6792199058507062</v>
      </c>
      <c r="BD174" s="109">
        <f>BC174*D174</f>
        <v>0.35498009414929388</v>
      </c>
      <c r="BE174" s="109">
        <f>BT174*0.08</f>
        <v>61432.56</v>
      </c>
      <c r="BF174" s="109">
        <f>BT174*0.12</f>
        <v>92148.84</v>
      </c>
      <c r="BG174" s="109">
        <f>(BF174*0.09)/N174</f>
        <v>9.7569359999999994E-2</v>
      </c>
      <c r="BH174" s="109">
        <f>(BE174*0.15)/N174</f>
        <v>0.1084104</v>
      </c>
      <c r="BI174" s="109">
        <f>IF(BE174&gt;=$BX$1,($BX$1-BE174)*0.1,IF(BE174&lt;=$BX$1,($BX$1*0)))/N174</f>
        <v>-1.685376470588235E-3</v>
      </c>
      <c r="BJ174" s="109">
        <f>(AY174+AZ174+BB174+AV174+BD174+BG174+BH174+BI174)</f>
        <v>1.1301131574904741</v>
      </c>
      <c r="BK174" s="109">
        <f>BJ174+AU174</f>
        <v>8.6990711373163556</v>
      </c>
      <c r="BL174" s="148">
        <v>0.85</v>
      </c>
      <c r="BM174" s="112">
        <f>ROUND((AW174/BL174)+((AW174*BL174)*'CALCULO GERAL'!$E$11)/BL174,2)</f>
        <v>1.8</v>
      </c>
      <c r="BN174" s="186">
        <f>BM174</f>
        <v>1.8</v>
      </c>
      <c r="BO174" s="186">
        <f>ROUND(FV(0.02,8,,BN174)*-1,3)</f>
        <v>2.109</v>
      </c>
      <c r="BP174" s="109">
        <f>BM174*'CALCULO GERAL'!$C$11</f>
        <v>9.0342000000000002</v>
      </c>
      <c r="BQ174" s="109">
        <f>BO174*'CALCULO GERAL'!$C$11</f>
        <v>10.585071000000001</v>
      </c>
      <c r="BR174" s="186">
        <f>BN174*'CALCULO GERAL'!$C$11</f>
        <v>9.0342000000000002</v>
      </c>
      <c r="BS174" s="109">
        <f>BP174*N174</f>
        <v>767907</v>
      </c>
      <c r="BT174" s="109">
        <f>BR174*N174</f>
        <v>767907</v>
      </c>
      <c r="BU174" s="109">
        <f>BK174*N174</f>
        <v>739421.04667189019</v>
      </c>
      <c r="BV174" s="109">
        <f>BS174-BU174</f>
        <v>28485.953328109812</v>
      </c>
      <c r="BW174" s="114">
        <f>(((BK174*N174)-BS174)/BS174*-1)</f>
        <v>3.7095577105183068E-2</v>
      </c>
      <c r="BX174" s="152">
        <f>ROUND(BL174,2)</f>
        <v>0.85</v>
      </c>
      <c r="BZ174" s="55"/>
      <c r="CA174" s="113"/>
      <c r="CB174" s="113"/>
      <c r="CD174" s="152">
        <f>CB174/BX174</f>
        <v>0</v>
      </c>
      <c r="CE174" s="152">
        <f>100%-CD174</f>
        <v>1</v>
      </c>
      <c r="CF174" s="152">
        <f>AVERAGE(CE174,CC174)</f>
        <v>1</v>
      </c>
      <c r="CG174" s="34"/>
      <c r="CI174" s="11"/>
      <c r="CJ174" s="11"/>
    </row>
    <row r="175" spans="1:88" s="152" customFormat="1" x14ac:dyDescent="0.2">
      <c r="A175" s="125" t="s">
        <v>309</v>
      </c>
      <c r="B175" s="187" t="s">
        <v>302</v>
      </c>
      <c r="C175" s="8">
        <v>0.26</v>
      </c>
      <c r="D175" s="8">
        <v>0</v>
      </c>
      <c r="E175" s="7">
        <v>2.1000000000000001E-2</v>
      </c>
      <c r="F175" s="7">
        <v>0.1065</v>
      </c>
      <c r="G175" s="1">
        <v>6.4999999999999997E-3</v>
      </c>
      <c r="H175" s="1">
        <v>0.03</v>
      </c>
      <c r="I175" s="1">
        <v>0.18</v>
      </c>
      <c r="J175" s="1">
        <v>0.04</v>
      </c>
      <c r="K175" s="1">
        <v>0.14000000000000001</v>
      </c>
      <c r="L175" s="1">
        <v>1.4999999999999999E-2</v>
      </c>
      <c r="M175" s="2" t="s">
        <v>175</v>
      </c>
      <c r="N175" s="105">
        <v>25000</v>
      </c>
      <c r="O175" s="119"/>
      <c r="P175" s="119"/>
      <c r="Q175" s="119"/>
      <c r="R175" s="119"/>
      <c r="S175" s="119"/>
      <c r="T175" s="119"/>
      <c r="U175" s="119">
        <v>2.2000000000000002</v>
      </c>
      <c r="V175" s="119">
        <v>1.88</v>
      </c>
      <c r="W175" s="119">
        <v>2.12</v>
      </c>
      <c r="X175" s="119">
        <f t="shared" si="67"/>
        <v>1.88</v>
      </c>
      <c r="Y175" s="118">
        <f t="shared" si="68"/>
        <v>2.0666666666666669</v>
      </c>
      <c r="Z175" s="109">
        <f>Y175*N175</f>
        <v>51666.666666666672</v>
      </c>
      <c r="AA175" s="109">
        <f>'CALCULO GERAL'!$G$10</f>
        <v>6300</v>
      </c>
      <c r="AB175" s="109">
        <f t="shared" si="70"/>
        <v>57966.666666666672</v>
      </c>
      <c r="AC175" s="109">
        <f>AB175*'CALCULO GERAL'!$C$11</f>
        <v>290934.7</v>
      </c>
      <c r="AD175" s="109">
        <f t="shared" si="71"/>
        <v>75643.022000000012</v>
      </c>
      <c r="AE175" s="109">
        <f t="shared" si="72"/>
        <v>0</v>
      </c>
      <c r="AF175" s="109">
        <f t="shared" si="73"/>
        <v>6109.6287000000002</v>
      </c>
      <c r="AG175" s="109">
        <f t="shared" si="74"/>
        <v>30984.545549999999</v>
      </c>
      <c r="AH175" s="109">
        <v>154.22999999999999</v>
      </c>
      <c r="AI175" s="109">
        <f>((AA175*'CALCULO GERAL'!$C$11))*0.08+20</f>
        <v>2549.576</v>
      </c>
      <c r="AJ175" s="109">
        <v>1010</v>
      </c>
      <c r="AK175" s="109">
        <v>2500</v>
      </c>
      <c r="AL175" s="109">
        <f>(AA175*('CALCULO GERAL'!$C$11*1.02))-(AA175*'CALCULO GERAL'!$C$11)</f>
        <v>632.39400000000387</v>
      </c>
      <c r="AM175" s="109">
        <v>1800</v>
      </c>
      <c r="AN175" s="109">
        <v>2600</v>
      </c>
      <c r="AO175" s="109">
        <v>9400</v>
      </c>
      <c r="AP175" s="109">
        <v>1000</v>
      </c>
      <c r="AQ175" s="109">
        <v>0</v>
      </c>
      <c r="AR175" s="109">
        <v>0</v>
      </c>
      <c r="AS175" s="109"/>
      <c r="AT175" s="109">
        <f t="shared" si="93"/>
        <v>425318.09625</v>
      </c>
      <c r="AU175" s="111">
        <f t="shared" si="75"/>
        <v>17.01272385</v>
      </c>
      <c r="AV175" s="109">
        <f>IFERROR((BS175*'CALCULO GERAL'!$E$11)/N175,0)</f>
        <v>0.40453140000000004</v>
      </c>
      <c r="AW175" s="109">
        <f>AU175/'CALCULO GERAL'!$C$11</f>
        <v>3.3896640466228334</v>
      </c>
      <c r="AX175" s="109">
        <f>BP175-BB175-BD175*'CALCULO GERAL'!$C$11</f>
        <v>19.923171450000002</v>
      </c>
      <c r="AY175" s="109">
        <f t="shared" si="76"/>
        <v>0.12950061442499999</v>
      </c>
      <c r="AZ175" s="109">
        <f t="shared" si="77"/>
        <v>0.59769514350000008</v>
      </c>
      <c r="BA175" s="109">
        <f t="shared" si="78"/>
        <v>20.226570000000002</v>
      </c>
      <c r="BB175" s="109">
        <f t="shared" si="79"/>
        <v>0.30339855000000004</v>
      </c>
      <c r="BC175" s="109">
        <f t="shared" si="80"/>
        <v>20.226570000000002</v>
      </c>
      <c r="BD175" s="109">
        <f t="shared" si="81"/>
        <v>0</v>
      </c>
      <c r="BE175" s="109">
        <f t="shared" si="82"/>
        <v>40453.140000000007</v>
      </c>
      <c r="BF175" s="109">
        <f t="shared" si="83"/>
        <v>60679.710000000006</v>
      </c>
      <c r="BG175" s="109">
        <f t="shared" si="84"/>
        <v>0.21844695600000003</v>
      </c>
      <c r="BH175" s="109">
        <f t="shared" si="85"/>
        <v>0.24271884000000002</v>
      </c>
      <c r="BI175" s="109">
        <f t="shared" si="86"/>
        <v>0</v>
      </c>
      <c r="BJ175" s="109">
        <f t="shared" si="87"/>
        <v>1.8962915039250001</v>
      </c>
      <c r="BK175" s="109">
        <f t="shared" si="88"/>
        <v>18.909015353925</v>
      </c>
      <c r="BL175" s="148">
        <v>0.85499999999999998</v>
      </c>
      <c r="BM175" s="112">
        <f>ROUND((AW175/BL175)+((AW175*BL175)*'CALCULO GERAL'!$E$11)/BL175,2)</f>
        <v>4.03</v>
      </c>
      <c r="BN175" s="186">
        <f t="shared" si="94"/>
        <v>4.03</v>
      </c>
      <c r="BO175" s="186">
        <f t="shared" si="95"/>
        <v>4.7220000000000004</v>
      </c>
      <c r="BP175" s="109">
        <f>BM175*'CALCULO GERAL'!$C$11</f>
        <v>20.226570000000002</v>
      </c>
      <c r="BQ175" s="109">
        <f>BO175*'CALCULO GERAL'!$C$11</f>
        <v>23.699718000000004</v>
      </c>
      <c r="BR175" s="186">
        <f>BN175*'CALCULO GERAL'!$C$11</f>
        <v>20.226570000000002</v>
      </c>
      <c r="BS175" s="109">
        <f t="shared" si="90"/>
        <v>505664.25000000006</v>
      </c>
      <c r="BT175" s="109">
        <f t="shared" si="91"/>
        <v>505664.25000000006</v>
      </c>
      <c r="BU175" s="109">
        <f t="shared" si="99"/>
        <v>472725.383848125</v>
      </c>
      <c r="BV175" s="109">
        <f t="shared" si="96"/>
        <v>32938.86615187506</v>
      </c>
      <c r="BW175" s="114">
        <f t="shared" si="92"/>
        <v>6.5139796123366553E-2</v>
      </c>
      <c r="BX175" s="152">
        <f t="shared" si="100"/>
        <v>0.86</v>
      </c>
      <c r="BZ175" s="55"/>
      <c r="CA175" s="113"/>
      <c r="CB175" s="113"/>
      <c r="CD175" s="152">
        <f t="shared" si="101"/>
        <v>0</v>
      </c>
      <c r="CE175" s="152">
        <f t="shared" si="97"/>
        <v>1</v>
      </c>
      <c r="CF175" s="152">
        <f t="shared" si="98"/>
        <v>1</v>
      </c>
      <c r="CG175" s="34"/>
      <c r="CI175" s="11"/>
      <c r="CJ175" s="11"/>
    </row>
    <row r="176" spans="1:88" s="152" customFormat="1" x14ac:dyDescent="0.2">
      <c r="A176" s="125" t="s">
        <v>310</v>
      </c>
      <c r="B176" s="187" t="s">
        <v>304</v>
      </c>
      <c r="C176" s="8">
        <v>0.26</v>
      </c>
      <c r="D176" s="8">
        <v>0</v>
      </c>
      <c r="E176" s="7">
        <v>2.1000000000000001E-2</v>
      </c>
      <c r="F176" s="7">
        <v>0.1065</v>
      </c>
      <c r="G176" s="1">
        <v>6.4999999999999997E-3</v>
      </c>
      <c r="H176" s="1">
        <v>0.03</v>
      </c>
      <c r="I176" s="1">
        <v>0.18</v>
      </c>
      <c r="J176" s="1">
        <v>0.04</v>
      </c>
      <c r="K176" s="1">
        <v>0.14000000000000001</v>
      </c>
      <c r="L176" s="1">
        <v>1.4999999999999999E-2</v>
      </c>
      <c r="M176" s="2" t="s">
        <v>175</v>
      </c>
      <c r="N176" s="105">
        <v>25000</v>
      </c>
      <c r="O176" s="119"/>
      <c r="P176" s="119"/>
      <c r="Q176" s="119"/>
      <c r="R176" s="119"/>
      <c r="S176" s="119"/>
      <c r="T176" s="119"/>
      <c r="U176" s="119">
        <v>2.5</v>
      </c>
      <c r="V176" s="119">
        <v>2.42</v>
      </c>
      <c r="W176" s="119">
        <v>2.2200000000000002</v>
      </c>
      <c r="X176" s="119">
        <f t="shared" si="67"/>
        <v>2.2200000000000002</v>
      </c>
      <c r="Y176" s="118">
        <f t="shared" si="68"/>
        <v>2.3800000000000003</v>
      </c>
      <c r="Z176" s="109">
        <f t="shared" si="69"/>
        <v>59500.000000000007</v>
      </c>
      <c r="AA176" s="109">
        <f>'CALCULO GERAL'!$G$10</f>
        <v>6300</v>
      </c>
      <c r="AB176" s="109">
        <f t="shared" si="70"/>
        <v>65800</v>
      </c>
      <c r="AC176" s="109">
        <f>AB176*'CALCULO GERAL'!$C$11</f>
        <v>330250.2</v>
      </c>
      <c r="AD176" s="109">
        <f t="shared" si="71"/>
        <v>85865.052000000011</v>
      </c>
      <c r="AE176" s="109">
        <f t="shared" si="72"/>
        <v>0</v>
      </c>
      <c r="AF176" s="109">
        <f t="shared" si="73"/>
        <v>6935.2542000000003</v>
      </c>
      <c r="AG176" s="109">
        <f t="shared" si="74"/>
        <v>35171.6463</v>
      </c>
      <c r="AH176" s="109">
        <v>154.22999999999999</v>
      </c>
      <c r="AI176" s="109">
        <f>((AA176*'CALCULO GERAL'!$C$11))*0.08+20</f>
        <v>2549.576</v>
      </c>
      <c r="AJ176" s="109">
        <v>1010</v>
      </c>
      <c r="AK176" s="109">
        <v>2500</v>
      </c>
      <c r="AL176" s="109">
        <f>(AA176*('CALCULO GERAL'!$C$11*1.02))-(AA176*'CALCULO GERAL'!$C$11)</f>
        <v>632.39400000000387</v>
      </c>
      <c r="AM176" s="109">
        <v>1800</v>
      </c>
      <c r="AN176" s="109">
        <v>2600</v>
      </c>
      <c r="AO176" s="109">
        <v>9400</v>
      </c>
      <c r="AP176" s="109">
        <v>1000</v>
      </c>
      <c r="AQ176" s="109">
        <v>0</v>
      </c>
      <c r="AR176" s="109">
        <v>0</v>
      </c>
      <c r="AS176" s="109"/>
      <c r="AT176" s="109">
        <f t="shared" si="93"/>
        <v>479868.3525000001</v>
      </c>
      <c r="AU176" s="111">
        <f t="shared" si="75"/>
        <v>19.194734100000005</v>
      </c>
      <c r="AV176" s="109">
        <f>IFERROR((BS176*'CALCULO GERAL'!$E$11)/N176,0)</f>
        <v>0.4486986</v>
      </c>
      <c r="AW176" s="109">
        <f>AU176/'CALCULO GERAL'!$C$11</f>
        <v>3.824414046622834</v>
      </c>
      <c r="AX176" s="109">
        <f>BP176-BB176-BD176*'CALCULO GERAL'!$C$11</f>
        <v>22.098406049999998</v>
      </c>
      <c r="AY176" s="109">
        <f t="shared" si="76"/>
        <v>0.14363963932499998</v>
      </c>
      <c r="AZ176" s="109">
        <f t="shared" si="77"/>
        <v>0.6629521814999999</v>
      </c>
      <c r="BA176" s="109">
        <f t="shared" si="78"/>
        <v>22.434929999999998</v>
      </c>
      <c r="BB176" s="109">
        <f t="shared" si="79"/>
        <v>0.33652394999999996</v>
      </c>
      <c r="BC176" s="109">
        <f t="shared" si="80"/>
        <v>22.434929999999998</v>
      </c>
      <c r="BD176" s="109">
        <f t="shared" si="81"/>
        <v>0</v>
      </c>
      <c r="BE176" s="109">
        <f t="shared" si="82"/>
        <v>44869.86</v>
      </c>
      <c r="BF176" s="109">
        <f t="shared" si="83"/>
        <v>67304.789999999994</v>
      </c>
      <c r="BG176" s="109">
        <f t="shared" si="84"/>
        <v>0.24229724399999997</v>
      </c>
      <c r="BH176" s="109">
        <f t="shared" si="85"/>
        <v>0.26921916000000001</v>
      </c>
      <c r="BI176" s="109">
        <f t="shared" si="86"/>
        <v>0</v>
      </c>
      <c r="BJ176" s="109">
        <f t="shared" si="87"/>
        <v>2.1033307748249999</v>
      </c>
      <c r="BK176" s="109">
        <f t="shared" si="88"/>
        <v>21.298064874825005</v>
      </c>
      <c r="BL176" s="148">
        <v>0.87</v>
      </c>
      <c r="BM176" s="112">
        <f>ROUND((AW176/BL176)+((AW176*BL176)*'CALCULO GERAL'!$E$11)/BL176,2)</f>
        <v>4.47</v>
      </c>
      <c r="BN176" s="186">
        <f t="shared" si="94"/>
        <v>4.47</v>
      </c>
      <c r="BO176" s="186">
        <f t="shared" si="95"/>
        <v>5.2370000000000001</v>
      </c>
      <c r="BP176" s="109">
        <f>BM176*'CALCULO GERAL'!$C$11</f>
        <v>22.434929999999998</v>
      </c>
      <c r="BQ176" s="109">
        <f>BO176*'CALCULO GERAL'!$C$11</f>
        <v>26.284503000000001</v>
      </c>
      <c r="BR176" s="186">
        <f>BN176*'CALCULO GERAL'!$C$11</f>
        <v>22.434929999999998</v>
      </c>
      <c r="BS176" s="109">
        <f t="shared" si="90"/>
        <v>560873.25</v>
      </c>
      <c r="BT176" s="109">
        <f t="shared" si="91"/>
        <v>560873.25</v>
      </c>
      <c r="BU176" s="109">
        <f t="shared" si="99"/>
        <v>532451.62187062518</v>
      </c>
      <c r="BV176" s="109">
        <f t="shared" si="96"/>
        <v>28421.628129374818</v>
      </c>
      <c r="BW176" s="114">
        <f t="shared" si="92"/>
        <v>5.0673887780126471E-2</v>
      </c>
      <c r="BX176" s="152">
        <f t="shared" si="100"/>
        <v>0.87</v>
      </c>
      <c r="BZ176" s="55"/>
      <c r="CA176" s="113"/>
      <c r="CB176" s="113"/>
      <c r="CD176" s="152">
        <f t="shared" si="101"/>
        <v>0</v>
      </c>
      <c r="CE176" s="152">
        <f t="shared" si="97"/>
        <v>1</v>
      </c>
      <c r="CF176" s="152">
        <f t="shared" si="98"/>
        <v>1</v>
      </c>
      <c r="CG176" s="34"/>
      <c r="CI176" s="11"/>
      <c r="CJ176" s="11"/>
    </row>
    <row r="177" spans="1:88" s="152" customFormat="1" x14ac:dyDescent="0.2">
      <c r="A177" s="125" t="s">
        <v>311</v>
      </c>
      <c r="B177" s="187" t="s">
        <v>297</v>
      </c>
      <c r="C177" s="8">
        <v>0.26</v>
      </c>
      <c r="D177" s="8">
        <v>0</v>
      </c>
      <c r="E177" s="7">
        <v>2.1000000000000001E-2</v>
      </c>
      <c r="F177" s="7">
        <v>0.1065</v>
      </c>
      <c r="G177" s="1">
        <v>6.4999999999999997E-3</v>
      </c>
      <c r="H177" s="1">
        <v>0.03</v>
      </c>
      <c r="I177" s="1">
        <v>0.18</v>
      </c>
      <c r="J177" s="1">
        <v>0.04</v>
      </c>
      <c r="K177" s="1">
        <v>0.14000000000000001</v>
      </c>
      <c r="L177" s="1">
        <v>1.4999999999999999E-2</v>
      </c>
      <c r="M177" s="2" t="s">
        <v>175</v>
      </c>
      <c r="N177" s="105">
        <v>15000</v>
      </c>
      <c r="O177" s="119"/>
      <c r="P177" s="119"/>
      <c r="Q177" s="119"/>
      <c r="R177" s="119"/>
      <c r="S177" s="119"/>
      <c r="T177" s="119"/>
      <c r="U177" s="119">
        <v>2.7</v>
      </c>
      <c r="V177" s="119"/>
      <c r="W177" s="119"/>
      <c r="X177" s="119">
        <f t="shared" si="67"/>
        <v>2.7</v>
      </c>
      <c r="Y177" s="118">
        <f t="shared" si="68"/>
        <v>2.7</v>
      </c>
      <c r="Z177" s="109">
        <f t="shared" si="69"/>
        <v>40500</v>
      </c>
      <c r="AA177" s="109">
        <f>'CALCULO GERAL'!$G$10</f>
        <v>6300</v>
      </c>
      <c r="AB177" s="109">
        <f t="shared" si="70"/>
        <v>46800</v>
      </c>
      <c r="AC177" s="109">
        <f>AB177*'CALCULO GERAL'!$C$11</f>
        <v>234889.2</v>
      </c>
      <c r="AD177" s="109">
        <f t="shared" si="71"/>
        <v>61071.192000000003</v>
      </c>
      <c r="AE177" s="109">
        <f t="shared" si="72"/>
        <v>0</v>
      </c>
      <c r="AF177" s="109">
        <f t="shared" si="73"/>
        <v>4932.6732000000002</v>
      </c>
      <c r="AG177" s="109">
        <f t="shared" si="74"/>
        <v>25015.699800000002</v>
      </c>
      <c r="AH177" s="109">
        <v>154.22999999999999</v>
      </c>
      <c r="AI177" s="109">
        <f>((AA177*'CALCULO GERAL'!$C$11))*0.08+20</f>
        <v>2549.576</v>
      </c>
      <c r="AJ177" s="109">
        <v>1010</v>
      </c>
      <c r="AK177" s="109">
        <v>2500</v>
      </c>
      <c r="AL177" s="109">
        <f>(AA177*('CALCULO GERAL'!$C$11*1.02))-(AA177*'CALCULO GERAL'!$C$11)</f>
        <v>632.39400000000387</v>
      </c>
      <c r="AM177" s="109">
        <v>1800</v>
      </c>
      <c r="AN177" s="109">
        <v>2600</v>
      </c>
      <c r="AO177" s="109">
        <v>9400</v>
      </c>
      <c r="AP177" s="109">
        <v>1000</v>
      </c>
      <c r="AQ177" s="109">
        <v>0</v>
      </c>
      <c r="AR177" s="109">
        <v>0</v>
      </c>
      <c r="AS177" s="109"/>
      <c r="AT177" s="109">
        <f t="shared" si="93"/>
        <v>347554.96500000003</v>
      </c>
      <c r="AU177" s="111">
        <f t="shared" si="75"/>
        <v>23.170331000000001</v>
      </c>
      <c r="AV177" s="109">
        <f>IFERROR((BS177*'CALCULO GERAL'!$E$11)/N177,0)</f>
        <v>0.54205200000000009</v>
      </c>
      <c r="AW177" s="109">
        <f>AU177/'CALCULO GERAL'!$C$11</f>
        <v>4.6165234110380551</v>
      </c>
      <c r="AX177" s="109">
        <f>BP177-BB177-BD177*'CALCULO GERAL'!$C$11</f>
        <v>26.696061000000004</v>
      </c>
      <c r="AY177" s="109">
        <f t="shared" si="76"/>
        <v>0.17352439650000001</v>
      </c>
      <c r="AZ177" s="109">
        <f t="shared" si="77"/>
        <v>0.80088183000000013</v>
      </c>
      <c r="BA177" s="109">
        <f t="shared" si="78"/>
        <v>27.102600000000002</v>
      </c>
      <c r="BB177" s="109">
        <f t="shared" si="79"/>
        <v>0.40653900000000004</v>
      </c>
      <c r="BC177" s="109">
        <f t="shared" si="80"/>
        <v>27.102600000000002</v>
      </c>
      <c r="BD177" s="109">
        <f t="shared" si="81"/>
        <v>0</v>
      </c>
      <c r="BE177" s="109">
        <f t="shared" si="82"/>
        <v>32523.120000000006</v>
      </c>
      <c r="BF177" s="109">
        <f t="shared" si="83"/>
        <v>48784.680000000008</v>
      </c>
      <c r="BG177" s="109">
        <f t="shared" si="84"/>
        <v>0.29270808000000004</v>
      </c>
      <c r="BH177" s="109">
        <f t="shared" si="85"/>
        <v>0.32523120000000005</v>
      </c>
      <c r="BI177" s="109">
        <f t="shared" si="86"/>
        <v>0</v>
      </c>
      <c r="BJ177" s="109">
        <f t="shared" si="87"/>
        <v>2.5409365065000005</v>
      </c>
      <c r="BK177" s="109">
        <f t="shared" si="88"/>
        <v>25.7112675065</v>
      </c>
      <c r="BL177" s="148">
        <v>0.87</v>
      </c>
      <c r="BM177" s="112">
        <f>ROUND((AW177/BL177)+((AW177*BL177)*'CALCULO GERAL'!$E$11)/BL177,2)</f>
        <v>5.4</v>
      </c>
      <c r="BN177" s="186">
        <f t="shared" si="94"/>
        <v>5.4</v>
      </c>
      <c r="BO177" s="186">
        <f t="shared" si="95"/>
        <v>6.327</v>
      </c>
      <c r="BP177" s="109">
        <f>BM177*'CALCULO GERAL'!$C$11</f>
        <v>27.102600000000002</v>
      </c>
      <c r="BQ177" s="109">
        <f>BO177*'CALCULO GERAL'!$C$11</f>
        <v>31.755213000000001</v>
      </c>
      <c r="BR177" s="186">
        <f>BN177*'CALCULO GERAL'!$C$11</f>
        <v>27.102600000000002</v>
      </c>
      <c r="BS177" s="109">
        <f t="shared" si="90"/>
        <v>406539.00000000006</v>
      </c>
      <c r="BT177" s="109">
        <f t="shared" si="91"/>
        <v>406539.00000000006</v>
      </c>
      <c r="BU177" s="109">
        <f t="shared" si="99"/>
        <v>385669.0125975</v>
      </c>
      <c r="BV177" s="109">
        <f t="shared" si="96"/>
        <v>20869.987402500061</v>
      </c>
      <c r="BW177" s="114">
        <f t="shared" si="92"/>
        <v>5.1335757215175068E-2</v>
      </c>
      <c r="BX177" s="152">
        <f t="shared" si="100"/>
        <v>0.87</v>
      </c>
      <c r="BZ177" s="55"/>
      <c r="CA177" s="113"/>
      <c r="CB177" s="113"/>
      <c r="CD177" s="152">
        <f t="shared" si="101"/>
        <v>0</v>
      </c>
      <c r="CE177" s="152">
        <f t="shared" si="97"/>
        <v>1</v>
      </c>
      <c r="CF177" s="152">
        <f t="shared" si="98"/>
        <v>1</v>
      </c>
      <c r="CG177" s="34"/>
      <c r="CI177" s="11"/>
      <c r="CJ177" s="11"/>
    </row>
    <row r="178" spans="1:88" s="152" customFormat="1" x14ac:dyDescent="0.2">
      <c r="A178" s="269" t="s">
        <v>312</v>
      </c>
      <c r="B178" s="187" t="s">
        <v>297</v>
      </c>
      <c r="C178" s="8">
        <v>0.26</v>
      </c>
      <c r="D178" s="8">
        <v>0</v>
      </c>
      <c r="E178" s="7">
        <v>2.1000000000000001E-2</v>
      </c>
      <c r="F178" s="7">
        <v>0.1065</v>
      </c>
      <c r="G178" s="1">
        <v>6.4999999999999997E-3</v>
      </c>
      <c r="H178" s="1">
        <v>0.03</v>
      </c>
      <c r="I178" s="1">
        <v>0.18</v>
      </c>
      <c r="J178" s="1">
        <v>0.04</v>
      </c>
      <c r="K178" s="1">
        <v>0.14000000000000001</v>
      </c>
      <c r="L178" s="1">
        <v>1.4999999999999999E-2</v>
      </c>
      <c r="M178" s="2" t="s">
        <v>175</v>
      </c>
      <c r="N178" s="105">
        <v>80000</v>
      </c>
      <c r="O178" s="119"/>
      <c r="P178" s="119"/>
      <c r="Q178" s="119"/>
      <c r="R178" s="119"/>
      <c r="S178" s="119"/>
      <c r="T178" s="119">
        <v>2.0699999999999998</v>
      </c>
      <c r="U178" s="119"/>
      <c r="V178" s="119"/>
      <c r="W178" s="119"/>
      <c r="X178" s="119">
        <f t="shared" si="67"/>
        <v>2.0699999999999998</v>
      </c>
      <c r="Y178" s="118">
        <f t="shared" si="68"/>
        <v>2.0699999999999998</v>
      </c>
      <c r="Z178" s="109">
        <f t="shared" si="69"/>
        <v>165600</v>
      </c>
      <c r="AA178" s="109">
        <f>'CALCULO GERAL'!$G$10</f>
        <v>6300</v>
      </c>
      <c r="AB178" s="109">
        <f t="shared" si="70"/>
        <v>171900</v>
      </c>
      <c r="AC178" s="109">
        <f>AB178*'CALCULO GERAL'!$C$11</f>
        <v>862766.1</v>
      </c>
      <c r="AD178" s="109">
        <f t="shared" si="71"/>
        <v>224319.18600000002</v>
      </c>
      <c r="AE178" s="109">
        <f t="shared" si="72"/>
        <v>0</v>
      </c>
      <c r="AF178" s="109">
        <f t="shared" si="73"/>
        <v>18118.088100000001</v>
      </c>
      <c r="AG178" s="109">
        <f t="shared" si="74"/>
        <v>91884.589649999994</v>
      </c>
      <c r="AH178" s="109">
        <v>154.22999999999999</v>
      </c>
      <c r="AI178" s="109">
        <f>((AA178*'CALCULO GERAL'!$C$11))*0.08+20</f>
        <v>2549.576</v>
      </c>
      <c r="AJ178" s="109">
        <v>1010</v>
      </c>
      <c r="AK178" s="109">
        <v>2500</v>
      </c>
      <c r="AL178" s="109">
        <f>(AA178*('CALCULO GERAL'!$C$11*1.02))-(AA178*'CALCULO GERAL'!$C$11)</f>
        <v>632.39400000000387</v>
      </c>
      <c r="AM178" s="109">
        <v>1800</v>
      </c>
      <c r="AN178" s="109">
        <v>2600</v>
      </c>
      <c r="AO178" s="109">
        <v>9400</v>
      </c>
      <c r="AP178" s="109">
        <v>1000</v>
      </c>
      <c r="AQ178" s="109">
        <v>0</v>
      </c>
      <c r="AR178" s="109">
        <v>0</v>
      </c>
      <c r="AS178" s="109"/>
      <c r="AT178" s="109">
        <f t="shared" si="93"/>
        <v>1218734.1637500001</v>
      </c>
      <c r="AU178" s="111">
        <f t="shared" si="75"/>
        <v>15.234177046875001</v>
      </c>
      <c r="AV178" s="109">
        <f>IFERROR((BS178*'CALCULO GERAL'!$E$11)/N178,0)</f>
        <v>0.36437939999999996</v>
      </c>
      <c r="AW178" s="109">
        <f>AU178/'CALCULO GERAL'!$C$11</f>
        <v>3.0353012645696356</v>
      </c>
      <c r="AX178" s="109">
        <f>BP178-BB178-BD178*'CALCULO GERAL'!$C$11</f>
        <v>17.945685449999999</v>
      </c>
      <c r="AY178" s="109">
        <f t="shared" si="76"/>
        <v>0.11664695542499999</v>
      </c>
      <c r="AZ178" s="109">
        <f t="shared" si="77"/>
        <v>0.53837056350000001</v>
      </c>
      <c r="BA178" s="109">
        <f t="shared" si="78"/>
        <v>18.218969999999999</v>
      </c>
      <c r="BB178" s="109">
        <f t="shared" si="79"/>
        <v>0.27328454999999996</v>
      </c>
      <c r="BC178" s="109">
        <f t="shared" si="80"/>
        <v>18.218969999999999</v>
      </c>
      <c r="BD178" s="109">
        <f t="shared" si="81"/>
        <v>0</v>
      </c>
      <c r="BE178" s="109">
        <f t="shared" si="82"/>
        <v>116601.408</v>
      </c>
      <c r="BF178" s="109">
        <f t="shared" si="83"/>
        <v>174902.11199999996</v>
      </c>
      <c r="BG178" s="109">
        <f t="shared" si="84"/>
        <v>0.19676487599999995</v>
      </c>
      <c r="BH178" s="109">
        <f t="shared" si="85"/>
        <v>0.21862763999999998</v>
      </c>
      <c r="BI178" s="109">
        <f t="shared" si="86"/>
        <v>-7.0751772500000004E-2</v>
      </c>
      <c r="BJ178" s="109">
        <f t="shared" si="87"/>
        <v>1.637322212425</v>
      </c>
      <c r="BK178" s="109">
        <f t="shared" si="88"/>
        <v>16.871499259300002</v>
      </c>
      <c r="BL178" s="148">
        <v>0.85</v>
      </c>
      <c r="BM178" s="112">
        <f>ROUND((AW178/BL178)+((AW178*BL178)*'CALCULO GERAL'!$E$11)/BL178,2)</f>
        <v>3.63</v>
      </c>
      <c r="BN178" s="186">
        <f t="shared" si="94"/>
        <v>3.63</v>
      </c>
      <c r="BO178" s="186">
        <f t="shared" si="95"/>
        <v>4.2530000000000001</v>
      </c>
      <c r="BP178" s="109">
        <f>BM178*'CALCULO GERAL'!$C$11</f>
        <v>18.218969999999999</v>
      </c>
      <c r="BQ178" s="109">
        <f>BO178*'CALCULO GERAL'!$C$11</f>
        <v>21.345807000000001</v>
      </c>
      <c r="BR178" s="186">
        <f>BN178*'CALCULO GERAL'!$C$11</f>
        <v>18.218969999999999</v>
      </c>
      <c r="BS178" s="109">
        <f t="shared" si="90"/>
        <v>1457517.5999999999</v>
      </c>
      <c r="BT178" s="109">
        <f t="shared" si="91"/>
        <v>1457517.5999999999</v>
      </c>
      <c r="BU178" s="109">
        <f t="shared" si="99"/>
        <v>1349719.9407440003</v>
      </c>
      <c r="BV178" s="109">
        <f t="shared" si="96"/>
        <v>107797.65925599961</v>
      </c>
      <c r="BW178" s="114">
        <f t="shared" si="92"/>
        <v>7.3959765052579549E-2</v>
      </c>
      <c r="BX178" s="152">
        <f t="shared" si="100"/>
        <v>0.85</v>
      </c>
      <c r="BZ178" s="55"/>
      <c r="CA178" s="113"/>
      <c r="CB178" s="113"/>
      <c r="CD178" s="152">
        <f t="shared" si="101"/>
        <v>0</v>
      </c>
      <c r="CE178" s="152">
        <f t="shared" si="97"/>
        <v>1</v>
      </c>
      <c r="CF178" s="152">
        <f t="shared" si="98"/>
        <v>1</v>
      </c>
      <c r="CG178" s="34"/>
      <c r="CI178" s="11"/>
      <c r="CJ178" s="11"/>
    </row>
    <row r="179" spans="1:88" s="152" customFormat="1" x14ac:dyDescent="0.2">
      <c r="A179" s="269" t="s">
        <v>313</v>
      </c>
      <c r="B179" s="187" t="s">
        <v>297</v>
      </c>
      <c r="C179" s="8">
        <v>0.26</v>
      </c>
      <c r="D179" s="8">
        <v>0</v>
      </c>
      <c r="E179" s="7">
        <v>2.1000000000000001E-2</v>
      </c>
      <c r="F179" s="7">
        <v>0.1065</v>
      </c>
      <c r="G179" s="1">
        <v>6.4999999999999997E-3</v>
      </c>
      <c r="H179" s="1">
        <v>0.03</v>
      </c>
      <c r="I179" s="1">
        <v>0.18</v>
      </c>
      <c r="J179" s="1">
        <v>0.04</v>
      </c>
      <c r="K179" s="1">
        <v>0.14000000000000001</v>
      </c>
      <c r="L179" s="1">
        <v>1.4999999999999999E-2</v>
      </c>
      <c r="M179" s="2" t="s">
        <v>175</v>
      </c>
      <c r="N179" s="105">
        <v>60000</v>
      </c>
      <c r="O179" s="119"/>
      <c r="P179" s="119"/>
      <c r="Q179" s="119"/>
      <c r="R179" s="119"/>
      <c r="S179" s="119"/>
      <c r="T179" s="119">
        <v>2.2000000000000002</v>
      </c>
      <c r="U179" s="119"/>
      <c r="V179" s="119"/>
      <c r="W179" s="119"/>
      <c r="X179" s="119">
        <f t="shared" si="67"/>
        <v>2.2000000000000002</v>
      </c>
      <c r="Y179" s="118">
        <f t="shared" si="68"/>
        <v>2.2000000000000002</v>
      </c>
      <c r="Z179" s="109">
        <f t="shared" si="69"/>
        <v>132000</v>
      </c>
      <c r="AA179" s="109">
        <f>'CALCULO GERAL'!$G$10</f>
        <v>6300</v>
      </c>
      <c r="AB179" s="109">
        <f t="shared" si="70"/>
        <v>138300</v>
      </c>
      <c r="AC179" s="109">
        <f>AB179*'CALCULO GERAL'!$C$11</f>
        <v>694127.70000000007</v>
      </c>
      <c r="AD179" s="109">
        <f t="shared" si="71"/>
        <v>180473.20200000002</v>
      </c>
      <c r="AE179" s="109">
        <f t="shared" si="72"/>
        <v>0</v>
      </c>
      <c r="AF179" s="109">
        <f t="shared" si="73"/>
        <v>14576.681700000003</v>
      </c>
      <c r="AG179" s="109">
        <f t="shared" si="74"/>
        <v>73924.600050000008</v>
      </c>
      <c r="AH179" s="109">
        <v>154.22999999999999</v>
      </c>
      <c r="AI179" s="109">
        <f>((AA179*'CALCULO GERAL'!$C$11))*0.08+20</f>
        <v>2549.576</v>
      </c>
      <c r="AJ179" s="109">
        <v>1010</v>
      </c>
      <c r="AK179" s="109">
        <v>2500</v>
      </c>
      <c r="AL179" s="109">
        <f>(AA179*('CALCULO GERAL'!$C$11*1.02))-(AA179*'CALCULO GERAL'!$C$11)</f>
        <v>632.39400000000387</v>
      </c>
      <c r="AM179" s="109">
        <v>1800</v>
      </c>
      <c r="AN179" s="109">
        <v>2600</v>
      </c>
      <c r="AO179" s="109">
        <v>9400</v>
      </c>
      <c r="AP179" s="109">
        <v>1000</v>
      </c>
      <c r="AQ179" s="109">
        <v>0</v>
      </c>
      <c r="AR179" s="109">
        <v>0</v>
      </c>
      <c r="AS179" s="109"/>
      <c r="AT179" s="109">
        <f t="shared" si="93"/>
        <v>984748.38375000004</v>
      </c>
      <c r="AU179" s="111">
        <f t="shared" si="75"/>
        <v>16.412473062500002</v>
      </c>
      <c r="AV179" s="109">
        <f>IFERROR((BS179*'CALCULO GERAL'!$E$11)/N179,0)</f>
        <v>0.40252380000000004</v>
      </c>
      <c r="AW179" s="109">
        <f>AU179/'CALCULO GERAL'!$C$11</f>
        <v>3.2700683527595142</v>
      </c>
      <c r="AX179" s="109">
        <f>BP179-BB179-BD179*'CALCULO GERAL'!$C$11</f>
        <v>19.82429715</v>
      </c>
      <c r="AY179" s="109">
        <f t="shared" si="76"/>
        <v>0.12885793147499999</v>
      </c>
      <c r="AZ179" s="109">
        <f t="shared" si="77"/>
        <v>0.59472891449999998</v>
      </c>
      <c r="BA179" s="109">
        <f t="shared" si="78"/>
        <v>20.126190000000001</v>
      </c>
      <c r="BB179" s="109">
        <f t="shared" si="79"/>
        <v>0.30189284999999999</v>
      </c>
      <c r="BC179" s="109">
        <f t="shared" si="80"/>
        <v>20.126190000000001</v>
      </c>
      <c r="BD179" s="109">
        <f t="shared" si="81"/>
        <v>0</v>
      </c>
      <c r="BE179" s="109">
        <f t="shared" si="82"/>
        <v>96605.712000000014</v>
      </c>
      <c r="BF179" s="109">
        <f t="shared" si="83"/>
        <v>144908.568</v>
      </c>
      <c r="BG179" s="109">
        <f t="shared" si="84"/>
        <v>0.217362852</v>
      </c>
      <c r="BH179" s="109">
        <f t="shared" si="85"/>
        <v>0.24151428000000003</v>
      </c>
      <c r="BI179" s="109">
        <f t="shared" si="86"/>
        <v>-6.1009536666666697E-2</v>
      </c>
      <c r="BJ179" s="109">
        <f t="shared" si="87"/>
        <v>1.8258710913083334</v>
      </c>
      <c r="BK179" s="109">
        <f t="shared" si="88"/>
        <v>18.238344153808335</v>
      </c>
      <c r="BL179" s="148">
        <v>0.83</v>
      </c>
      <c r="BM179" s="112">
        <f>ROUND((AW179/BL179)+((AW179*BL179)*'CALCULO GERAL'!$E$11)/BL179,2)</f>
        <v>4.01</v>
      </c>
      <c r="BN179" s="186">
        <f t="shared" si="94"/>
        <v>4.01</v>
      </c>
      <c r="BO179" s="186">
        <f t="shared" si="95"/>
        <v>4.6980000000000004</v>
      </c>
      <c r="BP179" s="109">
        <f>BM179*'CALCULO GERAL'!$C$11</f>
        <v>20.126190000000001</v>
      </c>
      <c r="BQ179" s="109">
        <f>BO179*'CALCULO GERAL'!$C$11</f>
        <v>23.579262000000003</v>
      </c>
      <c r="BR179" s="186">
        <f>BN179*'CALCULO GERAL'!$C$11</f>
        <v>20.126190000000001</v>
      </c>
      <c r="BS179" s="109">
        <f t="shared" si="90"/>
        <v>1207571.4000000001</v>
      </c>
      <c r="BT179" s="109">
        <f t="shared" si="91"/>
        <v>1207571.4000000001</v>
      </c>
      <c r="BU179" s="109">
        <f t="shared" si="99"/>
        <v>1094300.6492285</v>
      </c>
      <c r="BV179" s="109">
        <f t="shared" si="96"/>
        <v>113270.75077150017</v>
      </c>
      <c r="BW179" s="114">
        <f t="shared" si="92"/>
        <v>9.3800458317827129E-2</v>
      </c>
      <c r="BX179" s="152">
        <f t="shared" si="100"/>
        <v>0.83</v>
      </c>
      <c r="BZ179" s="55"/>
      <c r="CA179" s="113"/>
      <c r="CB179" s="113"/>
      <c r="CD179" s="152">
        <f t="shared" si="101"/>
        <v>0</v>
      </c>
      <c r="CE179" s="152">
        <f t="shared" si="97"/>
        <v>1</v>
      </c>
      <c r="CF179" s="152">
        <f t="shared" si="98"/>
        <v>1</v>
      </c>
      <c r="CG179" s="34"/>
      <c r="CI179" s="11"/>
      <c r="CJ179" s="11"/>
    </row>
    <row r="180" spans="1:88" s="152" customFormat="1" x14ac:dyDescent="0.2">
      <c r="A180" s="269" t="s">
        <v>314</v>
      </c>
      <c r="B180" s="187" t="s">
        <v>297</v>
      </c>
      <c r="C180" s="8">
        <v>0.26</v>
      </c>
      <c r="D180" s="8">
        <v>0</v>
      </c>
      <c r="E180" s="7">
        <v>2.1000000000000001E-2</v>
      </c>
      <c r="F180" s="7">
        <v>0.1065</v>
      </c>
      <c r="G180" s="1">
        <v>6.4999999999999997E-3</v>
      </c>
      <c r="H180" s="1">
        <v>0.03</v>
      </c>
      <c r="I180" s="1">
        <v>0.18</v>
      </c>
      <c r="J180" s="1">
        <v>0.04</v>
      </c>
      <c r="K180" s="1">
        <v>0.14000000000000001</v>
      </c>
      <c r="L180" s="1">
        <v>1.4999999999999999E-2</v>
      </c>
      <c r="M180" s="2" t="s">
        <v>175</v>
      </c>
      <c r="N180" s="105">
        <v>75000</v>
      </c>
      <c r="O180" s="119"/>
      <c r="P180" s="119"/>
      <c r="Q180" s="119"/>
      <c r="R180" s="119"/>
      <c r="S180" s="119"/>
      <c r="T180" s="119">
        <v>2.4500000000000002</v>
      </c>
      <c r="U180" s="119"/>
      <c r="V180" s="119"/>
      <c r="W180" s="119"/>
      <c r="X180" s="119">
        <f t="shared" si="67"/>
        <v>2.4500000000000002</v>
      </c>
      <c r="Y180" s="118">
        <f t="shared" si="68"/>
        <v>2.4500000000000002</v>
      </c>
      <c r="Z180" s="109">
        <f t="shared" si="69"/>
        <v>183750</v>
      </c>
      <c r="AA180" s="109">
        <f>'CALCULO GERAL'!$G$10</f>
        <v>6300</v>
      </c>
      <c r="AB180" s="109">
        <f t="shared" si="70"/>
        <v>190050</v>
      </c>
      <c r="AC180" s="109">
        <f>AB180*'CALCULO GERAL'!$C$11</f>
        <v>953860.95000000007</v>
      </c>
      <c r="AD180" s="109">
        <f t="shared" si="71"/>
        <v>248003.84700000004</v>
      </c>
      <c r="AE180" s="109">
        <f t="shared" si="72"/>
        <v>0</v>
      </c>
      <c r="AF180" s="109">
        <f t="shared" si="73"/>
        <v>20031.079950000003</v>
      </c>
      <c r="AG180" s="109">
        <f t="shared" si="74"/>
        <v>101586.191175</v>
      </c>
      <c r="AH180" s="109">
        <v>154.22999999999999</v>
      </c>
      <c r="AI180" s="109">
        <f>((AA180*'CALCULO GERAL'!$C$11))*0.08+20</f>
        <v>2549.576</v>
      </c>
      <c r="AJ180" s="109">
        <v>1010</v>
      </c>
      <c r="AK180" s="109">
        <v>2500</v>
      </c>
      <c r="AL180" s="109">
        <f>(AA180*('CALCULO GERAL'!$C$11*1.02))-(AA180*'CALCULO GERAL'!$C$11)</f>
        <v>632.39400000000387</v>
      </c>
      <c r="AM180" s="109">
        <v>1800</v>
      </c>
      <c r="AN180" s="109">
        <v>2600</v>
      </c>
      <c r="AO180" s="109">
        <v>9400</v>
      </c>
      <c r="AP180" s="109">
        <v>1000</v>
      </c>
      <c r="AQ180" s="109">
        <v>0</v>
      </c>
      <c r="AR180" s="109">
        <v>0</v>
      </c>
      <c r="AS180" s="109"/>
      <c r="AT180" s="109">
        <f t="shared" si="93"/>
        <v>1345128.2681249999</v>
      </c>
      <c r="AU180" s="111">
        <f t="shared" si="75"/>
        <v>17.935043574999998</v>
      </c>
      <c r="AV180" s="109">
        <f>IFERROR((BS180*'CALCULO GERAL'!$E$11)/N180,0)</f>
        <v>0.42460740000000008</v>
      </c>
      <c r="AW180" s="109">
        <f>AU180/'CALCULO GERAL'!$C$11</f>
        <v>3.5734296822076108</v>
      </c>
      <c r="AX180" s="109">
        <f>BP180-BB180-BD180*'CALCULO GERAL'!$C$11</f>
        <v>20.911914450000005</v>
      </c>
      <c r="AY180" s="109">
        <f t="shared" si="76"/>
        <v>0.13592744392500003</v>
      </c>
      <c r="AZ180" s="109">
        <f t="shared" si="77"/>
        <v>0.62735743350000017</v>
      </c>
      <c r="BA180" s="109">
        <f t="shared" si="78"/>
        <v>21.230370000000004</v>
      </c>
      <c r="BB180" s="109">
        <f t="shared" si="79"/>
        <v>0.31845555000000003</v>
      </c>
      <c r="BC180" s="109">
        <f t="shared" si="80"/>
        <v>21.230370000000004</v>
      </c>
      <c r="BD180" s="109">
        <f t="shared" si="81"/>
        <v>0</v>
      </c>
      <c r="BE180" s="109">
        <f t="shared" si="82"/>
        <v>127382.22000000002</v>
      </c>
      <c r="BF180" s="109">
        <f t="shared" si="83"/>
        <v>191073.33000000002</v>
      </c>
      <c r="BG180" s="109">
        <f t="shared" si="84"/>
        <v>0.22928799600000002</v>
      </c>
      <c r="BH180" s="109">
        <f t="shared" si="85"/>
        <v>0.25476444000000004</v>
      </c>
      <c r="BI180" s="109">
        <f t="shared" si="86"/>
        <v>-8.9842973333333354E-2</v>
      </c>
      <c r="BJ180" s="109">
        <f t="shared" si="87"/>
        <v>1.9005572900916672</v>
      </c>
      <c r="BK180" s="109">
        <f t="shared" si="88"/>
        <v>19.835600865091664</v>
      </c>
      <c r="BL180" s="148">
        <v>0.86</v>
      </c>
      <c r="BM180" s="112">
        <f>ROUND((AW180/BL180)+((AW180*BL180)*'CALCULO GERAL'!$E$11)/BL180,2)</f>
        <v>4.2300000000000004</v>
      </c>
      <c r="BN180" s="186">
        <f t="shared" si="94"/>
        <v>4.2300000000000004</v>
      </c>
      <c r="BO180" s="186">
        <f t="shared" si="95"/>
        <v>4.9560000000000004</v>
      </c>
      <c r="BP180" s="109">
        <f>BM180*'CALCULO GERAL'!$C$11</f>
        <v>21.230370000000004</v>
      </c>
      <c r="BQ180" s="109">
        <f>BO180*'CALCULO GERAL'!$C$11</f>
        <v>24.874164000000004</v>
      </c>
      <c r="BR180" s="186">
        <f>BN180*'CALCULO GERAL'!$C$11</f>
        <v>21.230370000000004</v>
      </c>
      <c r="BS180" s="109">
        <f t="shared" si="90"/>
        <v>1592277.7500000002</v>
      </c>
      <c r="BT180" s="109">
        <f t="shared" si="91"/>
        <v>1592277.7500000002</v>
      </c>
      <c r="BU180" s="109">
        <f t="shared" si="99"/>
        <v>1487670.0648818747</v>
      </c>
      <c r="BV180" s="109">
        <f t="shared" si="96"/>
        <v>104607.68511812552</v>
      </c>
      <c r="BW180" s="114">
        <f t="shared" si="92"/>
        <v>6.5696883045766041E-2</v>
      </c>
      <c r="BX180" s="152">
        <f t="shared" si="100"/>
        <v>0.86</v>
      </c>
      <c r="BZ180" s="55"/>
      <c r="CA180" s="113"/>
      <c r="CB180" s="113"/>
      <c r="CD180" s="152">
        <f t="shared" si="101"/>
        <v>0</v>
      </c>
      <c r="CE180" s="152">
        <f t="shared" si="97"/>
        <v>1</v>
      </c>
      <c r="CF180" s="152">
        <f t="shared" si="98"/>
        <v>1</v>
      </c>
      <c r="CG180" s="34"/>
      <c r="CI180" s="11"/>
      <c r="CJ180" s="11"/>
    </row>
    <row r="181" spans="1:88" s="152" customFormat="1" x14ac:dyDescent="0.2">
      <c r="A181" s="269" t="s">
        <v>315</v>
      </c>
      <c r="B181" s="187" t="s">
        <v>297</v>
      </c>
      <c r="C181" s="8">
        <v>0.26</v>
      </c>
      <c r="D181" s="8">
        <v>0</v>
      </c>
      <c r="E181" s="7">
        <v>2.1000000000000001E-2</v>
      </c>
      <c r="F181" s="7">
        <v>0.1065</v>
      </c>
      <c r="G181" s="1">
        <v>6.4999999999999997E-3</v>
      </c>
      <c r="H181" s="1">
        <v>0.03</v>
      </c>
      <c r="I181" s="1">
        <v>0.18</v>
      </c>
      <c r="J181" s="1">
        <v>0.04</v>
      </c>
      <c r="K181" s="1">
        <v>0.14000000000000001</v>
      </c>
      <c r="L181" s="1">
        <v>1.4999999999999999E-2</v>
      </c>
      <c r="M181" s="2" t="s">
        <v>175</v>
      </c>
      <c r="N181" s="105">
        <v>60000</v>
      </c>
      <c r="O181" s="119"/>
      <c r="P181" s="119"/>
      <c r="Q181" s="119"/>
      <c r="R181" s="119"/>
      <c r="S181" s="119"/>
      <c r="T181" s="119">
        <v>3.6</v>
      </c>
      <c r="U181" s="119"/>
      <c r="V181" s="119"/>
      <c r="W181" s="119"/>
      <c r="X181" s="119">
        <f t="shared" si="67"/>
        <v>3.6</v>
      </c>
      <c r="Y181" s="118">
        <f t="shared" si="68"/>
        <v>3.6</v>
      </c>
      <c r="Z181" s="109">
        <f t="shared" si="69"/>
        <v>216000</v>
      </c>
      <c r="AA181" s="109">
        <f>'CALCULO GERAL'!$G$10</f>
        <v>6300</v>
      </c>
      <c r="AB181" s="109">
        <f t="shared" si="70"/>
        <v>222300</v>
      </c>
      <c r="AC181" s="109">
        <f>AB181*'CALCULO GERAL'!$C$11</f>
        <v>1115723.7</v>
      </c>
      <c r="AD181" s="109">
        <f t="shared" si="71"/>
        <v>290088.16200000001</v>
      </c>
      <c r="AE181" s="109">
        <f t="shared" si="72"/>
        <v>0</v>
      </c>
      <c r="AF181" s="109">
        <f t="shared" si="73"/>
        <v>23430.197700000001</v>
      </c>
      <c r="AG181" s="109">
        <f t="shared" si="74"/>
        <v>118824.57405</v>
      </c>
      <c r="AH181" s="109">
        <v>154.22999999999999</v>
      </c>
      <c r="AI181" s="109">
        <f>((AA181*'CALCULO GERAL'!$C$11))*0.08+20</f>
        <v>2549.576</v>
      </c>
      <c r="AJ181" s="109">
        <v>1010</v>
      </c>
      <c r="AK181" s="109">
        <v>2500</v>
      </c>
      <c r="AL181" s="109">
        <f>(AA181*('CALCULO GERAL'!$C$11*1.02))-(AA181*'CALCULO GERAL'!$C$11)</f>
        <v>632.39400000000387</v>
      </c>
      <c r="AM181" s="109">
        <v>1800</v>
      </c>
      <c r="AN181" s="109">
        <v>2600</v>
      </c>
      <c r="AO181" s="109">
        <v>9400</v>
      </c>
      <c r="AP181" s="109">
        <v>1000</v>
      </c>
      <c r="AQ181" s="109">
        <v>0</v>
      </c>
      <c r="AR181" s="109">
        <v>0</v>
      </c>
      <c r="AS181" s="109"/>
      <c r="AT181" s="109">
        <f t="shared" si="93"/>
        <v>1569712.8337499998</v>
      </c>
      <c r="AU181" s="111">
        <f t="shared" si="75"/>
        <v>26.161880562499995</v>
      </c>
      <c r="AV181" s="109">
        <f>IFERROR((BS181*'CALCULO GERAL'!$E$11)/N181,0)</f>
        <v>0.61231800000000003</v>
      </c>
      <c r="AW181" s="109">
        <f>AU181/'CALCULO GERAL'!$C$11</f>
        <v>5.2125683527595124</v>
      </c>
      <c r="AX181" s="109">
        <f>BP181-BB181-BD181*'CALCULO GERAL'!$C$11</f>
        <v>30.156661499999998</v>
      </c>
      <c r="AY181" s="109">
        <f t="shared" si="76"/>
        <v>0.19601829974999999</v>
      </c>
      <c r="AZ181" s="109">
        <f t="shared" si="77"/>
        <v>0.90469984499999989</v>
      </c>
      <c r="BA181" s="109">
        <f t="shared" si="78"/>
        <v>30.6159</v>
      </c>
      <c r="BB181" s="109">
        <f t="shared" si="79"/>
        <v>0.45923849999999999</v>
      </c>
      <c r="BC181" s="109">
        <f t="shared" si="80"/>
        <v>30.6159</v>
      </c>
      <c r="BD181" s="109">
        <f t="shared" si="81"/>
        <v>0</v>
      </c>
      <c r="BE181" s="109">
        <f t="shared" si="82"/>
        <v>146956.32</v>
      </c>
      <c r="BF181" s="109">
        <f t="shared" si="83"/>
        <v>220434.47999999998</v>
      </c>
      <c r="BG181" s="109">
        <f t="shared" si="84"/>
        <v>0.33065171999999998</v>
      </c>
      <c r="BH181" s="109">
        <f t="shared" si="85"/>
        <v>0.36739080000000002</v>
      </c>
      <c r="BI181" s="109">
        <f t="shared" si="86"/>
        <v>-0.14492721666666669</v>
      </c>
      <c r="BJ181" s="109">
        <f t="shared" si="87"/>
        <v>2.725389948083333</v>
      </c>
      <c r="BK181" s="109">
        <f t="shared" si="88"/>
        <v>28.887270510583328</v>
      </c>
      <c r="BL181" s="148">
        <v>0.87</v>
      </c>
      <c r="BM181" s="112">
        <f>ROUND((AW181/BL181)+((AW181*BL181)*'CALCULO GERAL'!$E$11)/BL181,2)</f>
        <v>6.1</v>
      </c>
      <c r="BN181" s="186">
        <f t="shared" si="94"/>
        <v>6.1</v>
      </c>
      <c r="BO181" s="186">
        <f t="shared" si="95"/>
        <v>7.1470000000000002</v>
      </c>
      <c r="BP181" s="109">
        <f>BM181*'CALCULO GERAL'!$C$11</f>
        <v>30.6159</v>
      </c>
      <c r="BQ181" s="109">
        <f>BO181*'CALCULO GERAL'!$C$11</f>
        <v>35.870792999999999</v>
      </c>
      <c r="BR181" s="186">
        <f>BN181*'CALCULO GERAL'!$C$11</f>
        <v>30.6159</v>
      </c>
      <c r="BS181" s="109">
        <f t="shared" si="90"/>
        <v>1836954</v>
      </c>
      <c r="BT181" s="109">
        <f t="shared" si="91"/>
        <v>1836954</v>
      </c>
      <c r="BU181" s="109">
        <f t="shared" si="99"/>
        <v>1733236.2306349997</v>
      </c>
      <c r="BV181" s="109">
        <f t="shared" si="96"/>
        <v>103717.76936500031</v>
      </c>
      <c r="BW181" s="114">
        <f t="shared" si="92"/>
        <v>5.6461821779424146E-2</v>
      </c>
      <c r="BX181" s="152">
        <f t="shared" si="100"/>
        <v>0.87</v>
      </c>
      <c r="BZ181" s="55"/>
      <c r="CA181" s="113"/>
      <c r="CB181" s="113"/>
      <c r="CD181" s="152">
        <f t="shared" si="101"/>
        <v>0</v>
      </c>
      <c r="CE181" s="152">
        <f t="shared" si="97"/>
        <v>1</v>
      </c>
      <c r="CF181" s="152">
        <f t="shared" si="98"/>
        <v>1</v>
      </c>
      <c r="CG181" s="34"/>
      <c r="CI181" s="11"/>
      <c r="CJ181" s="11"/>
    </row>
    <row r="182" spans="1:88" s="152" customFormat="1" x14ac:dyDescent="0.2">
      <c r="A182" s="269" t="s">
        <v>316</v>
      </c>
      <c r="B182" s="187" t="s">
        <v>297</v>
      </c>
      <c r="C182" s="8">
        <v>0.26</v>
      </c>
      <c r="D182" s="8">
        <v>0</v>
      </c>
      <c r="E182" s="7">
        <v>2.1000000000000001E-2</v>
      </c>
      <c r="F182" s="7">
        <v>0.1065</v>
      </c>
      <c r="G182" s="1">
        <v>6.4999999999999997E-3</v>
      </c>
      <c r="H182" s="1">
        <v>0.03</v>
      </c>
      <c r="I182" s="1">
        <v>0.18</v>
      </c>
      <c r="J182" s="1">
        <v>0.04</v>
      </c>
      <c r="K182" s="1">
        <v>0.14000000000000001</v>
      </c>
      <c r="L182" s="1">
        <v>1.4999999999999999E-2</v>
      </c>
      <c r="M182" s="2" t="s">
        <v>175</v>
      </c>
      <c r="N182" s="105">
        <v>60000</v>
      </c>
      <c r="O182" s="119"/>
      <c r="P182" s="119"/>
      <c r="Q182" s="119"/>
      <c r="R182" s="119"/>
      <c r="S182" s="119"/>
      <c r="T182" s="119">
        <v>3.85</v>
      </c>
      <c r="U182" s="119"/>
      <c r="V182" s="119"/>
      <c r="W182" s="119"/>
      <c r="X182" s="119">
        <f t="shared" si="67"/>
        <v>3.85</v>
      </c>
      <c r="Y182" s="118">
        <f t="shared" si="68"/>
        <v>3.85</v>
      </c>
      <c r="Z182" s="109">
        <f t="shared" si="69"/>
        <v>231000</v>
      </c>
      <c r="AA182" s="109">
        <f>'CALCULO GERAL'!$G$10</f>
        <v>6300</v>
      </c>
      <c r="AB182" s="109">
        <f t="shared" si="70"/>
        <v>237300</v>
      </c>
      <c r="AC182" s="109">
        <f>AB182*'CALCULO GERAL'!$C$11</f>
        <v>1191008.7</v>
      </c>
      <c r="AD182" s="109">
        <f t="shared" si="71"/>
        <v>309662.26199999999</v>
      </c>
      <c r="AE182" s="109">
        <f t="shared" si="72"/>
        <v>0</v>
      </c>
      <c r="AF182" s="109">
        <f t="shared" si="73"/>
        <v>25011.182700000001</v>
      </c>
      <c r="AG182" s="109">
        <f t="shared" si="74"/>
        <v>126842.42654999999</v>
      </c>
      <c r="AH182" s="109">
        <v>154.22999999999999</v>
      </c>
      <c r="AI182" s="109">
        <f>((AA182*'CALCULO GERAL'!$C$11))*0.08+20</f>
        <v>2549.576</v>
      </c>
      <c r="AJ182" s="109">
        <v>1010</v>
      </c>
      <c r="AK182" s="109">
        <v>2500</v>
      </c>
      <c r="AL182" s="109">
        <f>(AA182*('CALCULO GERAL'!$C$11*1.02))-(AA182*'CALCULO GERAL'!$C$11)</f>
        <v>632.39400000000387</v>
      </c>
      <c r="AM182" s="109">
        <v>1800</v>
      </c>
      <c r="AN182" s="109">
        <v>2600</v>
      </c>
      <c r="AO182" s="109">
        <v>9400</v>
      </c>
      <c r="AP182" s="109">
        <v>1000</v>
      </c>
      <c r="AQ182" s="109">
        <v>0</v>
      </c>
      <c r="AR182" s="109">
        <v>0</v>
      </c>
      <c r="AS182" s="109"/>
      <c r="AT182" s="109">
        <f t="shared" si="93"/>
        <v>1674170.7712499998</v>
      </c>
      <c r="AU182" s="111">
        <f t="shared" si="75"/>
        <v>27.902846187499996</v>
      </c>
      <c r="AV182" s="109">
        <f>IFERROR((BS182*'CALCULO GERAL'!$E$11)/N182,0)</f>
        <v>0.65247000000000011</v>
      </c>
      <c r="AW182" s="109">
        <f>AU182/'CALCULO GERAL'!$C$11</f>
        <v>5.5594433527595131</v>
      </c>
      <c r="AX182" s="109">
        <f>BP182-BB182-BD182*'CALCULO GERAL'!$C$11</f>
        <v>32.134147499999997</v>
      </c>
      <c r="AY182" s="109">
        <f t="shared" si="76"/>
        <v>0.20887195874999998</v>
      </c>
      <c r="AZ182" s="109">
        <f t="shared" si="77"/>
        <v>0.96402442499999985</v>
      </c>
      <c r="BA182" s="109">
        <f t="shared" si="78"/>
        <v>32.6235</v>
      </c>
      <c r="BB182" s="109">
        <f t="shared" si="79"/>
        <v>0.48935249999999997</v>
      </c>
      <c r="BC182" s="109">
        <f t="shared" si="80"/>
        <v>32.6235</v>
      </c>
      <c r="BD182" s="109">
        <f t="shared" si="81"/>
        <v>0</v>
      </c>
      <c r="BE182" s="109">
        <f t="shared" si="82"/>
        <v>156592.80000000002</v>
      </c>
      <c r="BF182" s="109">
        <f t="shared" si="83"/>
        <v>234889.19999999998</v>
      </c>
      <c r="BG182" s="109">
        <f t="shared" si="84"/>
        <v>0.35233379999999997</v>
      </c>
      <c r="BH182" s="109">
        <f t="shared" si="85"/>
        <v>0.39148200000000005</v>
      </c>
      <c r="BI182" s="109">
        <f t="shared" si="86"/>
        <v>-0.16098801666666671</v>
      </c>
      <c r="BJ182" s="109">
        <f t="shared" si="87"/>
        <v>2.8975466670833327</v>
      </c>
      <c r="BK182" s="109">
        <f t="shared" si="88"/>
        <v>30.800392854583329</v>
      </c>
      <c r="BL182" s="148">
        <v>0.87</v>
      </c>
      <c r="BM182" s="112">
        <f>ROUND((AW182/BL182)+((AW182*BL182)*'CALCULO GERAL'!$E$11)/BL182,2)</f>
        <v>6.5</v>
      </c>
      <c r="BN182" s="186">
        <f t="shared" si="94"/>
        <v>6.5</v>
      </c>
      <c r="BO182" s="186">
        <f t="shared" si="95"/>
        <v>7.6159999999999997</v>
      </c>
      <c r="BP182" s="109">
        <f>BM182*'CALCULO GERAL'!$C$11</f>
        <v>32.6235</v>
      </c>
      <c r="BQ182" s="109">
        <f>BO182*'CALCULO GERAL'!$C$11</f>
        <v>38.224704000000003</v>
      </c>
      <c r="BR182" s="186">
        <f>BN182*'CALCULO GERAL'!$C$11</f>
        <v>32.6235</v>
      </c>
      <c r="BS182" s="109">
        <f t="shared" si="90"/>
        <v>1957410</v>
      </c>
      <c r="BT182" s="109">
        <f t="shared" si="91"/>
        <v>1957410</v>
      </c>
      <c r="BU182" s="109">
        <f t="shared" si="99"/>
        <v>1848023.5712749998</v>
      </c>
      <c r="BV182" s="109">
        <f t="shared" si="96"/>
        <v>109386.42872500024</v>
      </c>
      <c r="BW182" s="114">
        <f t="shared" si="92"/>
        <v>5.5883248131459548E-2</v>
      </c>
      <c r="BX182" s="152">
        <f t="shared" si="100"/>
        <v>0.87</v>
      </c>
      <c r="BZ182" s="55"/>
      <c r="CA182" s="113"/>
      <c r="CB182" s="113"/>
      <c r="CD182" s="152">
        <f t="shared" si="101"/>
        <v>0</v>
      </c>
      <c r="CE182" s="152">
        <f t="shared" si="97"/>
        <v>1</v>
      </c>
      <c r="CF182" s="152">
        <f t="shared" si="98"/>
        <v>1</v>
      </c>
      <c r="CG182" s="34"/>
      <c r="CI182" s="11"/>
      <c r="CJ182" s="11"/>
    </row>
    <row r="183" spans="1:88" s="152" customFormat="1" x14ac:dyDescent="0.2">
      <c r="A183" s="269" t="s">
        <v>317</v>
      </c>
      <c r="B183" s="187" t="s">
        <v>297</v>
      </c>
      <c r="C183" s="8">
        <v>0.26</v>
      </c>
      <c r="D183" s="8">
        <v>0</v>
      </c>
      <c r="E183" s="7">
        <v>2.1000000000000001E-2</v>
      </c>
      <c r="F183" s="7">
        <v>0.1065</v>
      </c>
      <c r="G183" s="1">
        <v>6.4999999999999997E-3</v>
      </c>
      <c r="H183" s="1">
        <v>0.03</v>
      </c>
      <c r="I183" s="1">
        <v>0.18</v>
      </c>
      <c r="J183" s="1">
        <v>0.04</v>
      </c>
      <c r="K183" s="1">
        <v>0.14000000000000001</v>
      </c>
      <c r="L183" s="1">
        <v>1.4999999999999999E-2</v>
      </c>
      <c r="M183" s="2" t="s">
        <v>175</v>
      </c>
      <c r="N183" s="105">
        <v>80000</v>
      </c>
      <c r="O183" s="119"/>
      <c r="P183" s="119"/>
      <c r="Q183" s="119"/>
      <c r="R183" s="119"/>
      <c r="S183" s="119"/>
      <c r="T183" s="119">
        <f>T178+0.1</f>
        <v>2.17</v>
      </c>
      <c r="U183" s="119"/>
      <c r="V183" s="119"/>
      <c r="W183" s="119"/>
      <c r="X183" s="119">
        <f t="shared" si="67"/>
        <v>2.17</v>
      </c>
      <c r="Y183" s="118">
        <f t="shared" si="68"/>
        <v>2.17</v>
      </c>
      <c r="Z183" s="109">
        <f t="shared" si="69"/>
        <v>173600</v>
      </c>
      <c r="AA183" s="109">
        <f>'CALCULO GERAL'!$G$10</f>
        <v>6300</v>
      </c>
      <c r="AB183" s="109">
        <f t="shared" si="70"/>
        <v>179900</v>
      </c>
      <c r="AC183" s="109">
        <f>AB183*'CALCULO GERAL'!$C$11</f>
        <v>902918.1</v>
      </c>
      <c r="AD183" s="109">
        <f t="shared" si="71"/>
        <v>234758.70600000001</v>
      </c>
      <c r="AE183" s="109">
        <f t="shared" si="72"/>
        <v>0</v>
      </c>
      <c r="AF183" s="109">
        <f t="shared" si="73"/>
        <v>18961.2801</v>
      </c>
      <c r="AG183" s="109">
        <f t="shared" si="74"/>
        <v>96160.777649999989</v>
      </c>
      <c r="AH183" s="109">
        <v>154.22999999999999</v>
      </c>
      <c r="AI183" s="109">
        <f>((AA183*'CALCULO GERAL'!$C$11))*0.08+20</f>
        <v>2549.576</v>
      </c>
      <c r="AJ183" s="109">
        <v>1010</v>
      </c>
      <c r="AK183" s="109">
        <v>2500</v>
      </c>
      <c r="AL183" s="109">
        <f>(AA183*('CALCULO GERAL'!$C$11*1.02))-(AA183*'CALCULO GERAL'!$C$11)</f>
        <v>632.39400000000387</v>
      </c>
      <c r="AM183" s="109">
        <v>1800</v>
      </c>
      <c r="AN183" s="109">
        <v>2600</v>
      </c>
      <c r="AO183" s="109">
        <v>9400</v>
      </c>
      <c r="AP183" s="109">
        <v>1000</v>
      </c>
      <c r="AQ183" s="109">
        <v>0</v>
      </c>
      <c r="AR183" s="109">
        <v>0</v>
      </c>
      <c r="AS183" s="109"/>
      <c r="AT183" s="109">
        <f t="shared" si="93"/>
        <v>1274445.06375</v>
      </c>
      <c r="AU183" s="111">
        <f t="shared" si="75"/>
        <v>15.930563296875</v>
      </c>
      <c r="AV183" s="109">
        <f>IFERROR((BS183*'CALCULO GERAL'!$E$11)/N183,0)</f>
        <v>0.38144400000000001</v>
      </c>
      <c r="AW183" s="109">
        <f>AU183/'CALCULO GERAL'!$C$11</f>
        <v>3.1740512645696355</v>
      </c>
      <c r="AX183" s="109">
        <f>BP183-BB183-BD183*'CALCULO GERAL'!$C$11</f>
        <v>18.786116999999997</v>
      </c>
      <c r="AY183" s="109">
        <f t="shared" si="76"/>
        <v>0.12210976049999998</v>
      </c>
      <c r="AZ183" s="109">
        <f t="shared" si="77"/>
        <v>0.56358350999999984</v>
      </c>
      <c r="BA183" s="109">
        <f t="shared" si="78"/>
        <v>19.072199999999999</v>
      </c>
      <c r="BB183" s="109">
        <f t="shared" si="79"/>
        <v>0.28608299999999998</v>
      </c>
      <c r="BC183" s="109">
        <f t="shared" si="80"/>
        <v>19.072199999999999</v>
      </c>
      <c r="BD183" s="109">
        <f t="shared" si="81"/>
        <v>0</v>
      </c>
      <c r="BE183" s="109">
        <f t="shared" si="82"/>
        <v>122062.08</v>
      </c>
      <c r="BF183" s="109">
        <f t="shared" si="83"/>
        <v>183093.12</v>
      </c>
      <c r="BG183" s="109">
        <f t="shared" si="84"/>
        <v>0.20597975999999998</v>
      </c>
      <c r="BH183" s="109">
        <f t="shared" si="85"/>
        <v>0.22886639999999997</v>
      </c>
      <c r="BI183" s="109">
        <f t="shared" si="86"/>
        <v>-7.7577612500000004E-2</v>
      </c>
      <c r="BJ183" s="109">
        <f t="shared" si="87"/>
        <v>1.7104888179999997</v>
      </c>
      <c r="BK183" s="109">
        <f t="shared" si="88"/>
        <v>17.641052114874999</v>
      </c>
      <c r="BL183" s="148">
        <v>0.85</v>
      </c>
      <c r="BM183" s="112">
        <f>ROUND((AW183/BL183)+((AW183*BL183)*'CALCULO GERAL'!$E$11)/BL183,2)</f>
        <v>3.8</v>
      </c>
      <c r="BN183" s="186">
        <f t="shared" si="94"/>
        <v>3.8</v>
      </c>
      <c r="BO183" s="186">
        <f t="shared" si="95"/>
        <v>4.452</v>
      </c>
      <c r="BP183" s="109">
        <f>BM183*'CALCULO GERAL'!$C$11</f>
        <v>19.072199999999999</v>
      </c>
      <c r="BQ183" s="109">
        <f>BO183*'CALCULO GERAL'!$C$11</f>
        <v>22.344588000000002</v>
      </c>
      <c r="BR183" s="186">
        <f>BN183*'CALCULO GERAL'!$C$11</f>
        <v>19.072199999999999</v>
      </c>
      <c r="BS183" s="109">
        <f t="shared" si="90"/>
        <v>1525776</v>
      </c>
      <c r="BT183" s="109">
        <f t="shared" si="91"/>
        <v>1525776</v>
      </c>
      <c r="BU183" s="109">
        <f t="shared" si="99"/>
        <v>1411284.1691899998</v>
      </c>
      <c r="BV183" s="109">
        <f t="shared" si="96"/>
        <v>114491.83081000019</v>
      </c>
      <c r="BW183" s="114">
        <f t="shared" si="92"/>
        <v>7.5038426879175044E-2</v>
      </c>
      <c r="BX183" s="152">
        <f t="shared" si="100"/>
        <v>0.85</v>
      </c>
      <c r="BZ183" s="55"/>
      <c r="CA183" s="113"/>
      <c r="CB183" s="113"/>
      <c r="CD183" s="152">
        <f t="shared" si="101"/>
        <v>0</v>
      </c>
      <c r="CE183" s="152">
        <f t="shared" si="97"/>
        <v>1</v>
      </c>
      <c r="CF183" s="152">
        <f t="shared" si="98"/>
        <v>1</v>
      </c>
      <c r="CG183" s="34"/>
      <c r="CI183" s="11"/>
      <c r="CJ183" s="11"/>
    </row>
    <row r="184" spans="1:88" s="152" customFormat="1" x14ac:dyDescent="0.2">
      <c r="A184" s="269" t="s">
        <v>318</v>
      </c>
      <c r="B184" s="187" t="s">
        <v>297</v>
      </c>
      <c r="C184" s="8">
        <v>0.26</v>
      </c>
      <c r="D184" s="8">
        <v>0</v>
      </c>
      <c r="E184" s="7">
        <v>2.1000000000000001E-2</v>
      </c>
      <c r="F184" s="7">
        <v>0.1065</v>
      </c>
      <c r="G184" s="1">
        <v>6.4999999999999997E-3</v>
      </c>
      <c r="H184" s="1">
        <v>0.03</v>
      </c>
      <c r="I184" s="1">
        <v>0.18</v>
      </c>
      <c r="J184" s="1">
        <v>0.04</v>
      </c>
      <c r="K184" s="1">
        <v>0.14000000000000001</v>
      </c>
      <c r="L184" s="1">
        <v>1.4999999999999999E-2</v>
      </c>
      <c r="M184" s="2" t="s">
        <v>175</v>
      </c>
      <c r="N184" s="105">
        <v>60000</v>
      </c>
      <c r="O184" s="119"/>
      <c r="P184" s="119"/>
      <c r="Q184" s="119"/>
      <c r="R184" s="119"/>
      <c r="S184" s="119"/>
      <c r="T184" s="119">
        <f>T179+0.1</f>
        <v>2.3000000000000003</v>
      </c>
      <c r="U184" s="119"/>
      <c r="V184" s="119"/>
      <c r="W184" s="119"/>
      <c r="X184" s="119">
        <f t="shared" si="67"/>
        <v>2.3000000000000003</v>
      </c>
      <c r="Y184" s="118">
        <f t="shared" si="68"/>
        <v>2.3000000000000003</v>
      </c>
      <c r="Z184" s="109">
        <f t="shared" si="69"/>
        <v>138000.00000000003</v>
      </c>
      <c r="AA184" s="109">
        <f>'CALCULO GERAL'!$G$10</f>
        <v>6300</v>
      </c>
      <c r="AB184" s="109">
        <f t="shared" si="70"/>
        <v>144300.00000000003</v>
      </c>
      <c r="AC184" s="109">
        <f>AB184*'CALCULO GERAL'!$C$11</f>
        <v>724241.70000000019</v>
      </c>
      <c r="AD184" s="109">
        <f t="shared" si="71"/>
        <v>188302.84200000006</v>
      </c>
      <c r="AE184" s="109">
        <f t="shared" si="72"/>
        <v>0</v>
      </c>
      <c r="AF184" s="109">
        <f t="shared" si="73"/>
        <v>15209.075700000005</v>
      </c>
      <c r="AG184" s="109">
        <f t="shared" si="74"/>
        <v>77131.741050000011</v>
      </c>
      <c r="AH184" s="109">
        <v>154.22999999999999</v>
      </c>
      <c r="AI184" s="109">
        <f>((AA184*'CALCULO GERAL'!$C$11))*0.08+20</f>
        <v>2549.576</v>
      </c>
      <c r="AJ184" s="109">
        <v>1010</v>
      </c>
      <c r="AK184" s="109">
        <v>2500</v>
      </c>
      <c r="AL184" s="109">
        <f>(AA184*('CALCULO GERAL'!$C$11*1.02))-(AA184*'CALCULO GERAL'!$C$11)</f>
        <v>632.39400000000387</v>
      </c>
      <c r="AM184" s="109">
        <v>1800</v>
      </c>
      <c r="AN184" s="109">
        <v>2600</v>
      </c>
      <c r="AO184" s="109">
        <v>9400</v>
      </c>
      <c r="AP184" s="109">
        <v>1000</v>
      </c>
      <c r="AQ184" s="109">
        <v>0</v>
      </c>
      <c r="AR184" s="109">
        <v>0</v>
      </c>
      <c r="AS184" s="109"/>
      <c r="AT184" s="109">
        <f t="shared" si="93"/>
        <v>1026531.5587500003</v>
      </c>
      <c r="AU184" s="111">
        <f t="shared" si="75"/>
        <v>17.108859312500005</v>
      </c>
      <c r="AV184" s="109">
        <f>IFERROR((BS184*'CALCULO GERAL'!$E$11)/N184,0)</f>
        <v>0.41958840000000003</v>
      </c>
      <c r="AW184" s="109">
        <f>AU184/'CALCULO GERAL'!$C$11</f>
        <v>3.4088183527595146</v>
      </c>
      <c r="AX184" s="109">
        <f>BP184-BB184-BD184*'CALCULO GERAL'!$C$11</f>
        <v>20.664728699999998</v>
      </c>
      <c r="AY184" s="109">
        <f t="shared" si="76"/>
        <v>0.13432073654999999</v>
      </c>
      <c r="AZ184" s="109">
        <f t="shared" si="77"/>
        <v>0.61994186099999993</v>
      </c>
      <c r="BA184" s="109">
        <f t="shared" si="78"/>
        <v>20.979419999999998</v>
      </c>
      <c r="BB184" s="109">
        <f t="shared" si="79"/>
        <v>0.31469129999999995</v>
      </c>
      <c r="BC184" s="109">
        <f t="shared" si="80"/>
        <v>20.979419999999998</v>
      </c>
      <c r="BD184" s="109">
        <f t="shared" si="81"/>
        <v>0</v>
      </c>
      <c r="BE184" s="109">
        <f t="shared" si="82"/>
        <v>100701.216</v>
      </c>
      <c r="BF184" s="109">
        <f t="shared" si="83"/>
        <v>151051.82399999999</v>
      </c>
      <c r="BG184" s="109">
        <f t="shared" si="84"/>
        <v>0.22657773599999997</v>
      </c>
      <c r="BH184" s="109">
        <f t="shared" si="85"/>
        <v>0.25175303999999998</v>
      </c>
      <c r="BI184" s="109">
        <f t="shared" si="86"/>
        <v>-6.7835376666666683E-2</v>
      </c>
      <c r="BJ184" s="109">
        <f t="shared" si="87"/>
        <v>1.8990376968833333</v>
      </c>
      <c r="BK184" s="109">
        <f t="shared" si="88"/>
        <v>19.007897009383338</v>
      </c>
      <c r="BL184" s="148">
        <v>0.83</v>
      </c>
      <c r="BM184" s="112">
        <f>ROUND((AW184/BL184)+((AW184*BL184)*'CALCULO GERAL'!$E$11)/BL184,2)</f>
        <v>4.18</v>
      </c>
      <c r="BN184" s="186">
        <f t="shared" si="94"/>
        <v>4.18</v>
      </c>
      <c r="BO184" s="186">
        <f t="shared" si="95"/>
        <v>4.8979999999999997</v>
      </c>
      <c r="BP184" s="109">
        <f>BM184*'CALCULO GERAL'!$C$11</f>
        <v>20.979419999999998</v>
      </c>
      <c r="BQ184" s="109">
        <f>BO184*'CALCULO GERAL'!$C$11</f>
        <v>24.583061999999998</v>
      </c>
      <c r="BR184" s="186">
        <f>BN184*'CALCULO GERAL'!$C$11</f>
        <v>20.979419999999998</v>
      </c>
      <c r="BS184" s="109">
        <f t="shared" si="90"/>
        <v>1258765.2</v>
      </c>
      <c r="BT184" s="109">
        <f t="shared" si="91"/>
        <v>1258765.2</v>
      </c>
      <c r="BU184" s="109">
        <f t="shared" si="99"/>
        <v>1140473.8205630004</v>
      </c>
      <c r="BV184" s="109">
        <f t="shared" si="96"/>
        <v>118291.37943699956</v>
      </c>
      <c r="BW184" s="114">
        <f t="shared" si="92"/>
        <v>9.3974141831216468E-2</v>
      </c>
      <c r="BX184" s="152">
        <f t="shared" si="100"/>
        <v>0.83</v>
      </c>
      <c r="BZ184" s="55"/>
      <c r="CA184" s="113"/>
      <c r="CB184" s="113"/>
      <c r="CD184" s="152">
        <f t="shared" si="101"/>
        <v>0</v>
      </c>
      <c r="CE184" s="152">
        <f t="shared" si="97"/>
        <v>1</v>
      </c>
      <c r="CF184" s="152">
        <f t="shared" si="98"/>
        <v>1</v>
      </c>
      <c r="CG184" s="34"/>
      <c r="CI184" s="11"/>
      <c r="CJ184" s="11"/>
    </row>
    <row r="185" spans="1:88" s="152" customFormat="1" x14ac:dyDescent="0.2">
      <c r="A185" s="269" t="s">
        <v>319</v>
      </c>
      <c r="B185" s="187" t="s">
        <v>297</v>
      </c>
      <c r="C185" s="8">
        <v>0.26</v>
      </c>
      <c r="D185" s="8">
        <v>0</v>
      </c>
      <c r="E185" s="7">
        <v>2.1000000000000001E-2</v>
      </c>
      <c r="F185" s="7">
        <v>0.1065</v>
      </c>
      <c r="G185" s="1">
        <v>6.4999999999999997E-3</v>
      </c>
      <c r="H185" s="1">
        <v>0.03</v>
      </c>
      <c r="I185" s="1">
        <v>0.18</v>
      </c>
      <c r="J185" s="1">
        <v>0.04</v>
      </c>
      <c r="K185" s="1">
        <v>0.14000000000000001</v>
      </c>
      <c r="L185" s="1">
        <v>1.4999999999999999E-2</v>
      </c>
      <c r="M185" s="2" t="s">
        <v>175</v>
      </c>
      <c r="N185" s="105">
        <v>75000</v>
      </c>
      <c r="O185" s="119"/>
      <c r="P185" s="119"/>
      <c r="Q185" s="119"/>
      <c r="R185" s="119"/>
      <c r="S185" s="119"/>
      <c r="T185" s="119">
        <f>T181+0.1</f>
        <v>3.7</v>
      </c>
      <c r="U185" s="119"/>
      <c r="V185" s="119"/>
      <c r="W185" s="119"/>
      <c r="X185" s="119">
        <f t="shared" si="67"/>
        <v>3.7</v>
      </c>
      <c r="Y185" s="118">
        <f t="shared" si="68"/>
        <v>3.7</v>
      </c>
      <c r="Z185" s="109">
        <f t="shared" si="69"/>
        <v>277500</v>
      </c>
      <c r="AA185" s="109">
        <f>'CALCULO GERAL'!$G$10</f>
        <v>6300</v>
      </c>
      <c r="AB185" s="109">
        <f t="shared" si="70"/>
        <v>283800</v>
      </c>
      <c r="AC185" s="109">
        <f>AB185*'CALCULO GERAL'!$C$11</f>
        <v>1424392.2</v>
      </c>
      <c r="AD185" s="109">
        <f t="shared" si="71"/>
        <v>370341.97200000001</v>
      </c>
      <c r="AE185" s="109">
        <f t="shared" si="72"/>
        <v>0</v>
      </c>
      <c r="AF185" s="109">
        <f t="shared" si="73"/>
        <v>29912.236199999999</v>
      </c>
      <c r="AG185" s="109">
        <f t="shared" si="74"/>
        <v>151697.76929999999</v>
      </c>
      <c r="AH185" s="109">
        <v>154.22999999999999</v>
      </c>
      <c r="AI185" s="109">
        <f>((AA185*'CALCULO GERAL'!$C$11))*0.08+20</f>
        <v>2549.576</v>
      </c>
      <c r="AJ185" s="109">
        <v>1010</v>
      </c>
      <c r="AK185" s="109">
        <v>2500</v>
      </c>
      <c r="AL185" s="109">
        <f>(AA185*('CALCULO GERAL'!$C$11*1.02))-(AA185*'CALCULO GERAL'!$C$11)</f>
        <v>632.39400000000387</v>
      </c>
      <c r="AM185" s="109">
        <v>1800</v>
      </c>
      <c r="AN185" s="109">
        <v>2600</v>
      </c>
      <c r="AO185" s="109">
        <v>9400</v>
      </c>
      <c r="AP185" s="109">
        <v>1000</v>
      </c>
      <c r="AQ185" s="109">
        <v>0</v>
      </c>
      <c r="AR185" s="109">
        <v>0</v>
      </c>
      <c r="AS185" s="109"/>
      <c r="AT185" s="109">
        <f t="shared" si="93"/>
        <v>1997990.3774999999</v>
      </c>
      <c r="AU185" s="111">
        <f t="shared" si="75"/>
        <v>26.6398717</v>
      </c>
      <c r="AV185" s="109">
        <f>IFERROR((BS185*'CALCULO GERAL'!$E$11)/N185,0)</f>
        <v>0.61633320000000003</v>
      </c>
      <c r="AW185" s="109">
        <f>AU185/'CALCULO GERAL'!$C$11</f>
        <v>5.3078046822076113</v>
      </c>
      <c r="AX185" s="109">
        <f>BP185-BB185-BD185*'CALCULO GERAL'!$C$11</f>
        <v>30.354410099999999</v>
      </c>
      <c r="AY185" s="109">
        <f t="shared" si="76"/>
        <v>0.19730366564999999</v>
      </c>
      <c r="AZ185" s="109">
        <f t="shared" si="77"/>
        <v>0.91063230299999998</v>
      </c>
      <c r="BA185" s="109">
        <f t="shared" si="78"/>
        <v>30.816659999999999</v>
      </c>
      <c r="BB185" s="109">
        <f t="shared" si="79"/>
        <v>0.46224989999999999</v>
      </c>
      <c r="BC185" s="109">
        <f t="shared" si="80"/>
        <v>30.816659999999999</v>
      </c>
      <c r="BD185" s="109">
        <f t="shared" si="81"/>
        <v>0</v>
      </c>
      <c r="BE185" s="109">
        <f t="shared" si="82"/>
        <v>184899.96</v>
      </c>
      <c r="BF185" s="109">
        <f t="shared" si="83"/>
        <v>277349.94</v>
      </c>
      <c r="BG185" s="109">
        <f t="shared" si="84"/>
        <v>0.33281992799999999</v>
      </c>
      <c r="BH185" s="109">
        <f t="shared" si="85"/>
        <v>0.36979992</v>
      </c>
      <c r="BI185" s="109">
        <f t="shared" si="86"/>
        <v>-0.16653329333333336</v>
      </c>
      <c r="BJ185" s="109">
        <f t="shared" si="87"/>
        <v>2.7226056233166669</v>
      </c>
      <c r="BK185" s="109">
        <f t="shared" si="88"/>
        <v>29.362477323316668</v>
      </c>
      <c r="BL185" s="148">
        <v>0.88</v>
      </c>
      <c r="BM185" s="112">
        <f>ROUND((AW185/BL185)+((AW185*BL185)*'CALCULO GERAL'!$E$11)/BL185,2)</f>
        <v>6.14</v>
      </c>
      <c r="BN185" s="186">
        <f t="shared" si="94"/>
        <v>6.14</v>
      </c>
      <c r="BO185" s="186">
        <f t="shared" si="95"/>
        <v>7.194</v>
      </c>
      <c r="BP185" s="109">
        <f>BM185*'CALCULO GERAL'!$C$11</f>
        <v>30.816659999999999</v>
      </c>
      <c r="BQ185" s="109">
        <f>BO185*'CALCULO GERAL'!$C$11</f>
        <v>36.106686000000003</v>
      </c>
      <c r="BR185" s="186">
        <f>BN185*'CALCULO GERAL'!$C$11</f>
        <v>30.816659999999999</v>
      </c>
      <c r="BS185" s="109">
        <f t="shared" si="90"/>
        <v>2311249.5</v>
      </c>
      <c r="BT185" s="109">
        <f t="shared" si="91"/>
        <v>2311249.5</v>
      </c>
      <c r="BU185" s="109">
        <f t="shared" si="99"/>
        <v>2202185.7992487499</v>
      </c>
      <c r="BV185" s="109">
        <f t="shared" si="96"/>
        <v>109063.70075125014</v>
      </c>
      <c r="BW185" s="114">
        <f t="shared" si="92"/>
        <v>4.7188198743255604E-2</v>
      </c>
      <c r="BX185" s="152">
        <f t="shared" si="100"/>
        <v>0.88</v>
      </c>
      <c r="BZ185" s="55"/>
      <c r="CA185" s="113"/>
      <c r="CB185" s="113"/>
      <c r="CD185" s="152">
        <f t="shared" si="101"/>
        <v>0</v>
      </c>
      <c r="CE185" s="152">
        <f t="shared" si="97"/>
        <v>1</v>
      </c>
      <c r="CF185" s="152">
        <f t="shared" si="98"/>
        <v>1</v>
      </c>
      <c r="CG185" s="34"/>
      <c r="CI185" s="11"/>
      <c r="CJ185" s="11"/>
    </row>
    <row r="186" spans="1:88" s="152" customFormat="1" x14ac:dyDescent="0.2">
      <c r="A186" s="269" t="s">
        <v>320</v>
      </c>
      <c r="B186" s="187" t="s">
        <v>297</v>
      </c>
      <c r="C186" s="8">
        <v>0.26</v>
      </c>
      <c r="D186" s="8">
        <v>0</v>
      </c>
      <c r="E186" s="7">
        <v>2.1000000000000001E-2</v>
      </c>
      <c r="F186" s="7">
        <v>0.1065</v>
      </c>
      <c r="G186" s="1">
        <v>6.4999999999999997E-3</v>
      </c>
      <c r="H186" s="1">
        <v>0.03</v>
      </c>
      <c r="I186" s="1">
        <v>0.18</v>
      </c>
      <c r="J186" s="1">
        <v>0.04</v>
      </c>
      <c r="K186" s="1">
        <v>0.14000000000000001</v>
      </c>
      <c r="L186" s="1">
        <v>1.4999999999999999E-2</v>
      </c>
      <c r="M186" s="2" t="s">
        <v>175</v>
      </c>
      <c r="N186" s="105">
        <v>60000</v>
      </c>
      <c r="O186" s="119"/>
      <c r="P186" s="119"/>
      <c r="Q186" s="119"/>
      <c r="R186" s="119"/>
      <c r="S186" s="119"/>
      <c r="T186" s="119">
        <f>T181+0.1</f>
        <v>3.7</v>
      </c>
      <c r="U186" s="119"/>
      <c r="V186" s="119"/>
      <c r="W186" s="119"/>
      <c r="X186" s="119">
        <f t="shared" si="67"/>
        <v>3.7</v>
      </c>
      <c r="Y186" s="118">
        <f t="shared" si="68"/>
        <v>3.7</v>
      </c>
      <c r="Z186" s="109">
        <f t="shared" si="69"/>
        <v>222000</v>
      </c>
      <c r="AA186" s="109">
        <f>'CALCULO GERAL'!$G$10</f>
        <v>6300</v>
      </c>
      <c r="AB186" s="109">
        <f t="shared" si="70"/>
        <v>228300</v>
      </c>
      <c r="AC186" s="109">
        <f>AB186*'CALCULO GERAL'!$C$11</f>
        <v>1145837.7</v>
      </c>
      <c r="AD186" s="109">
        <f t="shared" si="71"/>
        <v>297917.80200000003</v>
      </c>
      <c r="AE186" s="109">
        <f t="shared" si="72"/>
        <v>0</v>
      </c>
      <c r="AF186" s="109">
        <f t="shared" si="73"/>
        <v>24062.591700000001</v>
      </c>
      <c r="AG186" s="109">
        <f t="shared" si="74"/>
        <v>122031.71505</v>
      </c>
      <c r="AH186" s="109">
        <v>154.22999999999999</v>
      </c>
      <c r="AI186" s="109">
        <f>((AA186*'CALCULO GERAL'!$C$11))*0.08+20</f>
        <v>2549.576</v>
      </c>
      <c r="AJ186" s="109">
        <v>1010</v>
      </c>
      <c r="AK186" s="109">
        <v>2500</v>
      </c>
      <c r="AL186" s="109">
        <f>(AA186*('CALCULO GERAL'!$C$11*1.02))-(AA186*'CALCULO GERAL'!$C$11)</f>
        <v>632.39400000000387</v>
      </c>
      <c r="AM186" s="109">
        <v>1800</v>
      </c>
      <c r="AN186" s="109">
        <v>2600</v>
      </c>
      <c r="AO186" s="109">
        <v>9400</v>
      </c>
      <c r="AP186" s="109">
        <v>1000</v>
      </c>
      <c r="AQ186" s="109">
        <v>0</v>
      </c>
      <c r="AR186" s="109">
        <v>0</v>
      </c>
      <c r="AS186" s="109"/>
      <c r="AT186" s="109">
        <f t="shared" si="93"/>
        <v>1611496.0087499998</v>
      </c>
      <c r="AU186" s="111">
        <f t="shared" si="75"/>
        <v>26.858266812499998</v>
      </c>
      <c r="AV186" s="109">
        <f>IFERROR((BS186*'CALCULO GERAL'!$E$11)/N186,0)</f>
        <v>0.63139020000000001</v>
      </c>
      <c r="AW186" s="109">
        <f>AU186/'CALCULO GERAL'!$C$11</f>
        <v>5.3513183527595132</v>
      </c>
      <c r="AX186" s="109">
        <f>BP186-BB186-BD186*'CALCULO GERAL'!$C$11</f>
        <v>31.095967350000002</v>
      </c>
      <c r="AY186" s="109">
        <f t="shared" si="76"/>
        <v>0.20212378777500001</v>
      </c>
      <c r="AZ186" s="109">
        <f t="shared" si="77"/>
        <v>0.93287902050000004</v>
      </c>
      <c r="BA186" s="109">
        <f t="shared" si="78"/>
        <v>31.569510000000001</v>
      </c>
      <c r="BB186" s="109">
        <f t="shared" si="79"/>
        <v>0.47354265000000001</v>
      </c>
      <c r="BC186" s="109">
        <f t="shared" si="80"/>
        <v>31.569510000000001</v>
      </c>
      <c r="BD186" s="109">
        <f t="shared" si="81"/>
        <v>0</v>
      </c>
      <c r="BE186" s="109">
        <f t="shared" si="82"/>
        <v>151533.64800000002</v>
      </c>
      <c r="BF186" s="109">
        <f t="shared" si="83"/>
        <v>227300.47200000001</v>
      </c>
      <c r="BG186" s="109">
        <f t="shared" si="84"/>
        <v>0.34095070799999999</v>
      </c>
      <c r="BH186" s="109">
        <f t="shared" si="85"/>
        <v>0.37883412</v>
      </c>
      <c r="BI186" s="109">
        <f t="shared" si="86"/>
        <v>-0.15255609666666672</v>
      </c>
      <c r="BJ186" s="109">
        <f t="shared" si="87"/>
        <v>2.8071643896083329</v>
      </c>
      <c r="BK186" s="109">
        <f t="shared" si="88"/>
        <v>29.66543120210833</v>
      </c>
      <c r="BL186" s="148">
        <v>0.86499999999999999</v>
      </c>
      <c r="BM186" s="112">
        <f>ROUND((AW186/BL186)+((AW186*BL186)*'CALCULO GERAL'!$E$11)/BL186,2)</f>
        <v>6.29</v>
      </c>
      <c r="BN186" s="186">
        <f t="shared" si="94"/>
        <v>6.29</v>
      </c>
      <c r="BO186" s="186">
        <f t="shared" si="95"/>
        <v>7.37</v>
      </c>
      <c r="BP186" s="109">
        <f>BM186*'CALCULO GERAL'!$C$11</f>
        <v>31.569510000000001</v>
      </c>
      <c r="BQ186" s="109">
        <f>BO186*'CALCULO GERAL'!$C$11</f>
        <v>36.990030000000004</v>
      </c>
      <c r="BR186" s="186">
        <f>BN186*'CALCULO GERAL'!$C$11</f>
        <v>31.569510000000001</v>
      </c>
      <c r="BS186" s="109">
        <f t="shared" si="90"/>
        <v>1894170.6</v>
      </c>
      <c r="BT186" s="109">
        <f t="shared" si="91"/>
        <v>1894170.6</v>
      </c>
      <c r="BU186" s="109">
        <f t="shared" si="99"/>
        <v>1779925.8721264999</v>
      </c>
      <c r="BV186" s="109">
        <f t="shared" si="96"/>
        <v>114244.7278735002</v>
      </c>
      <c r="BW186" s="114">
        <f t="shared" si="92"/>
        <v>6.0313853394989972E-2</v>
      </c>
      <c r="BX186" s="152">
        <f t="shared" si="100"/>
        <v>0.87</v>
      </c>
      <c r="BZ186" s="55"/>
      <c r="CA186" s="113"/>
      <c r="CB186" s="113"/>
      <c r="CD186" s="152">
        <f t="shared" si="101"/>
        <v>0</v>
      </c>
      <c r="CE186" s="152">
        <f t="shared" si="97"/>
        <v>1</v>
      </c>
      <c r="CF186" s="152">
        <f t="shared" si="98"/>
        <v>1</v>
      </c>
      <c r="CG186" s="34"/>
      <c r="CI186" s="11"/>
      <c r="CJ186" s="11"/>
    </row>
    <row r="187" spans="1:88" s="152" customFormat="1" x14ac:dyDescent="0.2">
      <c r="A187" s="269" t="s">
        <v>321</v>
      </c>
      <c r="B187" s="187" t="s">
        <v>297</v>
      </c>
      <c r="C187" s="8">
        <v>0.26</v>
      </c>
      <c r="D187" s="8">
        <v>0</v>
      </c>
      <c r="E187" s="7">
        <v>2.1000000000000001E-2</v>
      </c>
      <c r="F187" s="7">
        <v>0.1065</v>
      </c>
      <c r="G187" s="1">
        <v>6.4999999999999997E-3</v>
      </c>
      <c r="H187" s="1">
        <v>0.03</v>
      </c>
      <c r="I187" s="1">
        <v>0.18</v>
      </c>
      <c r="J187" s="1">
        <v>0.04</v>
      </c>
      <c r="K187" s="1">
        <v>0.14000000000000001</v>
      </c>
      <c r="L187" s="1">
        <v>1.4999999999999999E-2</v>
      </c>
      <c r="M187" s="2" t="s">
        <v>175</v>
      </c>
      <c r="N187" s="105">
        <v>60000</v>
      </c>
      <c r="O187" s="119"/>
      <c r="P187" s="119"/>
      <c r="Q187" s="119"/>
      <c r="R187" s="119"/>
      <c r="S187" s="119"/>
      <c r="T187" s="119">
        <f>T182+0.1</f>
        <v>3.95</v>
      </c>
      <c r="U187" s="119"/>
      <c r="V187" s="119"/>
      <c r="W187" s="119"/>
      <c r="X187" s="119">
        <f t="shared" si="67"/>
        <v>3.95</v>
      </c>
      <c r="Y187" s="118">
        <f t="shared" si="68"/>
        <v>3.95</v>
      </c>
      <c r="Z187" s="109">
        <f t="shared" si="69"/>
        <v>237000</v>
      </c>
      <c r="AA187" s="109">
        <f>'CALCULO GERAL'!$G$10</f>
        <v>6300</v>
      </c>
      <c r="AB187" s="109">
        <f t="shared" si="70"/>
        <v>243300</v>
      </c>
      <c r="AC187" s="109">
        <f>AB187*'CALCULO GERAL'!$C$11</f>
        <v>1221122.7</v>
      </c>
      <c r="AD187" s="109">
        <f t="shared" si="71"/>
        <v>317491.902</v>
      </c>
      <c r="AE187" s="109">
        <f t="shared" si="72"/>
        <v>0</v>
      </c>
      <c r="AF187" s="109">
        <f t="shared" si="73"/>
        <v>25643.576700000001</v>
      </c>
      <c r="AG187" s="109">
        <f t="shared" si="74"/>
        <v>130049.56754999999</v>
      </c>
      <c r="AH187" s="109">
        <v>154.22999999999999</v>
      </c>
      <c r="AI187" s="109">
        <f>((AA187*'CALCULO GERAL'!$C$11))*0.08+20</f>
        <v>2549.576</v>
      </c>
      <c r="AJ187" s="109">
        <v>1010</v>
      </c>
      <c r="AK187" s="109">
        <v>2500</v>
      </c>
      <c r="AL187" s="109">
        <f>(AA187*('CALCULO GERAL'!$C$11*1.02))-(AA187*'CALCULO GERAL'!$C$11)</f>
        <v>632.39400000000387</v>
      </c>
      <c r="AM187" s="109">
        <v>1800</v>
      </c>
      <c r="AN187" s="109">
        <v>2600</v>
      </c>
      <c r="AO187" s="109">
        <v>9400</v>
      </c>
      <c r="AP187" s="109">
        <v>1000</v>
      </c>
      <c r="AQ187" s="109">
        <v>0</v>
      </c>
      <c r="AR187" s="109">
        <v>0</v>
      </c>
      <c r="AS187" s="109"/>
      <c r="AT187" s="109">
        <f t="shared" si="93"/>
        <v>1715953.94625</v>
      </c>
      <c r="AU187" s="111">
        <f t="shared" si="75"/>
        <v>28.5992324375</v>
      </c>
      <c r="AV187" s="109">
        <f>IFERROR((BS187*'CALCULO GERAL'!$E$11)/N187,0)</f>
        <v>0.66853080000000009</v>
      </c>
      <c r="AW187" s="109">
        <f>AU187/'CALCULO GERAL'!$C$11</f>
        <v>5.6981933527595139</v>
      </c>
      <c r="AX187" s="109">
        <f>BP187-BB187-BD187*'CALCULO GERAL'!$C$11</f>
        <v>32.9251419</v>
      </c>
      <c r="AY187" s="109">
        <f t="shared" si="76"/>
        <v>0.21401342234999998</v>
      </c>
      <c r="AZ187" s="109">
        <f t="shared" si="77"/>
        <v>0.98775425699999997</v>
      </c>
      <c r="BA187" s="109">
        <f t="shared" si="78"/>
        <v>33.426540000000003</v>
      </c>
      <c r="BB187" s="109">
        <f t="shared" si="79"/>
        <v>0.50139810000000007</v>
      </c>
      <c r="BC187" s="109">
        <f t="shared" si="80"/>
        <v>33.426540000000003</v>
      </c>
      <c r="BD187" s="109">
        <f t="shared" si="81"/>
        <v>0</v>
      </c>
      <c r="BE187" s="109">
        <f t="shared" si="82"/>
        <v>160447.39200000002</v>
      </c>
      <c r="BF187" s="109">
        <f t="shared" si="83"/>
        <v>240671.08800000002</v>
      </c>
      <c r="BG187" s="109">
        <f t="shared" si="84"/>
        <v>0.36100663199999999</v>
      </c>
      <c r="BH187" s="109">
        <f t="shared" si="85"/>
        <v>0.40111848000000005</v>
      </c>
      <c r="BI187" s="109">
        <f t="shared" si="86"/>
        <v>-0.16741233666666672</v>
      </c>
      <c r="BJ187" s="109">
        <f t="shared" si="87"/>
        <v>2.9664093546833334</v>
      </c>
      <c r="BK187" s="109">
        <f t="shared" si="88"/>
        <v>31.565641792183332</v>
      </c>
      <c r="BL187" s="148">
        <v>0.87</v>
      </c>
      <c r="BM187" s="112">
        <f>ROUND((AW187/BL187)+((AW187*BL187)*'CALCULO GERAL'!$E$11)/BL187,2)</f>
        <v>6.66</v>
      </c>
      <c r="BN187" s="186">
        <f t="shared" si="94"/>
        <v>6.66</v>
      </c>
      <c r="BO187" s="186">
        <f t="shared" si="95"/>
        <v>7.8029999999999999</v>
      </c>
      <c r="BP187" s="109">
        <f>BM187*'CALCULO GERAL'!$C$11</f>
        <v>33.426540000000003</v>
      </c>
      <c r="BQ187" s="109">
        <f>BO187*'CALCULO GERAL'!$C$11</f>
        <v>39.163257000000002</v>
      </c>
      <c r="BR187" s="186">
        <f>BN187*'CALCULO GERAL'!$C$11</f>
        <v>33.426540000000003</v>
      </c>
      <c r="BS187" s="109">
        <f t="shared" si="90"/>
        <v>2005592.4000000001</v>
      </c>
      <c r="BT187" s="109">
        <f t="shared" si="91"/>
        <v>2005592.4000000001</v>
      </c>
      <c r="BU187" s="109">
        <f t="shared" si="99"/>
        <v>1893938.5075309998</v>
      </c>
      <c r="BV187" s="109">
        <f t="shared" si="96"/>
        <v>111653.8924690003</v>
      </c>
      <c r="BW187" s="114">
        <f t="shared" si="92"/>
        <v>5.5671278206379467E-2</v>
      </c>
      <c r="BX187" s="152">
        <f t="shared" si="100"/>
        <v>0.87</v>
      </c>
      <c r="BZ187" s="55"/>
      <c r="CA187" s="113"/>
      <c r="CB187" s="113"/>
      <c r="CD187" s="152">
        <f t="shared" si="101"/>
        <v>0</v>
      </c>
      <c r="CE187" s="152">
        <f t="shared" si="97"/>
        <v>1</v>
      </c>
      <c r="CF187" s="152">
        <f t="shared" si="98"/>
        <v>1</v>
      </c>
      <c r="CG187" s="34"/>
      <c r="CI187" s="11"/>
      <c r="CJ187" s="11"/>
    </row>
    <row r="188" spans="1:88" s="152" customFormat="1" x14ac:dyDescent="0.2">
      <c r="A188" s="269" t="s">
        <v>322</v>
      </c>
      <c r="B188" s="187" t="s">
        <v>297</v>
      </c>
      <c r="C188" s="8">
        <v>0.26</v>
      </c>
      <c r="D188" s="8">
        <v>0</v>
      </c>
      <c r="E188" s="7">
        <v>2.1000000000000001E-2</v>
      </c>
      <c r="F188" s="7">
        <v>0.1065</v>
      </c>
      <c r="G188" s="1">
        <v>6.4999999999999997E-3</v>
      </c>
      <c r="H188" s="1">
        <v>0.03</v>
      </c>
      <c r="I188" s="1">
        <v>0.18</v>
      </c>
      <c r="J188" s="1">
        <v>0.04</v>
      </c>
      <c r="K188" s="1">
        <v>0.14000000000000001</v>
      </c>
      <c r="L188" s="1">
        <v>1.4999999999999999E-2</v>
      </c>
      <c r="M188" s="2" t="s">
        <v>175</v>
      </c>
      <c r="N188" s="105">
        <v>60000</v>
      </c>
      <c r="O188" s="119"/>
      <c r="P188" s="119"/>
      <c r="Q188" s="119"/>
      <c r="R188" s="119"/>
      <c r="S188" s="119"/>
      <c r="T188" s="119"/>
      <c r="U188" s="119"/>
      <c r="V188" s="119">
        <v>3.05</v>
      </c>
      <c r="W188" s="119"/>
      <c r="X188" s="119">
        <f t="shared" si="67"/>
        <v>3.05</v>
      </c>
      <c r="Y188" s="118">
        <f t="shared" si="68"/>
        <v>3.05</v>
      </c>
      <c r="Z188" s="109">
        <f t="shared" si="69"/>
        <v>183000</v>
      </c>
      <c r="AA188" s="109">
        <f>'CALCULO GERAL'!$G$10</f>
        <v>6300</v>
      </c>
      <c r="AB188" s="109">
        <f t="shared" si="70"/>
        <v>189300</v>
      </c>
      <c r="AC188" s="109">
        <f>AB188*'CALCULO GERAL'!$C$11</f>
        <v>950096.70000000007</v>
      </c>
      <c r="AD188" s="109">
        <f t="shared" si="71"/>
        <v>247025.14200000002</v>
      </c>
      <c r="AE188" s="109">
        <f t="shared" si="72"/>
        <v>0</v>
      </c>
      <c r="AF188" s="109">
        <f t="shared" si="73"/>
        <v>19952.030700000003</v>
      </c>
      <c r="AG188" s="109">
        <f t="shared" si="74"/>
        <v>101185.29855000001</v>
      </c>
      <c r="AH188" s="109">
        <v>154.22999999999999</v>
      </c>
      <c r="AI188" s="109">
        <f>((AA188*'CALCULO GERAL'!$C$11))*0.08+20</f>
        <v>2549.576</v>
      </c>
      <c r="AJ188" s="109">
        <v>1010</v>
      </c>
      <c r="AK188" s="109">
        <v>2500</v>
      </c>
      <c r="AL188" s="109">
        <f>(AA188*('CALCULO GERAL'!$C$11*1.02))-(AA188*'CALCULO GERAL'!$C$11)</f>
        <v>632.39400000000387</v>
      </c>
      <c r="AM188" s="109">
        <v>1800</v>
      </c>
      <c r="AN188" s="109">
        <v>2600</v>
      </c>
      <c r="AO188" s="109">
        <v>9400</v>
      </c>
      <c r="AP188" s="109">
        <v>1000</v>
      </c>
      <c r="AQ188" s="109">
        <v>0</v>
      </c>
      <c r="AR188" s="109">
        <v>0</v>
      </c>
      <c r="AS188" s="109"/>
      <c r="AT188" s="109">
        <f t="shared" si="93"/>
        <v>1339905.3712500001</v>
      </c>
      <c r="AU188" s="111">
        <f t="shared" si="75"/>
        <v>22.331756187500002</v>
      </c>
      <c r="AV188" s="109">
        <f>IFERROR((BS188*'CALCULO GERAL'!$E$11)/N188,0)</f>
        <v>0.521976</v>
      </c>
      <c r="AW188" s="109">
        <f>AU188/'CALCULO GERAL'!$C$11</f>
        <v>4.4494433527595136</v>
      </c>
      <c r="AX188" s="109">
        <f>BP188-BB188-BD188*'CALCULO GERAL'!$C$11</f>
        <v>25.707318000000001</v>
      </c>
      <c r="AY188" s="109">
        <f t="shared" si="76"/>
        <v>0.167097567</v>
      </c>
      <c r="AZ188" s="109">
        <f t="shared" si="77"/>
        <v>0.77121954000000004</v>
      </c>
      <c r="BA188" s="109">
        <f t="shared" si="78"/>
        <v>26.098800000000001</v>
      </c>
      <c r="BB188" s="109">
        <f t="shared" si="79"/>
        <v>0.391482</v>
      </c>
      <c r="BC188" s="109">
        <f t="shared" si="80"/>
        <v>26.098800000000001</v>
      </c>
      <c r="BD188" s="109">
        <f t="shared" si="81"/>
        <v>0</v>
      </c>
      <c r="BE188" s="109">
        <f t="shared" si="82"/>
        <v>125274.24000000001</v>
      </c>
      <c r="BF188" s="109">
        <f t="shared" si="83"/>
        <v>187911.36</v>
      </c>
      <c r="BG188" s="109">
        <f t="shared" si="84"/>
        <v>0.28186703999999996</v>
      </c>
      <c r="BH188" s="109">
        <f t="shared" si="85"/>
        <v>0.31318559999999995</v>
      </c>
      <c r="BI188" s="109">
        <f t="shared" si="86"/>
        <v>-0.10879041666666668</v>
      </c>
      <c r="BJ188" s="109">
        <f t="shared" si="87"/>
        <v>2.3380373303333326</v>
      </c>
      <c r="BK188" s="109">
        <f t="shared" si="88"/>
        <v>24.669793517833334</v>
      </c>
      <c r="BL188" s="148">
        <v>0.87</v>
      </c>
      <c r="BM188" s="112">
        <f>ROUND((AW188/BL188)+((AW188*BL188)*'CALCULO GERAL'!$E$11)/BL188,2)</f>
        <v>5.2</v>
      </c>
      <c r="BN188" s="186">
        <f t="shared" si="94"/>
        <v>5.2</v>
      </c>
      <c r="BO188" s="186">
        <f t="shared" si="95"/>
        <v>6.093</v>
      </c>
      <c r="BP188" s="109">
        <f>BM188*'CALCULO GERAL'!$C$11</f>
        <v>26.098800000000001</v>
      </c>
      <c r="BQ188" s="109">
        <f>BO188*'CALCULO GERAL'!$C$11</f>
        <v>30.580767000000002</v>
      </c>
      <c r="BR188" s="186">
        <f>BN188*'CALCULO GERAL'!$C$11</f>
        <v>26.098800000000001</v>
      </c>
      <c r="BS188" s="109">
        <f t="shared" si="90"/>
        <v>1565928</v>
      </c>
      <c r="BT188" s="109">
        <f t="shared" si="91"/>
        <v>1565928</v>
      </c>
      <c r="BU188" s="109">
        <f t="shared" si="99"/>
        <v>1480187.6110700001</v>
      </c>
      <c r="BV188" s="109">
        <f t="shared" si="96"/>
        <v>85740.388929999899</v>
      </c>
      <c r="BW188" s="114">
        <f t="shared" si="92"/>
        <v>5.4753723625862685E-2</v>
      </c>
      <c r="BX188" s="152">
        <f t="shared" si="100"/>
        <v>0.87</v>
      </c>
      <c r="BZ188" s="55"/>
      <c r="CA188" s="113"/>
      <c r="CB188" s="113"/>
      <c r="CD188" s="152">
        <f t="shared" si="101"/>
        <v>0</v>
      </c>
      <c r="CE188" s="152">
        <f t="shared" si="97"/>
        <v>1</v>
      </c>
      <c r="CF188" s="152">
        <f t="shared" si="98"/>
        <v>1</v>
      </c>
      <c r="CG188" s="34"/>
      <c r="CI188" s="11"/>
      <c r="CJ188" s="11"/>
    </row>
    <row r="189" spans="1:88" s="152" customFormat="1" x14ac:dyDescent="0.2">
      <c r="A189" s="125" t="s">
        <v>323</v>
      </c>
      <c r="B189" s="187" t="s">
        <v>297</v>
      </c>
      <c r="C189" s="8">
        <v>0.26</v>
      </c>
      <c r="D189" s="8">
        <v>0</v>
      </c>
      <c r="E189" s="7">
        <v>2.1000000000000001E-2</v>
      </c>
      <c r="F189" s="7">
        <v>0.1045</v>
      </c>
      <c r="G189" s="1">
        <v>6.4999999999999997E-3</v>
      </c>
      <c r="H189" s="1">
        <v>0.03</v>
      </c>
      <c r="I189" s="1">
        <v>0.18</v>
      </c>
      <c r="J189" s="1">
        <v>0.04</v>
      </c>
      <c r="K189" s="1">
        <v>0.14000000000000001</v>
      </c>
      <c r="L189" s="1">
        <v>1.4999999999999999E-2</v>
      </c>
      <c r="M189" s="2" t="s">
        <v>175</v>
      </c>
      <c r="N189" s="105">
        <v>54000</v>
      </c>
      <c r="O189" s="119">
        <v>2.85</v>
      </c>
      <c r="P189" s="119"/>
      <c r="Q189" s="119"/>
      <c r="R189" s="119"/>
      <c r="S189" s="119"/>
      <c r="T189" s="119"/>
      <c r="U189" s="119"/>
      <c r="V189" s="119"/>
      <c r="W189" s="119"/>
      <c r="X189" s="119">
        <f t="shared" si="67"/>
        <v>2.85</v>
      </c>
      <c r="Y189" s="118">
        <f t="shared" si="68"/>
        <v>2.85</v>
      </c>
      <c r="Z189" s="109">
        <f t="shared" si="69"/>
        <v>153900</v>
      </c>
      <c r="AA189" s="109">
        <f>'CALCULO GERAL'!$G$10</f>
        <v>6300</v>
      </c>
      <c r="AB189" s="109">
        <f t="shared" si="70"/>
        <v>160200</v>
      </c>
      <c r="AC189" s="109">
        <f>AB189*'CALCULO GERAL'!$C$11</f>
        <v>804043.8</v>
      </c>
      <c r="AD189" s="109">
        <f t="shared" si="71"/>
        <v>209051.38800000001</v>
      </c>
      <c r="AE189" s="109">
        <f t="shared" si="72"/>
        <v>0</v>
      </c>
      <c r="AF189" s="109">
        <f t="shared" si="73"/>
        <v>16884.919800000003</v>
      </c>
      <c r="AG189" s="109">
        <f t="shared" si="74"/>
        <v>84022.577099999995</v>
      </c>
      <c r="AH189" s="109">
        <v>154.22999999999999</v>
      </c>
      <c r="AI189" s="109">
        <f>((AA189*'CALCULO GERAL'!$C$11))*0.08+20</f>
        <v>2549.576</v>
      </c>
      <c r="AJ189" s="109">
        <v>1010</v>
      </c>
      <c r="AK189" s="109">
        <v>2500</v>
      </c>
      <c r="AL189" s="109">
        <f>(AA189*('CALCULO GERAL'!$C$11*1.02))-(AA189*'CALCULO GERAL'!$C$11)</f>
        <v>632.39400000000387</v>
      </c>
      <c r="AM189" s="109">
        <v>1800</v>
      </c>
      <c r="AN189" s="109">
        <v>2600</v>
      </c>
      <c r="AO189" s="109">
        <v>9400</v>
      </c>
      <c r="AP189" s="109">
        <v>1000</v>
      </c>
      <c r="AQ189" s="109">
        <v>0</v>
      </c>
      <c r="AR189" s="109">
        <v>0</v>
      </c>
      <c r="AS189" s="109"/>
      <c r="AT189" s="109">
        <f t="shared" si="93"/>
        <v>1135648.8849000002</v>
      </c>
      <c r="AU189" s="111">
        <f t="shared" si="75"/>
        <v>21.030534905555559</v>
      </c>
      <c r="AV189" s="109">
        <f>IFERROR((BS189*'CALCULO GERAL'!$E$11)/N189,0)</f>
        <v>0.49085819999999997</v>
      </c>
      <c r="AW189" s="109">
        <f>AU189/'CALCULO GERAL'!$C$11</f>
        <v>4.1901842808439049</v>
      </c>
      <c r="AX189" s="109">
        <f>BP189-BB189-BD189*'CALCULO GERAL'!$C$11</f>
        <v>24.174766349999999</v>
      </c>
      <c r="AY189" s="109">
        <f t="shared" si="76"/>
        <v>0.15713598127499998</v>
      </c>
      <c r="AZ189" s="109">
        <f t="shared" si="77"/>
        <v>0.72524299049999996</v>
      </c>
      <c r="BA189" s="109">
        <f t="shared" si="78"/>
        <v>24.542909999999999</v>
      </c>
      <c r="BB189" s="109">
        <f t="shared" si="79"/>
        <v>0.36814364999999999</v>
      </c>
      <c r="BC189" s="109">
        <f t="shared" si="80"/>
        <v>24.542909999999999</v>
      </c>
      <c r="BD189" s="109">
        <f t="shared" si="81"/>
        <v>0</v>
      </c>
      <c r="BE189" s="109">
        <f t="shared" si="82"/>
        <v>106025.37119999999</v>
      </c>
      <c r="BF189" s="109">
        <f t="shared" si="83"/>
        <v>159038.05679999999</v>
      </c>
      <c r="BG189" s="109">
        <f t="shared" si="84"/>
        <v>0.26506342799999999</v>
      </c>
      <c r="BH189" s="109">
        <f t="shared" si="85"/>
        <v>0.29451491999999996</v>
      </c>
      <c r="BI189" s="109">
        <f t="shared" si="86"/>
        <v>-8.5232187407407414E-2</v>
      </c>
      <c r="BJ189" s="109">
        <f t="shared" si="87"/>
        <v>2.2157269823675927</v>
      </c>
      <c r="BK189" s="109">
        <f t="shared" si="88"/>
        <v>23.246261887923151</v>
      </c>
      <c r="BL189" s="148">
        <v>0.872</v>
      </c>
      <c r="BM189" s="112">
        <f>ROUND((AW189/BL189)+((AW189*BL189)*'CALCULO GERAL'!$E$11)/BL189,2)</f>
        <v>4.8899999999999997</v>
      </c>
      <c r="BN189" s="186">
        <f t="shared" si="94"/>
        <v>4.8899999999999997</v>
      </c>
      <c r="BO189" s="186">
        <f t="shared" si="95"/>
        <v>5.7290000000000001</v>
      </c>
      <c r="BP189" s="109">
        <f>BM189*'CALCULO GERAL'!$C$11</f>
        <v>24.542909999999999</v>
      </c>
      <c r="BQ189" s="109">
        <f>BO189*'CALCULO GERAL'!$C$11</f>
        <v>28.753851000000001</v>
      </c>
      <c r="BR189" s="186">
        <f>BN189*'CALCULO GERAL'!$C$11</f>
        <v>24.542909999999999</v>
      </c>
      <c r="BS189" s="109">
        <f t="shared" si="90"/>
        <v>1325317.1399999999</v>
      </c>
      <c r="BT189" s="109">
        <f t="shared" si="91"/>
        <v>1325317.1399999999</v>
      </c>
      <c r="BU189" s="109">
        <f t="shared" si="99"/>
        <v>1255298.1419478501</v>
      </c>
      <c r="BV189" s="109">
        <f t="shared" si="96"/>
        <v>70018.998052149778</v>
      </c>
      <c r="BW189" s="114">
        <f t="shared" si="92"/>
        <v>5.2831881471139645E-2</v>
      </c>
      <c r="BX189" s="152">
        <f t="shared" si="100"/>
        <v>0.87</v>
      </c>
      <c r="BZ189" s="55"/>
      <c r="CA189" s="113"/>
      <c r="CB189" s="113"/>
      <c r="CD189" s="152">
        <f t="shared" si="101"/>
        <v>0</v>
      </c>
      <c r="CE189" s="152">
        <f t="shared" si="97"/>
        <v>1</v>
      </c>
      <c r="CF189" s="152">
        <f t="shared" si="98"/>
        <v>1</v>
      </c>
      <c r="CG189" s="34"/>
      <c r="CI189" s="11"/>
      <c r="CJ189" s="11"/>
    </row>
    <row r="190" spans="1:88" s="152" customFormat="1" x14ac:dyDescent="0.2">
      <c r="A190" s="125" t="s">
        <v>324</v>
      </c>
      <c r="B190" s="187" t="s">
        <v>325</v>
      </c>
      <c r="C190" s="8">
        <v>0.26</v>
      </c>
      <c r="D190" s="8">
        <v>0</v>
      </c>
      <c r="E190" s="7">
        <v>2.1000000000000001E-2</v>
      </c>
      <c r="F190" s="7">
        <v>0.1045</v>
      </c>
      <c r="G190" s="1">
        <v>6.4999999999999997E-3</v>
      </c>
      <c r="H190" s="1">
        <v>0.03</v>
      </c>
      <c r="I190" s="1">
        <v>0.18</v>
      </c>
      <c r="J190" s="1">
        <v>0.04</v>
      </c>
      <c r="K190" s="1">
        <v>0.14000000000000001</v>
      </c>
      <c r="L190" s="1">
        <v>1.4999999999999999E-2</v>
      </c>
      <c r="M190" s="2" t="s">
        <v>175</v>
      </c>
      <c r="N190" s="105">
        <v>180000</v>
      </c>
      <c r="O190" s="119">
        <v>0.3</v>
      </c>
      <c r="P190" s="119">
        <v>0.28000000000000003</v>
      </c>
      <c r="Q190" s="119">
        <v>0.31</v>
      </c>
      <c r="R190" s="119"/>
      <c r="S190" s="119"/>
      <c r="T190" s="119"/>
      <c r="U190" s="119"/>
      <c r="V190" s="119"/>
      <c r="W190" s="119"/>
      <c r="X190" s="119">
        <f t="shared" si="67"/>
        <v>0.28000000000000003</v>
      </c>
      <c r="Y190" s="118">
        <f t="shared" si="68"/>
        <v>0.29666666666666669</v>
      </c>
      <c r="Z190" s="109">
        <f>X190*N190</f>
        <v>50400.000000000007</v>
      </c>
      <c r="AA190" s="109">
        <f>'CALCULO GERAL'!$G$10</f>
        <v>6300</v>
      </c>
      <c r="AB190" s="109">
        <f t="shared" si="70"/>
        <v>56700.000000000007</v>
      </c>
      <c r="AC190" s="109">
        <f>AB190*'CALCULO GERAL'!$C$11</f>
        <v>284577.30000000005</v>
      </c>
      <c r="AD190" s="109">
        <f t="shared" si="71"/>
        <v>73990.098000000013</v>
      </c>
      <c r="AE190" s="109">
        <f t="shared" si="72"/>
        <v>0</v>
      </c>
      <c r="AF190" s="109">
        <f t="shared" si="73"/>
        <v>5976.1233000000011</v>
      </c>
      <c r="AG190" s="109">
        <f t="shared" si="74"/>
        <v>29738.327850000005</v>
      </c>
      <c r="AH190" s="109">
        <v>154.22999999999999</v>
      </c>
      <c r="AI190" s="109">
        <f>((AA190*'CALCULO GERAL'!$C$11))*0.08+20</f>
        <v>2549.576</v>
      </c>
      <c r="AJ190" s="109">
        <v>1010</v>
      </c>
      <c r="AK190" s="109">
        <v>2500</v>
      </c>
      <c r="AL190" s="109">
        <f>(AA190*('CALCULO GERAL'!$C$11*1.02))-(AA190*'CALCULO GERAL'!$C$11)</f>
        <v>632.39400000000387</v>
      </c>
      <c r="AM190" s="109">
        <v>1800</v>
      </c>
      <c r="AN190" s="109">
        <v>2600</v>
      </c>
      <c r="AO190" s="109">
        <v>9400</v>
      </c>
      <c r="AP190" s="109">
        <v>1000</v>
      </c>
      <c r="AQ190" s="109">
        <v>0</v>
      </c>
      <c r="AR190" s="109">
        <v>0</v>
      </c>
      <c r="AS190" s="109"/>
      <c r="AT190" s="109">
        <f t="shared" si="93"/>
        <v>415928.04915000004</v>
      </c>
      <c r="AU190" s="111">
        <f t="shared" si="75"/>
        <v>2.3107113841666669</v>
      </c>
      <c r="AV190" s="109">
        <f>IFERROR((BS190*'CALCULO GERAL'!$E$11)/N190,0)</f>
        <v>5.4205200000000009E-2</v>
      </c>
      <c r="AW190" s="109">
        <f>AU190/'CALCULO GERAL'!$C$11</f>
        <v>0.46039278425317132</v>
      </c>
      <c r="AX190" s="109">
        <f>BP190-BB190-BD190*'CALCULO GERAL'!$C$11</f>
        <v>2.6696061000000002</v>
      </c>
      <c r="AY190" s="109">
        <f t="shared" si="76"/>
        <v>1.7352439649999999E-2</v>
      </c>
      <c r="AZ190" s="109">
        <f t="shared" si="77"/>
        <v>8.0088183000000007E-2</v>
      </c>
      <c r="BA190" s="109">
        <f t="shared" si="78"/>
        <v>2.7102600000000003</v>
      </c>
      <c r="BB190" s="109">
        <f t="shared" si="79"/>
        <v>4.0653900000000007E-2</v>
      </c>
      <c r="BC190" s="109">
        <f t="shared" si="80"/>
        <v>2.7102600000000003</v>
      </c>
      <c r="BD190" s="109">
        <f t="shared" si="81"/>
        <v>0</v>
      </c>
      <c r="BE190" s="109">
        <f t="shared" si="82"/>
        <v>39027.744000000006</v>
      </c>
      <c r="BF190" s="109">
        <f t="shared" si="83"/>
        <v>58541.616000000002</v>
      </c>
      <c r="BG190" s="109">
        <f t="shared" si="84"/>
        <v>2.9270807999999999E-2</v>
      </c>
      <c r="BH190" s="109">
        <f t="shared" si="85"/>
        <v>3.2523120000000003E-2</v>
      </c>
      <c r="BI190" s="109">
        <f t="shared" si="86"/>
        <v>0</v>
      </c>
      <c r="BJ190" s="109">
        <f t="shared" si="87"/>
        <v>0.25409365065</v>
      </c>
      <c r="BK190" s="109">
        <f t="shared" si="88"/>
        <v>2.5648050348166667</v>
      </c>
      <c r="BL190" s="148">
        <v>0.86499999999999999</v>
      </c>
      <c r="BM190" s="112">
        <f>ROUND((AW190/BL190)+((AW190*BL190)*'CALCULO GERAL'!$E$11)/BL190,2)</f>
        <v>0.54</v>
      </c>
      <c r="BN190" s="186">
        <f t="shared" si="94"/>
        <v>0.54</v>
      </c>
      <c r="BO190" s="186">
        <f t="shared" si="95"/>
        <v>0.63300000000000001</v>
      </c>
      <c r="BP190" s="109">
        <f>BM190*'CALCULO GERAL'!$C$11</f>
        <v>2.7102600000000003</v>
      </c>
      <c r="BQ190" s="109">
        <f>BO190*'CALCULO GERAL'!$C$11</f>
        <v>3.1770270000000003</v>
      </c>
      <c r="BR190" s="186">
        <f>BN190*'CALCULO GERAL'!$C$11</f>
        <v>2.7102600000000003</v>
      </c>
      <c r="BS190" s="109">
        <f t="shared" si="90"/>
        <v>487846.80000000005</v>
      </c>
      <c r="BT190" s="109">
        <f t="shared" si="91"/>
        <v>487846.80000000005</v>
      </c>
      <c r="BU190" s="109">
        <f t="shared" si="99"/>
        <v>461664.90626700001</v>
      </c>
      <c r="BV190" s="109">
        <f t="shared" si="96"/>
        <v>26181.893733000034</v>
      </c>
      <c r="BW190" s="114">
        <f t="shared" si="92"/>
        <v>5.3668269901534726E-2</v>
      </c>
      <c r="BX190" s="152">
        <f t="shared" si="100"/>
        <v>0.87</v>
      </c>
      <c r="BZ190" s="55"/>
      <c r="CA190" s="113"/>
      <c r="CB190" s="113"/>
      <c r="CD190" s="152">
        <f t="shared" si="101"/>
        <v>0</v>
      </c>
      <c r="CE190" s="152">
        <f t="shared" si="97"/>
        <v>1</v>
      </c>
      <c r="CF190" s="152">
        <f t="shared" si="98"/>
        <v>1</v>
      </c>
      <c r="CG190" s="34"/>
      <c r="CI190" s="11"/>
      <c r="CJ190" s="11"/>
    </row>
    <row r="191" spans="1:88" s="152" customFormat="1" x14ac:dyDescent="0.2">
      <c r="A191" s="125" t="s">
        <v>326</v>
      </c>
      <c r="B191" s="187" t="s">
        <v>325</v>
      </c>
      <c r="C191" s="8">
        <v>0.26</v>
      </c>
      <c r="D191" s="8">
        <v>0</v>
      </c>
      <c r="E191" s="7">
        <v>2.1000000000000001E-2</v>
      </c>
      <c r="F191" s="7">
        <v>0.1045</v>
      </c>
      <c r="G191" s="1">
        <v>6.4999999999999997E-3</v>
      </c>
      <c r="H191" s="1">
        <v>0.03</v>
      </c>
      <c r="I191" s="1">
        <v>0.18</v>
      </c>
      <c r="J191" s="1">
        <v>0.04</v>
      </c>
      <c r="K191" s="1">
        <v>0.14000000000000001</v>
      </c>
      <c r="L191" s="1">
        <v>1.4999999999999999E-2</v>
      </c>
      <c r="M191" s="2" t="s">
        <v>175</v>
      </c>
      <c r="N191" s="105">
        <v>180000</v>
      </c>
      <c r="O191" s="119">
        <v>0.31</v>
      </c>
      <c r="P191" s="119">
        <v>0.43</v>
      </c>
      <c r="Q191" s="119">
        <v>0.315</v>
      </c>
      <c r="R191" s="119">
        <v>0.4</v>
      </c>
      <c r="S191" s="119"/>
      <c r="T191" s="119"/>
      <c r="U191" s="119"/>
      <c r="V191" s="119">
        <v>0.33500000000000002</v>
      </c>
      <c r="W191" s="119">
        <v>0.32500000000000001</v>
      </c>
      <c r="X191" s="119">
        <f t="shared" si="67"/>
        <v>0.31</v>
      </c>
      <c r="Y191" s="118">
        <f t="shared" si="68"/>
        <v>0.35250000000000004</v>
      </c>
      <c r="Z191" s="109">
        <f t="shared" ref="Z191:Z307" si="102">X191*N191</f>
        <v>55800</v>
      </c>
      <c r="AA191" s="109">
        <f>'CALCULO GERAL'!$G$10</f>
        <v>6300</v>
      </c>
      <c r="AB191" s="109">
        <f t="shared" si="70"/>
        <v>62100</v>
      </c>
      <c r="AC191" s="109">
        <f>AB191*'CALCULO GERAL'!$C$11</f>
        <v>311679.90000000002</v>
      </c>
      <c r="AD191" s="109">
        <f t="shared" si="71"/>
        <v>81036.774000000005</v>
      </c>
      <c r="AE191" s="109">
        <f t="shared" si="72"/>
        <v>0</v>
      </c>
      <c r="AF191" s="109">
        <f t="shared" si="73"/>
        <v>6545.277900000001</v>
      </c>
      <c r="AG191" s="109">
        <f t="shared" si="74"/>
        <v>32570.54955</v>
      </c>
      <c r="AH191" s="109">
        <v>154.22999999999999</v>
      </c>
      <c r="AI191" s="109">
        <f>((AA191*'CALCULO GERAL'!$C$11))*0.08+20</f>
        <v>2549.576</v>
      </c>
      <c r="AJ191" s="109">
        <v>1010</v>
      </c>
      <c r="AK191" s="109">
        <v>2500</v>
      </c>
      <c r="AL191" s="109">
        <f>(AA191*('CALCULO GERAL'!$C$11*1.02))-(AA191*'CALCULO GERAL'!$C$11)</f>
        <v>632.39400000000387</v>
      </c>
      <c r="AM191" s="109">
        <v>1800</v>
      </c>
      <c r="AN191" s="109">
        <v>2600</v>
      </c>
      <c r="AO191" s="109">
        <v>9400</v>
      </c>
      <c r="AP191" s="109">
        <v>1000</v>
      </c>
      <c r="AQ191" s="109">
        <v>0</v>
      </c>
      <c r="AR191" s="109">
        <v>0</v>
      </c>
      <c r="AS191" s="109"/>
      <c r="AT191" s="109">
        <f t="shared" si="93"/>
        <v>453478.70144999999</v>
      </c>
      <c r="AU191" s="111">
        <f t="shared" si="75"/>
        <v>2.5193261191666667</v>
      </c>
      <c r="AV191" s="109">
        <f>IFERROR((BS191*'CALCULO GERAL'!$E$11)/N191,0)</f>
        <v>5.9224199999999991E-2</v>
      </c>
      <c r="AW191" s="109">
        <f>AU191/'CALCULO GERAL'!$C$11</f>
        <v>0.50195778425317128</v>
      </c>
      <c r="AX191" s="109">
        <f>BP191-BB191-BD191*'CALCULO GERAL'!$C$11</f>
        <v>2.9167918500000001</v>
      </c>
      <c r="AY191" s="109">
        <f t="shared" si="76"/>
        <v>1.8959147025000001E-2</v>
      </c>
      <c r="AZ191" s="109">
        <f t="shared" si="77"/>
        <v>8.7503755500000002E-2</v>
      </c>
      <c r="BA191" s="109">
        <f t="shared" si="78"/>
        <v>2.9612099999999999</v>
      </c>
      <c r="BB191" s="109">
        <f t="shared" si="79"/>
        <v>4.4418149999999997E-2</v>
      </c>
      <c r="BC191" s="109">
        <f t="shared" si="80"/>
        <v>2.9612099999999999</v>
      </c>
      <c r="BD191" s="109">
        <f t="shared" si="81"/>
        <v>0</v>
      </c>
      <c r="BE191" s="109">
        <f t="shared" si="82"/>
        <v>42641.423999999992</v>
      </c>
      <c r="BF191" s="109">
        <f t="shared" si="83"/>
        <v>63962.135999999991</v>
      </c>
      <c r="BG191" s="109">
        <f t="shared" si="84"/>
        <v>3.1981067999999994E-2</v>
      </c>
      <c r="BH191" s="109">
        <f t="shared" si="85"/>
        <v>3.5534519999999993E-2</v>
      </c>
      <c r="BI191" s="109">
        <f t="shared" si="86"/>
        <v>0</v>
      </c>
      <c r="BJ191" s="109">
        <f t="shared" si="87"/>
        <v>0.27762084052500002</v>
      </c>
      <c r="BK191" s="109">
        <f t="shared" si="88"/>
        <v>2.7969469596916667</v>
      </c>
      <c r="BL191" s="148">
        <v>0.86299999999999999</v>
      </c>
      <c r="BM191" s="112">
        <f>ROUND((AW191/BL191)+((AW191*BL191)*'CALCULO GERAL'!$E$11)/BL191,2)</f>
        <v>0.59</v>
      </c>
      <c r="BN191" s="186">
        <f t="shared" si="94"/>
        <v>0.59</v>
      </c>
      <c r="BO191" s="186">
        <f t="shared" si="95"/>
        <v>0.69099999999999995</v>
      </c>
      <c r="BP191" s="109">
        <f>BM191*'CALCULO GERAL'!$C$11</f>
        <v>2.9612099999999999</v>
      </c>
      <c r="BQ191" s="109">
        <f>BO191*'CALCULO GERAL'!$C$11</f>
        <v>3.4681289999999998</v>
      </c>
      <c r="BR191" s="186">
        <f>BN191*'CALCULO GERAL'!$C$11</f>
        <v>2.9612099999999999</v>
      </c>
      <c r="BS191" s="109">
        <f t="shared" si="90"/>
        <v>533017.79999999993</v>
      </c>
      <c r="BT191" s="109">
        <f t="shared" si="91"/>
        <v>533017.79999999993</v>
      </c>
      <c r="BU191" s="109">
        <f t="shared" si="99"/>
        <v>503450.45274450001</v>
      </c>
      <c r="BV191" s="109">
        <f t="shared" si="96"/>
        <v>29567.347255499917</v>
      </c>
      <c r="BW191" s="114">
        <f t="shared" si="92"/>
        <v>5.5471594486150223E-2</v>
      </c>
      <c r="BX191" s="152">
        <f t="shared" si="100"/>
        <v>0.86</v>
      </c>
      <c r="BZ191" s="55"/>
      <c r="CA191" s="113"/>
      <c r="CB191" s="113"/>
      <c r="CD191" s="152">
        <f t="shared" si="101"/>
        <v>0</v>
      </c>
      <c r="CE191" s="152">
        <f t="shared" si="97"/>
        <v>1</v>
      </c>
      <c r="CF191" s="152">
        <f t="shared" si="98"/>
        <v>1</v>
      </c>
      <c r="CG191" s="34"/>
      <c r="CI191" s="11"/>
      <c r="CJ191" s="11"/>
    </row>
    <row r="192" spans="1:88" s="152" customFormat="1" x14ac:dyDescent="0.2">
      <c r="A192" s="125" t="s">
        <v>327</v>
      </c>
      <c r="B192" s="187" t="s">
        <v>325</v>
      </c>
      <c r="C192" s="8">
        <v>0.26</v>
      </c>
      <c r="D192" s="8">
        <v>0</v>
      </c>
      <c r="E192" s="7">
        <v>2.1000000000000001E-2</v>
      </c>
      <c r="F192" s="7">
        <v>0.1045</v>
      </c>
      <c r="G192" s="1">
        <v>6.4999999999999997E-3</v>
      </c>
      <c r="H192" s="1">
        <v>0.03</v>
      </c>
      <c r="I192" s="1">
        <v>0.18</v>
      </c>
      <c r="J192" s="1">
        <v>0.04</v>
      </c>
      <c r="K192" s="1">
        <v>0.14000000000000001</v>
      </c>
      <c r="L192" s="1">
        <v>1.4999999999999999E-2</v>
      </c>
      <c r="M192" s="2" t="s">
        <v>175</v>
      </c>
      <c r="N192" s="105">
        <v>175000</v>
      </c>
      <c r="O192" s="119">
        <v>0.31</v>
      </c>
      <c r="P192" s="119">
        <v>0.44</v>
      </c>
      <c r="Q192" s="119">
        <v>0.315</v>
      </c>
      <c r="R192" s="119">
        <v>0.41</v>
      </c>
      <c r="S192" s="119"/>
      <c r="T192" s="119"/>
      <c r="U192" s="119"/>
      <c r="V192" s="119">
        <v>0.33500000000000002</v>
      </c>
      <c r="W192" s="119">
        <v>0.33</v>
      </c>
      <c r="X192" s="119">
        <f t="shared" si="67"/>
        <v>0.31</v>
      </c>
      <c r="Y192" s="118">
        <f t="shared" si="68"/>
        <v>0.35666666666666663</v>
      </c>
      <c r="Z192" s="109">
        <f t="shared" si="102"/>
        <v>54250</v>
      </c>
      <c r="AA192" s="109">
        <f>'CALCULO GERAL'!$G$10</f>
        <v>6300</v>
      </c>
      <c r="AB192" s="109">
        <f t="shared" si="70"/>
        <v>60550</v>
      </c>
      <c r="AC192" s="109">
        <f>AB192*'CALCULO GERAL'!$C$11</f>
        <v>303900.45</v>
      </c>
      <c r="AD192" s="109">
        <f t="shared" si="71"/>
        <v>79014.117000000013</v>
      </c>
      <c r="AE192" s="109">
        <f t="shared" si="72"/>
        <v>0</v>
      </c>
      <c r="AF192" s="109">
        <f t="shared" si="73"/>
        <v>6381.909450000001</v>
      </c>
      <c r="AG192" s="109">
        <f t="shared" si="74"/>
        <v>31757.597024999999</v>
      </c>
      <c r="AH192" s="109">
        <v>154.22999999999999</v>
      </c>
      <c r="AI192" s="109">
        <f>((AA192*'CALCULO GERAL'!$C$11))*0.08+20</f>
        <v>2549.576</v>
      </c>
      <c r="AJ192" s="109">
        <v>1010</v>
      </c>
      <c r="AK192" s="109">
        <v>2500</v>
      </c>
      <c r="AL192" s="109">
        <f>(AA192*('CALCULO GERAL'!$C$11*1.02))-(AA192*'CALCULO GERAL'!$C$11)</f>
        <v>632.39400000000387</v>
      </c>
      <c r="AM192" s="109">
        <v>1800</v>
      </c>
      <c r="AN192" s="109">
        <v>2600</v>
      </c>
      <c r="AO192" s="109">
        <v>9400</v>
      </c>
      <c r="AP192" s="109">
        <v>1000</v>
      </c>
      <c r="AQ192" s="109">
        <v>0</v>
      </c>
      <c r="AR192" s="109">
        <v>0</v>
      </c>
      <c r="AS192" s="109"/>
      <c r="AT192" s="109">
        <f t="shared" si="93"/>
        <v>442700.27347500005</v>
      </c>
      <c r="AU192" s="111">
        <f t="shared" si="75"/>
        <v>2.5297158484285718</v>
      </c>
      <c r="AV192" s="109">
        <f>IFERROR((BS192*'CALCULO GERAL'!$E$11)/N192,0)</f>
        <v>6.0227999999999997E-2</v>
      </c>
      <c r="AW192" s="109">
        <f>AU192/'CALCULO GERAL'!$C$11</f>
        <v>0.50402786380326192</v>
      </c>
      <c r="AX192" s="109">
        <f>BP192-BB192-BD192*'CALCULO GERAL'!$C$11</f>
        <v>2.9662290000000002</v>
      </c>
      <c r="AY192" s="109">
        <f t="shared" si="76"/>
        <v>1.9280488500000002E-2</v>
      </c>
      <c r="AZ192" s="109">
        <f t="shared" si="77"/>
        <v>8.898687000000001E-2</v>
      </c>
      <c r="BA192" s="109">
        <f t="shared" si="78"/>
        <v>3.0114000000000001</v>
      </c>
      <c r="BB192" s="109">
        <f t="shared" si="79"/>
        <v>4.5171000000000003E-2</v>
      </c>
      <c r="BC192" s="109">
        <f t="shared" si="80"/>
        <v>3.0114000000000001</v>
      </c>
      <c r="BD192" s="109">
        <f t="shared" si="81"/>
        <v>0</v>
      </c>
      <c r="BE192" s="109">
        <f t="shared" si="82"/>
        <v>42159.6</v>
      </c>
      <c r="BF192" s="109">
        <f t="shared" si="83"/>
        <v>63239.399999999994</v>
      </c>
      <c r="BG192" s="109">
        <f t="shared" si="84"/>
        <v>3.2523119999999996E-2</v>
      </c>
      <c r="BH192" s="109">
        <f t="shared" si="85"/>
        <v>3.6136799999999997E-2</v>
      </c>
      <c r="BI192" s="109">
        <f t="shared" si="86"/>
        <v>0</v>
      </c>
      <c r="BJ192" s="109">
        <f t="shared" si="87"/>
        <v>0.28232627850000003</v>
      </c>
      <c r="BK192" s="109">
        <f t="shared" si="88"/>
        <v>2.8120421269285716</v>
      </c>
      <c r="BL192" s="148">
        <v>0.86</v>
      </c>
      <c r="BM192" s="112">
        <f>ROUND((AW192/BL192)+((AW192*BL192)*'CALCULO GERAL'!$E$11)/BL192,2)</f>
        <v>0.6</v>
      </c>
      <c r="BN192" s="186">
        <f t="shared" si="94"/>
        <v>0.6</v>
      </c>
      <c r="BO192" s="186">
        <f t="shared" si="95"/>
        <v>0.70299999999999996</v>
      </c>
      <c r="BP192" s="109">
        <f>BM192*'CALCULO GERAL'!$C$11</f>
        <v>3.0114000000000001</v>
      </c>
      <c r="BQ192" s="109">
        <f>BO192*'CALCULO GERAL'!$C$11</f>
        <v>3.5283569999999997</v>
      </c>
      <c r="BR192" s="186">
        <f>BN192*'CALCULO GERAL'!$C$11</f>
        <v>3.0114000000000001</v>
      </c>
      <c r="BS192" s="109">
        <f t="shared" si="90"/>
        <v>526995</v>
      </c>
      <c r="BT192" s="109">
        <f t="shared" si="91"/>
        <v>526995</v>
      </c>
      <c r="BU192" s="109">
        <f t="shared" si="99"/>
        <v>492107.37221250002</v>
      </c>
      <c r="BV192" s="109">
        <f t="shared" si="96"/>
        <v>34887.62778749998</v>
      </c>
      <c r="BW192" s="114">
        <f t="shared" si="92"/>
        <v>6.6201060327896813E-2</v>
      </c>
      <c r="BX192" s="152">
        <f t="shared" si="100"/>
        <v>0.86</v>
      </c>
      <c r="BZ192" s="55"/>
      <c r="CA192" s="113"/>
      <c r="CB192" s="113"/>
      <c r="CD192" s="152">
        <f t="shared" si="101"/>
        <v>0</v>
      </c>
      <c r="CE192" s="152">
        <f t="shared" si="97"/>
        <v>1</v>
      </c>
      <c r="CF192" s="152">
        <f t="shared" si="98"/>
        <v>1</v>
      </c>
      <c r="CG192" s="34"/>
      <c r="CI192" s="11"/>
      <c r="CJ192" s="11"/>
    </row>
    <row r="193" spans="1:88" s="152" customFormat="1" x14ac:dyDescent="0.2">
      <c r="A193" s="125" t="s">
        <v>328</v>
      </c>
      <c r="B193" s="187" t="s">
        <v>325</v>
      </c>
      <c r="C193" s="8">
        <v>0.26</v>
      </c>
      <c r="D193" s="8">
        <v>0</v>
      </c>
      <c r="E193" s="7">
        <v>2.1000000000000001E-2</v>
      </c>
      <c r="F193" s="7">
        <v>0.1045</v>
      </c>
      <c r="G193" s="1">
        <v>6.4999999999999997E-3</v>
      </c>
      <c r="H193" s="1">
        <v>0.03</v>
      </c>
      <c r="I193" s="1">
        <v>0.18</v>
      </c>
      <c r="J193" s="1">
        <v>0.04</v>
      </c>
      <c r="K193" s="1">
        <v>0.14000000000000001</v>
      </c>
      <c r="L193" s="1">
        <v>1.4999999999999999E-2</v>
      </c>
      <c r="M193" s="2" t="s">
        <v>175</v>
      </c>
      <c r="N193" s="105">
        <v>165000</v>
      </c>
      <c r="O193" s="119">
        <v>0.32</v>
      </c>
      <c r="P193" s="119">
        <v>0.45</v>
      </c>
      <c r="Q193" s="119">
        <v>0.34499999999999997</v>
      </c>
      <c r="R193" s="119">
        <v>0.42</v>
      </c>
      <c r="S193" s="119"/>
      <c r="T193" s="119"/>
      <c r="U193" s="119"/>
      <c r="V193" s="119">
        <v>0.35</v>
      </c>
      <c r="W193" s="119">
        <v>0.34</v>
      </c>
      <c r="X193" s="119">
        <f t="shared" ref="X193:X317" si="103">MIN(O193:W193)</f>
        <v>0.32</v>
      </c>
      <c r="Y193" s="118">
        <f t="shared" ref="Y193:Y317" si="104">AVERAGE(O193:W193)</f>
        <v>0.37083333333333329</v>
      </c>
      <c r="Z193" s="109">
        <f t="shared" si="102"/>
        <v>52800</v>
      </c>
      <c r="AA193" s="109">
        <f>'CALCULO GERAL'!$G$10</f>
        <v>6300</v>
      </c>
      <c r="AB193" s="109">
        <f t="shared" ref="AB193:AB317" si="105">Z193+AA193</f>
        <v>59100</v>
      </c>
      <c r="AC193" s="109">
        <f>AB193*'CALCULO GERAL'!$C$11</f>
        <v>296622.90000000002</v>
      </c>
      <c r="AD193" s="109">
        <f t="shared" ref="AD193:AD317" si="106">AC193*C193</f>
        <v>77121.954000000012</v>
      </c>
      <c r="AE193" s="109">
        <f t="shared" ref="AE193:AE317" si="107">(AC193+AD193)*D193</f>
        <v>0</v>
      </c>
      <c r="AF193" s="109">
        <f t="shared" ref="AF193:AF317" si="108">AC193*E193</f>
        <v>6229.0809000000008</v>
      </c>
      <c r="AG193" s="109">
        <f t="shared" ref="AG193:AG317" si="109">AC193*F193</f>
        <v>30997.093049999999</v>
      </c>
      <c r="AH193" s="109">
        <v>154.22999999999999</v>
      </c>
      <c r="AI193" s="109">
        <f>((AA193*'CALCULO GERAL'!$C$11))*0.08+20</f>
        <v>2549.576</v>
      </c>
      <c r="AJ193" s="109">
        <v>1010</v>
      </c>
      <c r="AK193" s="109">
        <v>2500</v>
      </c>
      <c r="AL193" s="109">
        <f>(AA193*('CALCULO GERAL'!$C$11*1.02))-(AA193*'CALCULO GERAL'!$C$11)</f>
        <v>632.39400000000387</v>
      </c>
      <c r="AM193" s="109">
        <v>1800</v>
      </c>
      <c r="AN193" s="109">
        <v>2600</v>
      </c>
      <c r="AO193" s="109">
        <v>9400</v>
      </c>
      <c r="AP193" s="109">
        <v>1000</v>
      </c>
      <c r="AQ193" s="109">
        <v>0</v>
      </c>
      <c r="AR193" s="109">
        <v>0</v>
      </c>
      <c r="AS193" s="109"/>
      <c r="AT193" s="109">
        <f t="shared" si="93"/>
        <v>432617.22795000009</v>
      </c>
      <c r="AU193" s="111">
        <f t="shared" ref="AU193:AU317" si="110">IFERROR((AT193/N193),0)</f>
        <v>2.6219225936363642</v>
      </c>
      <c r="AV193" s="109">
        <f>IFERROR((BS193*'CALCULO GERAL'!$E$11)/N193,0)</f>
        <v>6.2235600000000002E-2</v>
      </c>
      <c r="AW193" s="109">
        <f>AU193/'CALCULO GERAL'!$C$11</f>
        <v>0.52239940100345972</v>
      </c>
      <c r="AX193" s="109">
        <f>BP193-BB193-BD193*'CALCULO GERAL'!$C$11</f>
        <v>3.0651033000000001</v>
      </c>
      <c r="AY193" s="109">
        <f t="shared" ref="AY193:AY317" si="111">AX193*G193</f>
        <v>1.9923171449999999E-2</v>
      </c>
      <c r="AZ193" s="109">
        <f t="shared" ref="AZ193:AZ317" si="112">AX193*H193</f>
        <v>9.1953098999999996E-2</v>
      </c>
      <c r="BA193" s="109">
        <f t="shared" ref="BA193:BA317" si="113">BP193-BD193</f>
        <v>3.11178</v>
      </c>
      <c r="BB193" s="109">
        <f t="shared" ref="BB193:BB317" si="114">BA193*L193</f>
        <v>4.6676700000000002E-2</v>
      </c>
      <c r="BC193" s="109">
        <f t="shared" ref="BC193:BC317" si="115">BP193/(1+D193)</f>
        <v>3.11178</v>
      </c>
      <c r="BD193" s="109">
        <f t="shared" ref="BD193:BD317" si="116">BC193*D193</f>
        <v>0</v>
      </c>
      <c r="BE193" s="109">
        <f t="shared" ref="BE193:BE317" si="117">BT193*0.08</f>
        <v>41075.495999999999</v>
      </c>
      <c r="BF193" s="109">
        <f t="shared" ref="BF193:BF317" si="118">BT193*0.12</f>
        <v>61613.243999999999</v>
      </c>
      <c r="BG193" s="109">
        <f t="shared" ref="BG193:BG317" si="119">(BF193*0.09)/N193</f>
        <v>3.3607223999999998E-2</v>
      </c>
      <c r="BH193" s="109">
        <f t="shared" ref="BH193:BH317" si="120">(BE193*0.15)/N193</f>
        <v>3.7341359999999997E-2</v>
      </c>
      <c r="BI193" s="109">
        <f t="shared" ref="BI193:BI317" si="121">IF(BE193&gt;=$BX$1,($BX$1-BE193)*0.1,IF(BE193&lt;=$BX$1,($BX$1*0)))/N193</f>
        <v>0</v>
      </c>
      <c r="BJ193" s="109">
        <f t="shared" ref="BJ193:BJ317" si="122">(AY193+AZ193+BB193+AV193+BD193+BG193+BH193+BI193)</f>
        <v>0.29173715444999998</v>
      </c>
      <c r="BK193" s="109">
        <f t="shared" ref="BK193:BK317" si="123">BJ193+AU193</f>
        <v>2.913659748086364</v>
      </c>
      <c r="BL193" s="148">
        <v>0.86</v>
      </c>
      <c r="BM193" s="112">
        <f>ROUND((AW193/BL193)+((AW193*BL193)*'CALCULO GERAL'!$E$11)/BL193,2)</f>
        <v>0.62</v>
      </c>
      <c r="BN193" s="186">
        <f t="shared" si="94"/>
        <v>0.62</v>
      </c>
      <c r="BO193" s="186">
        <f t="shared" si="95"/>
        <v>0.72599999999999998</v>
      </c>
      <c r="BP193" s="109">
        <f>BM193*'CALCULO GERAL'!$C$11</f>
        <v>3.11178</v>
      </c>
      <c r="BQ193" s="109">
        <f>BO193*'CALCULO GERAL'!$C$11</f>
        <v>3.6437940000000002</v>
      </c>
      <c r="BR193" s="186">
        <f>BN193*'CALCULO GERAL'!$C$11</f>
        <v>3.11178</v>
      </c>
      <c r="BS193" s="109">
        <f t="shared" ref="BS193:BS317" si="124">BP193*N193</f>
        <v>513443.7</v>
      </c>
      <c r="BT193" s="109">
        <f t="shared" ref="BT193:BT317" si="125">BR193*N193</f>
        <v>513443.7</v>
      </c>
      <c r="BU193" s="109">
        <f t="shared" si="99"/>
        <v>480753.85843425005</v>
      </c>
      <c r="BV193" s="109">
        <f t="shared" si="96"/>
        <v>32689.841565749957</v>
      </c>
      <c r="BW193" s="114">
        <f t="shared" ref="BW193:BW317" si="126">(((BK193*N193)-BS193)/BS193*-1)</f>
        <v>6.3667820962161878E-2</v>
      </c>
      <c r="BX193" s="152">
        <f t="shared" si="100"/>
        <v>0.86</v>
      </c>
      <c r="BZ193" s="55"/>
      <c r="CA193" s="113"/>
      <c r="CB193" s="113"/>
      <c r="CD193" s="152">
        <f t="shared" si="101"/>
        <v>0</v>
      </c>
      <c r="CE193" s="152">
        <f t="shared" si="97"/>
        <v>1</v>
      </c>
      <c r="CF193" s="152">
        <f t="shared" si="98"/>
        <v>1</v>
      </c>
      <c r="CG193" s="34"/>
      <c r="CI193" s="11"/>
      <c r="CJ193" s="11"/>
    </row>
    <row r="194" spans="1:88" s="152" customFormat="1" x14ac:dyDescent="0.2">
      <c r="A194" s="125" t="s">
        <v>329</v>
      </c>
      <c r="B194" s="187" t="s">
        <v>325</v>
      </c>
      <c r="C194" s="8">
        <v>0.26</v>
      </c>
      <c r="D194" s="8">
        <v>0</v>
      </c>
      <c r="E194" s="7">
        <v>2.1000000000000001E-2</v>
      </c>
      <c r="F194" s="7">
        <v>0.1045</v>
      </c>
      <c r="G194" s="1">
        <v>6.4999999999999997E-3</v>
      </c>
      <c r="H194" s="1">
        <v>0.03</v>
      </c>
      <c r="I194" s="1">
        <v>0.18</v>
      </c>
      <c r="J194" s="1">
        <v>0.04</v>
      </c>
      <c r="K194" s="1">
        <v>0.14000000000000001</v>
      </c>
      <c r="L194" s="1">
        <v>1.4999999999999999E-2</v>
      </c>
      <c r="M194" s="2" t="s">
        <v>175</v>
      </c>
      <c r="N194" s="105">
        <v>160000</v>
      </c>
      <c r="O194" s="119">
        <v>0.34</v>
      </c>
      <c r="P194" s="119">
        <v>0.47</v>
      </c>
      <c r="Q194" s="119">
        <v>0.34499999999999997</v>
      </c>
      <c r="R194" s="119">
        <v>0.43</v>
      </c>
      <c r="S194" s="119"/>
      <c r="T194" s="119"/>
      <c r="U194" s="119"/>
      <c r="V194" s="119">
        <v>0.35</v>
      </c>
      <c r="W194" s="119">
        <v>0.35</v>
      </c>
      <c r="X194" s="119">
        <f t="shared" si="103"/>
        <v>0.34</v>
      </c>
      <c r="Y194" s="118">
        <f t="shared" si="104"/>
        <v>0.38083333333333336</v>
      </c>
      <c r="Z194" s="109">
        <f t="shared" si="102"/>
        <v>54400.000000000007</v>
      </c>
      <c r="AA194" s="109">
        <f>'CALCULO GERAL'!$G$10</f>
        <v>6300</v>
      </c>
      <c r="AB194" s="109">
        <f t="shared" si="105"/>
        <v>60700.000000000007</v>
      </c>
      <c r="AC194" s="109">
        <f>AB194*'CALCULO GERAL'!$C$11</f>
        <v>304653.30000000005</v>
      </c>
      <c r="AD194" s="109">
        <f t="shared" si="106"/>
        <v>79209.858000000022</v>
      </c>
      <c r="AE194" s="109">
        <f t="shared" si="107"/>
        <v>0</v>
      </c>
      <c r="AF194" s="109">
        <f t="shared" si="108"/>
        <v>6397.7193000000016</v>
      </c>
      <c r="AG194" s="109">
        <f t="shared" si="109"/>
        <v>31836.269850000004</v>
      </c>
      <c r="AH194" s="109">
        <v>154.22999999999999</v>
      </c>
      <c r="AI194" s="109">
        <f>((AA194*'CALCULO GERAL'!$C$11))*0.08+20</f>
        <v>2549.576</v>
      </c>
      <c r="AJ194" s="109">
        <v>1010</v>
      </c>
      <c r="AK194" s="109">
        <v>2500</v>
      </c>
      <c r="AL194" s="109">
        <f>(AA194*('CALCULO GERAL'!$C$11*1.02))-(AA194*'CALCULO GERAL'!$C$11)</f>
        <v>632.39400000000387</v>
      </c>
      <c r="AM194" s="109">
        <v>1800</v>
      </c>
      <c r="AN194" s="109">
        <v>2600</v>
      </c>
      <c r="AO194" s="109">
        <v>9400</v>
      </c>
      <c r="AP194" s="109">
        <v>1000</v>
      </c>
      <c r="AQ194" s="109">
        <v>0</v>
      </c>
      <c r="AR194" s="109">
        <v>0</v>
      </c>
      <c r="AS194" s="109"/>
      <c r="AT194" s="109">
        <f t="shared" si="93"/>
        <v>443743.34715000005</v>
      </c>
      <c r="AU194" s="111">
        <f t="shared" si="110"/>
        <v>2.7733959196875002</v>
      </c>
      <c r="AV194" s="109">
        <f>IFERROR((BS194*'CALCULO GERAL'!$E$11)/N194,0)</f>
        <v>6.5246999999999999E-2</v>
      </c>
      <c r="AW194" s="109">
        <f>AU194/'CALCULO GERAL'!$C$11</f>
        <v>0.55257938228481773</v>
      </c>
      <c r="AX194" s="109">
        <f>BP194-BB194-BD194*'CALCULO GERAL'!$C$11</f>
        <v>3.2134147500000001</v>
      </c>
      <c r="AY194" s="109">
        <f t="shared" si="111"/>
        <v>2.0887195875E-2</v>
      </c>
      <c r="AZ194" s="109">
        <f t="shared" si="112"/>
        <v>9.6402442500000005E-2</v>
      </c>
      <c r="BA194" s="109">
        <f t="shared" si="113"/>
        <v>3.2623500000000001</v>
      </c>
      <c r="BB194" s="109">
        <f t="shared" si="114"/>
        <v>4.893525E-2</v>
      </c>
      <c r="BC194" s="109">
        <f t="shared" si="115"/>
        <v>3.2623500000000001</v>
      </c>
      <c r="BD194" s="109">
        <f t="shared" si="116"/>
        <v>0</v>
      </c>
      <c r="BE194" s="109">
        <f t="shared" si="117"/>
        <v>41758.080000000002</v>
      </c>
      <c r="BF194" s="109">
        <f t="shared" si="118"/>
        <v>62637.119999999995</v>
      </c>
      <c r="BG194" s="109">
        <f t="shared" si="119"/>
        <v>3.5233379999999995E-2</v>
      </c>
      <c r="BH194" s="109">
        <f t="shared" si="120"/>
        <v>3.9148200000000001E-2</v>
      </c>
      <c r="BI194" s="109">
        <f t="shared" si="121"/>
        <v>0</v>
      </c>
      <c r="BJ194" s="109">
        <f t="shared" si="122"/>
        <v>0.30585346837499999</v>
      </c>
      <c r="BK194" s="109">
        <f t="shared" si="123"/>
        <v>3.0792493880625003</v>
      </c>
      <c r="BL194" s="148">
        <v>0.86</v>
      </c>
      <c r="BM194" s="112">
        <f>ROUND((AW194/BL194)+((AW194*BL194)*'CALCULO GERAL'!$E$11)/BL194,2)</f>
        <v>0.65</v>
      </c>
      <c r="BN194" s="186">
        <f t="shared" si="94"/>
        <v>0.65</v>
      </c>
      <c r="BO194" s="186">
        <f t="shared" si="95"/>
        <v>0.76200000000000001</v>
      </c>
      <c r="BP194" s="109">
        <f>BM194*'CALCULO GERAL'!$C$11</f>
        <v>3.2623500000000001</v>
      </c>
      <c r="BQ194" s="109">
        <f>BO194*'CALCULO GERAL'!$C$11</f>
        <v>3.824478</v>
      </c>
      <c r="BR194" s="186">
        <f>BN194*'CALCULO GERAL'!$C$11</f>
        <v>3.2623500000000001</v>
      </c>
      <c r="BS194" s="109">
        <f t="shared" si="124"/>
        <v>521976</v>
      </c>
      <c r="BT194" s="109">
        <f t="shared" si="125"/>
        <v>521976</v>
      </c>
      <c r="BU194" s="109">
        <f t="shared" si="99"/>
        <v>492679.90209000005</v>
      </c>
      <c r="BV194" s="109">
        <f t="shared" si="96"/>
        <v>29296.097909999953</v>
      </c>
      <c r="BW194" s="114">
        <f t="shared" si="126"/>
        <v>5.612537340797269E-2</v>
      </c>
      <c r="BX194" s="152">
        <f t="shared" si="100"/>
        <v>0.86</v>
      </c>
      <c r="BZ194" s="55"/>
      <c r="CA194" s="113"/>
      <c r="CB194" s="113"/>
      <c r="CD194" s="152">
        <f t="shared" si="101"/>
        <v>0</v>
      </c>
      <c r="CE194" s="152">
        <f t="shared" si="97"/>
        <v>1</v>
      </c>
      <c r="CF194" s="152">
        <f t="shared" si="98"/>
        <v>1</v>
      </c>
      <c r="CG194" s="34"/>
      <c r="CI194" s="11"/>
      <c r="CJ194" s="11"/>
    </row>
    <row r="195" spans="1:88" s="152" customFormat="1" x14ac:dyDescent="0.2">
      <c r="A195" s="125" t="s">
        <v>330</v>
      </c>
      <c r="B195" s="187" t="s">
        <v>297</v>
      </c>
      <c r="C195" s="8">
        <v>0.26</v>
      </c>
      <c r="D195" s="8">
        <v>0</v>
      </c>
      <c r="E195" s="7">
        <v>2.1000000000000001E-2</v>
      </c>
      <c r="F195" s="7">
        <v>0.1045</v>
      </c>
      <c r="G195" s="1">
        <v>6.4999999999999997E-3</v>
      </c>
      <c r="H195" s="1">
        <v>0.03</v>
      </c>
      <c r="I195" s="1">
        <v>0.18</v>
      </c>
      <c r="J195" s="1">
        <v>0.04</v>
      </c>
      <c r="K195" s="1">
        <v>0.14000000000000001</v>
      </c>
      <c r="L195" s="1">
        <v>1.4999999999999999E-2</v>
      </c>
      <c r="M195" s="2" t="s">
        <v>175</v>
      </c>
      <c r="N195" s="105">
        <v>140000</v>
      </c>
      <c r="O195" s="119">
        <v>0.42499999999999999</v>
      </c>
      <c r="P195" s="119"/>
      <c r="Q195" s="119">
        <v>0.44</v>
      </c>
      <c r="R195" s="119">
        <v>0.5</v>
      </c>
      <c r="S195" s="119"/>
      <c r="T195" s="119"/>
      <c r="U195" s="119"/>
      <c r="V195" s="119" t="s">
        <v>331</v>
      </c>
      <c r="W195" s="119">
        <v>0.46500000000000002</v>
      </c>
      <c r="X195" s="119">
        <f t="shared" si="103"/>
        <v>0.42499999999999999</v>
      </c>
      <c r="Y195" s="118">
        <f t="shared" si="104"/>
        <v>0.45750000000000002</v>
      </c>
      <c r="Z195" s="109">
        <f t="shared" si="102"/>
        <v>59500</v>
      </c>
      <c r="AA195" s="109">
        <f>'CALCULO GERAL'!$G$10</f>
        <v>6300</v>
      </c>
      <c r="AB195" s="109">
        <f t="shared" si="105"/>
        <v>65800</v>
      </c>
      <c r="AC195" s="109">
        <f>AB195*'CALCULO GERAL'!$C$11</f>
        <v>330250.2</v>
      </c>
      <c r="AD195" s="109">
        <f t="shared" si="106"/>
        <v>85865.052000000011</v>
      </c>
      <c r="AE195" s="109">
        <f t="shared" si="107"/>
        <v>0</v>
      </c>
      <c r="AF195" s="109">
        <f t="shared" si="108"/>
        <v>6935.2542000000003</v>
      </c>
      <c r="AG195" s="109">
        <f t="shared" si="109"/>
        <v>34511.145900000003</v>
      </c>
      <c r="AH195" s="109">
        <v>154.22999999999999</v>
      </c>
      <c r="AI195" s="109">
        <f>((AA195*'CALCULO GERAL'!$C$11))*0.08+20</f>
        <v>2549.576</v>
      </c>
      <c r="AJ195" s="109">
        <v>1010</v>
      </c>
      <c r="AK195" s="109">
        <v>2500</v>
      </c>
      <c r="AL195" s="109">
        <f>(AA195*('CALCULO GERAL'!$C$11*1.02))-(AA195*'CALCULO GERAL'!$C$11)</f>
        <v>632.39400000000387</v>
      </c>
      <c r="AM195" s="109">
        <v>1800</v>
      </c>
      <c r="AN195" s="109">
        <v>2600</v>
      </c>
      <c r="AO195" s="109">
        <v>9400</v>
      </c>
      <c r="AP195" s="109">
        <v>1000</v>
      </c>
      <c r="AQ195" s="109">
        <v>0</v>
      </c>
      <c r="AR195" s="109">
        <v>0</v>
      </c>
      <c r="AS195" s="109"/>
      <c r="AT195" s="109">
        <f t="shared" si="93"/>
        <v>479207.85210000008</v>
      </c>
      <c r="AU195" s="111">
        <f t="shared" si="110"/>
        <v>3.4229132292857147</v>
      </c>
      <c r="AV195" s="109">
        <f>IFERROR((BS195*'CALCULO GERAL'!$E$11)/N195,0)</f>
        <v>8.0304E-2</v>
      </c>
      <c r="AW195" s="109">
        <f>AU195/'CALCULO GERAL'!$C$11</f>
        <v>0.68199107975407747</v>
      </c>
      <c r="AX195" s="109">
        <f>BP195-BB195-BD195*'CALCULO GERAL'!$C$11</f>
        <v>3.9549720000000002</v>
      </c>
      <c r="AY195" s="109">
        <f t="shared" si="111"/>
        <v>2.5707318E-2</v>
      </c>
      <c r="AZ195" s="109">
        <f t="shared" si="112"/>
        <v>0.11864916</v>
      </c>
      <c r="BA195" s="109">
        <f t="shared" si="113"/>
        <v>4.0152000000000001</v>
      </c>
      <c r="BB195" s="109">
        <f t="shared" si="114"/>
        <v>6.0227999999999997E-2</v>
      </c>
      <c r="BC195" s="109">
        <f t="shared" si="115"/>
        <v>4.0152000000000001</v>
      </c>
      <c r="BD195" s="109">
        <f t="shared" si="116"/>
        <v>0</v>
      </c>
      <c r="BE195" s="109">
        <f t="shared" si="117"/>
        <v>44970.239999999998</v>
      </c>
      <c r="BF195" s="109">
        <f t="shared" si="118"/>
        <v>67455.360000000001</v>
      </c>
      <c r="BG195" s="109">
        <f t="shared" si="119"/>
        <v>4.3364159999999999E-2</v>
      </c>
      <c r="BH195" s="109">
        <f t="shared" si="120"/>
        <v>4.8182399999999993E-2</v>
      </c>
      <c r="BI195" s="109">
        <f t="shared" si="121"/>
        <v>0</v>
      </c>
      <c r="BJ195" s="109">
        <f t="shared" si="122"/>
        <v>0.376435038</v>
      </c>
      <c r="BK195" s="109">
        <f t="shared" si="123"/>
        <v>3.7993482672857146</v>
      </c>
      <c r="BL195" s="148">
        <v>0.87</v>
      </c>
      <c r="BM195" s="112">
        <f>ROUND((AW195/BL195)+((AW195*BL195)*'CALCULO GERAL'!$E$11)/BL195,2)</f>
        <v>0.8</v>
      </c>
      <c r="BN195" s="186">
        <f t="shared" si="94"/>
        <v>0.8</v>
      </c>
      <c r="BO195" s="186">
        <f t="shared" si="95"/>
        <v>0.93700000000000006</v>
      </c>
      <c r="BP195" s="109">
        <f>BM195*'CALCULO GERAL'!$C$11</f>
        <v>4.0152000000000001</v>
      </c>
      <c r="BQ195" s="109">
        <f>BO195*'CALCULO GERAL'!$C$11</f>
        <v>4.7028030000000003</v>
      </c>
      <c r="BR195" s="186">
        <f>BN195*'CALCULO GERAL'!$C$11</f>
        <v>4.0152000000000001</v>
      </c>
      <c r="BS195" s="109">
        <f t="shared" si="124"/>
        <v>562128</v>
      </c>
      <c r="BT195" s="109">
        <f t="shared" si="125"/>
        <v>562128</v>
      </c>
      <c r="BU195" s="109">
        <f t="shared" si="99"/>
        <v>531908.75742000004</v>
      </c>
      <c r="BV195" s="109">
        <f t="shared" si="96"/>
        <v>30219.242579999962</v>
      </c>
      <c r="BW195" s="114">
        <f t="shared" si="126"/>
        <v>5.3758650307403226E-2</v>
      </c>
      <c r="BX195" s="152">
        <f t="shared" si="100"/>
        <v>0.87</v>
      </c>
      <c r="BZ195" s="55"/>
      <c r="CA195" s="113"/>
      <c r="CB195" s="113"/>
      <c r="CD195" s="152">
        <f t="shared" si="101"/>
        <v>0</v>
      </c>
      <c r="CE195" s="152">
        <f t="shared" si="97"/>
        <v>1</v>
      </c>
      <c r="CF195" s="152">
        <f t="shared" si="98"/>
        <v>1</v>
      </c>
      <c r="CG195" s="34"/>
      <c r="CI195" s="11"/>
      <c r="CJ195" s="11"/>
    </row>
    <row r="196" spans="1:88" s="152" customFormat="1" x14ac:dyDescent="0.2">
      <c r="A196" s="125" t="s">
        <v>332</v>
      </c>
      <c r="B196" s="187" t="s">
        <v>297</v>
      </c>
      <c r="C196" s="8">
        <v>0.26</v>
      </c>
      <c r="D196" s="8">
        <v>0</v>
      </c>
      <c r="E196" s="7">
        <v>2.1000000000000001E-2</v>
      </c>
      <c r="F196" s="7">
        <v>0.1045</v>
      </c>
      <c r="G196" s="1">
        <v>6.4999999999999997E-3</v>
      </c>
      <c r="H196" s="1">
        <v>0.03</v>
      </c>
      <c r="I196" s="1">
        <v>0.18</v>
      </c>
      <c r="J196" s="1">
        <v>0.04</v>
      </c>
      <c r="K196" s="1">
        <v>0.14000000000000001</v>
      </c>
      <c r="L196" s="1">
        <v>1.4999999999999999E-2</v>
      </c>
      <c r="M196" s="2" t="s">
        <v>175</v>
      </c>
      <c r="N196" s="105">
        <v>175000</v>
      </c>
      <c r="O196" s="119">
        <v>0.315</v>
      </c>
      <c r="P196" s="227">
        <v>0.36</v>
      </c>
      <c r="Q196" s="119">
        <v>0.34</v>
      </c>
      <c r="R196" s="227">
        <v>0.38</v>
      </c>
      <c r="S196" s="227"/>
      <c r="T196" s="227"/>
      <c r="U196" s="227"/>
      <c r="V196" s="227">
        <v>0.34</v>
      </c>
      <c r="W196" s="227"/>
      <c r="X196" s="119">
        <f t="shared" si="103"/>
        <v>0.315</v>
      </c>
      <c r="Y196" s="118">
        <f t="shared" si="104"/>
        <v>0.34700000000000003</v>
      </c>
      <c r="Z196" s="109">
        <f>Y196*N196</f>
        <v>60725.000000000007</v>
      </c>
      <c r="AA196" s="109">
        <f>'CALCULO GERAL'!$G$10</f>
        <v>6300</v>
      </c>
      <c r="AB196" s="109">
        <f t="shared" si="105"/>
        <v>67025</v>
      </c>
      <c r="AC196" s="109">
        <f>AB196*'CALCULO GERAL'!$C$11</f>
        <v>336398.47500000003</v>
      </c>
      <c r="AD196" s="109">
        <f t="shared" si="106"/>
        <v>87463.603500000012</v>
      </c>
      <c r="AE196" s="109">
        <f t="shared" si="107"/>
        <v>0</v>
      </c>
      <c r="AF196" s="109">
        <f t="shared" si="108"/>
        <v>7064.367975000001</v>
      </c>
      <c r="AG196" s="109">
        <f t="shared" si="109"/>
        <v>35153.640637500001</v>
      </c>
      <c r="AH196" s="109">
        <v>154.22999999999999</v>
      </c>
      <c r="AI196" s="109">
        <f>((AA196*'CALCULO GERAL'!$C$11))*0.08+20</f>
        <v>2549.576</v>
      </c>
      <c r="AJ196" s="109">
        <v>1010</v>
      </c>
      <c r="AK196" s="109">
        <v>2500</v>
      </c>
      <c r="AL196" s="109">
        <f>(AA196*('CALCULO GERAL'!$C$11*1.02))-(AA196*'CALCULO GERAL'!$C$11)</f>
        <v>632.39400000000387</v>
      </c>
      <c r="AM196" s="109">
        <v>1800</v>
      </c>
      <c r="AN196" s="109">
        <v>2600</v>
      </c>
      <c r="AO196" s="109">
        <v>9400</v>
      </c>
      <c r="AP196" s="109">
        <v>1000</v>
      </c>
      <c r="AQ196" s="109">
        <v>0</v>
      </c>
      <c r="AR196" s="109">
        <v>0</v>
      </c>
      <c r="AS196" s="109"/>
      <c r="AT196" s="109">
        <f t="shared" si="93"/>
        <v>487726.28711250005</v>
      </c>
      <c r="AU196" s="111">
        <f t="shared" si="110"/>
        <v>2.7870073549285719</v>
      </c>
      <c r="AV196" s="109">
        <f>IFERROR((BS196*'CALCULO GERAL'!$E$11)/N196,0)</f>
        <v>6.6250799999999999E-2</v>
      </c>
      <c r="AW196" s="109">
        <f>AU196/'CALCULO GERAL'!$C$11</f>
        <v>0.55529136380326194</v>
      </c>
      <c r="AX196" s="109">
        <f>BP196-BB196-BD196*'CALCULO GERAL'!$C$11</f>
        <v>3.2628519000000002</v>
      </c>
      <c r="AY196" s="109">
        <f t="shared" si="111"/>
        <v>2.1208537350000001E-2</v>
      </c>
      <c r="AZ196" s="109">
        <f t="shared" si="112"/>
        <v>9.7885556999999998E-2</v>
      </c>
      <c r="BA196" s="109">
        <f t="shared" si="113"/>
        <v>3.3125400000000003</v>
      </c>
      <c r="BB196" s="109">
        <f t="shared" si="114"/>
        <v>4.9688099999999999E-2</v>
      </c>
      <c r="BC196" s="109">
        <f t="shared" si="115"/>
        <v>3.3125400000000003</v>
      </c>
      <c r="BD196" s="109">
        <f t="shared" si="116"/>
        <v>0</v>
      </c>
      <c r="BE196" s="109">
        <f t="shared" si="117"/>
        <v>46375.56</v>
      </c>
      <c r="BF196" s="109">
        <f t="shared" si="118"/>
        <v>69563.34</v>
      </c>
      <c r="BG196" s="109">
        <f t="shared" si="119"/>
        <v>3.5775431999999996E-2</v>
      </c>
      <c r="BH196" s="109">
        <f t="shared" si="120"/>
        <v>3.9750479999999998E-2</v>
      </c>
      <c r="BI196" s="109">
        <f t="shared" si="121"/>
        <v>0</v>
      </c>
      <c r="BJ196" s="109">
        <f t="shared" si="122"/>
        <v>0.31055890635</v>
      </c>
      <c r="BK196" s="109">
        <f t="shared" si="123"/>
        <v>3.0975662612785717</v>
      </c>
      <c r="BL196" s="148">
        <v>0.86</v>
      </c>
      <c r="BM196" s="112">
        <f>ROUND((AW196/BL196)+((AW196*BL196)*'CALCULO GERAL'!$E$11)/BL196,2)</f>
        <v>0.66</v>
      </c>
      <c r="BN196" s="186">
        <f t="shared" si="94"/>
        <v>0.66</v>
      </c>
      <c r="BO196" s="186">
        <f t="shared" si="95"/>
        <v>0.77300000000000002</v>
      </c>
      <c r="BP196" s="109">
        <f>BM196*'CALCULO GERAL'!$C$11</f>
        <v>3.3125400000000003</v>
      </c>
      <c r="BQ196" s="109">
        <f>BO196*'CALCULO GERAL'!$C$11</f>
        <v>3.8796870000000001</v>
      </c>
      <c r="BR196" s="186">
        <f>BN196*'CALCULO GERAL'!$C$11</f>
        <v>3.3125400000000003</v>
      </c>
      <c r="BS196" s="109">
        <f t="shared" si="124"/>
        <v>579694.5</v>
      </c>
      <c r="BT196" s="109">
        <f t="shared" si="125"/>
        <v>579694.5</v>
      </c>
      <c r="BU196" s="109">
        <f t="shared" si="99"/>
        <v>542074.09572375007</v>
      </c>
      <c r="BV196" s="109">
        <f t="shared" si="96"/>
        <v>37620.40427624993</v>
      </c>
      <c r="BW196" s="114">
        <f t="shared" si="126"/>
        <v>6.4896948782936406E-2</v>
      </c>
      <c r="BX196" s="152">
        <f t="shared" si="100"/>
        <v>0.86</v>
      </c>
      <c r="BZ196" s="55"/>
      <c r="CA196" s="113"/>
      <c r="CB196" s="113"/>
      <c r="CD196" s="152">
        <f t="shared" si="101"/>
        <v>0</v>
      </c>
      <c r="CE196" s="152">
        <f t="shared" si="97"/>
        <v>1</v>
      </c>
      <c r="CF196" s="152">
        <f t="shared" si="98"/>
        <v>1</v>
      </c>
      <c r="CG196" s="34"/>
      <c r="CI196" s="11"/>
      <c r="CJ196" s="11"/>
    </row>
    <row r="197" spans="1:88" s="152" customFormat="1" x14ac:dyDescent="0.2">
      <c r="A197" s="125" t="s">
        <v>333</v>
      </c>
      <c r="B197" s="187" t="s">
        <v>297</v>
      </c>
      <c r="C197" s="8">
        <v>0.26</v>
      </c>
      <c r="D197" s="8">
        <v>0</v>
      </c>
      <c r="E197" s="7">
        <v>2.1000000000000001E-2</v>
      </c>
      <c r="F197" s="7">
        <v>0.1045</v>
      </c>
      <c r="G197" s="1">
        <v>6.4999999999999997E-3</v>
      </c>
      <c r="H197" s="1">
        <v>0.03</v>
      </c>
      <c r="I197" s="1">
        <v>0.18</v>
      </c>
      <c r="J197" s="1">
        <v>0.04</v>
      </c>
      <c r="K197" s="1">
        <v>0.14000000000000001</v>
      </c>
      <c r="L197" s="1">
        <v>1.4999999999999999E-2</v>
      </c>
      <c r="M197" s="2" t="s">
        <v>175</v>
      </c>
      <c r="N197" s="105">
        <v>165000</v>
      </c>
      <c r="O197" s="119">
        <v>0.37</v>
      </c>
      <c r="P197" s="119">
        <v>0.38</v>
      </c>
      <c r="Q197" s="119">
        <v>0.34</v>
      </c>
      <c r="R197" s="119">
        <v>0.41</v>
      </c>
      <c r="S197" s="119"/>
      <c r="T197" s="119"/>
      <c r="U197" s="119"/>
      <c r="V197" s="119">
        <v>0.36</v>
      </c>
      <c r="W197" s="119">
        <v>0.34499999999999997</v>
      </c>
      <c r="X197" s="119">
        <f t="shared" si="103"/>
        <v>0.34</v>
      </c>
      <c r="Y197" s="118">
        <f t="shared" si="104"/>
        <v>0.36749999999999999</v>
      </c>
      <c r="Z197" s="109">
        <f t="shared" si="102"/>
        <v>56100.000000000007</v>
      </c>
      <c r="AA197" s="109">
        <f>'CALCULO GERAL'!$G$10</f>
        <v>6300</v>
      </c>
      <c r="AB197" s="109">
        <f t="shared" si="105"/>
        <v>62400.000000000007</v>
      </c>
      <c r="AC197" s="109">
        <f>AB197*'CALCULO GERAL'!$C$11</f>
        <v>313185.60000000003</v>
      </c>
      <c r="AD197" s="109">
        <f t="shared" si="106"/>
        <v>81428.256000000008</v>
      </c>
      <c r="AE197" s="109">
        <f t="shared" si="107"/>
        <v>0</v>
      </c>
      <c r="AF197" s="109">
        <f t="shared" si="108"/>
        <v>6576.8976000000011</v>
      </c>
      <c r="AG197" s="109">
        <f t="shared" si="109"/>
        <v>32727.895200000003</v>
      </c>
      <c r="AH197" s="109">
        <v>154.22999999999999</v>
      </c>
      <c r="AI197" s="109">
        <f>((AA197*'CALCULO GERAL'!$C$11))*0.08+20</f>
        <v>2549.576</v>
      </c>
      <c r="AJ197" s="109">
        <v>1010</v>
      </c>
      <c r="AK197" s="109">
        <v>2500</v>
      </c>
      <c r="AL197" s="109">
        <f>(AA197*('CALCULO GERAL'!$C$11*1.02))-(AA197*'CALCULO GERAL'!$C$11)</f>
        <v>632.39400000000387</v>
      </c>
      <c r="AM197" s="109">
        <v>1800</v>
      </c>
      <c r="AN197" s="109">
        <v>2600</v>
      </c>
      <c r="AO197" s="109">
        <v>9400</v>
      </c>
      <c r="AP197" s="109">
        <v>1000</v>
      </c>
      <c r="AQ197" s="109">
        <v>0</v>
      </c>
      <c r="AR197" s="109">
        <v>0</v>
      </c>
      <c r="AS197" s="109"/>
      <c r="AT197" s="109">
        <f t="shared" si="93"/>
        <v>455564.84880000009</v>
      </c>
      <c r="AU197" s="111">
        <f t="shared" si="110"/>
        <v>2.760999083636364</v>
      </c>
      <c r="AV197" s="109">
        <f>IFERROR((BS197*'CALCULO GERAL'!$E$11)/N197,0)</f>
        <v>6.42432E-2</v>
      </c>
      <c r="AW197" s="109">
        <f>AU197/'CALCULO GERAL'!$C$11</f>
        <v>0.55010940100345962</v>
      </c>
      <c r="AX197" s="109">
        <f>BP197-BB197-BD197*'CALCULO GERAL'!$C$11</f>
        <v>3.1639776000000004</v>
      </c>
      <c r="AY197" s="109">
        <f t="shared" si="111"/>
        <v>2.05658544E-2</v>
      </c>
      <c r="AZ197" s="109">
        <f t="shared" si="112"/>
        <v>9.4919328000000011E-2</v>
      </c>
      <c r="BA197" s="109">
        <f t="shared" si="113"/>
        <v>3.2121600000000003</v>
      </c>
      <c r="BB197" s="109">
        <f t="shared" si="114"/>
        <v>4.81824E-2</v>
      </c>
      <c r="BC197" s="109">
        <f t="shared" si="115"/>
        <v>3.2121600000000003</v>
      </c>
      <c r="BD197" s="109">
        <f t="shared" si="116"/>
        <v>0</v>
      </c>
      <c r="BE197" s="109">
        <f t="shared" si="117"/>
        <v>42400.512000000002</v>
      </c>
      <c r="BF197" s="109">
        <f t="shared" si="118"/>
        <v>63600.768000000004</v>
      </c>
      <c r="BG197" s="109">
        <f t="shared" si="119"/>
        <v>3.4691328E-2</v>
      </c>
      <c r="BH197" s="109">
        <f t="shared" si="120"/>
        <v>3.8545919999999997E-2</v>
      </c>
      <c r="BI197" s="109">
        <f t="shared" si="121"/>
        <v>0</v>
      </c>
      <c r="BJ197" s="109">
        <f t="shared" si="122"/>
        <v>0.30114803040000004</v>
      </c>
      <c r="BK197" s="109">
        <f t="shared" si="123"/>
        <v>3.0621471140363639</v>
      </c>
      <c r="BL197" s="148">
        <v>0.87</v>
      </c>
      <c r="BM197" s="112">
        <f>ROUND((AW197/BL197)+((AW197*BL197)*'CALCULO GERAL'!$E$11)/BL197,2)</f>
        <v>0.64</v>
      </c>
      <c r="BN197" s="186">
        <f t="shared" si="94"/>
        <v>0.64</v>
      </c>
      <c r="BO197" s="186">
        <f t="shared" si="95"/>
        <v>0.75</v>
      </c>
      <c r="BP197" s="109">
        <f>BM197*'CALCULO GERAL'!$C$11</f>
        <v>3.2121600000000003</v>
      </c>
      <c r="BQ197" s="109">
        <f>BO197*'CALCULO GERAL'!$C$11</f>
        <v>3.7642500000000001</v>
      </c>
      <c r="BR197" s="186">
        <f>BN197*'CALCULO GERAL'!$C$11</f>
        <v>3.2121600000000003</v>
      </c>
      <c r="BS197" s="109">
        <f t="shared" si="124"/>
        <v>530006.4</v>
      </c>
      <c r="BT197" s="109">
        <f t="shared" si="125"/>
        <v>530006.4</v>
      </c>
      <c r="BU197" s="109">
        <f t="shared" si="99"/>
        <v>505254.27381600003</v>
      </c>
      <c r="BV197" s="109">
        <f t="shared" si="96"/>
        <v>24752.126183999993</v>
      </c>
      <c r="BW197" s="114">
        <f t="shared" si="126"/>
        <v>4.6701560932094391E-2</v>
      </c>
      <c r="BX197" s="152">
        <f t="shared" si="100"/>
        <v>0.87</v>
      </c>
      <c r="BZ197" s="55"/>
      <c r="CA197" s="113"/>
      <c r="CB197" s="113"/>
      <c r="CD197" s="152">
        <f t="shared" si="101"/>
        <v>0</v>
      </c>
      <c r="CE197" s="152">
        <f t="shared" si="97"/>
        <v>1</v>
      </c>
      <c r="CF197" s="152">
        <f t="shared" si="98"/>
        <v>1</v>
      </c>
      <c r="CG197" s="34"/>
      <c r="CI197" s="11"/>
      <c r="CJ197" s="11"/>
    </row>
    <row r="198" spans="1:88" s="152" customFormat="1" x14ac:dyDescent="0.2">
      <c r="A198" s="125" t="s">
        <v>334</v>
      </c>
      <c r="B198" s="187" t="s">
        <v>297</v>
      </c>
      <c r="C198" s="8">
        <v>0.26</v>
      </c>
      <c r="D198" s="8">
        <v>0</v>
      </c>
      <c r="E198" s="7">
        <v>2.1000000000000001E-2</v>
      </c>
      <c r="F198" s="7">
        <v>0.1045</v>
      </c>
      <c r="G198" s="1">
        <v>6.4999999999999997E-3</v>
      </c>
      <c r="H198" s="1">
        <v>0.03</v>
      </c>
      <c r="I198" s="1">
        <v>0.18</v>
      </c>
      <c r="J198" s="1">
        <v>0.04</v>
      </c>
      <c r="K198" s="1">
        <v>0.14000000000000001</v>
      </c>
      <c r="L198" s="1">
        <v>1.4999999999999999E-2</v>
      </c>
      <c r="M198" s="2" t="s">
        <v>175</v>
      </c>
      <c r="N198" s="105">
        <v>160000</v>
      </c>
      <c r="O198" s="119">
        <v>0.33500000000000002</v>
      </c>
      <c r="P198" s="119">
        <v>0.39</v>
      </c>
      <c r="Q198" s="119">
        <v>0.34</v>
      </c>
      <c r="R198" s="119">
        <v>0.43</v>
      </c>
      <c r="S198" s="119"/>
      <c r="T198" s="119"/>
      <c r="U198" s="119"/>
      <c r="V198" s="119">
        <v>0.36</v>
      </c>
      <c r="W198" s="119"/>
      <c r="X198" s="119">
        <f t="shared" si="103"/>
        <v>0.33500000000000002</v>
      </c>
      <c r="Y198" s="118">
        <f t="shared" si="104"/>
        <v>0.371</v>
      </c>
      <c r="Z198" s="109">
        <f>Y198*N198</f>
        <v>59360</v>
      </c>
      <c r="AA198" s="109">
        <f>'CALCULO GERAL'!$G$10</f>
        <v>6300</v>
      </c>
      <c r="AB198" s="109">
        <f t="shared" si="105"/>
        <v>65660</v>
      </c>
      <c r="AC198" s="109">
        <f>AB198*'CALCULO GERAL'!$C$11</f>
        <v>329547.54000000004</v>
      </c>
      <c r="AD198" s="109">
        <f t="shared" si="106"/>
        <v>85682.36040000002</v>
      </c>
      <c r="AE198" s="109">
        <f t="shared" si="107"/>
        <v>0</v>
      </c>
      <c r="AF198" s="109">
        <f t="shared" si="108"/>
        <v>6920.498340000001</v>
      </c>
      <c r="AG198" s="109">
        <f t="shared" si="109"/>
        <v>34437.717929999999</v>
      </c>
      <c r="AH198" s="109">
        <v>154.22999999999999</v>
      </c>
      <c r="AI198" s="109">
        <f>((AA198*'CALCULO GERAL'!$C$11))*0.08+20</f>
        <v>2549.576</v>
      </c>
      <c r="AJ198" s="109">
        <v>1010</v>
      </c>
      <c r="AK198" s="109">
        <v>2500</v>
      </c>
      <c r="AL198" s="109">
        <f>(AA198*('CALCULO GERAL'!$C$11*1.02))-(AA198*'CALCULO GERAL'!$C$11)</f>
        <v>632.39400000000387</v>
      </c>
      <c r="AM198" s="109">
        <v>1800</v>
      </c>
      <c r="AN198" s="109">
        <v>2600</v>
      </c>
      <c r="AO198" s="109">
        <v>9400</v>
      </c>
      <c r="AP198" s="109">
        <v>1000</v>
      </c>
      <c r="AQ198" s="109">
        <v>0</v>
      </c>
      <c r="AR198" s="109">
        <v>0</v>
      </c>
      <c r="AS198" s="109"/>
      <c r="AT198" s="109">
        <f t="shared" si="93"/>
        <v>478234.31667000003</v>
      </c>
      <c r="AU198" s="111">
        <f t="shared" si="110"/>
        <v>2.9889644791875001</v>
      </c>
      <c r="AV198" s="109">
        <f>IFERROR((BS198*'CALCULO GERAL'!$E$11)/N198,0)</f>
        <v>7.0265999999999995E-2</v>
      </c>
      <c r="AW198" s="109">
        <f>AU198/'CALCULO GERAL'!$C$11</f>
        <v>0.59552988228481774</v>
      </c>
      <c r="AX198" s="109">
        <f>BP198-BB198-BD198*'CALCULO GERAL'!$C$11</f>
        <v>3.4606004999999995</v>
      </c>
      <c r="AY198" s="109">
        <f t="shared" si="111"/>
        <v>2.2493903249999996E-2</v>
      </c>
      <c r="AZ198" s="109">
        <f t="shared" si="112"/>
        <v>0.10381801499999999</v>
      </c>
      <c r="BA198" s="109">
        <f t="shared" si="113"/>
        <v>3.5132999999999996</v>
      </c>
      <c r="BB198" s="109">
        <f t="shared" si="114"/>
        <v>5.2699499999999989E-2</v>
      </c>
      <c r="BC198" s="109">
        <f t="shared" si="115"/>
        <v>3.5132999999999996</v>
      </c>
      <c r="BD198" s="109">
        <f t="shared" si="116"/>
        <v>0</v>
      </c>
      <c r="BE198" s="109">
        <f t="shared" si="117"/>
        <v>44970.239999999998</v>
      </c>
      <c r="BF198" s="109">
        <f t="shared" si="118"/>
        <v>67455.360000000001</v>
      </c>
      <c r="BG198" s="109">
        <f t="shared" si="119"/>
        <v>3.7943640000000001E-2</v>
      </c>
      <c r="BH198" s="109">
        <f t="shared" si="120"/>
        <v>4.2159599999999992E-2</v>
      </c>
      <c r="BI198" s="109">
        <f t="shared" si="121"/>
        <v>0</v>
      </c>
      <c r="BJ198" s="109">
        <f t="shared" si="122"/>
        <v>0.32938065824999996</v>
      </c>
      <c r="BK198" s="109">
        <f t="shared" si="123"/>
        <v>3.3183451374374999</v>
      </c>
      <c r="BL198" s="148">
        <v>0.86</v>
      </c>
      <c r="BM198" s="112">
        <f>ROUND((AW198/BL198)+((AW198*BL198)*'CALCULO GERAL'!$E$11)/BL198,2)</f>
        <v>0.7</v>
      </c>
      <c r="BN198" s="186">
        <f t="shared" si="94"/>
        <v>0.7</v>
      </c>
      <c r="BO198" s="186">
        <f t="shared" si="95"/>
        <v>0.82</v>
      </c>
      <c r="BP198" s="109">
        <f>BM198*'CALCULO GERAL'!$C$11</f>
        <v>3.5132999999999996</v>
      </c>
      <c r="BQ198" s="109">
        <f>BO198*'CALCULO GERAL'!$C$11</f>
        <v>4.1155799999999996</v>
      </c>
      <c r="BR198" s="186">
        <f>BN198*'CALCULO GERAL'!$C$11</f>
        <v>3.5132999999999996</v>
      </c>
      <c r="BS198" s="109">
        <f t="shared" si="124"/>
        <v>562128</v>
      </c>
      <c r="BT198" s="109">
        <f t="shared" si="125"/>
        <v>562128</v>
      </c>
      <c r="BU198" s="109">
        <f t="shared" si="99"/>
        <v>530935.22198999999</v>
      </c>
      <c r="BV198" s="109">
        <f t="shared" si="96"/>
        <v>31192.778010000009</v>
      </c>
      <c r="BW198" s="114">
        <f t="shared" si="126"/>
        <v>5.549052530740331E-2</v>
      </c>
      <c r="BX198" s="152">
        <f t="shared" si="100"/>
        <v>0.86</v>
      </c>
      <c r="BZ198" s="55"/>
      <c r="CA198" s="113"/>
      <c r="CB198" s="113"/>
      <c r="CD198" s="152">
        <f t="shared" si="101"/>
        <v>0</v>
      </c>
      <c r="CE198" s="152">
        <f t="shared" si="97"/>
        <v>1</v>
      </c>
      <c r="CF198" s="152">
        <f t="shared" si="98"/>
        <v>1</v>
      </c>
      <c r="CG198" s="34"/>
      <c r="CI198" s="11"/>
      <c r="CJ198" s="11"/>
    </row>
    <row r="199" spans="1:88" s="152" customFormat="1" x14ac:dyDescent="0.2">
      <c r="A199" s="125" t="s">
        <v>335</v>
      </c>
      <c r="B199" s="187" t="s">
        <v>297</v>
      </c>
      <c r="C199" s="8">
        <v>0.26</v>
      </c>
      <c r="D199" s="8">
        <v>0</v>
      </c>
      <c r="E199" s="7">
        <v>2.1000000000000001E-2</v>
      </c>
      <c r="F199" s="7">
        <v>0.1045</v>
      </c>
      <c r="G199" s="1">
        <v>6.4999999999999997E-3</v>
      </c>
      <c r="H199" s="1">
        <v>0.03</v>
      </c>
      <c r="I199" s="1">
        <v>0.18</v>
      </c>
      <c r="J199" s="1">
        <v>0.04</v>
      </c>
      <c r="K199" s="1">
        <v>0.14000000000000001</v>
      </c>
      <c r="L199" s="1">
        <v>1.4999999999999999E-2</v>
      </c>
      <c r="M199" s="2" t="s">
        <v>175</v>
      </c>
      <c r="N199" s="105">
        <v>140000</v>
      </c>
      <c r="O199" s="119">
        <v>0.39500000000000002</v>
      </c>
      <c r="P199" s="119"/>
      <c r="Q199" s="119"/>
      <c r="R199" s="119"/>
      <c r="S199" s="119"/>
      <c r="T199" s="119"/>
      <c r="U199" s="119"/>
      <c r="V199" s="119"/>
      <c r="W199" s="119"/>
      <c r="X199" s="119">
        <f t="shared" si="103"/>
        <v>0.39500000000000002</v>
      </c>
      <c r="Y199" s="118">
        <f t="shared" si="104"/>
        <v>0.39500000000000002</v>
      </c>
      <c r="Z199" s="109">
        <f t="shared" si="102"/>
        <v>55300</v>
      </c>
      <c r="AA199" s="109">
        <f>'CALCULO GERAL'!$G$10</f>
        <v>6300</v>
      </c>
      <c r="AB199" s="109">
        <f t="shared" si="105"/>
        <v>61600</v>
      </c>
      <c r="AC199" s="109">
        <f>AB199*'CALCULO GERAL'!$C$11</f>
        <v>309170.40000000002</v>
      </c>
      <c r="AD199" s="109">
        <f t="shared" si="106"/>
        <v>80384.304000000004</v>
      </c>
      <c r="AE199" s="109">
        <f t="shared" si="107"/>
        <v>0</v>
      </c>
      <c r="AF199" s="109">
        <f t="shared" si="108"/>
        <v>6492.5784000000012</v>
      </c>
      <c r="AG199" s="109">
        <f t="shared" si="109"/>
        <v>32308.306800000002</v>
      </c>
      <c r="AH199" s="109">
        <v>154.22999999999999</v>
      </c>
      <c r="AI199" s="109">
        <f>((AA199*'CALCULO GERAL'!$C$11))*0.08+20</f>
        <v>2549.576</v>
      </c>
      <c r="AJ199" s="109">
        <v>1010</v>
      </c>
      <c r="AK199" s="109">
        <v>2500</v>
      </c>
      <c r="AL199" s="109">
        <f>(AA199*('CALCULO GERAL'!$C$11*1.02))-(AA199*'CALCULO GERAL'!$C$11)</f>
        <v>632.39400000000387</v>
      </c>
      <c r="AM199" s="109">
        <v>1800</v>
      </c>
      <c r="AN199" s="109">
        <v>2600</v>
      </c>
      <c r="AO199" s="109">
        <v>9400</v>
      </c>
      <c r="AP199" s="109">
        <v>1000</v>
      </c>
      <c r="AQ199" s="109">
        <v>0</v>
      </c>
      <c r="AR199" s="109">
        <v>0</v>
      </c>
      <c r="AS199" s="109"/>
      <c r="AT199" s="109">
        <f t="shared" si="93"/>
        <v>450001.78920000006</v>
      </c>
      <c r="AU199" s="111">
        <f t="shared" si="110"/>
        <v>3.2142984942857149</v>
      </c>
      <c r="AV199" s="109">
        <f>IFERROR((BS199*'CALCULO GERAL'!$E$11)/N199,0)</f>
        <v>7.6288800000000018E-2</v>
      </c>
      <c r="AW199" s="109">
        <f>AU199/'CALCULO GERAL'!$C$11</f>
        <v>0.6404260797540775</v>
      </c>
      <c r="AX199" s="109">
        <f>BP199-BB199-BD199*'CALCULO GERAL'!$C$11</f>
        <v>3.7572234000000004</v>
      </c>
      <c r="AY199" s="109">
        <f t="shared" si="111"/>
        <v>2.4421952100000002E-2</v>
      </c>
      <c r="AZ199" s="109">
        <f t="shared" si="112"/>
        <v>0.112716702</v>
      </c>
      <c r="BA199" s="109">
        <f t="shared" si="113"/>
        <v>3.8144400000000003</v>
      </c>
      <c r="BB199" s="109">
        <f t="shared" si="114"/>
        <v>5.7216599999999999E-2</v>
      </c>
      <c r="BC199" s="109">
        <f t="shared" si="115"/>
        <v>3.8144400000000003</v>
      </c>
      <c r="BD199" s="109">
        <f t="shared" si="116"/>
        <v>0</v>
      </c>
      <c r="BE199" s="109">
        <f t="shared" si="117"/>
        <v>42721.72800000001</v>
      </c>
      <c r="BF199" s="109">
        <f t="shared" si="118"/>
        <v>64082.592000000011</v>
      </c>
      <c r="BG199" s="109">
        <f t="shared" si="119"/>
        <v>4.1195952000000008E-2</v>
      </c>
      <c r="BH199" s="109">
        <f t="shared" si="120"/>
        <v>4.5773280000000006E-2</v>
      </c>
      <c r="BI199" s="109">
        <f t="shared" si="121"/>
        <v>0</v>
      </c>
      <c r="BJ199" s="109">
        <f t="shared" si="122"/>
        <v>0.35761328610000009</v>
      </c>
      <c r="BK199" s="109">
        <f t="shared" si="123"/>
        <v>3.5719117803857152</v>
      </c>
      <c r="BL199" s="148">
        <v>0.86</v>
      </c>
      <c r="BM199" s="112">
        <f>ROUND((AW199/BL199)+((AW199*BL199)*'CALCULO GERAL'!$E$11)/BL199,2)</f>
        <v>0.76</v>
      </c>
      <c r="BN199" s="186">
        <f t="shared" si="94"/>
        <v>0.76</v>
      </c>
      <c r="BO199" s="186">
        <f t="shared" si="95"/>
        <v>0.89</v>
      </c>
      <c r="BP199" s="109">
        <f>BM199*'CALCULO GERAL'!$C$11</f>
        <v>3.8144400000000003</v>
      </c>
      <c r="BQ199" s="109">
        <f>BO199*'CALCULO GERAL'!$C$11</f>
        <v>4.4669100000000004</v>
      </c>
      <c r="BR199" s="186">
        <f>BN199*'CALCULO GERAL'!$C$11</f>
        <v>3.8144400000000003</v>
      </c>
      <c r="BS199" s="109">
        <f t="shared" si="124"/>
        <v>534021.60000000009</v>
      </c>
      <c r="BT199" s="109">
        <f t="shared" si="125"/>
        <v>534021.60000000009</v>
      </c>
      <c r="BU199" s="109">
        <f t="shared" si="99"/>
        <v>500067.64925400011</v>
      </c>
      <c r="BV199" s="109">
        <f t="shared" si="96"/>
        <v>33953.950745999988</v>
      </c>
      <c r="BW199" s="114">
        <f t="shared" si="126"/>
        <v>6.3581605586740281E-2</v>
      </c>
      <c r="BX199" s="152">
        <f t="shared" si="100"/>
        <v>0.86</v>
      </c>
      <c r="BZ199" s="55"/>
      <c r="CA199" s="113"/>
      <c r="CB199" s="113"/>
      <c r="CD199" s="152">
        <f t="shared" si="101"/>
        <v>0</v>
      </c>
      <c r="CE199" s="152">
        <f t="shared" si="97"/>
        <v>1</v>
      </c>
      <c r="CF199" s="152">
        <f t="shared" si="98"/>
        <v>1</v>
      </c>
      <c r="CG199" s="34"/>
      <c r="CI199" s="11"/>
      <c r="CJ199" s="11"/>
    </row>
    <row r="200" spans="1:88" s="152" customFormat="1" x14ac:dyDescent="0.2">
      <c r="A200" s="125" t="s">
        <v>336</v>
      </c>
      <c r="B200" s="187" t="s">
        <v>297</v>
      </c>
      <c r="C200" s="8">
        <v>0.26</v>
      </c>
      <c r="D200" s="8">
        <v>0</v>
      </c>
      <c r="E200" s="7">
        <v>2.1000000000000001E-2</v>
      </c>
      <c r="F200" s="7">
        <v>0.1045</v>
      </c>
      <c r="G200" s="1">
        <v>6.4999999999999997E-3</v>
      </c>
      <c r="H200" s="1">
        <v>0.03</v>
      </c>
      <c r="I200" s="1">
        <v>0.18</v>
      </c>
      <c r="J200" s="1">
        <v>0.04</v>
      </c>
      <c r="K200" s="1">
        <v>0.14000000000000001</v>
      </c>
      <c r="L200" s="1">
        <v>1.4999999999999999E-2</v>
      </c>
      <c r="M200" s="2" t="s">
        <v>175</v>
      </c>
      <c r="N200" s="105">
        <v>130000</v>
      </c>
      <c r="O200" s="119">
        <v>0.42499999999999999</v>
      </c>
      <c r="P200" s="119"/>
      <c r="Q200" s="119"/>
      <c r="R200" s="119"/>
      <c r="S200" s="119"/>
      <c r="T200" s="119"/>
      <c r="U200" s="119"/>
      <c r="V200" s="119"/>
      <c r="W200" s="119"/>
      <c r="X200" s="119">
        <f t="shared" si="103"/>
        <v>0.42499999999999999</v>
      </c>
      <c r="Y200" s="118">
        <f t="shared" si="104"/>
        <v>0.42499999999999999</v>
      </c>
      <c r="Z200" s="109">
        <f t="shared" si="102"/>
        <v>55250</v>
      </c>
      <c r="AA200" s="109">
        <f>'CALCULO GERAL'!$G$10</f>
        <v>6300</v>
      </c>
      <c r="AB200" s="109">
        <f t="shared" si="105"/>
        <v>61550</v>
      </c>
      <c r="AC200" s="109">
        <f>AB200*'CALCULO GERAL'!$C$11</f>
        <v>308919.45</v>
      </c>
      <c r="AD200" s="109">
        <f t="shared" si="106"/>
        <v>80319.057000000001</v>
      </c>
      <c r="AE200" s="109">
        <f t="shared" si="107"/>
        <v>0</v>
      </c>
      <c r="AF200" s="109">
        <f t="shared" si="108"/>
        <v>6487.3084500000004</v>
      </c>
      <c r="AG200" s="109">
        <f t="shared" si="109"/>
        <v>32282.082525000002</v>
      </c>
      <c r="AH200" s="109">
        <v>154.22999999999999</v>
      </c>
      <c r="AI200" s="109">
        <f>((AA200*'CALCULO GERAL'!$C$11))*0.08+20</f>
        <v>2549.576</v>
      </c>
      <c r="AJ200" s="109">
        <v>1010</v>
      </c>
      <c r="AK200" s="109">
        <v>2500</v>
      </c>
      <c r="AL200" s="109">
        <f>(AA200*('CALCULO GERAL'!$C$11*1.02))-(AA200*'CALCULO GERAL'!$C$11)</f>
        <v>632.39400000000387</v>
      </c>
      <c r="AM200" s="109">
        <v>1800</v>
      </c>
      <c r="AN200" s="109">
        <v>2600</v>
      </c>
      <c r="AO200" s="109">
        <v>9400</v>
      </c>
      <c r="AP200" s="109">
        <v>1000</v>
      </c>
      <c r="AQ200" s="109">
        <v>0</v>
      </c>
      <c r="AR200" s="109">
        <v>0</v>
      </c>
      <c r="AS200" s="109"/>
      <c r="AT200" s="109">
        <f t="shared" si="93"/>
        <v>449654.09797499998</v>
      </c>
      <c r="AU200" s="111">
        <f t="shared" si="110"/>
        <v>3.458877676730769</v>
      </c>
      <c r="AV200" s="109">
        <f>IFERROR((BS200*'CALCULO GERAL'!$E$11)/N200,0)</f>
        <v>8.1307800000000013E-2</v>
      </c>
      <c r="AW200" s="109">
        <f>AU200/'CALCULO GERAL'!$C$11</f>
        <v>0.68915673973516012</v>
      </c>
      <c r="AX200" s="109">
        <f>BP200-BB200-BD200*'CALCULO GERAL'!$C$11</f>
        <v>4.0044091500000007</v>
      </c>
      <c r="AY200" s="109">
        <f t="shared" si="111"/>
        <v>2.6028659475000004E-2</v>
      </c>
      <c r="AZ200" s="109">
        <f t="shared" si="112"/>
        <v>0.12013227450000002</v>
      </c>
      <c r="BA200" s="109">
        <f t="shared" si="113"/>
        <v>4.0653900000000007</v>
      </c>
      <c r="BB200" s="109">
        <f t="shared" si="114"/>
        <v>6.098085000000001E-2</v>
      </c>
      <c r="BC200" s="109">
        <f t="shared" si="115"/>
        <v>4.0653900000000007</v>
      </c>
      <c r="BD200" s="109">
        <f t="shared" si="116"/>
        <v>0</v>
      </c>
      <c r="BE200" s="109">
        <f t="shared" si="117"/>
        <v>42280.056000000004</v>
      </c>
      <c r="BF200" s="109">
        <f t="shared" si="118"/>
        <v>63420.084000000003</v>
      </c>
      <c r="BG200" s="109">
        <f t="shared" si="119"/>
        <v>4.3906212E-2</v>
      </c>
      <c r="BH200" s="109">
        <f t="shared" si="120"/>
        <v>4.8784680000000004E-2</v>
      </c>
      <c r="BI200" s="109">
        <f t="shared" si="121"/>
        <v>0</v>
      </c>
      <c r="BJ200" s="109">
        <f t="shared" si="122"/>
        <v>0.38114047597500006</v>
      </c>
      <c r="BK200" s="109">
        <f t="shared" si="123"/>
        <v>3.8400181527057691</v>
      </c>
      <c r="BL200" s="148">
        <v>0.87</v>
      </c>
      <c r="BM200" s="112">
        <f>ROUND((AW200/BL200)+((AW200*BL200)*'CALCULO GERAL'!$E$11)/BL200,2)</f>
        <v>0.81</v>
      </c>
      <c r="BN200" s="186">
        <f t="shared" si="94"/>
        <v>0.81</v>
      </c>
      <c r="BO200" s="186">
        <f t="shared" si="95"/>
        <v>0.94899999999999995</v>
      </c>
      <c r="BP200" s="109">
        <f>BM200*'CALCULO GERAL'!$C$11</f>
        <v>4.0653900000000007</v>
      </c>
      <c r="BQ200" s="109">
        <f>BO200*'CALCULO GERAL'!$C$11</f>
        <v>4.7630309999999998</v>
      </c>
      <c r="BR200" s="186">
        <f>BN200*'CALCULO GERAL'!$C$11</f>
        <v>4.0653900000000007</v>
      </c>
      <c r="BS200" s="109">
        <f t="shared" si="124"/>
        <v>528500.70000000007</v>
      </c>
      <c r="BT200" s="109">
        <f t="shared" si="125"/>
        <v>528500.70000000007</v>
      </c>
      <c r="BU200" s="109">
        <f t="shared" si="99"/>
        <v>499202.35985174996</v>
      </c>
      <c r="BV200" s="109">
        <f t="shared" si="96"/>
        <v>29298.340148250107</v>
      </c>
      <c r="BW200" s="114">
        <f t="shared" si="126"/>
        <v>5.5436710203506073E-2</v>
      </c>
      <c r="BX200" s="152">
        <f t="shared" si="100"/>
        <v>0.87</v>
      </c>
      <c r="BZ200" s="55"/>
      <c r="CA200" s="113"/>
      <c r="CB200" s="113"/>
      <c r="CD200" s="152">
        <f t="shared" si="101"/>
        <v>0</v>
      </c>
      <c r="CE200" s="152">
        <f t="shared" si="97"/>
        <v>1</v>
      </c>
      <c r="CF200" s="152">
        <f t="shared" si="98"/>
        <v>1</v>
      </c>
      <c r="CG200" s="34"/>
      <c r="CI200" s="11"/>
      <c r="CJ200" s="11"/>
    </row>
    <row r="201" spans="1:88" s="152" customFormat="1" x14ac:dyDescent="0.2">
      <c r="A201" s="125" t="s">
        <v>337</v>
      </c>
      <c r="B201" s="187" t="s">
        <v>325</v>
      </c>
      <c r="C201" s="8">
        <v>0.26</v>
      </c>
      <c r="D201" s="8">
        <v>0</v>
      </c>
      <c r="E201" s="7">
        <v>2.1000000000000001E-2</v>
      </c>
      <c r="F201" s="7">
        <v>0.1045</v>
      </c>
      <c r="G201" s="1">
        <v>6.4999999999999997E-3</v>
      </c>
      <c r="H201" s="1">
        <v>0.03</v>
      </c>
      <c r="I201" s="1">
        <v>0.18</v>
      </c>
      <c r="J201" s="1">
        <v>0.04</v>
      </c>
      <c r="K201" s="1">
        <v>0.14000000000000001</v>
      </c>
      <c r="L201" s="1">
        <v>1.4999999999999999E-2</v>
      </c>
      <c r="M201" s="2" t="s">
        <v>175</v>
      </c>
      <c r="N201" s="105">
        <v>165000</v>
      </c>
      <c r="O201" s="119">
        <v>0.5</v>
      </c>
      <c r="P201" s="119">
        <v>0.49</v>
      </c>
      <c r="Q201" s="119"/>
      <c r="R201" s="119"/>
      <c r="S201" s="119"/>
      <c r="T201" s="119"/>
      <c r="U201" s="119"/>
      <c r="V201" s="119"/>
      <c r="W201" s="119"/>
      <c r="X201" s="119">
        <f t="shared" si="103"/>
        <v>0.49</v>
      </c>
      <c r="Y201" s="118">
        <f t="shared" si="104"/>
        <v>0.495</v>
      </c>
      <c r="Z201" s="109">
        <f t="shared" si="102"/>
        <v>80850</v>
      </c>
      <c r="AA201" s="109">
        <f>'CALCULO GERAL'!$G$10</f>
        <v>6300</v>
      </c>
      <c r="AB201" s="109">
        <f t="shared" si="105"/>
        <v>87150</v>
      </c>
      <c r="AC201" s="109">
        <f>AB201*'CALCULO GERAL'!$C$11</f>
        <v>437405.85000000003</v>
      </c>
      <c r="AD201" s="109">
        <f t="shared" si="106"/>
        <v>113725.52100000001</v>
      </c>
      <c r="AE201" s="109">
        <f t="shared" si="107"/>
        <v>0</v>
      </c>
      <c r="AF201" s="109">
        <f t="shared" si="108"/>
        <v>9185.5228500000012</v>
      </c>
      <c r="AG201" s="109">
        <f t="shared" si="109"/>
        <v>45708.911325000001</v>
      </c>
      <c r="AH201" s="109">
        <v>154.22999999999999</v>
      </c>
      <c r="AI201" s="109">
        <f>((AA201*'CALCULO GERAL'!$C$11))*0.08+20</f>
        <v>2549.576</v>
      </c>
      <c r="AJ201" s="109">
        <v>1010</v>
      </c>
      <c r="AK201" s="109">
        <v>2500</v>
      </c>
      <c r="AL201" s="109">
        <f>(AA201*('CALCULO GERAL'!$C$11*1.02))-(AA201*'CALCULO GERAL'!$C$11)</f>
        <v>632.39400000000387</v>
      </c>
      <c r="AM201" s="109">
        <v>1800</v>
      </c>
      <c r="AN201" s="109">
        <v>2600</v>
      </c>
      <c r="AO201" s="109">
        <v>9400</v>
      </c>
      <c r="AP201" s="109">
        <v>1000</v>
      </c>
      <c r="AQ201" s="109">
        <v>0</v>
      </c>
      <c r="AR201" s="109">
        <v>0</v>
      </c>
      <c r="AS201" s="109"/>
      <c r="AT201" s="109">
        <f t="shared" si="93"/>
        <v>627672.00517499994</v>
      </c>
      <c r="AU201" s="111">
        <f t="shared" si="110"/>
        <v>3.8040727586363632</v>
      </c>
      <c r="AV201" s="109">
        <f>IFERROR((BS201*'CALCULO GERAL'!$E$11)/N201,0)</f>
        <v>8.8334399999999993E-2</v>
      </c>
      <c r="AW201" s="109">
        <f>AU201/'CALCULO GERAL'!$C$11</f>
        <v>0.75793440100345943</v>
      </c>
      <c r="AX201" s="109">
        <f>BP201-BB201-BD201*'CALCULO GERAL'!$C$11</f>
        <v>4.3504692</v>
      </c>
      <c r="AY201" s="109">
        <f t="shared" si="111"/>
        <v>2.82780498E-2</v>
      </c>
      <c r="AZ201" s="109">
        <f t="shared" si="112"/>
        <v>0.13051407600000001</v>
      </c>
      <c r="BA201" s="109">
        <f t="shared" si="113"/>
        <v>4.4167199999999998</v>
      </c>
      <c r="BB201" s="109">
        <f t="shared" si="114"/>
        <v>6.6250799999999999E-2</v>
      </c>
      <c r="BC201" s="109">
        <f t="shared" si="115"/>
        <v>4.4167199999999998</v>
      </c>
      <c r="BD201" s="109">
        <f t="shared" si="116"/>
        <v>0</v>
      </c>
      <c r="BE201" s="109">
        <f t="shared" si="117"/>
        <v>58300.703999999998</v>
      </c>
      <c r="BF201" s="109">
        <f t="shared" si="118"/>
        <v>87451.055999999982</v>
      </c>
      <c r="BG201" s="109">
        <f t="shared" si="119"/>
        <v>4.7700575999999988E-2</v>
      </c>
      <c r="BH201" s="109">
        <f t="shared" si="120"/>
        <v>5.3000639999999995E-2</v>
      </c>
      <c r="BI201" s="109">
        <f t="shared" si="121"/>
        <v>0</v>
      </c>
      <c r="BJ201" s="109">
        <f t="shared" si="122"/>
        <v>0.41407854179999998</v>
      </c>
      <c r="BK201" s="109">
        <f t="shared" si="123"/>
        <v>4.2181513004363635</v>
      </c>
      <c r="BL201" s="148">
        <v>0.878</v>
      </c>
      <c r="BM201" s="112">
        <f>ROUND((AW201/BL201)+((AW201*BL201)*'CALCULO GERAL'!$E$11)/BL201,2)</f>
        <v>0.88</v>
      </c>
      <c r="BN201" s="186">
        <f t="shared" si="94"/>
        <v>0.88</v>
      </c>
      <c r="BO201" s="186">
        <f t="shared" si="95"/>
        <v>1.0309999999999999</v>
      </c>
      <c r="BP201" s="109">
        <f>BM201*'CALCULO GERAL'!$C$11</f>
        <v>4.4167199999999998</v>
      </c>
      <c r="BQ201" s="109">
        <f>BO201*'CALCULO GERAL'!$C$11</f>
        <v>5.1745890000000001</v>
      </c>
      <c r="BR201" s="186">
        <f>BN201*'CALCULO GERAL'!$C$11</f>
        <v>4.4167199999999998</v>
      </c>
      <c r="BS201" s="109">
        <f t="shared" si="124"/>
        <v>728758.79999999993</v>
      </c>
      <c r="BT201" s="109">
        <f t="shared" si="125"/>
        <v>728758.79999999993</v>
      </c>
      <c r="BU201" s="109">
        <f t="shared" si="99"/>
        <v>695994.96457199997</v>
      </c>
      <c r="BV201" s="109">
        <f t="shared" si="96"/>
        <v>32763.835427999962</v>
      </c>
      <c r="BW201" s="114">
        <f t="shared" si="126"/>
        <v>4.4958407950614065E-2</v>
      </c>
      <c r="BX201" s="152">
        <f t="shared" si="100"/>
        <v>0.88</v>
      </c>
      <c r="BZ201" s="55"/>
      <c r="CA201" s="113"/>
      <c r="CB201" s="113"/>
      <c r="CD201" s="152">
        <f t="shared" si="101"/>
        <v>0</v>
      </c>
      <c r="CE201" s="152">
        <f t="shared" si="97"/>
        <v>1</v>
      </c>
      <c r="CF201" s="152">
        <f t="shared" si="98"/>
        <v>1</v>
      </c>
      <c r="CG201" s="34"/>
      <c r="CI201" s="11"/>
      <c r="CJ201" s="11"/>
    </row>
    <row r="202" spans="1:88" s="152" customFormat="1" x14ac:dyDescent="0.2">
      <c r="A202" s="125" t="s">
        <v>338</v>
      </c>
      <c r="B202" s="187" t="s">
        <v>325</v>
      </c>
      <c r="C202" s="8">
        <v>0.26</v>
      </c>
      <c r="D202" s="8">
        <v>0</v>
      </c>
      <c r="E202" s="7">
        <v>2.1000000000000001E-2</v>
      </c>
      <c r="F202" s="7">
        <v>0.1045</v>
      </c>
      <c r="G202" s="1">
        <v>6.4999999999999997E-3</v>
      </c>
      <c r="H202" s="1">
        <v>0.03</v>
      </c>
      <c r="I202" s="1">
        <v>0.18</v>
      </c>
      <c r="J202" s="1">
        <v>0.04</v>
      </c>
      <c r="K202" s="1">
        <v>0.14000000000000001</v>
      </c>
      <c r="L202" s="1">
        <v>1.4999999999999999E-2</v>
      </c>
      <c r="M202" s="2" t="s">
        <v>175</v>
      </c>
      <c r="N202" s="105">
        <v>145000</v>
      </c>
      <c r="O202" s="119">
        <v>0.45</v>
      </c>
      <c r="P202" s="119">
        <v>0.49</v>
      </c>
      <c r="Q202" s="119">
        <v>0.37</v>
      </c>
      <c r="R202" s="119">
        <v>0.47</v>
      </c>
      <c r="S202" s="119"/>
      <c r="T202" s="119"/>
      <c r="U202" s="119"/>
      <c r="V202" s="119">
        <v>0.39</v>
      </c>
      <c r="W202" s="119">
        <v>0.375</v>
      </c>
      <c r="X202" s="119">
        <f t="shared" si="103"/>
        <v>0.37</v>
      </c>
      <c r="Y202" s="118">
        <f t="shared" si="104"/>
        <v>0.42416666666666664</v>
      </c>
      <c r="Z202" s="109">
        <f t="shared" si="102"/>
        <v>53650</v>
      </c>
      <c r="AA202" s="109">
        <f>'CALCULO GERAL'!$G$10</f>
        <v>6300</v>
      </c>
      <c r="AB202" s="109">
        <f t="shared" si="105"/>
        <v>59950</v>
      </c>
      <c r="AC202" s="109">
        <f>AB202*'CALCULO GERAL'!$C$11</f>
        <v>300889.05</v>
      </c>
      <c r="AD202" s="109">
        <f t="shared" si="106"/>
        <v>78231.153000000006</v>
      </c>
      <c r="AE202" s="109">
        <f t="shared" si="107"/>
        <v>0</v>
      </c>
      <c r="AF202" s="109">
        <f t="shared" si="108"/>
        <v>6318.6700499999997</v>
      </c>
      <c r="AG202" s="109">
        <f t="shared" si="109"/>
        <v>31442.905724999997</v>
      </c>
      <c r="AH202" s="109">
        <v>154.22999999999999</v>
      </c>
      <c r="AI202" s="109">
        <f>((AA202*'CALCULO GERAL'!$C$11))*0.08+20</f>
        <v>2549.576</v>
      </c>
      <c r="AJ202" s="109">
        <v>1010</v>
      </c>
      <c r="AK202" s="109">
        <v>2500</v>
      </c>
      <c r="AL202" s="109">
        <f>(AA202*('CALCULO GERAL'!$C$11*1.02))-(AA202*'CALCULO GERAL'!$C$11)</f>
        <v>632.39400000000387</v>
      </c>
      <c r="AM202" s="109">
        <v>1800</v>
      </c>
      <c r="AN202" s="109">
        <v>2600</v>
      </c>
      <c r="AO202" s="109">
        <v>9400</v>
      </c>
      <c r="AP202" s="109">
        <v>1000</v>
      </c>
      <c r="AQ202" s="109">
        <v>0</v>
      </c>
      <c r="AR202" s="109">
        <v>0</v>
      </c>
      <c r="AS202" s="109"/>
      <c r="AT202" s="109">
        <f t="shared" si="93"/>
        <v>438527.97877500003</v>
      </c>
      <c r="AU202" s="111">
        <f t="shared" si="110"/>
        <v>3.0243308881034485</v>
      </c>
      <c r="AV202" s="109">
        <f>IFERROR((BS202*'CALCULO GERAL'!$E$11)/N202,0)</f>
        <v>7.1269799999999994E-2</v>
      </c>
      <c r="AW202" s="109">
        <f>AU202/'CALCULO GERAL'!$C$11</f>
        <v>0.6025763873487644</v>
      </c>
      <c r="AX202" s="109">
        <f>BP202-BB202-BD202*'CALCULO GERAL'!$C$11</f>
        <v>3.5100376499999997</v>
      </c>
      <c r="AY202" s="109">
        <f t="shared" si="111"/>
        <v>2.2815244724999996E-2</v>
      </c>
      <c r="AZ202" s="109">
        <f t="shared" si="112"/>
        <v>0.10530112949999999</v>
      </c>
      <c r="BA202" s="109">
        <f t="shared" si="113"/>
        <v>3.5634899999999998</v>
      </c>
      <c r="BB202" s="109">
        <f t="shared" si="114"/>
        <v>5.3452349999999996E-2</v>
      </c>
      <c r="BC202" s="109">
        <f t="shared" si="115"/>
        <v>3.5634899999999998</v>
      </c>
      <c r="BD202" s="109">
        <f t="shared" si="116"/>
        <v>0</v>
      </c>
      <c r="BE202" s="109">
        <f t="shared" si="117"/>
        <v>41336.483999999997</v>
      </c>
      <c r="BF202" s="109">
        <f t="shared" si="118"/>
        <v>62004.725999999995</v>
      </c>
      <c r="BG202" s="109">
        <f t="shared" si="119"/>
        <v>3.8485692000000002E-2</v>
      </c>
      <c r="BH202" s="109">
        <f t="shared" si="120"/>
        <v>4.2761879999999995E-2</v>
      </c>
      <c r="BI202" s="109">
        <f t="shared" si="121"/>
        <v>0</v>
      </c>
      <c r="BJ202" s="109">
        <f t="shared" si="122"/>
        <v>0.33408609622499996</v>
      </c>
      <c r="BK202" s="109">
        <f t="shared" si="123"/>
        <v>3.3584169843284486</v>
      </c>
      <c r="BL202" s="148">
        <v>0.86</v>
      </c>
      <c r="BM202" s="112">
        <f>ROUND((AW202/BL202)+((AW202*BL202)*'CALCULO GERAL'!$E$11)/BL202,2)</f>
        <v>0.71</v>
      </c>
      <c r="BN202" s="186">
        <f t="shared" si="94"/>
        <v>0.71</v>
      </c>
      <c r="BO202" s="186">
        <f t="shared" si="95"/>
        <v>0.83199999999999996</v>
      </c>
      <c r="BP202" s="109">
        <f>BM202*'CALCULO GERAL'!$C$11</f>
        <v>3.5634899999999998</v>
      </c>
      <c r="BQ202" s="109">
        <f>BO202*'CALCULO GERAL'!$C$11</f>
        <v>4.175808</v>
      </c>
      <c r="BR202" s="186">
        <f>BN202*'CALCULO GERAL'!$C$11</f>
        <v>3.5634899999999998</v>
      </c>
      <c r="BS202" s="109">
        <f t="shared" si="124"/>
        <v>516706.05</v>
      </c>
      <c r="BT202" s="109">
        <f t="shared" si="125"/>
        <v>516706.05</v>
      </c>
      <c r="BU202" s="109">
        <f t="shared" si="99"/>
        <v>486970.46272762504</v>
      </c>
      <c r="BV202" s="109">
        <f t="shared" si="96"/>
        <v>29735.587272374949</v>
      </c>
      <c r="BW202" s="114">
        <f t="shared" si="126"/>
        <v>5.7548362889064196E-2</v>
      </c>
      <c r="BX202" s="152">
        <f t="shared" si="100"/>
        <v>0.86</v>
      </c>
      <c r="BZ202" s="55"/>
      <c r="CA202" s="113"/>
      <c r="CB202" s="113"/>
      <c r="CD202" s="152">
        <f t="shared" si="101"/>
        <v>0</v>
      </c>
      <c r="CE202" s="152">
        <f t="shared" si="97"/>
        <v>1</v>
      </c>
      <c r="CF202" s="152">
        <f t="shared" si="98"/>
        <v>1</v>
      </c>
      <c r="CG202" s="34"/>
      <c r="CI202" s="11"/>
      <c r="CJ202" s="11"/>
    </row>
    <row r="203" spans="1:88" s="152" customFormat="1" x14ac:dyDescent="0.2">
      <c r="A203" s="125" t="s">
        <v>339</v>
      </c>
      <c r="B203" s="187" t="s">
        <v>297</v>
      </c>
      <c r="C203" s="8">
        <v>0.26</v>
      </c>
      <c r="D203" s="8">
        <v>0</v>
      </c>
      <c r="E203" s="7">
        <v>2.1000000000000001E-2</v>
      </c>
      <c r="F203" s="7">
        <v>0.1045</v>
      </c>
      <c r="G203" s="1">
        <v>6.4999999999999997E-3</v>
      </c>
      <c r="H203" s="1">
        <v>0.03</v>
      </c>
      <c r="I203" s="1">
        <v>0.18</v>
      </c>
      <c r="J203" s="1">
        <v>0.04</v>
      </c>
      <c r="K203" s="1">
        <v>0.14000000000000001</v>
      </c>
      <c r="L203" s="1">
        <v>1.4999999999999999E-2</v>
      </c>
      <c r="M203" s="2" t="s">
        <v>175</v>
      </c>
      <c r="N203" s="105">
        <v>165000</v>
      </c>
      <c r="O203" s="119">
        <v>0.34</v>
      </c>
      <c r="P203" s="119">
        <v>0.42</v>
      </c>
      <c r="Q203" s="119"/>
      <c r="R203" s="119"/>
      <c r="S203" s="119"/>
      <c r="T203" s="119"/>
      <c r="U203" s="119"/>
      <c r="V203" s="119"/>
      <c r="W203" s="119"/>
      <c r="X203" s="119">
        <f t="shared" si="103"/>
        <v>0.34</v>
      </c>
      <c r="Y203" s="118">
        <f t="shared" si="104"/>
        <v>0.38</v>
      </c>
      <c r="Z203" s="109">
        <f t="shared" si="102"/>
        <v>56100.000000000007</v>
      </c>
      <c r="AA203" s="109">
        <f>'CALCULO GERAL'!$G$10</f>
        <v>6300</v>
      </c>
      <c r="AB203" s="109">
        <f t="shared" si="105"/>
        <v>62400.000000000007</v>
      </c>
      <c r="AC203" s="109">
        <f>AB203*'CALCULO GERAL'!$C$11</f>
        <v>313185.60000000003</v>
      </c>
      <c r="AD203" s="109">
        <f t="shared" si="106"/>
        <v>81428.256000000008</v>
      </c>
      <c r="AE203" s="109">
        <f t="shared" si="107"/>
        <v>0</v>
      </c>
      <c r="AF203" s="109">
        <f t="shared" si="108"/>
        <v>6576.8976000000011</v>
      </c>
      <c r="AG203" s="109">
        <f t="shared" si="109"/>
        <v>32727.895200000003</v>
      </c>
      <c r="AH203" s="109">
        <v>154.22999999999999</v>
      </c>
      <c r="AI203" s="109">
        <f>((AA203*'CALCULO GERAL'!$C$11))*0.08+20</f>
        <v>2549.576</v>
      </c>
      <c r="AJ203" s="109">
        <v>1010</v>
      </c>
      <c r="AK203" s="109">
        <v>2500</v>
      </c>
      <c r="AL203" s="109">
        <f>(AA203*('CALCULO GERAL'!$C$11*1.02))-(AA203*'CALCULO GERAL'!$C$11)</f>
        <v>632.39400000000387</v>
      </c>
      <c r="AM203" s="109">
        <v>1800</v>
      </c>
      <c r="AN203" s="109">
        <v>2600</v>
      </c>
      <c r="AO203" s="109">
        <v>9400</v>
      </c>
      <c r="AP203" s="109">
        <v>1000</v>
      </c>
      <c r="AQ203" s="109">
        <v>0</v>
      </c>
      <c r="AR203" s="109">
        <v>0</v>
      </c>
      <c r="AS203" s="109"/>
      <c r="AT203" s="109">
        <f t="shared" si="93"/>
        <v>455564.84880000009</v>
      </c>
      <c r="AU203" s="111">
        <f t="shared" si="110"/>
        <v>2.760999083636364</v>
      </c>
      <c r="AV203" s="109">
        <f>IFERROR((BS203*'CALCULO GERAL'!$E$11)/N203,0)</f>
        <v>6.42432E-2</v>
      </c>
      <c r="AW203" s="109">
        <f>AU203/'CALCULO GERAL'!$C$11</f>
        <v>0.55010940100345962</v>
      </c>
      <c r="AX203" s="109">
        <f>BP203-BB203-BD203*'CALCULO GERAL'!$C$11</f>
        <v>3.1639776000000004</v>
      </c>
      <c r="AY203" s="109">
        <f t="shared" si="111"/>
        <v>2.05658544E-2</v>
      </c>
      <c r="AZ203" s="109">
        <f t="shared" si="112"/>
        <v>9.4919328000000011E-2</v>
      </c>
      <c r="BA203" s="109">
        <f t="shared" si="113"/>
        <v>3.2121600000000003</v>
      </c>
      <c r="BB203" s="109">
        <f t="shared" si="114"/>
        <v>4.81824E-2</v>
      </c>
      <c r="BC203" s="109">
        <f t="shared" si="115"/>
        <v>3.2121600000000003</v>
      </c>
      <c r="BD203" s="109">
        <f t="shared" si="116"/>
        <v>0</v>
      </c>
      <c r="BE203" s="109">
        <f t="shared" si="117"/>
        <v>42400.512000000002</v>
      </c>
      <c r="BF203" s="109">
        <f t="shared" si="118"/>
        <v>63600.768000000004</v>
      </c>
      <c r="BG203" s="109">
        <f t="shared" si="119"/>
        <v>3.4691328E-2</v>
      </c>
      <c r="BH203" s="109">
        <f t="shared" si="120"/>
        <v>3.8545919999999997E-2</v>
      </c>
      <c r="BI203" s="109">
        <f t="shared" si="121"/>
        <v>0</v>
      </c>
      <c r="BJ203" s="109">
        <f t="shared" si="122"/>
        <v>0.30114803040000004</v>
      </c>
      <c r="BK203" s="109">
        <f t="shared" si="123"/>
        <v>3.0621471140363639</v>
      </c>
      <c r="BL203" s="148">
        <v>0.87</v>
      </c>
      <c r="BM203" s="112">
        <f>ROUND((AW203/BL203)+((AW203*BL203)*'CALCULO GERAL'!$E$11)/BL203,2)</f>
        <v>0.64</v>
      </c>
      <c r="BN203" s="186">
        <f t="shared" si="94"/>
        <v>0.64</v>
      </c>
      <c r="BO203" s="186">
        <f t="shared" si="95"/>
        <v>0.75</v>
      </c>
      <c r="BP203" s="109">
        <f>BM203*'CALCULO GERAL'!$C$11</f>
        <v>3.2121600000000003</v>
      </c>
      <c r="BQ203" s="109">
        <f>BO203*'CALCULO GERAL'!$C$11</f>
        <v>3.7642500000000001</v>
      </c>
      <c r="BR203" s="186">
        <f>BN203*'CALCULO GERAL'!$C$11</f>
        <v>3.2121600000000003</v>
      </c>
      <c r="BS203" s="109">
        <f t="shared" si="124"/>
        <v>530006.4</v>
      </c>
      <c r="BT203" s="109">
        <f t="shared" si="125"/>
        <v>530006.4</v>
      </c>
      <c r="BU203" s="109">
        <f t="shared" si="99"/>
        <v>505254.27381600003</v>
      </c>
      <c r="BV203" s="109">
        <f t="shared" si="96"/>
        <v>24752.126183999993</v>
      </c>
      <c r="BW203" s="114">
        <f t="shared" si="126"/>
        <v>4.6701560932094391E-2</v>
      </c>
      <c r="BX203" s="152">
        <f t="shared" si="100"/>
        <v>0.87</v>
      </c>
      <c r="BZ203" s="55"/>
      <c r="CA203" s="113"/>
      <c r="CB203" s="113"/>
      <c r="CD203" s="152">
        <f t="shared" si="101"/>
        <v>0</v>
      </c>
      <c r="CE203" s="152">
        <f t="shared" si="97"/>
        <v>1</v>
      </c>
      <c r="CF203" s="152">
        <f t="shared" si="98"/>
        <v>1</v>
      </c>
      <c r="CG203" s="34"/>
      <c r="CI203" s="11"/>
      <c r="CJ203" s="11"/>
    </row>
    <row r="204" spans="1:88" s="152" customFormat="1" x14ac:dyDescent="0.2">
      <c r="A204" s="125" t="s">
        <v>340</v>
      </c>
      <c r="B204" s="187" t="s">
        <v>297</v>
      </c>
      <c r="C204" s="8">
        <v>0.26</v>
      </c>
      <c r="D204" s="8">
        <v>0</v>
      </c>
      <c r="E204" s="7">
        <v>2.1000000000000001E-2</v>
      </c>
      <c r="F204" s="7">
        <v>0.1045</v>
      </c>
      <c r="G204" s="1">
        <v>6.4999999999999997E-3</v>
      </c>
      <c r="H204" s="1">
        <v>0.03</v>
      </c>
      <c r="I204" s="1">
        <v>0.18</v>
      </c>
      <c r="J204" s="1">
        <v>0.04</v>
      </c>
      <c r="K204" s="1">
        <v>0.14000000000000001</v>
      </c>
      <c r="L204" s="1">
        <v>1.4999999999999999E-2</v>
      </c>
      <c r="M204" s="2" t="s">
        <v>175</v>
      </c>
      <c r="N204" s="105">
        <v>145000</v>
      </c>
      <c r="O204" s="119">
        <v>0.45</v>
      </c>
      <c r="P204" s="119"/>
      <c r="Q204" s="119"/>
      <c r="R204" s="119"/>
      <c r="S204" s="119"/>
      <c r="T204" s="119"/>
      <c r="U204" s="119"/>
      <c r="V204" s="119"/>
      <c r="W204" s="119"/>
      <c r="X204" s="119">
        <f t="shared" si="103"/>
        <v>0.45</v>
      </c>
      <c r="Y204" s="118">
        <f t="shared" si="104"/>
        <v>0.45</v>
      </c>
      <c r="Z204" s="109">
        <f t="shared" si="102"/>
        <v>65250</v>
      </c>
      <c r="AA204" s="109">
        <f>'CALCULO GERAL'!$G$10</f>
        <v>6300</v>
      </c>
      <c r="AB204" s="109">
        <f t="shared" si="105"/>
        <v>71550</v>
      </c>
      <c r="AC204" s="109">
        <f>AB204*'CALCULO GERAL'!$C$11</f>
        <v>359109.45</v>
      </c>
      <c r="AD204" s="109">
        <f t="shared" si="106"/>
        <v>93368.457000000009</v>
      </c>
      <c r="AE204" s="109">
        <f t="shared" si="107"/>
        <v>0</v>
      </c>
      <c r="AF204" s="109">
        <f t="shared" si="108"/>
        <v>7541.2984500000011</v>
      </c>
      <c r="AG204" s="109">
        <f t="shared" si="109"/>
        <v>37526.937525000001</v>
      </c>
      <c r="AH204" s="109">
        <v>154.22999999999999</v>
      </c>
      <c r="AI204" s="109">
        <f>((AA204*'CALCULO GERAL'!$C$11))*0.08+20</f>
        <v>2549.576</v>
      </c>
      <c r="AJ204" s="109">
        <v>1010</v>
      </c>
      <c r="AK204" s="109">
        <v>2500</v>
      </c>
      <c r="AL204" s="109">
        <f>(AA204*('CALCULO GERAL'!$C$11*1.02))-(AA204*'CALCULO GERAL'!$C$11)</f>
        <v>632.39400000000387</v>
      </c>
      <c r="AM204" s="109">
        <v>1800</v>
      </c>
      <c r="AN204" s="109">
        <v>2600</v>
      </c>
      <c r="AO204" s="109">
        <v>9400</v>
      </c>
      <c r="AP204" s="109">
        <v>1000</v>
      </c>
      <c r="AQ204" s="109">
        <v>0</v>
      </c>
      <c r="AR204" s="109">
        <v>0</v>
      </c>
      <c r="AS204" s="109"/>
      <c r="AT204" s="109">
        <f t="shared" si="93"/>
        <v>519192.34297500004</v>
      </c>
      <c r="AU204" s="111">
        <f t="shared" si="110"/>
        <v>3.5806368481034485</v>
      </c>
      <c r="AV204" s="109">
        <f>IFERROR((BS204*'CALCULO GERAL'!$E$11)/N204,0)</f>
        <v>8.4319199999999997E-2</v>
      </c>
      <c r="AW204" s="109">
        <f>AU204/'CALCULO GERAL'!$C$11</f>
        <v>0.71341638734876434</v>
      </c>
      <c r="AX204" s="109">
        <f>BP204-BB204-BD204*'CALCULO GERAL'!$C$11</f>
        <v>4.1527206000000003</v>
      </c>
      <c r="AY204" s="109">
        <f t="shared" si="111"/>
        <v>2.6992683900000002E-2</v>
      </c>
      <c r="AZ204" s="109">
        <f t="shared" si="112"/>
        <v>0.12458161800000001</v>
      </c>
      <c r="BA204" s="109">
        <f t="shared" si="113"/>
        <v>4.2159599999999999</v>
      </c>
      <c r="BB204" s="109">
        <f t="shared" si="114"/>
        <v>6.3239400000000001E-2</v>
      </c>
      <c r="BC204" s="109">
        <f t="shared" si="115"/>
        <v>4.2159599999999999</v>
      </c>
      <c r="BD204" s="109">
        <f t="shared" si="116"/>
        <v>0</v>
      </c>
      <c r="BE204" s="109">
        <f t="shared" si="117"/>
        <v>48905.135999999999</v>
      </c>
      <c r="BF204" s="109">
        <f t="shared" si="118"/>
        <v>73357.703999999998</v>
      </c>
      <c r="BG204" s="109">
        <f t="shared" si="119"/>
        <v>4.5532367999999997E-2</v>
      </c>
      <c r="BH204" s="109">
        <f t="shared" si="120"/>
        <v>5.0591519999999994E-2</v>
      </c>
      <c r="BI204" s="109">
        <f t="shared" si="121"/>
        <v>0</v>
      </c>
      <c r="BJ204" s="109">
        <f t="shared" si="122"/>
        <v>0.39525678990000002</v>
      </c>
      <c r="BK204" s="109">
        <f t="shared" si="123"/>
        <v>3.9758936380034484</v>
      </c>
      <c r="BL204" s="148">
        <v>0.86</v>
      </c>
      <c r="BM204" s="112">
        <f>ROUND((AW204/BL204)+((AW204*BL204)*'CALCULO GERAL'!$E$11)/BL204,2)</f>
        <v>0.84</v>
      </c>
      <c r="BN204" s="186">
        <f t="shared" si="94"/>
        <v>0.84</v>
      </c>
      <c r="BO204" s="186">
        <f t="shared" si="95"/>
        <v>0.98399999999999999</v>
      </c>
      <c r="BP204" s="109">
        <f>BM204*'CALCULO GERAL'!$C$11</f>
        <v>4.2159599999999999</v>
      </c>
      <c r="BQ204" s="109">
        <f>BO204*'CALCULO GERAL'!$C$11</f>
        <v>4.9386960000000002</v>
      </c>
      <c r="BR204" s="186">
        <f>BN204*'CALCULO GERAL'!$C$11</f>
        <v>4.2159599999999999</v>
      </c>
      <c r="BS204" s="109">
        <f t="shared" si="124"/>
        <v>611314.19999999995</v>
      </c>
      <c r="BT204" s="109">
        <f t="shared" si="125"/>
        <v>611314.19999999995</v>
      </c>
      <c r="BU204" s="109">
        <f t="shared" si="99"/>
        <v>576504.57751049998</v>
      </c>
      <c r="BV204" s="109">
        <f t="shared" si="96"/>
        <v>34809.622489499976</v>
      </c>
      <c r="BW204" s="114">
        <f t="shared" si="126"/>
        <v>5.694227696575669E-2</v>
      </c>
      <c r="BX204" s="152">
        <f t="shared" si="100"/>
        <v>0.86</v>
      </c>
      <c r="BZ204" s="55"/>
      <c r="CA204" s="113"/>
      <c r="CB204" s="113"/>
      <c r="CD204" s="152">
        <f t="shared" si="101"/>
        <v>0</v>
      </c>
      <c r="CE204" s="152">
        <f t="shared" si="97"/>
        <v>1</v>
      </c>
      <c r="CF204" s="152">
        <f t="shared" si="98"/>
        <v>1</v>
      </c>
      <c r="CG204" s="34"/>
      <c r="CI204" s="11"/>
      <c r="CJ204" s="11"/>
    </row>
    <row r="205" spans="1:88" s="152" customFormat="1" x14ac:dyDescent="0.2">
      <c r="A205" s="125" t="s">
        <v>341</v>
      </c>
      <c r="B205" s="187" t="s">
        <v>325</v>
      </c>
      <c r="C205" s="8">
        <v>0.26</v>
      </c>
      <c r="D205" s="8">
        <v>0</v>
      </c>
      <c r="E205" s="7">
        <v>2.1000000000000001E-2</v>
      </c>
      <c r="F205" s="7">
        <v>0.1045</v>
      </c>
      <c r="G205" s="1">
        <v>6.4999999999999997E-3</v>
      </c>
      <c r="H205" s="1">
        <v>0.03</v>
      </c>
      <c r="I205" s="1">
        <v>0.18</v>
      </c>
      <c r="J205" s="1">
        <v>0.04</v>
      </c>
      <c r="K205" s="1">
        <v>0.14000000000000001</v>
      </c>
      <c r="L205" s="1">
        <v>1.4999999999999999E-2</v>
      </c>
      <c r="M205" s="2" t="s">
        <v>175</v>
      </c>
      <c r="N205" s="105">
        <v>165000</v>
      </c>
      <c r="O205" s="119">
        <v>0.39500000000000002</v>
      </c>
      <c r="P205" s="119"/>
      <c r="Q205" s="119">
        <v>0.36</v>
      </c>
      <c r="R205" s="119">
        <v>0.35</v>
      </c>
      <c r="S205" s="119"/>
      <c r="T205" s="119"/>
      <c r="U205" s="119"/>
      <c r="V205" s="119">
        <v>0.37</v>
      </c>
      <c r="W205" s="119">
        <v>0.36499999999999999</v>
      </c>
      <c r="X205" s="119">
        <f t="shared" si="103"/>
        <v>0.35</v>
      </c>
      <c r="Y205" s="118">
        <f t="shared" si="104"/>
        <v>0.36799999999999999</v>
      </c>
      <c r="Z205" s="109">
        <f t="shared" si="102"/>
        <v>57749.999999999993</v>
      </c>
      <c r="AA205" s="109">
        <f>'CALCULO GERAL'!$G$10</f>
        <v>6300</v>
      </c>
      <c r="AB205" s="109">
        <f t="shared" si="105"/>
        <v>64049.999999999993</v>
      </c>
      <c r="AC205" s="109">
        <f>AB205*'CALCULO GERAL'!$C$11</f>
        <v>321466.94999999995</v>
      </c>
      <c r="AD205" s="109">
        <f t="shared" si="106"/>
        <v>83581.406999999992</v>
      </c>
      <c r="AE205" s="109">
        <f t="shared" si="107"/>
        <v>0</v>
      </c>
      <c r="AF205" s="109">
        <f t="shared" si="108"/>
        <v>6750.805949999999</v>
      </c>
      <c r="AG205" s="109">
        <f t="shared" si="109"/>
        <v>33593.296274999993</v>
      </c>
      <c r="AH205" s="109">
        <v>154.22999999999999</v>
      </c>
      <c r="AI205" s="109">
        <f>((AA205*'CALCULO GERAL'!$C$11))*0.08+20</f>
        <v>2549.576</v>
      </c>
      <c r="AJ205" s="109">
        <v>1010</v>
      </c>
      <c r="AK205" s="109">
        <v>2500</v>
      </c>
      <c r="AL205" s="109">
        <f>(AA205*('CALCULO GERAL'!$C$11*1.02))-(AA205*'CALCULO GERAL'!$C$11)</f>
        <v>632.39400000000387</v>
      </c>
      <c r="AM205" s="109">
        <v>1800</v>
      </c>
      <c r="AN205" s="109">
        <v>2600</v>
      </c>
      <c r="AO205" s="109">
        <v>9400</v>
      </c>
      <c r="AP205" s="109">
        <v>1000</v>
      </c>
      <c r="AQ205" s="109">
        <v>0</v>
      </c>
      <c r="AR205" s="109">
        <v>0</v>
      </c>
      <c r="AS205" s="109"/>
      <c r="AT205" s="109">
        <f t="shared" si="93"/>
        <v>467038.65922499995</v>
      </c>
      <c r="AU205" s="111">
        <f t="shared" si="110"/>
        <v>2.8305373286363635</v>
      </c>
      <c r="AV205" s="109">
        <f>IFERROR((BS205*'CALCULO GERAL'!$E$11)/N205,0)</f>
        <v>6.7254600000000012E-2</v>
      </c>
      <c r="AW205" s="109">
        <f>AU205/'CALCULO GERAL'!$C$11</f>
        <v>0.56396440100345957</v>
      </c>
      <c r="AX205" s="109">
        <f>BP205-BB205-BD205*'CALCULO GERAL'!$C$11</f>
        <v>3.3122890500000004</v>
      </c>
      <c r="AY205" s="109">
        <f t="shared" si="111"/>
        <v>2.1529878825000001E-2</v>
      </c>
      <c r="AZ205" s="109">
        <f t="shared" si="112"/>
        <v>9.9368671500000005E-2</v>
      </c>
      <c r="BA205" s="109">
        <f t="shared" si="113"/>
        <v>3.3627300000000004</v>
      </c>
      <c r="BB205" s="109">
        <f t="shared" si="114"/>
        <v>5.0440950000000005E-2</v>
      </c>
      <c r="BC205" s="109">
        <f t="shared" si="115"/>
        <v>3.3627300000000004</v>
      </c>
      <c r="BD205" s="109">
        <f t="shared" si="116"/>
        <v>0</v>
      </c>
      <c r="BE205" s="109">
        <f t="shared" si="117"/>
        <v>44388.036000000007</v>
      </c>
      <c r="BF205" s="109">
        <f t="shared" si="118"/>
        <v>66582.054000000004</v>
      </c>
      <c r="BG205" s="109">
        <f t="shared" si="119"/>
        <v>3.6317484000000004E-2</v>
      </c>
      <c r="BH205" s="109">
        <f t="shared" si="120"/>
        <v>4.0352760000000001E-2</v>
      </c>
      <c r="BI205" s="109">
        <f t="shared" si="121"/>
        <v>0</v>
      </c>
      <c r="BJ205" s="109">
        <f t="shared" si="122"/>
        <v>0.315264344325</v>
      </c>
      <c r="BK205" s="109">
        <f t="shared" si="123"/>
        <v>3.1458016729613636</v>
      </c>
      <c r="BL205" s="148">
        <v>0.86</v>
      </c>
      <c r="BM205" s="112">
        <f>ROUND((AW205/BL205)+((AW205*BL205)*'CALCULO GERAL'!$E$11)/BL205,2)</f>
        <v>0.67</v>
      </c>
      <c r="BN205" s="186">
        <f t="shared" si="94"/>
        <v>0.67</v>
      </c>
      <c r="BO205" s="186">
        <f t="shared" si="95"/>
        <v>0.78500000000000003</v>
      </c>
      <c r="BP205" s="109">
        <f>BM205*'CALCULO GERAL'!$C$11</f>
        <v>3.3627300000000004</v>
      </c>
      <c r="BQ205" s="109">
        <f>BO205*'CALCULO GERAL'!$C$11</f>
        <v>3.9399150000000001</v>
      </c>
      <c r="BR205" s="186">
        <f>BN205*'CALCULO GERAL'!$C$11</f>
        <v>3.3627300000000004</v>
      </c>
      <c r="BS205" s="109">
        <f t="shared" si="124"/>
        <v>554850.45000000007</v>
      </c>
      <c r="BT205" s="109">
        <f t="shared" si="125"/>
        <v>554850.45000000007</v>
      </c>
      <c r="BU205" s="109">
        <f t="shared" si="99"/>
        <v>519057.27603862499</v>
      </c>
      <c r="BV205" s="109">
        <f t="shared" si="96"/>
        <v>35793.173961375083</v>
      </c>
      <c r="BW205" s="114">
        <f t="shared" si="126"/>
        <v>6.4509588054538075E-2</v>
      </c>
      <c r="BX205" s="152">
        <f t="shared" si="100"/>
        <v>0.86</v>
      </c>
      <c r="BZ205" s="55"/>
      <c r="CA205" s="113"/>
      <c r="CB205" s="113"/>
      <c r="CD205" s="152">
        <f t="shared" si="101"/>
        <v>0</v>
      </c>
      <c r="CE205" s="152">
        <f t="shared" si="97"/>
        <v>1</v>
      </c>
      <c r="CF205" s="152">
        <f t="shared" si="98"/>
        <v>1</v>
      </c>
      <c r="CG205" s="34"/>
      <c r="CI205" s="11"/>
      <c r="CJ205" s="11"/>
    </row>
    <row r="206" spans="1:88" s="152" customFormat="1" x14ac:dyDescent="0.2">
      <c r="A206" s="125" t="s">
        <v>342</v>
      </c>
      <c r="B206" s="187" t="s">
        <v>325</v>
      </c>
      <c r="C206" s="8">
        <v>0.26</v>
      </c>
      <c r="D206" s="8">
        <v>0</v>
      </c>
      <c r="E206" s="7">
        <v>2.1000000000000001E-2</v>
      </c>
      <c r="F206" s="7">
        <v>0.1045</v>
      </c>
      <c r="G206" s="1">
        <v>6.4999999999999997E-3</v>
      </c>
      <c r="H206" s="1">
        <v>0.03</v>
      </c>
      <c r="I206" s="1">
        <v>0.18</v>
      </c>
      <c r="J206" s="1">
        <v>0.04</v>
      </c>
      <c r="K206" s="1">
        <v>0.14000000000000001</v>
      </c>
      <c r="L206" s="1">
        <v>1.4999999999999999E-2</v>
      </c>
      <c r="M206" s="2" t="s">
        <v>175</v>
      </c>
      <c r="N206" s="105">
        <v>154000</v>
      </c>
      <c r="O206" s="119">
        <v>0.44</v>
      </c>
      <c r="P206" s="119">
        <v>0.48</v>
      </c>
      <c r="Q206" s="119">
        <v>0.46</v>
      </c>
      <c r="R206" s="119">
        <v>0.41</v>
      </c>
      <c r="S206" s="119"/>
      <c r="T206" s="119"/>
      <c r="U206" s="119"/>
      <c r="V206" s="119">
        <v>0.47</v>
      </c>
      <c r="W206" s="119">
        <v>0.46500000000000002</v>
      </c>
      <c r="X206" s="119">
        <f t="shared" si="103"/>
        <v>0.41</v>
      </c>
      <c r="Y206" s="118">
        <f t="shared" si="104"/>
        <v>0.45416666666666661</v>
      </c>
      <c r="Z206" s="109">
        <f t="shared" si="102"/>
        <v>63139.999999999993</v>
      </c>
      <c r="AA206" s="109">
        <f>'CALCULO GERAL'!$G$10</f>
        <v>6300</v>
      </c>
      <c r="AB206" s="109">
        <f t="shared" si="105"/>
        <v>69440</v>
      </c>
      <c r="AC206" s="109">
        <f>AB206*'CALCULO GERAL'!$C$11</f>
        <v>348519.36</v>
      </c>
      <c r="AD206" s="109">
        <f t="shared" si="106"/>
        <v>90615.033599999995</v>
      </c>
      <c r="AE206" s="109">
        <f t="shared" si="107"/>
        <v>0</v>
      </c>
      <c r="AF206" s="109">
        <f t="shared" si="108"/>
        <v>7318.9065600000004</v>
      </c>
      <c r="AG206" s="109">
        <f t="shared" si="109"/>
        <v>36420.273119999998</v>
      </c>
      <c r="AH206" s="109">
        <v>154.22999999999999</v>
      </c>
      <c r="AI206" s="109">
        <f>((AA206*'CALCULO GERAL'!$C$11))*0.08+20</f>
        <v>2549.576</v>
      </c>
      <c r="AJ206" s="109">
        <v>1010</v>
      </c>
      <c r="AK206" s="109">
        <v>2500</v>
      </c>
      <c r="AL206" s="109">
        <f>(AA206*('CALCULO GERAL'!$C$11*1.02))-(AA206*'CALCULO GERAL'!$C$11)</f>
        <v>632.39400000000387</v>
      </c>
      <c r="AM206" s="109">
        <v>1800</v>
      </c>
      <c r="AN206" s="109">
        <v>2600</v>
      </c>
      <c r="AO206" s="109">
        <v>9400</v>
      </c>
      <c r="AP206" s="109">
        <v>1000</v>
      </c>
      <c r="AQ206" s="109">
        <v>0</v>
      </c>
      <c r="AR206" s="109">
        <v>0</v>
      </c>
      <c r="AS206" s="109"/>
      <c r="AT206" s="109">
        <f t="shared" si="93"/>
        <v>504519.77327999991</v>
      </c>
      <c r="AU206" s="111">
        <f t="shared" si="110"/>
        <v>3.2761024238961034</v>
      </c>
      <c r="AV206" s="109">
        <f>IFERROR((BS206*'CALCULO GERAL'!$E$11)/N206,0)</f>
        <v>7.6288800000000004E-2</v>
      </c>
      <c r="AW206" s="109">
        <f>AU206/'CALCULO GERAL'!$C$11</f>
        <v>0.65274007250370658</v>
      </c>
      <c r="AX206" s="109">
        <f>BP206-BB206-BD206*'CALCULO GERAL'!$C$11</f>
        <v>3.7572234000000004</v>
      </c>
      <c r="AY206" s="109">
        <f t="shared" si="111"/>
        <v>2.4421952100000002E-2</v>
      </c>
      <c r="AZ206" s="109">
        <f t="shared" si="112"/>
        <v>0.112716702</v>
      </c>
      <c r="BA206" s="109">
        <f t="shared" si="113"/>
        <v>3.8144400000000003</v>
      </c>
      <c r="BB206" s="109">
        <f t="shared" si="114"/>
        <v>5.7216599999999999E-2</v>
      </c>
      <c r="BC206" s="109">
        <f t="shared" si="115"/>
        <v>3.8144400000000003</v>
      </c>
      <c r="BD206" s="109">
        <f t="shared" si="116"/>
        <v>0</v>
      </c>
      <c r="BE206" s="109">
        <f t="shared" si="117"/>
        <v>46993.900800000003</v>
      </c>
      <c r="BF206" s="109">
        <f t="shared" si="118"/>
        <v>70490.851200000005</v>
      </c>
      <c r="BG206" s="109">
        <f t="shared" si="119"/>
        <v>4.1195952000000001E-2</v>
      </c>
      <c r="BH206" s="109">
        <f t="shared" si="120"/>
        <v>4.5773280000000006E-2</v>
      </c>
      <c r="BI206" s="109">
        <f t="shared" si="121"/>
        <v>0</v>
      </c>
      <c r="BJ206" s="109">
        <f t="shared" si="122"/>
        <v>0.35761328610000004</v>
      </c>
      <c r="BK206" s="109">
        <f t="shared" si="123"/>
        <v>3.6337157099961033</v>
      </c>
      <c r="BL206" s="148">
        <v>0.87</v>
      </c>
      <c r="BM206" s="112">
        <f>ROUND((AW206/BL206)+((AW206*BL206)*'CALCULO GERAL'!$E$11)/BL206,2)</f>
        <v>0.76</v>
      </c>
      <c r="BN206" s="186">
        <f t="shared" si="94"/>
        <v>0.76</v>
      </c>
      <c r="BO206" s="186">
        <f t="shared" si="95"/>
        <v>0.89</v>
      </c>
      <c r="BP206" s="109">
        <f>BM206*'CALCULO GERAL'!$C$11</f>
        <v>3.8144400000000003</v>
      </c>
      <c r="BQ206" s="109">
        <f>BO206*'CALCULO GERAL'!$C$11</f>
        <v>4.4669100000000004</v>
      </c>
      <c r="BR206" s="186">
        <f>BN206*'CALCULO GERAL'!$C$11</f>
        <v>3.8144400000000003</v>
      </c>
      <c r="BS206" s="109">
        <f t="shared" si="124"/>
        <v>587423.76</v>
      </c>
      <c r="BT206" s="109">
        <f t="shared" si="125"/>
        <v>587423.76</v>
      </c>
      <c r="BU206" s="109">
        <f t="shared" si="99"/>
        <v>559592.21933939995</v>
      </c>
      <c r="BV206" s="109">
        <f t="shared" si="96"/>
        <v>27831.540660600062</v>
      </c>
      <c r="BW206" s="114">
        <f t="shared" si="126"/>
        <v>4.7378983547754452E-2</v>
      </c>
      <c r="BX206" s="152">
        <f t="shared" si="100"/>
        <v>0.87</v>
      </c>
      <c r="BZ206" s="55"/>
      <c r="CA206" s="113"/>
      <c r="CB206" s="113"/>
      <c r="CD206" s="152">
        <f t="shared" si="101"/>
        <v>0</v>
      </c>
      <c r="CE206" s="152">
        <f t="shared" si="97"/>
        <v>1</v>
      </c>
      <c r="CF206" s="152">
        <f t="shared" si="98"/>
        <v>1</v>
      </c>
      <c r="CG206" s="34"/>
      <c r="CI206" s="11"/>
      <c r="CJ206" s="11"/>
    </row>
    <row r="207" spans="1:88" s="152" customFormat="1" x14ac:dyDescent="0.2">
      <c r="A207" s="125" t="s">
        <v>343</v>
      </c>
      <c r="B207" s="187" t="s">
        <v>325</v>
      </c>
      <c r="C207" s="8">
        <v>0.26</v>
      </c>
      <c r="D207" s="8">
        <v>0</v>
      </c>
      <c r="E207" s="7">
        <v>2.1000000000000001E-2</v>
      </c>
      <c r="F207" s="7">
        <v>0.1045</v>
      </c>
      <c r="G207" s="1">
        <v>6.4999999999999997E-3</v>
      </c>
      <c r="H207" s="1">
        <v>0.03</v>
      </c>
      <c r="I207" s="1">
        <v>0.18</v>
      </c>
      <c r="J207" s="1">
        <v>0.04</v>
      </c>
      <c r="K207" s="1">
        <v>0.14000000000000001</v>
      </c>
      <c r="L207" s="1">
        <v>1.4999999999999999E-2</v>
      </c>
      <c r="M207" s="2" t="s">
        <v>175</v>
      </c>
      <c r="N207" s="105">
        <v>138000</v>
      </c>
      <c r="O207" s="119">
        <v>0.48499999999999999</v>
      </c>
      <c r="P207" s="119">
        <v>0.52</v>
      </c>
      <c r="Q207" s="119">
        <v>0.49</v>
      </c>
      <c r="R207" s="119"/>
      <c r="S207" s="119"/>
      <c r="T207" s="119"/>
      <c r="U207" s="119"/>
      <c r="V207" s="119">
        <v>0.51</v>
      </c>
      <c r="W207" s="119">
        <v>0.495</v>
      </c>
      <c r="X207" s="119">
        <f t="shared" si="103"/>
        <v>0.48499999999999999</v>
      </c>
      <c r="Y207" s="118">
        <f t="shared" si="104"/>
        <v>0.5</v>
      </c>
      <c r="Z207" s="109">
        <f t="shared" si="102"/>
        <v>66930</v>
      </c>
      <c r="AA207" s="109">
        <f>'CALCULO GERAL'!$G$10</f>
        <v>6300</v>
      </c>
      <c r="AB207" s="109">
        <f t="shared" si="105"/>
        <v>73230</v>
      </c>
      <c r="AC207" s="109">
        <f>AB207*'CALCULO GERAL'!$C$11</f>
        <v>367541.37</v>
      </c>
      <c r="AD207" s="109">
        <f t="shared" si="106"/>
        <v>95560.756200000003</v>
      </c>
      <c r="AE207" s="109">
        <f t="shared" si="107"/>
        <v>0</v>
      </c>
      <c r="AF207" s="109">
        <f t="shared" si="108"/>
        <v>7718.36877</v>
      </c>
      <c r="AG207" s="109">
        <f t="shared" si="109"/>
        <v>38408.073164999994</v>
      </c>
      <c r="AH207" s="109">
        <v>154.22999999999999</v>
      </c>
      <c r="AI207" s="109">
        <f>((AA207*'CALCULO GERAL'!$C$11))*0.08+20</f>
        <v>2549.576</v>
      </c>
      <c r="AJ207" s="109">
        <v>1010</v>
      </c>
      <c r="AK207" s="109">
        <v>2500</v>
      </c>
      <c r="AL207" s="109">
        <f>(AA207*('CALCULO GERAL'!$C$11*1.02))-(AA207*'CALCULO GERAL'!$C$11)</f>
        <v>632.39400000000387</v>
      </c>
      <c r="AM207" s="109">
        <v>1800</v>
      </c>
      <c r="AN207" s="109">
        <v>2600</v>
      </c>
      <c r="AO207" s="109">
        <v>9400</v>
      </c>
      <c r="AP207" s="109">
        <v>1000</v>
      </c>
      <c r="AQ207" s="109">
        <v>0</v>
      </c>
      <c r="AR207" s="109">
        <v>0</v>
      </c>
      <c r="AS207" s="109"/>
      <c r="AT207" s="109">
        <f t="shared" si="93"/>
        <v>530874.76813500002</v>
      </c>
      <c r="AU207" s="111">
        <f t="shared" si="110"/>
        <v>3.8469186096739132</v>
      </c>
      <c r="AV207" s="109">
        <f>IFERROR((BS207*'CALCULO GERAL'!$E$11)/N207,0)</f>
        <v>9.0342000000000006E-2</v>
      </c>
      <c r="AW207" s="109">
        <f>AU207/'CALCULO GERAL'!$C$11</f>
        <v>0.76647113163457126</v>
      </c>
      <c r="AX207" s="109">
        <f>BP207-BB207-BD207*'CALCULO GERAL'!$C$11</f>
        <v>4.4493435000000003</v>
      </c>
      <c r="AY207" s="109">
        <f t="shared" si="111"/>
        <v>2.8920732750000001E-2</v>
      </c>
      <c r="AZ207" s="109">
        <f t="shared" si="112"/>
        <v>0.13348030499999999</v>
      </c>
      <c r="BA207" s="109">
        <f t="shared" si="113"/>
        <v>4.5171000000000001</v>
      </c>
      <c r="BB207" s="109">
        <f t="shared" si="114"/>
        <v>6.7756499999999997E-2</v>
      </c>
      <c r="BC207" s="109">
        <f t="shared" si="115"/>
        <v>4.5171000000000001</v>
      </c>
      <c r="BD207" s="109">
        <f t="shared" si="116"/>
        <v>0</v>
      </c>
      <c r="BE207" s="109">
        <f t="shared" si="117"/>
        <v>49868.784000000007</v>
      </c>
      <c r="BF207" s="109">
        <f t="shared" si="118"/>
        <v>74803.176000000007</v>
      </c>
      <c r="BG207" s="109">
        <f t="shared" si="119"/>
        <v>4.8784680000000004E-2</v>
      </c>
      <c r="BH207" s="109">
        <f t="shared" si="120"/>
        <v>5.4205200000000002E-2</v>
      </c>
      <c r="BI207" s="109">
        <f t="shared" si="121"/>
        <v>0</v>
      </c>
      <c r="BJ207" s="109">
        <f t="shared" si="122"/>
        <v>0.42348941775000004</v>
      </c>
      <c r="BK207" s="109">
        <f t="shared" si="123"/>
        <v>4.2704080274239136</v>
      </c>
      <c r="BL207" s="148">
        <v>0.87</v>
      </c>
      <c r="BM207" s="112">
        <f>ROUND((AW207/BL207)+((AW207*BL207)*'CALCULO GERAL'!$E$11)/BL207,2)</f>
        <v>0.9</v>
      </c>
      <c r="BN207" s="186">
        <f t="shared" si="94"/>
        <v>0.9</v>
      </c>
      <c r="BO207" s="186">
        <f t="shared" si="95"/>
        <v>1.054</v>
      </c>
      <c r="BP207" s="109">
        <f>BM207*'CALCULO GERAL'!$C$11</f>
        <v>4.5171000000000001</v>
      </c>
      <c r="BQ207" s="109">
        <f>BO207*'CALCULO GERAL'!$C$11</f>
        <v>5.2900260000000001</v>
      </c>
      <c r="BR207" s="186">
        <f>BN207*'CALCULO GERAL'!$C$11</f>
        <v>4.5171000000000001</v>
      </c>
      <c r="BS207" s="109">
        <f t="shared" si="124"/>
        <v>623359.80000000005</v>
      </c>
      <c r="BT207" s="109">
        <f t="shared" si="125"/>
        <v>623359.80000000005</v>
      </c>
      <c r="BU207" s="109">
        <f t="shared" si="99"/>
        <v>589316.30778450007</v>
      </c>
      <c r="BV207" s="109">
        <f t="shared" si="96"/>
        <v>34043.49221549998</v>
      </c>
      <c r="BW207" s="114">
        <f t="shared" si="126"/>
        <v>5.4612909294920811E-2</v>
      </c>
      <c r="BX207" s="152">
        <f t="shared" si="100"/>
        <v>0.87</v>
      </c>
      <c r="BZ207" s="55"/>
      <c r="CA207" s="113"/>
      <c r="CB207" s="113"/>
      <c r="CD207" s="152">
        <f t="shared" si="101"/>
        <v>0</v>
      </c>
      <c r="CE207" s="152">
        <f t="shared" si="97"/>
        <v>1</v>
      </c>
      <c r="CF207" s="152">
        <f t="shared" si="98"/>
        <v>1</v>
      </c>
      <c r="CG207" s="34"/>
      <c r="CI207" s="11"/>
      <c r="CJ207" s="11"/>
    </row>
    <row r="208" spans="1:88" s="152" customFormat="1" x14ac:dyDescent="0.2">
      <c r="A208" s="125" t="s">
        <v>344</v>
      </c>
      <c r="B208" s="187" t="s">
        <v>325</v>
      </c>
      <c r="C208" s="8">
        <v>0.26</v>
      </c>
      <c r="D208" s="8">
        <v>0</v>
      </c>
      <c r="E208" s="7">
        <v>2.1000000000000001E-2</v>
      </c>
      <c r="F208" s="7">
        <v>0.1045</v>
      </c>
      <c r="G208" s="1">
        <v>6.4999999999999997E-3</v>
      </c>
      <c r="H208" s="1">
        <v>0.03</v>
      </c>
      <c r="I208" s="1">
        <v>0.18</v>
      </c>
      <c r="J208" s="1">
        <v>0.04</v>
      </c>
      <c r="K208" s="1">
        <v>0.14000000000000001</v>
      </c>
      <c r="L208" s="1">
        <v>1.4999999999999999E-2</v>
      </c>
      <c r="M208" s="2" t="s">
        <v>175</v>
      </c>
      <c r="N208" s="105">
        <v>165000</v>
      </c>
      <c r="O208" s="119">
        <v>0.32</v>
      </c>
      <c r="P208" s="119"/>
      <c r="Q208" s="119">
        <v>0.28999999999999998</v>
      </c>
      <c r="R208" s="119">
        <v>0.4</v>
      </c>
      <c r="S208" s="119"/>
      <c r="T208" s="119"/>
      <c r="U208" s="119"/>
      <c r="V208" s="119">
        <v>0.33</v>
      </c>
      <c r="W208" s="119">
        <v>0.29499999999999998</v>
      </c>
      <c r="X208" s="119">
        <f t="shared" si="103"/>
        <v>0.28999999999999998</v>
      </c>
      <c r="Y208" s="118">
        <f t="shared" si="104"/>
        <v>0.32700000000000001</v>
      </c>
      <c r="Z208" s="109">
        <f t="shared" si="102"/>
        <v>47850</v>
      </c>
      <c r="AA208" s="109">
        <f>'CALCULO GERAL'!$G$10</f>
        <v>6300</v>
      </c>
      <c r="AB208" s="109">
        <f t="shared" si="105"/>
        <v>54150</v>
      </c>
      <c r="AC208" s="109">
        <f>AB208*'CALCULO GERAL'!$C$11</f>
        <v>271778.85000000003</v>
      </c>
      <c r="AD208" s="109">
        <f t="shared" si="106"/>
        <v>70662.501000000018</v>
      </c>
      <c r="AE208" s="109">
        <f t="shared" si="107"/>
        <v>0</v>
      </c>
      <c r="AF208" s="109">
        <f t="shared" si="108"/>
        <v>5707.3558500000008</v>
      </c>
      <c r="AG208" s="109">
        <f t="shared" si="109"/>
        <v>28400.889825000002</v>
      </c>
      <c r="AH208" s="109">
        <v>154.22999999999999</v>
      </c>
      <c r="AI208" s="109">
        <f>((AA208*'CALCULO GERAL'!$C$11))*0.08+20</f>
        <v>2549.576</v>
      </c>
      <c r="AJ208" s="109">
        <v>1010</v>
      </c>
      <c r="AK208" s="109">
        <v>2500</v>
      </c>
      <c r="AL208" s="109">
        <f>(AA208*('CALCULO GERAL'!$C$11*1.02))-(AA208*'CALCULO GERAL'!$C$11)</f>
        <v>632.39400000000387</v>
      </c>
      <c r="AM208" s="109">
        <v>1800</v>
      </c>
      <c r="AN208" s="109">
        <v>2600</v>
      </c>
      <c r="AO208" s="109">
        <v>9400</v>
      </c>
      <c r="AP208" s="109">
        <v>1000</v>
      </c>
      <c r="AQ208" s="109">
        <v>0</v>
      </c>
      <c r="AR208" s="109">
        <v>0</v>
      </c>
      <c r="AS208" s="109"/>
      <c r="AT208" s="109">
        <f t="shared" si="93"/>
        <v>398195.79667500005</v>
      </c>
      <c r="AU208" s="111">
        <f t="shared" si="110"/>
        <v>2.4133078586363639</v>
      </c>
      <c r="AV208" s="109">
        <f>IFERROR((BS208*'CALCULO GERAL'!$E$11)/N208,0)</f>
        <v>5.7216599999999999E-2</v>
      </c>
      <c r="AW208" s="109">
        <f>AU208/'CALCULO GERAL'!$C$11</f>
        <v>0.48083440100345964</v>
      </c>
      <c r="AX208" s="109">
        <f>BP208-BB208-BD208*'CALCULO GERAL'!$C$11</f>
        <v>2.8179175499999998</v>
      </c>
      <c r="AY208" s="109">
        <f t="shared" si="111"/>
        <v>1.8316464074999997E-2</v>
      </c>
      <c r="AZ208" s="109">
        <f t="shared" si="112"/>
        <v>8.4537526499999988E-2</v>
      </c>
      <c r="BA208" s="109">
        <f t="shared" si="113"/>
        <v>2.86083</v>
      </c>
      <c r="BB208" s="109">
        <f t="shared" si="114"/>
        <v>4.2912449999999998E-2</v>
      </c>
      <c r="BC208" s="109">
        <f t="shared" si="115"/>
        <v>2.86083</v>
      </c>
      <c r="BD208" s="109">
        <f t="shared" si="116"/>
        <v>0</v>
      </c>
      <c r="BE208" s="109">
        <f t="shared" si="117"/>
        <v>37762.955999999998</v>
      </c>
      <c r="BF208" s="109">
        <f t="shared" si="118"/>
        <v>56644.434000000001</v>
      </c>
      <c r="BG208" s="109">
        <f t="shared" si="119"/>
        <v>3.0896963999999999E-2</v>
      </c>
      <c r="BH208" s="109">
        <f t="shared" si="120"/>
        <v>3.4329959999999993E-2</v>
      </c>
      <c r="BI208" s="109">
        <f t="shared" si="121"/>
        <v>0</v>
      </c>
      <c r="BJ208" s="109">
        <f t="shared" si="122"/>
        <v>0.26820996457500001</v>
      </c>
      <c r="BK208" s="109">
        <f t="shared" si="123"/>
        <v>2.6815178232113639</v>
      </c>
      <c r="BL208" s="148">
        <v>0.86</v>
      </c>
      <c r="BM208" s="112">
        <f>ROUND((AW208/BL208)+((AW208*BL208)*'CALCULO GERAL'!$E$11)/BL208,2)</f>
        <v>0.56999999999999995</v>
      </c>
      <c r="BN208" s="186">
        <f t="shared" si="94"/>
        <v>0.56999999999999995</v>
      </c>
      <c r="BO208" s="186">
        <f t="shared" si="95"/>
        <v>0.66800000000000004</v>
      </c>
      <c r="BP208" s="109">
        <f>BM208*'CALCULO GERAL'!$C$11</f>
        <v>2.86083</v>
      </c>
      <c r="BQ208" s="109">
        <f>BO208*'CALCULO GERAL'!$C$11</f>
        <v>3.3526920000000002</v>
      </c>
      <c r="BR208" s="186">
        <f>BN208*'CALCULO GERAL'!$C$11</f>
        <v>2.86083</v>
      </c>
      <c r="BS208" s="109">
        <f t="shared" si="124"/>
        <v>472036.95</v>
      </c>
      <c r="BT208" s="109">
        <f t="shared" si="125"/>
        <v>472036.95</v>
      </c>
      <c r="BU208" s="109">
        <f t="shared" si="99"/>
        <v>442450.44082987506</v>
      </c>
      <c r="BV208" s="109">
        <f t="shared" si="96"/>
        <v>29586.509170124948</v>
      </c>
      <c r="BW208" s="114">
        <f t="shared" si="126"/>
        <v>6.2678375432526939E-2</v>
      </c>
      <c r="BX208" s="152">
        <f t="shared" si="100"/>
        <v>0.86</v>
      </c>
      <c r="BZ208" s="55"/>
      <c r="CA208" s="113"/>
      <c r="CB208" s="113"/>
      <c r="CD208" s="152">
        <f t="shared" si="101"/>
        <v>0</v>
      </c>
      <c r="CE208" s="152">
        <f t="shared" si="97"/>
        <v>1</v>
      </c>
      <c r="CF208" s="152">
        <f t="shared" si="98"/>
        <v>1</v>
      </c>
      <c r="CG208" s="34"/>
      <c r="CI208" s="11"/>
      <c r="CJ208" s="11"/>
    </row>
    <row r="209" spans="1:88" s="152" customFormat="1" x14ac:dyDescent="0.2">
      <c r="A209" s="125" t="s">
        <v>345</v>
      </c>
      <c r="B209" s="187" t="s">
        <v>325</v>
      </c>
      <c r="C209" s="8">
        <v>0.26</v>
      </c>
      <c r="D209" s="8">
        <v>0</v>
      </c>
      <c r="E209" s="7">
        <v>2.1000000000000001E-2</v>
      </c>
      <c r="F209" s="7">
        <v>0.1045</v>
      </c>
      <c r="G209" s="1">
        <v>6.4999999999999997E-3</v>
      </c>
      <c r="H209" s="1">
        <v>0.03</v>
      </c>
      <c r="I209" s="1">
        <v>0.18</v>
      </c>
      <c r="J209" s="1">
        <v>0.04</v>
      </c>
      <c r="K209" s="1">
        <v>0.14000000000000001</v>
      </c>
      <c r="L209" s="1">
        <v>1.4999999999999999E-2</v>
      </c>
      <c r="M209" s="2" t="s">
        <v>175</v>
      </c>
      <c r="N209" s="105">
        <v>154000</v>
      </c>
      <c r="O209" s="119">
        <v>0.38600000000000001</v>
      </c>
      <c r="P209" s="119">
        <v>0.41</v>
      </c>
      <c r="Q209" s="119">
        <v>0.36</v>
      </c>
      <c r="R209" s="119">
        <v>0.45</v>
      </c>
      <c r="S209" s="119"/>
      <c r="T209" s="119"/>
      <c r="U209" s="119"/>
      <c r="V209" s="119">
        <v>0.38</v>
      </c>
      <c r="W209" s="119">
        <v>0.375</v>
      </c>
      <c r="X209" s="119">
        <f t="shared" si="103"/>
        <v>0.36</v>
      </c>
      <c r="Y209" s="118">
        <f t="shared" si="104"/>
        <v>0.39350000000000002</v>
      </c>
      <c r="Z209" s="109">
        <f t="shared" si="102"/>
        <v>55440</v>
      </c>
      <c r="AA209" s="109">
        <f>'CALCULO GERAL'!$G$10</f>
        <v>6300</v>
      </c>
      <c r="AB209" s="109">
        <f t="shared" si="105"/>
        <v>61740</v>
      </c>
      <c r="AC209" s="109">
        <f>AB209*'CALCULO GERAL'!$C$11</f>
        <v>309873.06</v>
      </c>
      <c r="AD209" s="109">
        <f t="shared" si="106"/>
        <v>80566.995600000009</v>
      </c>
      <c r="AE209" s="109">
        <f t="shared" si="107"/>
        <v>0</v>
      </c>
      <c r="AF209" s="109">
        <f t="shared" si="108"/>
        <v>6507.3342600000005</v>
      </c>
      <c r="AG209" s="109">
        <f t="shared" si="109"/>
        <v>32381.734769999999</v>
      </c>
      <c r="AH209" s="109">
        <v>154.22999999999999</v>
      </c>
      <c r="AI209" s="109">
        <f>((AA209*'CALCULO GERAL'!$C$11))*0.08+20</f>
        <v>2549.576</v>
      </c>
      <c r="AJ209" s="109">
        <v>1010</v>
      </c>
      <c r="AK209" s="109">
        <v>2500</v>
      </c>
      <c r="AL209" s="109">
        <f>(AA209*('CALCULO GERAL'!$C$11*1.02))-(AA209*'CALCULO GERAL'!$C$11)</f>
        <v>632.39400000000387</v>
      </c>
      <c r="AM209" s="109">
        <v>1800</v>
      </c>
      <c r="AN209" s="109">
        <v>2600</v>
      </c>
      <c r="AO209" s="109">
        <v>9400</v>
      </c>
      <c r="AP209" s="109">
        <v>1000</v>
      </c>
      <c r="AQ209" s="109">
        <v>0</v>
      </c>
      <c r="AR209" s="109">
        <v>0</v>
      </c>
      <c r="AS209" s="109"/>
      <c r="AT209" s="109">
        <f t="shared" si="93"/>
        <v>450975.32462999999</v>
      </c>
      <c r="AU209" s="111">
        <f t="shared" si="110"/>
        <v>2.9284111988961037</v>
      </c>
      <c r="AV209" s="109">
        <f>IFERROR((BS209*'CALCULO GERAL'!$E$11)/N209,0)</f>
        <v>6.9262199999999996E-2</v>
      </c>
      <c r="AW209" s="109">
        <f>AU209/'CALCULO GERAL'!$C$11</f>
        <v>0.58346507250370661</v>
      </c>
      <c r="AX209" s="109">
        <f>BP209-BB209-BD209*'CALCULO GERAL'!$C$11</f>
        <v>3.4111633499999998</v>
      </c>
      <c r="AY209" s="109">
        <f t="shared" si="111"/>
        <v>2.2172561774999999E-2</v>
      </c>
      <c r="AZ209" s="109">
        <f t="shared" si="112"/>
        <v>0.10233490049999999</v>
      </c>
      <c r="BA209" s="109">
        <f t="shared" si="113"/>
        <v>3.4631099999999999</v>
      </c>
      <c r="BB209" s="109">
        <f t="shared" si="114"/>
        <v>5.1946649999999997E-2</v>
      </c>
      <c r="BC209" s="109">
        <f t="shared" si="115"/>
        <v>3.4631099999999999</v>
      </c>
      <c r="BD209" s="109">
        <f t="shared" si="116"/>
        <v>0</v>
      </c>
      <c r="BE209" s="109">
        <f t="shared" si="117"/>
        <v>42665.515199999994</v>
      </c>
      <c r="BF209" s="109">
        <f t="shared" si="118"/>
        <v>63998.272799999992</v>
      </c>
      <c r="BG209" s="109">
        <f t="shared" si="119"/>
        <v>3.7401587999999993E-2</v>
      </c>
      <c r="BH209" s="109">
        <f t="shared" si="120"/>
        <v>4.1557319999999988E-2</v>
      </c>
      <c r="BI209" s="109">
        <f t="shared" si="121"/>
        <v>0</v>
      </c>
      <c r="BJ209" s="109">
        <f t="shared" si="122"/>
        <v>0.32467522027500001</v>
      </c>
      <c r="BK209" s="109">
        <f t="shared" si="123"/>
        <v>3.2530864191711037</v>
      </c>
      <c r="BL209" s="148">
        <v>0.86</v>
      </c>
      <c r="BM209" s="112">
        <f>ROUND((AW209/BL209)+((AW209*BL209)*'CALCULO GERAL'!$E$11)/BL209,2)</f>
        <v>0.69</v>
      </c>
      <c r="BN209" s="186">
        <f t="shared" si="94"/>
        <v>0.69</v>
      </c>
      <c r="BO209" s="186">
        <f t="shared" si="95"/>
        <v>0.80800000000000005</v>
      </c>
      <c r="BP209" s="109">
        <f>BM209*'CALCULO GERAL'!$C$11</f>
        <v>3.4631099999999999</v>
      </c>
      <c r="BQ209" s="109">
        <f>BO209*'CALCULO GERAL'!$C$11</f>
        <v>4.0553520000000001</v>
      </c>
      <c r="BR209" s="186">
        <f>BN209*'CALCULO GERAL'!$C$11</f>
        <v>3.4631099999999999</v>
      </c>
      <c r="BS209" s="109">
        <f t="shared" si="124"/>
        <v>533318.93999999994</v>
      </c>
      <c r="BT209" s="109">
        <f t="shared" si="125"/>
        <v>533318.93999999994</v>
      </c>
      <c r="BU209" s="109">
        <f t="shared" si="99"/>
        <v>500975.30855234998</v>
      </c>
      <c r="BV209" s="109">
        <f t="shared" si="96"/>
        <v>32343.631447649968</v>
      </c>
      <c r="BW209" s="114">
        <f t="shared" si="126"/>
        <v>6.0645945646801841E-2</v>
      </c>
      <c r="BX209" s="152">
        <f t="shared" si="100"/>
        <v>0.86</v>
      </c>
      <c r="BZ209" s="55"/>
      <c r="CA209" s="113"/>
      <c r="CB209" s="113"/>
      <c r="CD209" s="152">
        <f t="shared" si="101"/>
        <v>0</v>
      </c>
      <c r="CE209" s="152">
        <f t="shared" si="97"/>
        <v>1</v>
      </c>
      <c r="CF209" s="152">
        <f t="shared" si="98"/>
        <v>1</v>
      </c>
      <c r="CG209" s="34"/>
      <c r="CI209" s="11"/>
      <c r="CJ209" s="11"/>
    </row>
    <row r="210" spans="1:88" s="152" customFormat="1" x14ac:dyDescent="0.2">
      <c r="A210" s="125" t="s">
        <v>346</v>
      </c>
      <c r="B210" s="187" t="s">
        <v>325</v>
      </c>
      <c r="C210" s="8">
        <v>0.26</v>
      </c>
      <c r="D210" s="8">
        <v>0</v>
      </c>
      <c r="E210" s="7">
        <v>2.1000000000000001E-2</v>
      </c>
      <c r="F210" s="7">
        <v>0.1045</v>
      </c>
      <c r="G210" s="1">
        <v>6.4999999999999997E-3</v>
      </c>
      <c r="H210" s="1">
        <v>0.03</v>
      </c>
      <c r="I210" s="1">
        <v>0.18</v>
      </c>
      <c r="J210" s="1">
        <v>0.04</v>
      </c>
      <c r="K210" s="1">
        <v>0.14000000000000001</v>
      </c>
      <c r="L210" s="1">
        <v>1.4999999999999999E-2</v>
      </c>
      <c r="M210" s="2" t="s">
        <v>175</v>
      </c>
      <c r="N210" s="105">
        <v>138000</v>
      </c>
      <c r="O210" s="119">
        <v>0.42</v>
      </c>
      <c r="P210" s="119">
        <v>0.45</v>
      </c>
      <c r="Q210" s="119">
        <v>0.39</v>
      </c>
      <c r="R210" s="119">
        <v>0.48</v>
      </c>
      <c r="S210" s="119"/>
      <c r="T210" s="119"/>
      <c r="U210" s="119"/>
      <c r="V210" s="119">
        <v>0.41499999999999998</v>
      </c>
      <c r="W210" s="119">
        <v>0.39500000000000002</v>
      </c>
      <c r="X210" s="119">
        <f t="shared" si="103"/>
        <v>0.39</v>
      </c>
      <c r="Y210" s="118">
        <f t="shared" si="104"/>
        <v>0.42499999999999999</v>
      </c>
      <c r="Z210" s="109">
        <f t="shared" si="102"/>
        <v>53820</v>
      </c>
      <c r="AA210" s="109">
        <f>'CALCULO GERAL'!$G$10</f>
        <v>6300</v>
      </c>
      <c r="AB210" s="109">
        <f t="shared" si="105"/>
        <v>60120</v>
      </c>
      <c r="AC210" s="109">
        <f>AB210*'CALCULO GERAL'!$C$11</f>
        <v>301742.28000000003</v>
      </c>
      <c r="AD210" s="109">
        <f t="shared" si="106"/>
        <v>78452.992800000007</v>
      </c>
      <c r="AE210" s="109">
        <f t="shared" si="107"/>
        <v>0</v>
      </c>
      <c r="AF210" s="109">
        <f t="shared" si="108"/>
        <v>6336.587880000001</v>
      </c>
      <c r="AG210" s="109">
        <f t="shared" si="109"/>
        <v>31532.06826</v>
      </c>
      <c r="AH210" s="109">
        <v>154.22999999999999</v>
      </c>
      <c r="AI210" s="109">
        <f>((AA210*'CALCULO GERAL'!$C$11))*0.08+20</f>
        <v>2549.576</v>
      </c>
      <c r="AJ210" s="109">
        <v>1010</v>
      </c>
      <c r="AK210" s="109">
        <v>2500</v>
      </c>
      <c r="AL210" s="109">
        <f>(AA210*('CALCULO GERAL'!$C$11*1.02))-(AA210*'CALCULO GERAL'!$C$11)</f>
        <v>632.39400000000387</v>
      </c>
      <c r="AM210" s="109">
        <v>1800</v>
      </c>
      <c r="AN210" s="109">
        <v>2600</v>
      </c>
      <c r="AO210" s="109">
        <v>9400</v>
      </c>
      <c r="AP210" s="109">
        <v>1000</v>
      </c>
      <c r="AQ210" s="109">
        <v>0</v>
      </c>
      <c r="AR210" s="109">
        <v>0</v>
      </c>
      <c r="AS210" s="109"/>
      <c r="AT210" s="109">
        <f t="shared" si="93"/>
        <v>439710.12894000002</v>
      </c>
      <c r="AU210" s="111">
        <f t="shared" si="110"/>
        <v>3.1863052821739131</v>
      </c>
      <c r="AV210" s="109">
        <f>IFERROR((BS210*'CALCULO GERAL'!$E$11)/N210,0)</f>
        <v>7.5285000000000005E-2</v>
      </c>
      <c r="AW210" s="109">
        <f>AU210/'CALCULO GERAL'!$C$11</f>
        <v>0.63484863163457128</v>
      </c>
      <c r="AX210" s="109">
        <f>BP210-BB210-BD210*'CALCULO GERAL'!$C$11</f>
        <v>3.7077862500000003</v>
      </c>
      <c r="AY210" s="109">
        <f t="shared" si="111"/>
        <v>2.4100610625000001E-2</v>
      </c>
      <c r="AZ210" s="109">
        <f t="shared" si="112"/>
        <v>0.11123358750000001</v>
      </c>
      <c r="BA210" s="109">
        <f t="shared" si="113"/>
        <v>3.7642500000000001</v>
      </c>
      <c r="BB210" s="109">
        <f t="shared" si="114"/>
        <v>5.646375E-2</v>
      </c>
      <c r="BC210" s="109">
        <f t="shared" si="115"/>
        <v>3.7642500000000001</v>
      </c>
      <c r="BD210" s="109">
        <f t="shared" si="116"/>
        <v>0</v>
      </c>
      <c r="BE210" s="109">
        <f t="shared" si="117"/>
        <v>41557.32</v>
      </c>
      <c r="BF210" s="109">
        <f t="shared" si="118"/>
        <v>62335.979999999996</v>
      </c>
      <c r="BG210" s="109">
        <f t="shared" si="119"/>
        <v>4.06539E-2</v>
      </c>
      <c r="BH210" s="109">
        <f t="shared" si="120"/>
        <v>4.5171000000000003E-2</v>
      </c>
      <c r="BI210" s="109">
        <f t="shared" si="121"/>
        <v>0</v>
      </c>
      <c r="BJ210" s="109">
        <f t="shared" si="122"/>
        <v>0.35290784812500003</v>
      </c>
      <c r="BK210" s="109">
        <f t="shared" si="123"/>
        <v>3.5392131302989132</v>
      </c>
      <c r="BL210" s="148">
        <v>0.86</v>
      </c>
      <c r="BM210" s="112">
        <f>ROUND((AW210/BL210)+((AW210*BL210)*'CALCULO GERAL'!$E$11)/BL210,2)</f>
        <v>0.75</v>
      </c>
      <c r="BN210" s="186">
        <f t="shared" si="94"/>
        <v>0.75</v>
      </c>
      <c r="BO210" s="186">
        <f t="shared" si="95"/>
        <v>0.879</v>
      </c>
      <c r="BP210" s="109">
        <f>BM210*'CALCULO GERAL'!$C$11</f>
        <v>3.7642500000000001</v>
      </c>
      <c r="BQ210" s="109">
        <f>BO210*'CALCULO GERAL'!$C$11</f>
        <v>4.4117009999999999</v>
      </c>
      <c r="BR210" s="186">
        <f>BN210*'CALCULO GERAL'!$C$11</f>
        <v>3.7642500000000001</v>
      </c>
      <c r="BS210" s="109">
        <f t="shared" si="124"/>
        <v>519466.5</v>
      </c>
      <c r="BT210" s="109">
        <f t="shared" si="125"/>
        <v>519466.5</v>
      </c>
      <c r="BU210" s="109">
        <f t="shared" si="99"/>
        <v>488411.41198125004</v>
      </c>
      <c r="BV210" s="109">
        <f t="shared" si="96"/>
        <v>31055.088018749957</v>
      </c>
      <c r="BW210" s="114">
        <f t="shared" si="126"/>
        <v>5.97826578205716E-2</v>
      </c>
      <c r="BX210" s="152">
        <f t="shared" si="100"/>
        <v>0.86</v>
      </c>
      <c r="BZ210" s="55"/>
      <c r="CA210" s="113"/>
      <c r="CB210" s="113"/>
      <c r="CD210" s="152">
        <f t="shared" si="101"/>
        <v>0</v>
      </c>
      <c r="CE210" s="152">
        <f t="shared" si="97"/>
        <v>1</v>
      </c>
      <c r="CF210" s="152">
        <f t="shared" si="98"/>
        <v>1</v>
      </c>
      <c r="CG210" s="34"/>
      <c r="CI210" s="11"/>
      <c r="CJ210" s="11"/>
    </row>
    <row r="211" spans="1:88" s="152" customFormat="1" x14ac:dyDescent="0.2">
      <c r="A211" s="125" t="s">
        <v>347</v>
      </c>
      <c r="B211" s="187" t="s">
        <v>325</v>
      </c>
      <c r="C211" s="8">
        <v>0.26</v>
      </c>
      <c r="D211" s="8">
        <v>0</v>
      </c>
      <c r="E211" s="7">
        <v>2.1000000000000001E-2</v>
      </c>
      <c r="F211" s="7">
        <v>0.1045</v>
      </c>
      <c r="G211" s="1">
        <v>6.4999999999999997E-3</v>
      </c>
      <c r="H211" s="1">
        <v>0.03</v>
      </c>
      <c r="I211" s="1">
        <v>0.18</v>
      </c>
      <c r="J211" s="1">
        <v>0.04</v>
      </c>
      <c r="K211" s="1">
        <v>0.14000000000000001</v>
      </c>
      <c r="L211" s="1">
        <v>1.4999999999999999E-2</v>
      </c>
      <c r="M211" s="2" t="s">
        <v>175</v>
      </c>
      <c r="N211" s="105">
        <v>138000</v>
      </c>
      <c r="O211" s="119"/>
      <c r="P211" s="119"/>
      <c r="Q211" s="119"/>
      <c r="R211" s="119"/>
      <c r="S211" s="119">
        <v>0.47</v>
      </c>
      <c r="T211" s="119"/>
      <c r="U211" s="119"/>
      <c r="V211" s="119"/>
      <c r="W211" s="119"/>
      <c r="X211" s="119">
        <f t="shared" si="103"/>
        <v>0.47</v>
      </c>
      <c r="Y211" s="118">
        <f t="shared" si="104"/>
        <v>0.47</v>
      </c>
      <c r="Z211" s="109">
        <f t="shared" si="102"/>
        <v>64859.999999999993</v>
      </c>
      <c r="AA211" s="109">
        <f>'CALCULO GERAL'!$G$10</f>
        <v>6300</v>
      </c>
      <c r="AB211" s="109">
        <f t="shared" si="105"/>
        <v>71160</v>
      </c>
      <c r="AC211" s="109">
        <f>AB211*'CALCULO GERAL'!$C$11</f>
        <v>357152.04000000004</v>
      </c>
      <c r="AD211" s="109">
        <f t="shared" si="106"/>
        <v>92859.530400000018</v>
      </c>
      <c r="AE211" s="109">
        <f t="shared" si="107"/>
        <v>0</v>
      </c>
      <c r="AF211" s="109">
        <f t="shared" si="108"/>
        <v>7500.1928400000015</v>
      </c>
      <c r="AG211" s="109">
        <f t="shared" si="109"/>
        <v>37322.388180000002</v>
      </c>
      <c r="AH211" s="109">
        <v>154.22999999999999</v>
      </c>
      <c r="AI211" s="109">
        <f>((AA211*'CALCULO GERAL'!$C$11))*0.08+20</f>
        <v>2549.576</v>
      </c>
      <c r="AJ211" s="109">
        <v>1010</v>
      </c>
      <c r="AK211" s="109">
        <v>2500</v>
      </c>
      <c r="AL211" s="109">
        <f>(AA211*('CALCULO GERAL'!$C$11*1.02))-(AA211*'CALCULO GERAL'!$C$11)</f>
        <v>632.39400000000387</v>
      </c>
      <c r="AM211" s="109">
        <v>1800</v>
      </c>
      <c r="AN211" s="109">
        <v>2600</v>
      </c>
      <c r="AO211" s="109">
        <v>9400</v>
      </c>
      <c r="AP211" s="109">
        <v>1000</v>
      </c>
      <c r="AQ211" s="109">
        <v>0</v>
      </c>
      <c r="AR211" s="109">
        <v>0</v>
      </c>
      <c r="AS211" s="109"/>
      <c r="AT211" s="109">
        <f t="shared" si="93"/>
        <v>516480.35142000008</v>
      </c>
      <c r="AU211" s="111">
        <f t="shared" si="110"/>
        <v>3.7426112421739135</v>
      </c>
      <c r="AV211" s="109">
        <f>IFERROR((BS211*'CALCULO GERAL'!$E$11)/N211,0)</f>
        <v>8.7330600000000008E-2</v>
      </c>
      <c r="AW211" s="109">
        <f>AU211/'CALCULO GERAL'!$C$11</f>
        <v>0.74568863163457133</v>
      </c>
      <c r="AX211" s="109">
        <f>BP211-BB211-BD211*'CALCULO GERAL'!$C$11</f>
        <v>4.3010320499999999</v>
      </c>
      <c r="AY211" s="109">
        <f t="shared" si="111"/>
        <v>2.7956708324999999E-2</v>
      </c>
      <c r="AZ211" s="109">
        <f t="shared" si="112"/>
        <v>0.12903096149999999</v>
      </c>
      <c r="BA211" s="109">
        <f t="shared" si="113"/>
        <v>4.36653</v>
      </c>
      <c r="BB211" s="109">
        <f t="shared" si="114"/>
        <v>6.5497949999999999E-2</v>
      </c>
      <c r="BC211" s="109">
        <f t="shared" si="115"/>
        <v>4.36653</v>
      </c>
      <c r="BD211" s="109">
        <f t="shared" si="116"/>
        <v>0</v>
      </c>
      <c r="BE211" s="109">
        <f t="shared" si="117"/>
        <v>48206.491200000004</v>
      </c>
      <c r="BF211" s="109">
        <f t="shared" si="118"/>
        <v>72309.736799999999</v>
      </c>
      <c r="BG211" s="109">
        <f t="shared" si="119"/>
        <v>4.7158523999999993E-2</v>
      </c>
      <c r="BH211" s="109">
        <f t="shared" si="120"/>
        <v>5.2398359999999998E-2</v>
      </c>
      <c r="BI211" s="109">
        <f t="shared" si="121"/>
        <v>0</v>
      </c>
      <c r="BJ211" s="109">
        <f t="shared" si="122"/>
        <v>0.40937310382499992</v>
      </c>
      <c r="BK211" s="109">
        <f t="shared" si="123"/>
        <v>4.1519843459989136</v>
      </c>
      <c r="BL211" s="148">
        <v>0.87</v>
      </c>
      <c r="BM211" s="112">
        <f>ROUND((AW211/BL211)+((AW211*BL211)*'CALCULO GERAL'!$E$11)/BL211,2)</f>
        <v>0.87</v>
      </c>
      <c r="BN211" s="186">
        <f t="shared" si="94"/>
        <v>0.87</v>
      </c>
      <c r="BO211" s="186">
        <f t="shared" si="95"/>
        <v>1.0189999999999999</v>
      </c>
      <c r="BP211" s="109">
        <f>BM211*'CALCULO GERAL'!$C$11</f>
        <v>4.36653</v>
      </c>
      <c r="BQ211" s="109">
        <f>BO211*'CALCULO GERAL'!$C$11</f>
        <v>5.1143609999999997</v>
      </c>
      <c r="BR211" s="186">
        <f>BN211*'CALCULO GERAL'!$C$11</f>
        <v>4.36653</v>
      </c>
      <c r="BS211" s="109">
        <f t="shared" si="124"/>
        <v>602581.14</v>
      </c>
      <c r="BT211" s="109">
        <f t="shared" si="125"/>
        <v>602581.14</v>
      </c>
      <c r="BU211" s="109">
        <f t="shared" si="99"/>
        <v>572973.83974785008</v>
      </c>
      <c r="BV211" s="109">
        <f t="shared" si="96"/>
        <v>29607.300252149929</v>
      </c>
      <c r="BW211" s="114">
        <f t="shared" si="126"/>
        <v>4.9134130305090409E-2</v>
      </c>
      <c r="BX211" s="152">
        <f t="shared" si="100"/>
        <v>0.87</v>
      </c>
      <c r="BZ211" s="55"/>
      <c r="CA211" s="113"/>
      <c r="CB211" s="113"/>
      <c r="CD211" s="152">
        <f t="shared" si="101"/>
        <v>0</v>
      </c>
      <c r="CE211" s="152">
        <f t="shared" si="97"/>
        <v>1</v>
      </c>
      <c r="CF211" s="152">
        <f t="shared" si="98"/>
        <v>1</v>
      </c>
      <c r="CG211" s="34"/>
      <c r="CI211" s="11"/>
      <c r="CJ211" s="11"/>
    </row>
    <row r="212" spans="1:88" s="152" customFormat="1" x14ac:dyDescent="0.2">
      <c r="A212" s="125" t="s">
        <v>348</v>
      </c>
      <c r="B212" s="187" t="s">
        <v>325</v>
      </c>
      <c r="C212" s="8">
        <v>0.26</v>
      </c>
      <c r="D212" s="8">
        <v>0</v>
      </c>
      <c r="E212" s="7">
        <v>2.1000000000000001E-2</v>
      </c>
      <c r="F212" s="7">
        <v>0.1045</v>
      </c>
      <c r="G212" s="1">
        <v>6.4999999999999997E-3</v>
      </c>
      <c r="H212" s="1">
        <v>0.03</v>
      </c>
      <c r="I212" s="1">
        <v>0.18</v>
      </c>
      <c r="J212" s="1">
        <v>0.04</v>
      </c>
      <c r="K212" s="1">
        <v>0.14000000000000001</v>
      </c>
      <c r="L212" s="1">
        <v>1.4999999999999999E-2</v>
      </c>
      <c r="M212" s="2" t="s">
        <v>175</v>
      </c>
      <c r="N212" s="105">
        <v>130000</v>
      </c>
      <c r="O212" s="119"/>
      <c r="P212" s="119"/>
      <c r="Q212" s="119"/>
      <c r="R212" s="119"/>
      <c r="S212" s="119">
        <v>0.53500000000000003</v>
      </c>
      <c r="T212" s="119"/>
      <c r="U212" s="119"/>
      <c r="V212" s="119"/>
      <c r="W212" s="119"/>
      <c r="X212" s="119">
        <f t="shared" si="103"/>
        <v>0.53500000000000003</v>
      </c>
      <c r="Y212" s="118">
        <f t="shared" si="104"/>
        <v>0.53500000000000003</v>
      </c>
      <c r="Z212" s="109">
        <f t="shared" si="102"/>
        <v>69550</v>
      </c>
      <c r="AA212" s="109">
        <f>'CALCULO GERAL'!$G$10</f>
        <v>6300</v>
      </c>
      <c r="AB212" s="109">
        <f t="shared" si="105"/>
        <v>75850</v>
      </c>
      <c r="AC212" s="109">
        <f>AB212*'CALCULO GERAL'!$C$11</f>
        <v>380691.15</v>
      </c>
      <c r="AD212" s="109">
        <f t="shared" si="106"/>
        <v>98979.699000000008</v>
      </c>
      <c r="AE212" s="109">
        <f t="shared" si="107"/>
        <v>0</v>
      </c>
      <c r="AF212" s="109">
        <f t="shared" si="108"/>
        <v>7994.5141500000009</v>
      </c>
      <c r="AG212" s="109">
        <f t="shared" si="109"/>
        <v>39782.225175</v>
      </c>
      <c r="AH212" s="109">
        <v>154.22999999999999</v>
      </c>
      <c r="AI212" s="109">
        <f>((AA212*'CALCULO GERAL'!$C$11))*0.08+20</f>
        <v>2549.576</v>
      </c>
      <c r="AJ212" s="109">
        <v>1010</v>
      </c>
      <c r="AK212" s="109">
        <v>2500</v>
      </c>
      <c r="AL212" s="109">
        <f>(AA212*('CALCULO GERAL'!$C$11*1.02))-(AA212*'CALCULO GERAL'!$C$11)</f>
        <v>632.39400000000387</v>
      </c>
      <c r="AM212" s="109">
        <v>1800</v>
      </c>
      <c r="AN212" s="109">
        <v>2600</v>
      </c>
      <c r="AO212" s="109">
        <v>9400</v>
      </c>
      <c r="AP212" s="109">
        <v>1000</v>
      </c>
      <c r="AQ212" s="109">
        <v>0</v>
      </c>
      <c r="AR212" s="109">
        <v>0</v>
      </c>
      <c r="AS212" s="109"/>
      <c r="AT212" s="109">
        <f t="shared" si="93"/>
        <v>549093.78832499997</v>
      </c>
      <c r="AU212" s="111">
        <f t="shared" si="110"/>
        <v>4.2237983717307692</v>
      </c>
      <c r="AV212" s="109">
        <f>IFERROR((BS212*'CALCULO GERAL'!$E$11)/N212,0)</f>
        <v>9.8372399999999999E-2</v>
      </c>
      <c r="AW212" s="109">
        <f>AU212/'CALCULO GERAL'!$C$11</f>
        <v>0.84156173973516024</v>
      </c>
      <c r="AX212" s="109">
        <f>BP212-BB212-BD212*'CALCULO GERAL'!$C$11</f>
        <v>4.8448406999999998</v>
      </c>
      <c r="AY212" s="109">
        <f t="shared" si="111"/>
        <v>3.1491464549999994E-2</v>
      </c>
      <c r="AZ212" s="109">
        <f t="shared" si="112"/>
        <v>0.145345221</v>
      </c>
      <c r="BA212" s="109">
        <f t="shared" si="113"/>
        <v>4.9186199999999998</v>
      </c>
      <c r="BB212" s="109">
        <f t="shared" si="114"/>
        <v>7.3779299999999992E-2</v>
      </c>
      <c r="BC212" s="109">
        <f t="shared" si="115"/>
        <v>4.9186199999999998</v>
      </c>
      <c r="BD212" s="109">
        <f t="shared" si="116"/>
        <v>0</v>
      </c>
      <c r="BE212" s="109">
        <f t="shared" si="117"/>
        <v>51153.648000000001</v>
      </c>
      <c r="BF212" s="109">
        <f t="shared" si="118"/>
        <v>76730.471999999994</v>
      </c>
      <c r="BG212" s="109">
        <f t="shared" si="119"/>
        <v>5.3121095999999993E-2</v>
      </c>
      <c r="BH212" s="109">
        <f t="shared" si="120"/>
        <v>5.9023439999999996E-2</v>
      </c>
      <c r="BI212" s="109">
        <f t="shared" si="121"/>
        <v>0</v>
      </c>
      <c r="BJ212" s="109">
        <f t="shared" si="122"/>
        <v>0.46113292154999996</v>
      </c>
      <c r="BK212" s="109">
        <f t="shared" si="123"/>
        <v>4.6849312932807692</v>
      </c>
      <c r="BL212" s="148">
        <v>0.87</v>
      </c>
      <c r="BM212" s="112">
        <f>ROUND((AW212/BL212)+((AW212*BL212)*'CALCULO GERAL'!$E$11)/BL212,2)</f>
        <v>0.98</v>
      </c>
      <c r="BN212" s="186">
        <f t="shared" si="94"/>
        <v>0.98</v>
      </c>
      <c r="BO212" s="186">
        <f t="shared" si="95"/>
        <v>1.1479999999999999</v>
      </c>
      <c r="BP212" s="109">
        <f>BM212*'CALCULO GERAL'!$C$11</f>
        <v>4.9186199999999998</v>
      </c>
      <c r="BQ212" s="109">
        <f>BO212*'CALCULO GERAL'!$C$11</f>
        <v>5.7618119999999999</v>
      </c>
      <c r="BR212" s="186">
        <f>BN212*'CALCULO GERAL'!$C$11</f>
        <v>4.9186199999999998</v>
      </c>
      <c r="BS212" s="109">
        <f t="shared" si="124"/>
        <v>639420.6</v>
      </c>
      <c r="BT212" s="109">
        <f t="shared" si="125"/>
        <v>639420.6</v>
      </c>
      <c r="BU212" s="109">
        <f t="shared" si="99"/>
        <v>609041.0681265</v>
      </c>
      <c r="BV212" s="109">
        <f t="shared" si="96"/>
        <v>30379.531873499975</v>
      </c>
      <c r="BW212" s="114">
        <f t="shared" si="126"/>
        <v>4.7511030882489515E-2</v>
      </c>
      <c r="BX212" s="152">
        <f t="shared" si="100"/>
        <v>0.87</v>
      </c>
      <c r="BZ212" s="55"/>
      <c r="CA212" s="113"/>
      <c r="CB212" s="113"/>
      <c r="CD212" s="152">
        <f t="shared" si="101"/>
        <v>0</v>
      </c>
      <c r="CE212" s="152">
        <f t="shared" si="97"/>
        <v>1</v>
      </c>
      <c r="CF212" s="152">
        <f t="shared" si="98"/>
        <v>1</v>
      </c>
      <c r="CG212" s="34"/>
      <c r="CI212" s="11"/>
      <c r="CJ212" s="11"/>
    </row>
    <row r="213" spans="1:88" s="152" customFormat="1" x14ac:dyDescent="0.2">
      <c r="A213" s="125" t="s">
        <v>349</v>
      </c>
      <c r="B213" s="187" t="s">
        <v>297</v>
      </c>
      <c r="C213" s="8">
        <v>0.26</v>
      </c>
      <c r="D213" s="8">
        <v>0</v>
      </c>
      <c r="E213" s="7">
        <v>2.1000000000000001E-2</v>
      </c>
      <c r="F213" s="7">
        <v>0.1045</v>
      </c>
      <c r="G213" s="1">
        <v>6.4999999999999997E-3</v>
      </c>
      <c r="H213" s="1">
        <v>0.03</v>
      </c>
      <c r="I213" s="1">
        <v>0.18</v>
      </c>
      <c r="J213" s="1">
        <v>0.04</v>
      </c>
      <c r="K213" s="1">
        <v>0.14000000000000001</v>
      </c>
      <c r="L213" s="1">
        <v>1.4999999999999999E-2</v>
      </c>
      <c r="M213" s="2" t="s">
        <v>175</v>
      </c>
      <c r="N213" s="105">
        <v>128000</v>
      </c>
      <c r="O213" s="119">
        <v>0.46500000000000002</v>
      </c>
      <c r="P213" s="119"/>
      <c r="Q213" s="119"/>
      <c r="R213" s="119"/>
      <c r="S213" s="119"/>
      <c r="T213" s="119"/>
      <c r="U213" s="119"/>
      <c r="V213" s="119"/>
      <c r="W213" s="119"/>
      <c r="X213" s="119">
        <f t="shared" si="103"/>
        <v>0.46500000000000002</v>
      </c>
      <c r="Y213" s="118">
        <f t="shared" si="104"/>
        <v>0.46500000000000002</v>
      </c>
      <c r="Z213" s="109">
        <f t="shared" si="102"/>
        <v>59520</v>
      </c>
      <c r="AA213" s="109">
        <f>'CALCULO GERAL'!$G$10</f>
        <v>6300</v>
      </c>
      <c r="AB213" s="109">
        <f t="shared" si="105"/>
        <v>65820</v>
      </c>
      <c r="AC213" s="109">
        <f>AB213*'CALCULO GERAL'!$C$11</f>
        <v>330350.58</v>
      </c>
      <c r="AD213" s="109">
        <f t="shared" si="106"/>
        <v>85891.150800000003</v>
      </c>
      <c r="AE213" s="109">
        <f t="shared" si="107"/>
        <v>0</v>
      </c>
      <c r="AF213" s="109">
        <f t="shared" si="108"/>
        <v>6937.362180000001</v>
      </c>
      <c r="AG213" s="109">
        <f t="shared" si="109"/>
        <v>34521.635609999998</v>
      </c>
      <c r="AH213" s="109">
        <v>154.22999999999999</v>
      </c>
      <c r="AI213" s="109">
        <f>((AA213*'CALCULO GERAL'!$C$11))*0.08+20</f>
        <v>2549.576</v>
      </c>
      <c r="AJ213" s="109">
        <v>1010</v>
      </c>
      <c r="AK213" s="109">
        <v>2500</v>
      </c>
      <c r="AL213" s="109">
        <f>(AA213*('CALCULO GERAL'!$C$11*1.02))-(AA213*'CALCULO GERAL'!$C$11)</f>
        <v>632.39400000000387</v>
      </c>
      <c r="AM213" s="109">
        <v>1800</v>
      </c>
      <c r="AN213" s="109">
        <v>2600</v>
      </c>
      <c r="AO213" s="109">
        <v>9400</v>
      </c>
      <c r="AP213" s="109">
        <v>1000</v>
      </c>
      <c r="AQ213" s="109">
        <v>0</v>
      </c>
      <c r="AR213" s="109">
        <v>0</v>
      </c>
      <c r="AS213" s="109"/>
      <c r="AT213" s="109">
        <f t="shared" si="93"/>
        <v>479346.92859000002</v>
      </c>
      <c r="AU213" s="111">
        <f t="shared" si="110"/>
        <v>3.744897879609375</v>
      </c>
      <c r="AV213" s="109">
        <f>IFERROR((BS213*'CALCULO GERAL'!$E$11)/N213,0)</f>
        <v>8.8334399999999993E-2</v>
      </c>
      <c r="AW213" s="109">
        <f>AU213/'CALCULO GERAL'!$C$11</f>
        <v>0.74614422785602208</v>
      </c>
      <c r="AX213" s="109">
        <f>BP213-BB213-BD213*'CALCULO GERAL'!$C$11</f>
        <v>4.3504692</v>
      </c>
      <c r="AY213" s="109">
        <f t="shared" si="111"/>
        <v>2.82780498E-2</v>
      </c>
      <c r="AZ213" s="109">
        <f t="shared" si="112"/>
        <v>0.13051407600000001</v>
      </c>
      <c r="BA213" s="109">
        <f t="shared" si="113"/>
        <v>4.4167199999999998</v>
      </c>
      <c r="BB213" s="109">
        <f t="shared" si="114"/>
        <v>6.6250799999999999E-2</v>
      </c>
      <c r="BC213" s="109">
        <f t="shared" si="115"/>
        <v>4.4167199999999998</v>
      </c>
      <c r="BD213" s="109">
        <f t="shared" si="116"/>
        <v>0</v>
      </c>
      <c r="BE213" s="109">
        <f t="shared" si="117"/>
        <v>45227.212799999994</v>
      </c>
      <c r="BF213" s="109">
        <f t="shared" si="118"/>
        <v>67840.819199999984</v>
      </c>
      <c r="BG213" s="109">
        <f t="shared" si="119"/>
        <v>4.7700575999999981E-2</v>
      </c>
      <c r="BH213" s="109">
        <f t="shared" si="120"/>
        <v>5.3000639999999988E-2</v>
      </c>
      <c r="BI213" s="109">
        <f t="shared" si="121"/>
        <v>0</v>
      </c>
      <c r="BJ213" s="109">
        <f t="shared" si="122"/>
        <v>0.41407854179999998</v>
      </c>
      <c r="BK213" s="109">
        <f t="shared" si="123"/>
        <v>4.158976421409375</v>
      </c>
      <c r="BL213" s="148">
        <v>0.86</v>
      </c>
      <c r="BM213" s="112">
        <f>ROUND((AW213/BL213)+((AW213*BL213)*'CALCULO GERAL'!$E$11)/BL213,2)</f>
        <v>0.88</v>
      </c>
      <c r="BN213" s="186">
        <f t="shared" si="94"/>
        <v>0.88</v>
      </c>
      <c r="BO213" s="186">
        <f t="shared" si="95"/>
        <v>1.0309999999999999</v>
      </c>
      <c r="BP213" s="109">
        <f>BM213*'CALCULO GERAL'!$C$11</f>
        <v>4.4167199999999998</v>
      </c>
      <c r="BQ213" s="109">
        <f>BO213*'CALCULO GERAL'!$C$11</f>
        <v>5.1745890000000001</v>
      </c>
      <c r="BR213" s="186">
        <f>BN213*'CALCULO GERAL'!$C$11</f>
        <v>4.4167199999999998</v>
      </c>
      <c r="BS213" s="109">
        <f t="shared" si="124"/>
        <v>565340.15999999992</v>
      </c>
      <c r="BT213" s="109">
        <f t="shared" si="125"/>
        <v>565340.15999999992</v>
      </c>
      <c r="BU213" s="109">
        <f t="shared" si="99"/>
        <v>532348.98194039997</v>
      </c>
      <c r="BV213" s="109">
        <f t="shared" si="96"/>
        <v>32991.178059599944</v>
      </c>
      <c r="BW213" s="114">
        <f t="shared" si="126"/>
        <v>5.8356331981792964E-2</v>
      </c>
      <c r="BX213" s="152">
        <f t="shared" si="100"/>
        <v>0.86</v>
      </c>
      <c r="BZ213" s="55"/>
      <c r="CA213" s="113"/>
      <c r="CB213" s="113"/>
      <c r="CD213" s="152">
        <f t="shared" si="101"/>
        <v>0</v>
      </c>
      <c r="CE213" s="152">
        <f t="shared" si="97"/>
        <v>1</v>
      </c>
      <c r="CF213" s="152">
        <f t="shared" si="98"/>
        <v>1</v>
      </c>
      <c r="CG213" s="34"/>
      <c r="CI213" s="11"/>
      <c r="CJ213" s="11"/>
    </row>
    <row r="214" spans="1:88" s="152" customFormat="1" x14ac:dyDescent="0.2">
      <c r="A214" s="125" t="s">
        <v>350</v>
      </c>
      <c r="B214" s="187" t="s">
        <v>297</v>
      </c>
      <c r="C214" s="8">
        <v>0.26</v>
      </c>
      <c r="D214" s="8">
        <v>0</v>
      </c>
      <c r="E214" s="7">
        <v>2.1000000000000001E-2</v>
      </c>
      <c r="F214" s="7">
        <v>0.1045</v>
      </c>
      <c r="G214" s="1">
        <v>6.4999999999999997E-3</v>
      </c>
      <c r="H214" s="1">
        <v>0.03</v>
      </c>
      <c r="I214" s="1">
        <v>0.18</v>
      </c>
      <c r="J214" s="1">
        <v>0.04</v>
      </c>
      <c r="K214" s="1">
        <v>0.14000000000000001</v>
      </c>
      <c r="L214" s="1">
        <v>1.4999999999999999E-2</v>
      </c>
      <c r="M214" s="2" t="s">
        <v>175</v>
      </c>
      <c r="N214" s="105">
        <v>120000</v>
      </c>
      <c r="O214" s="119">
        <v>0.47</v>
      </c>
      <c r="P214" s="119"/>
      <c r="Q214" s="119"/>
      <c r="R214" s="119"/>
      <c r="S214" s="119"/>
      <c r="T214" s="119"/>
      <c r="U214" s="119"/>
      <c r="V214" s="119"/>
      <c r="W214" s="119"/>
      <c r="X214" s="119">
        <f t="shared" si="103"/>
        <v>0.47</v>
      </c>
      <c r="Y214" s="118">
        <f t="shared" si="104"/>
        <v>0.47</v>
      </c>
      <c r="Z214" s="109">
        <f t="shared" si="102"/>
        <v>56400</v>
      </c>
      <c r="AA214" s="109">
        <f>'CALCULO GERAL'!$G$10</f>
        <v>6300</v>
      </c>
      <c r="AB214" s="109">
        <f t="shared" si="105"/>
        <v>62700</v>
      </c>
      <c r="AC214" s="109">
        <f>AB214*'CALCULO GERAL'!$C$11</f>
        <v>314691.3</v>
      </c>
      <c r="AD214" s="109">
        <f t="shared" si="106"/>
        <v>81819.737999999998</v>
      </c>
      <c r="AE214" s="109">
        <f t="shared" si="107"/>
        <v>0</v>
      </c>
      <c r="AF214" s="109">
        <f t="shared" si="108"/>
        <v>6608.5173000000004</v>
      </c>
      <c r="AG214" s="109">
        <f t="shared" si="109"/>
        <v>32885.240849999995</v>
      </c>
      <c r="AH214" s="109">
        <v>154.22999999999999</v>
      </c>
      <c r="AI214" s="109">
        <f>((AA214*'CALCULO GERAL'!$C$11))*0.08+20</f>
        <v>2549.576</v>
      </c>
      <c r="AJ214" s="109">
        <v>1010</v>
      </c>
      <c r="AK214" s="109">
        <v>2500</v>
      </c>
      <c r="AL214" s="109">
        <f>(AA214*('CALCULO GERAL'!$C$11*1.02))-(AA214*'CALCULO GERAL'!$C$11)</f>
        <v>632.39400000000387</v>
      </c>
      <c r="AM214" s="109">
        <v>1800</v>
      </c>
      <c r="AN214" s="109">
        <v>2600</v>
      </c>
      <c r="AO214" s="109">
        <v>9400</v>
      </c>
      <c r="AP214" s="109">
        <v>1000</v>
      </c>
      <c r="AQ214" s="109">
        <v>0</v>
      </c>
      <c r="AR214" s="109">
        <v>0</v>
      </c>
      <c r="AS214" s="109"/>
      <c r="AT214" s="109">
        <f t="shared" si="93"/>
        <v>457650.99615000002</v>
      </c>
      <c r="AU214" s="111">
        <f t="shared" si="110"/>
        <v>3.81375830125</v>
      </c>
      <c r="AV214" s="109">
        <f>IFERROR((BS214*'CALCULO GERAL'!$E$11)/N214,0)</f>
        <v>9.0342000000000006E-2</v>
      </c>
      <c r="AW214" s="109">
        <f>AU214/'CALCULO GERAL'!$C$11</f>
        <v>0.75986417637975689</v>
      </c>
      <c r="AX214" s="109">
        <f>BP214-BB214-BD214*'CALCULO GERAL'!$C$11</f>
        <v>4.4493435000000003</v>
      </c>
      <c r="AY214" s="109">
        <f t="shared" si="111"/>
        <v>2.8920732750000001E-2</v>
      </c>
      <c r="AZ214" s="109">
        <f t="shared" si="112"/>
        <v>0.13348030499999999</v>
      </c>
      <c r="BA214" s="109">
        <f t="shared" si="113"/>
        <v>4.5171000000000001</v>
      </c>
      <c r="BB214" s="109">
        <f t="shared" si="114"/>
        <v>6.7756499999999997E-2</v>
      </c>
      <c r="BC214" s="109">
        <f t="shared" si="115"/>
        <v>4.5171000000000001</v>
      </c>
      <c r="BD214" s="109">
        <f t="shared" si="116"/>
        <v>0</v>
      </c>
      <c r="BE214" s="109">
        <f t="shared" si="117"/>
        <v>43364.160000000003</v>
      </c>
      <c r="BF214" s="109">
        <f t="shared" si="118"/>
        <v>65046.239999999998</v>
      </c>
      <c r="BG214" s="109">
        <f t="shared" si="119"/>
        <v>4.8784679999999997E-2</v>
      </c>
      <c r="BH214" s="109">
        <f t="shared" si="120"/>
        <v>5.4205200000000009E-2</v>
      </c>
      <c r="BI214" s="109">
        <f t="shared" si="121"/>
        <v>0</v>
      </c>
      <c r="BJ214" s="109">
        <f t="shared" si="122"/>
        <v>0.42348941774999999</v>
      </c>
      <c r="BK214" s="109">
        <f t="shared" si="123"/>
        <v>4.237247719</v>
      </c>
      <c r="BL214" s="148">
        <v>0.86</v>
      </c>
      <c r="BM214" s="112">
        <f>ROUND((AW214/BL214)+((AW214*BL214)*'CALCULO GERAL'!$E$11)/BL214,2)</f>
        <v>0.9</v>
      </c>
      <c r="BN214" s="186">
        <f t="shared" si="94"/>
        <v>0.9</v>
      </c>
      <c r="BO214" s="186">
        <f t="shared" si="95"/>
        <v>1.054</v>
      </c>
      <c r="BP214" s="109">
        <f>BM214*'CALCULO GERAL'!$C$11</f>
        <v>4.5171000000000001</v>
      </c>
      <c r="BQ214" s="109">
        <f>BO214*'CALCULO GERAL'!$C$11</f>
        <v>5.2900260000000001</v>
      </c>
      <c r="BR214" s="186">
        <f>BN214*'CALCULO GERAL'!$C$11</f>
        <v>4.5171000000000001</v>
      </c>
      <c r="BS214" s="109">
        <f t="shared" si="124"/>
        <v>542052</v>
      </c>
      <c r="BT214" s="109">
        <f t="shared" si="125"/>
        <v>542052</v>
      </c>
      <c r="BU214" s="109">
        <f t="shared" si="99"/>
        <v>508469.72628</v>
      </c>
      <c r="BV214" s="109">
        <f t="shared" si="96"/>
        <v>33582.273719999997</v>
      </c>
      <c r="BW214" s="114">
        <f t="shared" si="126"/>
        <v>6.195397068915897E-2</v>
      </c>
      <c r="BX214" s="152">
        <f t="shared" si="100"/>
        <v>0.86</v>
      </c>
      <c r="BZ214" s="55"/>
      <c r="CA214" s="113"/>
      <c r="CB214" s="113"/>
      <c r="CD214" s="152">
        <f t="shared" si="101"/>
        <v>0</v>
      </c>
      <c r="CE214" s="152">
        <f t="shared" si="97"/>
        <v>1</v>
      </c>
      <c r="CF214" s="152">
        <f t="shared" si="98"/>
        <v>1</v>
      </c>
      <c r="CG214" s="34"/>
      <c r="CI214" s="11"/>
      <c r="CJ214" s="11"/>
    </row>
    <row r="215" spans="1:88" s="152" customFormat="1" x14ac:dyDescent="0.2">
      <c r="A215" s="125" t="s">
        <v>351</v>
      </c>
      <c r="B215" s="187" t="s">
        <v>297</v>
      </c>
      <c r="C215" s="8">
        <v>0.26</v>
      </c>
      <c r="D215" s="8">
        <v>0</v>
      </c>
      <c r="E215" s="7">
        <v>2.1000000000000001E-2</v>
      </c>
      <c r="F215" s="7">
        <v>0.1045</v>
      </c>
      <c r="G215" s="1">
        <v>6.4999999999999997E-3</v>
      </c>
      <c r="H215" s="1">
        <v>0.03</v>
      </c>
      <c r="I215" s="1">
        <v>0.18</v>
      </c>
      <c r="J215" s="1">
        <v>0.04</v>
      </c>
      <c r="K215" s="1">
        <v>0.14000000000000001</v>
      </c>
      <c r="L215" s="1">
        <v>1.4999999999999999E-2</v>
      </c>
      <c r="M215" s="2" t="s">
        <v>175</v>
      </c>
      <c r="N215" s="105">
        <v>135000</v>
      </c>
      <c r="O215" s="119">
        <v>0.49</v>
      </c>
      <c r="P215" s="119">
        <v>0.52</v>
      </c>
      <c r="Q215" s="119">
        <v>0.52</v>
      </c>
      <c r="R215" s="119">
        <v>0.47</v>
      </c>
      <c r="S215" s="119"/>
      <c r="T215" s="119"/>
      <c r="U215" s="119"/>
      <c r="V215" s="119">
        <v>0.53</v>
      </c>
      <c r="W215" s="119">
        <v>0.52500000000000002</v>
      </c>
      <c r="X215" s="119">
        <f t="shared" si="103"/>
        <v>0.47</v>
      </c>
      <c r="Y215" s="118">
        <f t="shared" si="104"/>
        <v>0.50916666666666666</v>
      </c>
      <c r="Z215" s="109">
        <f t="shared" si="102"/>
        <v>63450</v>
      </c>
      <c r="AA215" s="109">
        <f>'CALCULO GERAL'!$G$10</f>
        <v>6300</v>
      </c>
      <c r="AB215" s="109">
        <f t="shared" si="105"/>
        <v>69750</v>
      </c>
      <c r="AC215" s="109">
        <f>AB215*'CALCULO GERAL'!$C$11</f>
        <v>350075.25</v>
      </c>
      <c r="AD215" s="109">
        <f t="shared" si="106"/>
        <v>91019.565000000002</v>
      </c>
      <c r="AE215" s="109">
        <f t="shared" si="107"/>
        <v>0</v>
      </c>
      <c r="AF215" s="109">
        <f t="shared" si="108"/>
        <v>7351.5802500000009</v>
      </c>
      <c r="AG215" s="109">
        <f t="shared" si="109"/>
        <v>36582.863624999998</v>
      </c>
      <c r="AH215" s="109">
        <v>154.22999999999999</v>
      </c>
      <c r="AI215" s="109">
        <f>((AA215*'CALCULO GERAL'!$C$11))*0.08+20</f>
        <v>2549.576</v>
      </c>
      <c r="AJ215" s="109">
        <v>1010</v>
      </c>
      <c r="AK215" s="109">
        <v>2500</v>
      </c>
      <c r="AL215" s="109">
        <f>(AA215*('CALCULO GERAL'!$C$11*1.02))-(AA215*'CALCULO GERAL'!$C$11)</f>
        <v>632.39400000000387</v>
      </c>
      <c r="AM215" s="109">
        <v>1800</v>
      </c>
      <c r="AN215" s="109">
        <v>2600</v>
      </c>
      <c r="AO215" s="109">
        <v>9400</v>
      </c>
      <c r="AP215" s="109">
        <v>1000</v>
      </c>
      <c r="AQ215" s="109">
        <v>0</v>
      </c>
      <c r="AR215" s="109">
        <v>0</v>
      </c>
      <c r="AS215" s="109"/>
      <c r="AT215" s="109">
        <f t="shared" si="93"/>
        <v>506675.45887500001</v>
      </c>
      <c r="AU215" s="111">
        <f t="shared" si="110"/>
        <v>3.7531515472222221</v>
      </c>
      <c r="AV215" s="109">
        <f>IFERROR((BS215*'CALCULO GERAL'!$E$11)/N215,0)</f>
        <v>8.8334399999999993E-2</v>
      </c>
      <c r="AW215" s="109">
        <f>AU215/'CALCULO GERAL'!$C$11</f>
        <v>0.74778871233756172</v>
      </c>
      <c r="AX215" s="109">
        <f>BP215-BB215-BD215*'CALCULO GERAL'!$C$11</f>
        <v>4.3504692</v>
      </c>
      <c r="AY215" s="109">
        <f t="shared" si="111"/>
        <v>2.82780498E-2</v>
      </c>
      <c r="AZ215" s="109">
        <f t="shared" si="112"/>
        <v>0.13051407600000001</v>
      </c>
      <c r="BA215" s="109">
        <f t="shared" si="113"/>
        <v>4.4167199999999998</v>
      </c>
      <c r="BB215" s="109">
        <f t="shared" si="114"/>
        <v>6.6250799999999999E-2</v>
      </c>
      <c r="BC215" s="109">
        <f t="shared" si="115"/>
        <v>4.4167199999999998</v>
      </c>
      <c r="BD215" s="109">
        <f t="shared" si="116"/>
        <v>0</v>
      </c>
      <c r="BE215" s="109">
        <f t="shared" si="117"/>
        <v>47700.575999999994</v>
      </c>
      <c r="BF215" s="109">
        <f t="shared" si="118"/>
        <v>71550.863999999987</v>
      </c>
      <c r="BG215" s="109">
        <f t="shared" si="119"/>
        <v>4.7700575999999988E-2</v>
      </c>
      <c r="BH215" s="109">
        <f t="shared" si="120"/>
        <v>5.3000639999999995E-2</v>
      </c>
      <c r="BI215" s="109">
        <f t="shared" si="121"/>
        <v>0</v>
      </c>
      <c r="BJ215" s="109">
        <f t="shared" si="122"/>
        <v>0.41407854179999998</v>
      </c>
      <c r="BK215" s="109">
        <f t="shared" si="123"/>
        <v>4.1672300890222225</v>
      </c>
      <c r="BL215" s="148">
        <v>0.86</v>
      </c>
      <c r="BM215" s="112">
        <f>ROUND((AW215/BL215)+((AW215*BL215)*'CALCULO GERAL'!$E$11)/BL215,2)</f>
        <v>0.88</v>
      </c>
      <c r="BN215" s="186">
        <f t="shared" si="94"/>
        <v>0.88</v>
      </c>
      <c r="BO215" s="186">
        <f t="shared" si="95"/>
        <v>1.0309999999999999</v>
      </c>
      <c r="BP215" s="109">
        <f>BM215*'CALCULO GERAL'!$C$11</f>
        <v>4.4167199999999998</v>
      </c>
      <c r="BQ215" s="109">
        <f>BO215*'CALCULO GERAL'!$C$11</f>
        <v>5.1745890000000001</v>
      </c>
      <c r="BR215" s="186">
        <f>BN215*'CALCULO GERAL'!$C$11</f>
        <v>4.4167199999999998</v>
      </c>
      <c r="BS215" s="109">
        <f t="shared" si="124"/>
        <v>596257.19999999995</v>
      </c>
      <c r="BT215" s="109">
        <f t="shared" si="125"/>
        <v>596257.19999999995</v>
      </c>
      <c r="BU215" s="109">
        <f t="shared" si="99"/>
        <v>562576.06201800006</v>
      </c>
      <c r="BV215" s="109">
        <f t="shared" si="96"/>
        <v>33681.137981999898</v>
      </c>
      <c r="BW215" s="114">
        <f t="shared" si="126"/>
        <v>5.648759961640698E-2</v>
      </c>
      <c r="BX215" s="152">
        <f t="shared" si="100"/>
        <v>0.86</v>
      </c>
      <c r="BZ215" s="55"/>
      <c r="CA215" s="113"/>
      <c r="CB215" s="113"/>
      <c r="CD215" s="152">
        <f t="shared" si="101"/>
        <v>0</v>
      </c>
      <c r="CE215" s="152">
        <f t="shared" si="97"/>
        <v>1</v>
      </c>
      <c r="CF215" s="152">
        <f t="shared" si="98"/>
        <v>1</v>
      </c>
      <c r="CG215" s="34"/>
      <c r="CI215" s="11"/>
      <c r="CJ215" s="11"/>
    </row>
    <row r="216" spans="1:88" s="152" customFormat="1" x14ac:dyDescent="0.2">
      <c r="A216" s="125" t="s">
        <v>352</v>
      </c>
      <c r="B216" s="187" t="s">
        <v>297</v>
      </c>
      <c r="C216" s="8">
        <v>0.26</v>
      </c>
      <c r="D216" s="8">
        <v>0</v>
      </c>
      <c r="E216" s="7">
        <v>2.1000000000000001E-2</v>
      </c>
      <c r="F216" s="7">
        <v>0.1045</v>
      </c>
      <c r="G216" s="1">
        <v>6.4999999999999997E-3</v>
      </c>
      <c r="H216" s="1">
        <v>0.03</v>
      </c>
      <c r="I216" s="1">
        <v>0.18</v>
      </c>
      <c r="J216" s="1">
        <v>0.04</v>
      </c>
      <c r="K216" s="1">
        <v>0.14000000000000001</v>
      </c>
      <c r="L216" s="1">
        <v>1.4999999999999999E-2</v>
      </c>
      <c r="M216" s="2" t="s">
        <v>175</v>
      </c>
      <c r="N216" s="105">
        <v>120000</v>
      </c>
      <c r="O216" s="119">
        <v>0.505</v>
      </c>
      <c r="P216" s="119">
        <v>0.48</v>
      </c>
      <c r="Q216" s="119">
        <v>0.55000000000000004</v>
      </c>
      <c r="R216" s="119">
        <v>0.5</v>
      </c>
      <c r="S216" s="119"/>
      <c r="T216" s="119"/>
      <c r="U216" s="119"/>
      <c r="V216" s="119">
        <v>0.56000000000000005</v>
      </c>
      <c r="W216" s="119"/>
      <c r="X216" s="119">
        <f t="shared" si="103"/>
        <v>0.48</v>
      </c>
      <c r="Y216" s="118">
        <f t="shared" si="104"/>
        <v>0.51900000000000002</v>
      </c>
      <c r="Z216" s="109">
        <f t="shared" si="102"/>
        <v>57600</v>
      </c>
      <c r="AA216" s="109">
        <f>'CALCULO GERAL'!$G$10</f>
        <v>6300</v>
      </c>
      <c r="AB216" s="109">
        <f t="shared" si="105"/>
        <v>63900</v>
      </c>
      <c r="AC216" s="109">
        <f>AB216*'CALCULO GERAL'!$C$11</f>
        <v>320714.10000000003</v>
      </c>
      <c r="AD216" s="109">
        <f t="shared" si="106"/>
        <v>83385.666000000012</v>
      </c>
      <c r="AE216" s="109">
        <f t="shared" si="107"/>
        <v>0</v>
      </c>
      <c r="AF216" s="109">
        <f t="shared" si="108"/>
        <v>6734.9961000000012</v>
      </c>
      <c r="AG216" s="109">
        <f t="shared" si="109"/>
        <v>33514.623449999999</v>
      </c>
      <c r="AH216" s="109">
        <v>154.22999999999999</v>
      </c>
      <c r="AI216" s="109">
        <f>((AA216*'CALCULO GERAL'!$C$11))*0.08+20</f>
        <v>2549.576</v>
      </c>
      <c r="AJ216" s="109">
        <v>1010</v>
      </c>
      <c r="AK216" s="109">
        <v>2500</v>
      </c>
      <c r="AL216" s="109">
        <f>(AA216*('CALCULO GERAL'!$C$11*1.02))-(AA216*'CALCULO GERAL'!$C$11)</f>
        <v>632.39400000000387</v>
      </c>
      <c r="AM216" s="109">
        <v>1800</v>
      </c>
      <c r="AN216" s="109">
        <v>2600</v>
      </c>
      <c r="AO216" s="109">
        <v>9400</v>
      </c>
      <c r="AP216" s="109">
        <v>1000</v>
      </c>
      <c r="AQ216" s="109">
        <v>0</v>
      </c>
      <c r="AR216" s="109">
        <v>0</v>
      </c>
      <c r="AS216" s="109"/>
      <c r="AT216" s="109">
        <f t="shared" si="93"/>
        <v>465995.58555000008</v>
      </c>
      <c r="AU216" s="111">
        <f t="shared" si="110"/>
        <v>3.8832965462500004</v>
      </c>
      <c r="AV216" s="109">
        <f>IFERROR((BS216*'CALCULO GERAL'!$E$11)/N216,0)</f>
        <v>9.0342000000000006E-2</v>
      </c>
      <c r="AW216" s="109">
        <f>AU216/'CALCULO GERAL'!$C$11</f>
        <v>0.77371917637975696</v>
      </c>
      <c r="AX216" s="109">
        <f>BP216-BB216-BD216*'CALCULO GERAL'!$C$11</f>
        <v>4.4493435000000003</v>
      </c>
      <c r="AY216" s="109">
        <f t="shared" si="111"/>
        <v>2.8920732750000001E-2</v>
      </c>
      <c r="AZ216" s="109">
        <f t="shared" si="112"/>
        <v>0.13348030499999999</v>
      </c>
      <c r="BA216" s="109">
        <f t="shared" si="113"/>
        <v>4.5171000000000001</v>
      </c>
      <c r="BB216" s="109">
        <f t="shared" si="114"/>
        <v>6.7756499999999997E-2</v>
      </c>
      <c r="BC216" s="109">
        <f t="shared" si="115"/>
        <v>4.5171000000000001</v>
      </c>
      <c r="BD216" s="109">
        <f t="shared" si="116"/>
        <v>0</v>
      </c>
      <c r="BE216" s="109">
        <f t="shared" si="117"/>
        <v>43364.160000000003</v>
      </c>
      <c r="BF216" s="109">
        <f t="shared" si="118"/>
        <v>65046.239999999998</v>
      </c>
      <c r="BG216" s="109">
        <f t="shared" si="119"/>
        <v>4.8784679999999997E-2</v>
      </c>
      <c r="BH216" s="109">
        <f t="shared" si="120"/>
        <v>5.4205200000000009E-2</v>
      </c>
      <c r="BI216" s="109">
        <f t="shared" si="121"/>
        <v>0</v>
      </c>
      <c r="BJ216" s="109">
        <f t="shared" si="122"/>
        <v>0.42348941774999999</v>
      </c>
      <c r="BK216" s="109">
        <f t="shared" si="123"/>
        <v>4.3067859640000004</v>
      </c>
      <c r="BL216" s="148">
        <v>0.87</v>
      </c>
      <c r="BM216" s="112">
        <f>ROUND((AW216/BL216)+((AW216*BL216)*'CALCULO GERAL'!$E$11)/BL216,2)</f>
        <v>0.9</v>
      </c>
      <c r="BN216" s="186">
        <f t="shared" si="94"/>
        <v>0.9</v>
      </c>
      <c r="BO216" s="186">
        <f t="shared" si="95"/>
        <v>1.054</v>
      </c>
      <c r="BP216" s="109">
        <f>BM216*'CALCULO GERAL'!$C$11</f>
        <v>4.5171000000000001</v>
      </c>
      <c r="BQ216" s="109">
        <f>BO216*'CALCULO GERAL'!$C$11</f>
        <v>5.2900260000000001</v>
      </c>
      <c r="BR216" s="186">
        <f>BN216*'CALCULO GERAL'!$C$11</f>
        <v>4.5171000000000001</v>
      </c>
      <c r="BS216" s="109">
        <f t="shared" si="124"/>
        <v>542052</v>
      </c>
      <c r="BT216" s="109">
        <f t="shared" si="125"/>
        <v>542052</v>
      </c>
      <c r="BU216" s="109">
        <f t="shared" si="99"/>
        <v>516814.31568000006</v>
      </c>
      <c r="BV216" s="109">
        <f t="shared" si="96"/>
        <v>25237.684319999942</v>
      </c>
      <c r="BW216" s="114">
        <f t="shared" si="126"/>
        <v>4.6559526244714419E-2</v>
      </c>
      <c r="BX216" s="152">
        <f t="shared" si="100"/>
        <v>0.87</v>
      </c>
      <c r="BZ216" s="55"/>
      <c r="CA216" s="113"/>
      <c r="CB216" s="113"/>
      <c r="CD216" s="152">
        <f t="shared" si="101"/>
        <v>0</v>
      </c>
      <c r="CE216" s="152">
        <f t="shared" si="97"/>
        <v>1</v>
      </c>
      <c r="CF216" s="152">
        <f t="shared" si="98"/>
        <v>1</v>
      </c>
      <c r="CG216" s="34"/>
      <c r="CI216" s="11"/>
      <c r="CJ216" s="11"/>
    </row>
    <row r="217" spans="1:88" s="152" customFormat="1" x14ac:dyDescent="0.2">
      <c r="A217" s="125" t="s">
        <v>353</v>
      </c>
      <c r="B217" s="187" t="s">
        <v>297</v>
      </c>
      <c r="C217" s="8">
        <v>0.26</v>
      </c>
      <c r="D217" s="8">
        <v>0</v>
      </c>
      <c r="E217" s="7">
        <v>2.1000000000000001E-2</v>
      </c>
      <c r="F217" s="7">
        <v>0.1045</v>
      </c>
      <c r="G217" s="1">
        <v>6.4999999999999997E-3</v>
      </c>
      <c r="H217" s="1">
        <v>0.03</v>
      </c>
      <c r="I217" s="1">
        <v>0.18</v>
      </c>
      <c r="J217" s="1">
        <v>0.04</v>
      </c>
      <c r="K217" s="1">
        <v>0.14000000000000001</v>
      </c>
      <c r="L217" s="1">
        <v>1.4999999999999999E-2</v>
      </c>
      <c r="M217" s="2" t="s">
        <v>175</v>
      </c>
      <c r="N217" s="105">
        <v>135000</v>
      </c>
      <c r="O217" s="119">
        <v>0.45500000000000002</v>
      </c>
      <c r="P217" s="119">
        <v>0.46</v>
      </c>
      <c r="Q217" s="119">
        <v>0.44</v>
      </c>
      <c r="R217" s="119">
        <v>0.49</v>
      </c>
      <c r="S217" s="119">
        <v>0.44</v>
      </c>
      <c r="T217" s="119"/>
      <c r="U217" s="119"/>
      <c r="V217" s="119">
        <v>0.46</v>
      </c>
      <c r="W217" s="119">
        <v>0.44500000000000001</v>
      </c>
      <c r="X217" s="119">
        <f t="shared" si="103"/>
        <v>0.44</v>
      </c>
      <c r="Y217" s="118">
        <f t="shared" si="104"/>
        <v>0.45571428571428568</v>
      </c>
      <c r="Z217" s="109">
        <f t="shared" si="102"/>
        <v>59400</v>
      </c>
      <c r="AA217" s="109">
        <f>'CALCULO GERAL'!$G$10</f>
        <v>6300</v>
      </c>
      <c r="AB217" s="109">
        <f t="shared" si="105"/>
        <v>65700</v>
      </c>
      <c r="AC217" s="109">
        <f>AB217*'CALCULO GERAL'!$C$11</f>
        <v>329748.3</v>
      </c>
      <c r="AD217" s="109">
        <f t="shared" si="106"/>
        <v>85734.558000000005</v>
      </c>
      <c r="AE217" s="109">
        <f t="shared" si="107"/>
        <v>0</v>
      </c>
      <c r="AF217" s="109">
        <f t="shared" si="108"/>
        <v>6924.7143000000005</v>
      </c>
      <c r="AG217" s="109">
        <f t="shared" si="109"/>
        <v>34458.697349999995</v>
      </c>
      <c r="AH217" s="109">
        <v>154.22999999999999</v>
      </c>
      <c r="AI217" s="109">
        <f>((AA217*'CALCULO GERAL'!$C$11))*0.08+20</f>
        <v>2549.576</v>
      </c>
      <c r="AJ217" s="109">
        <v>1010</v>
      </c>
      <c r="AK217" s="109">
        <v>2500</v>
      </c>
      <c r="AL217" s="109">
        <f>(AA217*('CALCULO GERAL'!$C$11*1.02))-(AA217*'CALCULO GERAL'!$C$11)</f>
        <v>632.39400000000387</v>
      </c>
      <c r="AM217" s="109">
        <v>1800</v>
      </c>
      <c r="AN217" s="109">
        <v>2600</v>
      </c>
      <c r="AO217" s="109">
        <v>9400</v>
      </c>
      <c r="AP217" s="109">
        <v>1000</v>
      </c>
      <c r="AQ217" s="109">
        <v>0</v>
      </c>
      <c r="AR217" s="109">
        <v>0</v>
      </c>
      <c r="AS217" s="109"/>
      <c r="AT217" s="109">
        <f t="shared" si="93"/>
        <v>478512.46964999998</v>
      </c>
      <c r="AU217" s="111">
        <f t="shared" si="110"/>
        <v>3.5445368122222223</v>
      </c>
      <c r="AV217" s="109">
        <f>IFERROR((BS217*'CALCULO GERAL'!$E$11)/N217,0)</f>
        <v>8.4319200000000011E-2</v>
      </c>
      <c r="AW217" s="109">
        <f>AU217/'CALCULO GERAL'!$C$11</f>
        <v>0.70622371233756165</v>
      </c>
      <c r="AX217" s="109">
        <f>BP217-BB217-BD217*'CALCULO GERAL'!$C$11</f>
        <v>4.1527206000000003</v>
      </c>
      <c r="AY217" s="109">
        <f t="shared" si="111"/>
        <v>2.6992683900000002E-2</v>
      </c>
      <c r="AZ217" s="109">
        <f t="shared" si="112"/>
        <v>0.12458161800000001</v>
      </c>
      <c r="BA217" s="109">
        <f t="shared" si="113"/>
        <v>4.2159599999999999</v>
      </c>
      <c r="BB217" s="109">
        <f t="shared" si="114"/>
        <v>6.3239400000000001E-2</v>
      </c>
      <c r="BC217" s="109">
        <f t="shared" si="115"/>
        <v>4.2159599999999999</v>
      </c>
      <c r="BD217" s="109">
        <f t="shared" si="116"/>
        <v>0</v>
      </c>
      <c r="BE217" s="109">
        <f t="shared" si="117"/>
        <v>45532.368000000002</v>
      </c>
      <c r="BF217" s="109">
        <f t="shared" si="118"/>
        <v>68298.551999999996</v>
      </c>
      <c r="BG217" s="109">
        <f t="shared" si="119"/>
        <v>4.5532367999999997E-2</v>
      </c>
      <c r="BH217" s="109">
        <f t="shared" si="120"/>
        <v>5.0591520000000001E-2</v>
      </c>
      <c r="BI217" s="109">
        <f t="shared" si="121"/>
        <v>0</v>
      </c>
      <c r="BJ217" s="109">
        <f t="shared" si="122"/>
        <v>0.39525678990000002</v>
      </c>
      <c r="BK217" s="109">
        <f t="shared" si="123"/>
        <v>3.9397936021222222</v>
      </c>
      <c r="BL217" s="148">
        <v>0.86</v>
      </c>
      <c r="BM217" s="112">
        <f>ROUND((AW217/BL217)+((AW217*BL217)*'CALCULO GERAL'!$E$11)/BL217,2)</f>
        <v>0.84</v>
      </c>
      <c r="BN217" s="186">
        <f t="shared" si="94"/>
        <v>0.84</v>
      </c>
      <c r="BO217" s="186">
        <f t="shared" si="95"/>
        <v>0.98399999999999999</v>
      </c>
      <c r="BP217" s="109">
        <f>BM217*'CALCULO GERAL'!$C$11</f>
        <v>4.2159599999999999</v>
      </c>
      <c r="BQ217" s="109">
        <f>BO217*'CALCULO GERAL'!$C$11</f>
        <v>4.9386960000000002</v>
      </c>
      <c r="BR217" s="186">
        <f>BN217*'CALCULO GERAL'!$C$11</f>
        <v>4.2159599999999999</v>
      </c>
      <c r="BS217" s="109">
        <f t="shared" si="124"/>
        <v>569154.6</v>
      </c>
      <c r="BT217" s="109">
        <f t="shared" si="125"/>
        <v>569154.6</v>
      </c>
      <c r="BU217" s="109">
        <f t="shared" si="99"/>
        <v>531872.13628650003</v>
      </c>
      <c r="BV217" s="109">
        <f t="shared" si="96"/>
        <v>37282.46371349995</v>
      </c>
      <c r="BW217" s="114">
        <f t="shared" si="126"/>
        <v>6.5504985312426448E-2</v>
      </c>
      <c r="BX217" s="152">
        <f t="shared" si="100"/>
        <v>0.86</v>
      </c>
      <c r="BZ217" s="55"/>
      <c r="CA217" s="113"/>
      <c r="CB217" s="113"/>
      <c r="CD217" s="152">
        <f t="shared" si="101"/>
        <v>0</v>
      </c>
      <c r="CE217" s="152">
        <f t="shared" si="97"/>
        <v>1</v>
      </c>
      <c r="CF217" s="152">
        <f t="shared" si="98"/>
        <v>1</v>
      </c>
      <c r="CG217" s="34"/>
      <c r="CI217" s="11"/>
      <c r="CJ217" s="11"/>
    </row>
    <row r="218" spans="1:88" s="152" customFormat="1" x14ac:dyDescent="0.2">
      <c r="A218" s="125" t="s">
        <v>354</v>
      </c>
      <c r="B218" s="187" t="s">
        <v>297</v>
      </c>
      <c r="C218" s="8">
        <v>0.26</v>
      </c>
      <c r="D218" s="8">
        <v>0</v>
      </c>
      <c r="E218" s="7">
        <v>2.1000000000000001E-2</v>
      </c>
      <c r="F218" s="7">
        <v>0.1045</v>
      </c>
      <c r="G218" s="1">
        <v>6.4999999999999997E-3</v>
      </c>
      <c r="H218" s="1">
        <v>0.03</v>
      </c>
      <c r="I218" s="1">
        <v>0.18</v>
      </c>
      <c r="J218" s="1">
        <v>0.04</v>
      </c>
      <c r="K218" s="1">
        <v>0.14000000000000001</v>
      </c>
      <c r="L218" s="1">
        <v>1.4999999999999999E-2</v>
      </c>
      <c r="M218" s="2" t="s">
        <v>175</v>
      </c>
      <c r="N218" s="105">
        <v>120000</v>
      </c>
      <c r="O218" s="119">
        <v>0.45500000000000002</v>
      </c>
      <c r="P218" s="119">
        <v>0.51</v>
      </c>
      <c r="Q218" s="119">
        <v>0.46</v>
      </c>
      <c r="R218" s="119">
        <v>0.53</v>
      </c>
      <c r="S218" s="119">
        <v>0.49</v>
      </c>
      <c r="T218" s="119"/>
      <c r="U218" s="119">
        <v>0.505</v>
      </c>
      <c r="V218" s="119">
        <v>0.49</v>
      </c>
      <c r="W218" s="119">
        <v>0.47499999999999998</v>
      </c>
      <c r="X218" s="119">
        <f t="shared" si="103"/>
        <v>0.45500000000000002</v>
      </c>
      <c r="Y218" s="118">
        <f t="shared" si="104"/>
        <v>0.48937500000000006</v>
      </c>
      <c r="Z218" s="109">
        <f t="shared" si="102"/>
        <v>54600</v>
      </c>
      <c r="AA218" s="109">
        <f>'CALCULO GERAL'!$G$10</f>
        <v>6300</v>
      </c>
      <c r="AB218" s="109">
        <f t="shared" si="105"/>
        <v>60900</v>
      </c>
      <c r="AC218" s="109">
        <f>AB218*'CALCULO GERAL'!$C$11</f>
        <v>305657.10000000003</v>
      </c>
      <c r="AD218" s="109">
        <f t="shared" si="106"/>
        <v>79470.846000000005</v>
      </c>
      <c r="AE218" s="109">
        <f t="shared" si="107"/>
        <v>0</v>
      </c>
      <c r="AF218" s="109">
        <f t="shared" si="108"/>
        <v>6418.7991000000011</v>
      </c>
      <c r="AG218" s="109">
        <f t="shared" si="109"/>
        <v>31941.166950000003</v>
      </c>
      <c r="AH218" s="109">
        <v>154.22999999999999</v>
      </c>
      <c r="AI218" s="109">
        <f>((AA218*'CALCULO GERAL'!$C$11))*0.08+20</f>
        <v>2549.576</v>
      </c>
      <c r="AJ218" s="109">
        <v>1010</v>
      </c>
      <c r="AK218" s="109">
        <v>2500</v>
      </c>
      <c r="AL218" s="109">
        <f>(AA218*('CALCULO GERAL'!$C$11*1.02))-(AA218*'CALCULO GERAL'!$C$11)</f>
        <v>632.39400000000387</v>
      </c>
      <c r="AM218" s="109">
        <v>1800</v>
      </c>
      <c r="AN218" s="109">
        <v>2600</v>
      </c>
      <c r="AO218" s="109">
        <v>9400</v>
      </c>
      <c r="AP218" s="109">
        <v>1000</v>
      </c>
      <c r="AQ218" s="109">
        <v>0</v>
      </c>
      <c r="AR218" s="109">
        <v>0</v>
      </c>
      <c r="AS218" s="109"/>
      <c r="AT218" s="109">
        <f t="shared" si="93"/>
        <v>445134.11205000005</v>
      </c>
      <c r="AU218" s="111">
        <f t="shared" si="110"/>
        <v>3.7094509337500003</v>
      </c>
      <c r="AV218" s="109">
        <f>IFERROR((BS218*'CALCULO GERAL'!$E$11)/N218,0)</f>
        <v>8.7330600000000008E-2</v>
      </c>
      <c r="AW218" s="109">
        <f>AU218/'CALCULO GERAL'!$C$11</f>
        <v>0.73908167637975697</v>
      </c>
      <c r="AX218" s="109">
        <f>BP218-BB218-BD218*'CALCULO GERAL'!$C$11</f>
        <v>4.3010320499999999</v>
      </c>
      <c r="AY218" s="109">
        <f t="shared" si="111"/>
        <v>2.7956708324999999E-2</v>
      </c>
      <c r="AZ218" s="109">
        <f t="shared" si="112"/>
        <v>0.12903096149999999</v>
      </c>
      <c r="BA218" s="109">
        <f t="shared" si="113"/>
        <v>4.36653</v>
      </c>
      <c r="BB218" s="109">
        <f t="shared" si="114"/>
        <v>6.5497949999999999E-2</v>
      </c>
      <c r="BC218" s="109">
        <f t="shared" si="115"/>
        <v>4.36653</v>
      </c>
      <c r="BD218" s="109">
        <f t="shared" si="116"/>
        <v>0</v>
      </c>
      <c r="BE218" s="109">
        <f t="shared" si="117"/>
        <v>41918.688000000002</v>
      </c>
      <c r="BF218" s="109">
        <f t="shared" si="118"/>
        <v>62878.031999999992</v>
      </c>
      <c r="BG218" s="109">
        <f t="shared" si="119"/>
        <v>4.7158523999999986E-2</v>
      </c>
      <c r="BH218" s="109">
        <f t="shared" si="120"/>
        <v>5.2398360000000005E-2</v>
      </c>
      <c r="BI218" s="109">
        <f t="shared" si="121"/>
        <v>0</v>
      </c>
      <c r="BJ218" s="109">
        <f t="shared" si="122"/>
        <v>0.40937310382499992</v>
      </c>
      <c r="BK218" s="109">
        <f t="shared" si="123"/>
        <v>4.118824037575</v>
      </c>
      <c r="BL218" s="148">
        <v>0.86</v>
      </c>
      <c r="BM218" s="112">
        <f>ROUND((AW218/BL218)+((AW218*BL218)*'CALCULO GERAL'!$E$11)/BL218,2)</f>
        <v>0.87</v>
      </c>
      <c r="BN218" s="186">
        <f t="shared" si="94"/>
        <v>0.87</v>
      </c>
      <c r="BO218" s="186">
        <f t="shared" si="95"/>
        <v>1.0189999999999999</v>
      </c>
      <c r="BP218" s="109">
        <f>BM218*'CALCULO GERAL'!$C$11</f>
        <v>4.36653</v>
      </c>
      <c r="BQ218" s="109">
        <f>BO218*'CALCULO GERAL'!$C$11</f>
        <v>5.1143609999999997</v>
      </c>
      <c r="BR218" s="186">
        <f>BN218*'CALCULO GERAL'!$C$11</f>
        <v>4.36653</v>
      </c>
      <c r="BS218" s="109">
        <f t="shared" si="124"/>
        <v>523983.6</v>
      </c>
      <c r="BT218" s="109">
        <f t="shared" si="125"/>
        <v>523983.6</v>
      </c>
      <c r="BU218" s="109">
        <f t="shared" si="99"/>
        <v>494258.884509</v>
      </c>
      <c r="BV218" s="109">
        <f t="shared" si="96"/>
        <v>29724.715490999981</v>
      </c>
      <c r="BW218" s="114">
        <f t="shared" si="126"/>
        <v>5.6728331747405804E-2</v>
      </c>
      <c r="BX218" s="152">
        <f t="shared" si="100"/>
        <v>0.86</v>
      </c>
      <c r="BZ218" s="55"/>
      <c r="CA218" s="113"/>
      <c r="CB218" s="113"/>
      <c r="CD218" s="152">
        <f t="shared" si="101"/>
        <v>0</v>
      </c>
      <c r="CE218" s="152">
        <f t="shared" si="97"/>
        <v>1</v>
      </c>
      <c r="CF218" s="152">
        <f t="shared" si="98"/>
        <v>1</v>
      </c>
      <c r="CG218" s="34"/>
      <c r="CI218" s="11"/>
      <c r="CJ218" s="11"/>
    </row>
    <row r="219" spans="1:88" s="152" customFormat="1" x14ac:dyDescent="0.2">
      <c r="A219" s="125" t="s">
        <v>355</v>
      </c>
      <c r="B219" s="187" t="s">
        <v>325</v>
      </c>
      <c r="C219" s="8">
        <v>0.26</v>
      </c>
      <c r="D219" s="8">
        <v>0</v>
      </c>
      <c r="E219" s="7">
        <v>2.1000000000000001E-2</v>
      </c>
      <c r="F219" s="7">
        <v>0.1045</v>
      </c>
      <c r="G219" s="1">
        <v>6.4999999999999997E-3</v>
      </c>
      <c r="H219" s="1">
        <v>0.03</v>
      </c>
      <c r="I219" s="1">
        <v>0.18</v>
      </c>
      <c r="J219" s="1">
        <v>0.04</v>
      </c>
      <c r="K219" s="1">
        <v>0.14000000000000001</v>
      </c>
      <c r="L219" s="1">
        <v>1.4999999999999999E-2</v>
      </c>
      <c r="M219" s="2" t="s">
        <v>175</v>
      </c>
      <c r="N219" s="105">
        <v>115000</v>
      </c>
      <c r="O219" s="119">
        <v>0.52</v>
      </c>
      <c r="P219" s="119">
        <v>0.56999999999999995</v>
      </c>
      <c r="Q219" s="119">
        <v>0.56000000000000005</v>
      </c>
      <c r="R219" s="119">
        <v>0.51</v>
      </c>
      <c r="S219" s="119">
        <v>0.51</v>
      </c>
      <c r="T219" s="119"/>
      <c r="U219" s="119">
        <v>0.53500000000000003</v>
      </c>
      <c r="V219" s="119">
        <v>0.57999999999999996</v>
      </c>
      <c r="W219" s="119">
        <v>0.59</v>
      </c>
      <c r="X219" s="119">
        <f t="shared" si="103"/>
        <v>0.51</v>
      </c>
      <c r="Y219" s="118">
        <f t="shared" si="104"/>
        <v>0.546875</v>
      </c>
      <c r="Z219" s="109">
        <f t="shared" si="102"/>
        <v>58650</v>
      </c>
      <c r="AA219" s="109">
        <f>'CALCULO GERAL'!$G$10</f>
        <v>6300</v>
      </c>
      <c r="AB219" s="109">
        <f t="shared" si="105"/>
        <v>64950</v>
      </c>
      <c r="AC219" s="109">
        <f>AB219*'CALCULO GERAL'!$C$11</f>
        <v>325984.05</v>
      </c>
      <c r="AD219" s="109">
        <f t="shared" si="106"/>
        <v>84755.853000000003</v>
      </c>
      <c r="AE219" s="109">
        <f t="shared" si="107"/>
        <v>0</v>
      </c>
      <c r="AF219" s="109">
        <f t="shared" si="108"/>
        <v>6845.6650500000005</v>
      </c>
      <c r="AG219" s="109">
        <f t="shared" si="109"/>
        <v>34065.333224999995</v>
      </c>
      <c r="AH219" s="109">
        <v>154.22999999999999</v>
      </c>
      <c r="AI219" s="109">
        <f>((AA219*'CALCULO GERAL'!$C$11))*0.08+20</f>
        <v>2549.576</v>
      </c>
      <c r="AJ219" s="109">
        <v>1010</v>
      </c>
      <c r="AK219" s="109">
        <v>2500</v>
      </c>
      <c r="AL219" s="109">
        <f>(AA219*('CALCULO GERAL'!$C$11*1.02))-(AA219*'CALCULO GERAL'!$C$11)</f>
        <v>632.39400000000387</v>
      </c>
      <c r="AM219" s="109">
        <v>1800</v>
      </c>
      <c r="AN219" s="109">
        <v>2600</v>
      </c>
      <c r="AO219" s="109">
        <v>9400</v>
      </c>
      <c r="AP219" s="109">
        <v>1000</v>
      </c>
      <c r="AQ219" s="109">
        <v>0</v>
      </c>
      <c r="AR219" s="109">
        <v>0</v>
      </c>
      <c r="AS219" s="109"/>
      <c r="AT219" s="109">
        <f t="shared" si="93"/>
        <v>473297.10127500002</v>
      </c>
      <c r="AU219" s="111">
        <f t="shared" si="110"/>
        <v>4.1156269676086961</v>
      </c>
      <c r="AV219" s="109">
        <f>IFERROR((BS219*'CALCULO GERAL'!$E$11)/N219,0)</f>
        <v>9.63648E-2</v>
      </c>
      <c r="AW219" s="109">
        <f>AU219/'CALCULO GERAL'!$C$11</f>
        <v>0.82000935796148555</v>
      </c>
      <c r="AX219" s="109">
        <f>BP219-BB219-BD219*'CALCULO GERAL'!$C$11</f>
        <v>4.7459664000000004</v>
      </c>
      <c r="AY219" s="109">
        <f t="shared" si="111"/>
        <v>3.08487816E-2</v>
      </c>
      <c r="AZ219" s="109">
        <f t="shared" si="112"/>
        <v>0.14237899200000001</v>
      </c>
      <c r="BA219" s="109">
        <f t="shared" si="113"/>
        <v>4.8182400000000003</v>
      </c>
      <c r="BB219" s="109">
        <f t="shared" si="114"/>
        <v>7.2273600000000007E-2</v>
      </c>
      <c r="BC219" s="109">
        <f t="shared" si="115"/>
        <v>4.8182400000000003</v>
      </c>
      <c r="BD219" s="109">
        <f t="shared" si="116"/>
        <v>0</v>
      </c>
      <c r="BE219" s="109">
        <f t="shared" si="117"/>
        <v>44327.807999999997</v>
      </c>
      <c r="BF219" s="109">
        <f t="shared" si="118"/>
        <v>66491.712</v>
      </c>
      <c r="BG219" s="109">
        <f t="shared" si="119"/>
        <v>5.2036991999999997E-2</v>
      </c>
      <c r="BH219" s="109">
        <f t="shared" si="120"/>
        <v>5.7818879999999996E-2</v>
      </c>
      <c r="BI219" s="109">
        <f t="shared" si="121"/>
        <v>0</v>
      </c>
      <c r="BJ219" s="109">
        <f t="shared" si="122"/>
        <v>0.45172204560000007</v>
      </c>
      <c r="BK219" s="109">
        <f t="shared" si="123"/>
        <v>4.5673490132086965</v>
      </c>
      <c r="BL219" s="148">
        <v>0.87</v>
      </c>
      <c r="BM219" s="112">
        <f>ROUND((AW219/BL219)+((AW219*BL219)*'CALCULO GERAL'!$E$11)/BL219,2)</f>
        <v>0.96</v>
      </c>
      <c r="BN219" s="186">
        <f t="shared" si="94"/>
        <v>0.96</v>
      </c>
      <c r="BO219" s="186">
        <f t="shared" si="95"/>
        <v>1.125</v>
      </c>
      <c r="BP219" s="109">
        <f>BM219*'CALCULO GERAL'!$C$11</f>
        <v>4.8182400000000003</v>
      </c>
      <c r="BQ219" s="109">
        <f>BO219*'CALCULO GERAL'!$C$11</f>
        <v>5.6463749999999999</v>
      </c>
      <c r="BR219" s="186">
        <f>BN219*'CALCULO GERAL'!$C$11</f>
        <v>4.8182400000000003</v>
      </c>
      <c r="BS219" s="109">
        <f t="shared" si="124"/>
        <v>554097.6</v>
      </c>
      <c r="BT219" s="109">
        <f t="shared" si="125"/>
        <v>554097.6</v>
      </c>
      <c r="BU219" s="109">
        <f t="shared" si="99"/>
        <v>525245.13651900005</v>
      </c>
      <c r="BV219" s="109">
        <f t="shared" si="96"/>
        <v>28852.463480999926</v>
      </c>
      <c r="BW219" s="114">
        <f t="shared" si="126"/>
        <v>5.2071085456785821E-2</v>
      </c>
      <c r="BX219" s="152">
        <f t="shared" si="100"/>
        <v>0.87</v>
      </c>
      <c r="BZ219" s="55"/>
      <c r="CA219" s="113"/>
      <c r="CB219" s="113"/>
      <c r="CD219" s="152">
        <f t="shared" si="101"/>
        <v>0</v>
      </c>
      <c r="CE219" s="152">
        <f t="shared" si="97"/>
        <v>1</v>
      </c>
      <c r="CF219" s="152">
        <f t="shared" si="98"/>
        <v>1</v>
      </c>
      <c r="CG219" s="34"/>
      <c r="CI219" s="11"/>
      <c r="CJ219" s="11"/>
    </row>
    <row r="220" spans="1:88" s="152" customFormat="1" x14ac:dyDescent="0.2">
      <c r="A220" s="125" t="s">
        <v>356</v>
      </c>
      <c r="B220" s="187" t="s">
        <v>325</v>
      </c>
      <c r="C220" s="8">
        <v>0.26</v>
      </c>
      <c r="D220" s="8">
        <v>0</v>
      </c>
      <c r="E220" s="7">
        <v>2.1000000000000001E-2</v>
      </c>
      <c r="F220" s="7">
        <v>0.1045</v>
      </c>
      <c r="G220" s="1">
        <v>6.4999999999999997E-3</v>
      </c>
      <c r="H220" s="1">
        <v>0.03</v>
      </c>
      <c r="I220" s="1">
        <v>0.18</v>
      </c>
      <c r="J220" s="1">
        <v>0.04</v>
      </c>
      <c r="K220" s="1">
        <v>0.14000000000000001</v>
      </c>
      <c r="L220" s="1">
        <v>1.4999999999999999E-2</v>
      </c>
      <c r="M220" s="2" t="s">
        <v>175</v>
      </c>
      <c r="N220" s="105">
        <v>100000</v>
      </c>
      <c r="O220" s="119">
        <v>0.59499999999999997</v>
      </c>
      <c r="P220" s="119"/>
      <c r="Q220" s="119">
        <v>0.7</v>
      </c>
      <c r="R220" s="119">
        <v>0.64</v>
      </c>
      <c r="S220" s="119">
        <v>0.65</v>
      </c>
      <c r="T220" s="119"/>
      <c r="U220" s="119"/>
      <c r="V220" s="119">
        <v>0.73</v>
      </c>
      <c r="W220" s="119">
        <v>0.81499999999999995</v>
      </c>
      <c r="X220" s="119">
        <f t="shared" si="103"/>
        <v>0.59499999999999997</v>
      </c>
      <c r="Y220" s="118">
        <f t="shared" si="104"/>
        <v>0.68833333333333335</v>
      </c>
      <c r="Z220" s="109">
        <f t="shared" si="102"/>
        <v>59500</v>
      </c>
      <c r="AA220" s="109">
        <f>'CALCULO GERAL'!$G$10</f>
        <v>6300</v>
      </c>
      <c r="AB220" s="109">
        <f t="shared" si="105"/>
        <v>65800</v>
      </c>
      <c r="AC220" s="109">
        <f>AB220*'CALCULO GERAL'!$C$11</f>
        <v>330250.2</v>
      </c>
      <c r="AD220" s="109">
        <f t="shared" si="106"/>
        <v>85865.052000000011</v>
      </c>
      <c r="AE220" s="109">
        <f t="shared" si="107"/>
        <v>0</v>
      </c>
      <c r="AF220" s="109">
        <f t="shared" si="108"/>
        <v>6935.2542000000003</v>
      </c>
      <c r="AG220" s="109">
        <f t="shared" si="109"/>
        <v>34511.145900000003</v>
      </c>
      <c r="AH220" s="109">
        <v>154.22999999999999</v>
      </c>
      <c r="AI220" s="109">
        <f>((AA220*'CALCULO GERAL'!$C$11))*0.08+20</f>
        <v>2549.576</v>
      </c>
      <c r="AJ220" s="109">
        <v>1010</v>
      </c>
      <c r="AK220" s="109">
        <v>2500</v>
      </c>
      <c r="AL220" s="109">
        <f>(AA220*('CALCULO GERAL'!$C$11*1.02))-(AA220*'CALCULO GERAL'!$C$11)</f>
        <v>632.39400000000387</v>
      </c>
      <c r="AM220" s="109">
        <v>1800</v>
      </c>
      <c r="AN220" s="109">
        <v>2600</v>
      </c>
      <c r="AO220" s="109">
        <v>9400</v>
      </c>
      <c r="AP220" s="109">
        <v>1000</v>
      </c>
      <c r="AQ220" s="109">
        <v>0</v>
      </c>
      <c r="AR220" s="109">
        <v>0</v>
      </c>
      <c r="AS220" s="109"/>
      <c r="AT220" s="109">
        <f t="shared" si="93"/>
        <v>479207.85210000008</v>
      </c>
      <c r="AU220" s="111">
        <f t="shared" si="110"/>
        <v>4.7920785210000005</v>
      </c>
      <c r="AV220" s="109">
        <f>IFERROR((BS220*'CALCULO GERAL'!$E$11)/N220,0)</f>
        <v>0.11342939999999999</v>
      </c>
      <c r="AW220" s="109">
        <f>AU220/'CALCULO GERAL'!$C$11</f>
        <v>0.95478751165570841</v>
      </c>
      <c r="AX220" s="109">
        <f>BP220-BB220-BD220*'CALCULO GERAL'!$C$11</f>
        <v>5.5863979499999994</v>
      </c>
      <c r="AY220" s="109">
        <f t="shared" si="111"/>
        <v>3.6311586674999993E-2</v>
      </c>
      <c r="AZ220" s="109">
        <f t="shared" si="112"/>
        <v>0.16759193849999998</v>
      </c>
      <c r="BA220" s="109">
        <f t="shared" si="113"/>
        <v>5.6714699999999993</v>
      </c>
      <c r="BB220" s="109">
        <f t="shared" si="114"/>
        <v>8.5072049999999982E-2</v>
      </c>
      <c r="BC220" s="109">
        <f t="shared" si="115"/>
        <v>5.6714699999999993</v>
      </c>
      <c r="BD220" s="109">
        <f t="shared" si="116"/>
        <v>0</v>
      </c>
      <c r="BE220" s="109">
        <f t="shared" si="117"/>
        <v>45371.759999999995</v>
      </c>
      <c r="BF220" s="109">
        <f t="shared" si="118"/>
        <v>68057.639999999985</v>
      </c>
      <c r="BG220" s="109">
        <f t="shared" si="119"/>
        <v>6.1251875999999983E-2</v>
      </c>
      <c r="BH220" s="109">
        <f t="shared" si="120"/>
        <v>6.8057639999999989E-2</v>
      </c>
      <c r="BI220" s="109">
        <f t="shared" si="121"/>
        <v>0</v>
      </c>
      <c r="BJ220" s="109">
        <f t="shared" si="122"/>
        <v>0.53171449117499991</v>
      </c>
      <c r="BK220" s="109">
        <f t="shared" si="123"/>
        <v>5.3237930121750008</v>
      </c>
      <c r="BL220" s="148">
        <v>0.86</v>
      </c>
      <c r="BM220" s="112">
        <f>ROUND((AW220/BL220)+((AW220*BL220)*'CALCULO GERAL'!$E$11)/BL220,2)</f>
        <v>1.1299999999999999</v>
      </c>
      <c r="BN220" s="186">
        <f t="shared" si="94"/>
        <v>1.1299999999999999</v>
      </c>
      <c r="BO220" s="186">
        <f t="shared" si="95"/>
        <v>1.3240000000000001</v>
      </c>
      <c r="BP220" s="109">
        <f>BM220*'CALCULO GERAL'!$C$11</f>
        <v>5.6714699999999993</v>
      </c>
      <c r="BQ220" s="109">
        <f>BO220*'CALCULO GERAL'!$C$11</f>
        <v>6.6451560000000001</v>
      </c>
      <c r="BR220" s="186">
        <f>BN220*'CALCULO GERAL'!$C$11</f>
        <v>5.6714699999999993</v>
      </c>
      <c r="BS220" s="109">
        <f t="shared" si="124"/>
        <v>567146.99999999988</v>
      </c>
      <c r="BT220" s="109">
        <f t="shared" si="125"/>
        <v>567146.99999999988</v>
      </c>
      <c r="BU220" s="109">
        <f t="shared" si="99"/>
        <v>532379.30121750012</v>
      </c>
      <c r="BV220" s="109">
        <f t="shared" si="96"/>
        <v>34767.698782499763</v>
      </c>
      <c r="BW220" s="114">
        <f t="shared" si="126"/>
        <v>6.1302799419726758E-2</v>
      </c>
      <c r="BX220" s="152">
        <f t="shared" si="100"/>
        <v>0.86</v>
      </c>
      <c r="BZ220" s="55"/>
      <c r="CA220" s="113"/>
      <c r="CB220" s="113"/>
      <c r="CD220" s="152">
        <f t="shared" si="101"/>
        <v>0</v>
      </c>
      <c r="CE220" s="152">
        <f t="shared" si="97"/>
        <v>1</v>
      </c>
      <c r="CF220" s="152">
        <f t="shared" si="98"/>
        <v>1</v>
      </c>
      <c r="CG220" s="34"/>
      <c r="CI220" s="11"/>
      <c r="CJ220" s="11"/>
    </row>
    <row r="221" spans="1:88" s="152" customFormat="1" x14ac:dyDescent="0.2">
      <c r="A221" s="125" t="s">
        <v>92</v>
      </c>
      <c r="B221" s="187" t="s">
        <v>297</v>
      </c>
      <c r="C221" s="8">
        <v>0.26</v>
      </c>
      <c r="D221" s="8">
        <v>0</v>
      </c>
      <c r="E221" s="7">
        <v>2.1000000000000001E-2</v>
      </c>
      <c r="F221" s="7">
        <v>0.1045</v>
      </c>
      <c r="G221" s="1">
        <v>6.4999999999999997E-3</v>
      </c>
      <c r="H221" s="1">
        <v>0.03</v>
      </c>
      <c r="I221" s="1">
        <v>0.18</v>
      </c>
      <c r="J221" s="1">
        <v>0.04</v>
      </c>
      <c r="K221" s="1">
        <v>0.14000000000000001</v>
      </c>
      <c r="L221" s="1">
        <v>1.4999999999999999E-2</v>
      </c>
      <c r="M221" s="2" t="s">
        <v>175</v>
      </c>
      <c r="N221" s="105">
        <v>120000</v>
      </c>
      <c r="O221" s="119">
        <v>0.45500000000000002</v>
      </c>
      <c r="P221" s="119"/>
      <c r="Q221" s="119"/>
      <c r="R221" s="119"/>
      <c r="S221" s="119"/>
      <c r="T221" s="119"/>
      <c r="U221" s="119" t="s">
        <v>331</v>
      </c>
      <c r="V221" s="119"/>
      <c r="W221" s="119"/>
      <c r="X221" s="119">
        <f t="shared" si="103"/>
        <v>0.45500000000000002</v>
      </c>
      <c r="Y221" s="118">
        <f t="shared" si="104"/>
        <v>0.45500000000000002</v>
      </c>
      <c r="Z221" s="109">
        <f t="shared" si="102"/>
        <v>54600</v>
      </c>
      <c r="AA221" s="109">
        <f>'CALCULO GERAL'!$G$10</f>
        <v>6300</v>
      </c>
      <c r="AB221" s="109">
        <f t="shared" si="105"/>
        <v>60900</v>
      </c>
      <c r="AC221" s="109">
        <f>AB221*'CALCULO GERAL'!$C$11</f>
        <v>305657.10000000003</v>
      </c>
      <c r="AD221" s="109">
        <f t="shared" si="106"/>
        <v>79470.846000000005</v>
      </c>
      <c r="AE221" s="109">
        <f t="shared" si="107"/>
        <v>0</v>
      </c>
      <c r="AF221" s="109">
        <f t="shared" si="108"/>
        <v>6418.7991000000011</v>
      </c>
      <c r="AG221" s="109">
        <f t="shared" si="109"/>
        <v>31941.166950000003</v>
      </c>
      <c r="AH221" s="109">
        <v>154.22999999999999</v>
      </c>
      <c r="AI221" s="109">
        <f>((AA221*'CALCULO GERAL'!$C$11))*0.08+20</f>
        <v>2549.576</v>
      </c>
      <c r="AJ221" s="109">
        <v>1010</v>
      </c>
      <c r="AK221" s="109">
        <v>2500</v>
      </c>
      <c r="AL221" s="109">
        <f>(AA221*('CALCULO GERAL'!$C$11*1.02))-(AA221*'CALCULO GERAL'!$C$11)</f>
        <v>632.39400000000387</v>
      </c>
      <c r="AM221" s="109">
        <v>1800</v>
      </c>
      <c r="AN221" s="109">
        <v>2600</v>
      </c>
      <c r="AO221" s="109">
        <v>9400</v>
      </c>
      <c r="AP221" s="109">
        <v>1000</v>
      </c>
      <c r="AQ221" s="109">
        <v>0</v>
      </c>
      <c r="AR221" s="109">
        <v>0</v>
      </c>
      <c r="AS221" s="109"/>
      <c r="AT221" s="109">
        <f t="shared" si="93"/>
        <v>445134.11205000005</v>
      </c>
      <c r="AU221" s="111">
        <f t="shared" si="110"/>
        <v>3.7094509337500003</v>
      </c>
      <c r="AV221" s="109">
        <f>IFERROR((BS221*'CALCULO GERAL'!$E$11)/N221,0)</f>
        <v>8.7330600000000008E-2</v>
      </c>
      <c r="AW221" s="109">
        <f>AU221/'CALCULO GERAL'!$C$11</f>
        <v>0.73908167637975697</v>
      </c>
      <c r="AX221" s="109">
        <f>BP221-BB221-BD221*'CALCULO GERAL'!$C$11</f>
        <v>4.3010320499999999</v>
      </c>
      <c r="AY221" s="109">
        <f t="shared" si="111"/>
        <v>2.7956708324999999E-2</v>
      </c>
      <c r="AZ221" s="109">
        <f t="shared" si="112"/>
        <v>0.12903096149999999</v>
      </c>
      <c r="BA221" s="109">
        <f t="shared" si="113"/>
        <v>4.36653</v>
      </c>
      <c r="BB221" s="109">
        <f t="shared" si="114"/>
        <v>6.5497949999999999E-2</v>
      </c>
      <c r="BC221" s="109">
        <f t="shared" si="115"/>
        <v>4.36653</v>
      </c>
      <c r="BD221" s="109">
        <f t="shared" si="116"/>
        <v>0</v>
      </c>
      <c r="BE221" s="109">
        <f t="shared" si="117"/>
        <v>41918.688000000002</v>
      </c>
      <c r="BF221" s="109">
        <f t="shared" si="118"/>
        <v>62878.031999999992</v>
      </c>
      <c r="BG221" s="109">
        <f t="shared" si="119"/>
        <v>4.7158523999999986E-2</v>
      </c>
      <c r="BH221" s="109">
        <f t="shared" si="120"/>
        <v>5.2398360000000005E-2</v>
      </c>
      <c r="BI221" s="109">
        <f t="shared" si="121"/>
        <v>0</v>
      </c>
      <c r="BJ221" s="109">
        <f t="shared" si="122"/>
        <v>0.40937310382499992</v>
      </c>
      <c r="BK221" s="109">
        <f t="shared" si="123"/>
        <v>4.118824037575</v>
      </c>
      <c r="BL221" s="148">
        <v>0.86</v>
      </c>
      <c r="BM221" s="112">
        <f>ROUND((AW221/BL221)+((AW221*BL221)*'CALCULO GERAL'!$E$11)/BL221,2)</f>
        <v>0.87</v>
      </c>
      <c r="BN221" s="186">
        <f t="shared" si="94"/>
        <v>0.87</v>
      </c>
      <c r="BO221" s="186">
        <f t="shared" si="95"/>
        <v>1.0189999999999999</v>
      </c>
      <c r="BP221" s="109">
        <f>BM221*'CALCULO GERAL'!$C$11</f>
        <v>4.36653</v>
      </c>
      <c r="BQ221" s="109">
        <f>BO221*'CALCULO GERAL'!$C$11</f>
        <v>5.1143609999999997</v>
      </c>
      <c r="BR221" s="186">
        <f>BN221*'CALCULO GERAL'!$C$11</f>
        <v>4.36653</v>
      </c>
      <c r="BS221" s="109">
        <f t="shared" si="124"/>
        <v>523983.6</v>
      </c>
      <c r="BT221" s="109">
        <f t="shared" si="125"/>
        <v>523983.6</v>
      </c>
      <c r="BU221" s="109">
        <f t="shared" si="99"/>
        <v>494258.884509</v>
      </c>
      <c r="BV221" s="109">
        <f t="shared" si="96"/>
        <v>29724.715490999981</v>
      </c>
      <c r="BW221" s="114">
        <f t="shared" si="126"/>
        <v>5.6728331747405804E-2</v>
      </c>
      <c r="BX221" s="152">
        <f t="shared" si="100"/>
        <v>0.86</v>
      </c>
      <c r="BZ221" s="55"/>
      <c r="CA221" s="113"/>
      <c r="CB221" s="113"/>
      <c r="CD221" s="152">
        <f t="shared" si="101"/>
        <v>0</v>
      </c>
      <c r="CE221" s="152">
        <f t="shared" si="97"/>
        <v>1</v>
      </c>
      <c r="CF221" s="152">
        <f t="shared" si="98"/>
        <v>1</v>
      </c>
      <c r="CG221" s="34"/>
      <c r="CI221" s="11"/>
      <c r="CJ221" s="11"/>
    </row>
    <row r="222" spans="1:88" s="152" customFormat="1" x14ac:dyDescent="0.2">
      <c r="A222" s="125" t="s">
        <v>537</v>
      </c>
      <c r="B222" s="187" t="s">
        <v>297</v>
      </c>
      <c r="C222" s="8">
        <v>0.26</v>
      </c>
      <c r="D222" s="8">
        <v>0</v>
      </c>
      <c r="E222" s="7">
        <v>2.1000000000000001E-2</v>
      </c>
      <c r="F222" s="7">
        <v>0.1045</v>
      </c>
      <c r="G222" s="1">
        <v>6.4999999999999997E-3</v>
      </c>
      <c r="H222" s="1">
        <v>0.03</v>
      </c>
      <c r="I222" s="1">
        <v>0.18</v>
      </c>
      <c r="J222" s="1">
        <v>0.04</v>
      </c>
      <c r="K222" s="1">
        <v>0.14000000000000001</v>
      </c>
      <c r="L222" s="1">
        <v>1.4999999999999999E-2</v>
      </c>
      <c r="M222" s="2" t="s">
        <v>175</v>
      </c>
      <c r="N222" s="105">
        <v>115000</v>
      </c>
      <c r="O222" s="119">
        <v>0.48</v>
      </c>
      <c r="P222" s="119"/>
      <c r="Q222" s="119"/>
      <c r="R222" s="119"/>
      <c r="S222" s="119"/>
      <c r="T222" s="119"/>
      <c r="U222" s="119"/>
      <c r="V222" s="119"/>
      <c r="W222" s="119"/>
      <c r="X222" s="119">
        <f t="shared" si="103"/>
        <v>0.48</v>
      </c>
      <c r="Y222" s="118">
        <f t="shared" si="104"/>
        <v>0.48</v>
      </c>
      <c r="Z222" s="109">
        <f t="shared" si="102"/>
        <v>55200</v>
      </c>
      <c r="AA222" s="109">
        <f>'CALCULO GERAL'!$G$10</f>
        <v>6300</v>
      </c>
      <c r="AB222" s="109">
        <f t="shared" si="105"/>
        <v>61500</v>
      </c>
      <c r="AC222" s="109">
        <f>AB222*'CALCULO GERAL'!$C$11</f>
        <v>308668.5</v>
      </c>
      <c r="AD222" s="109">
        <f t="shared" si="106"/>
        <v>80253.81</v>
      </c>
      <c r="AE222" s="109">
        <f t="shared" si="107"/>
        <v>0</v>
      </c>
      <c r="AF222" s="109">
        <f t="shared" si="108"/>
        <v>6482.0385000000006</v>
      </c>
      <c r="AG222" s="109">
        <f t="shared" si="109"/>
        <v>32255.858249999997</v>
      </c>
      <c r="AH222" s="109">
        <v>154.22999999999999</v>
      </c>
      <c r="AI222" s="109">
        <f>((AA222*'CALCULO GERAL'!$C$11))*0.08+20</f>
        <v>2549.576</v>
      </c>
      <c r="AJ222" s="109">
        <v>1010</v>
      </c>
      <c r="AK222" s="109">
        <v>2500</v>
      </c>
      <c r="AL222" s="109">
        <f>(AA222*('CALCULO GERAL'!$C$11*1.02))-(AA222*'CALCULO GERAL'!$C$11)</f>
        <v>632.39400000000387</v>
      </c>
      <c r="AM222" s="109">
        <v>1800</v>
      </c>
      <c r="AN222" s="109">
        <v>2600</v>
      </c>
      <c r="AO222" s="109">
        <v>9400</v>
      </c>
      <c r="AP222" s="109">
        <v>1000</v>
      </c>
      <c r="AQ222" s="109">
        <v>0</v>
      </c>
      <c r="AR222" s="109">
        <v>0</v>
      </c>
      <c r="AS222" s="109"/>
      <c r="AT222" s="109">
        <f t="shared" si="93"/>
        <v>449306.40675000002</v>
      </c>
      <c r="AU222" s="111">
        <f t="shared" si="110"/>
        <v>3.9070122326086958</v>
      </c>
      <c r="AV222" s="109">
        <f>IFERROR((BS222*'CALCULO GERAL'!$E$11)/N222,0)</f>
        <v>9.1345800000000005E-2</v>
      </c>
      <c r="AW222" s="109">
        <f>AU222/'CALCULO GERAL'!$C$11</f>
        <v>0.77844435796148548</v>
      </c>
      <c r="AX222" s="109">
        <f>BP222-BB222-BD222*'CALCULO GERAL'!$C$11</f>
        <v>4.4987806499999996</v>
      </c>
      <c r="AY222" s="109">
        <f t="shared" si="111"/>
        <v>2.9242074224999998E-2</v>
      </c>
      <c r="AZ222" s="109">
        <f t="shared" si="112"/>
        <v>0.13496341949999999</v>
      </c>
      <c r="BA222" s="109">
        <f t="shared" si="113"/>
        <v>4.5672899999999998</v>
      </c>
      <c r="BB222" s="109">
        <f t="shared" si="114"/>
        <v>6.8509349999999997E-2</v>
      </c>
      <c r="BC222" s="109">
        <f t="shared" si="115"/>
        <v>4.5672899999999998</v>
      </c>
      <c r="BD222" s="109">
        <f t="shared" si="116"/>
        <v>0</v>
      </c>
      <c r="BE222" s="109">
        <f t="shared" si="117"/>
        <v>42019.067999999999</v>
      </c>
      <c r="BF222" s="109">
        <f t="shared" si="118"/>
        <v>63028.601999999992</v>
      </c>
      <c r="BG222" s="109">
        <f t="shared" si="119"/>
        <v>4.9326731999999991E-2</v>
      </c>
      <c r="BH222" s="109">
        <f t="shared" si="120"/>
        <v>5.4807479999999999E-2</v>
      </c>
      <c r="BI222" s="109">
        <f t="shared" si="121"/>
        <v>0</v>
      </c>
      <c r="BJ222" s="109">
        <f t="shared" si="122"/>
        <v>0.42819485572499999</v>
      </c>
      <c r="BK222" s="109">
        <f t="shared" si="123"/>
        <v>4.3352070883336955</v>
      </c>
      <c r="BL222" s="148">
        <v>0.87</v>
      </c>
      <c r="BM222" s="112">
        <f>ROUND((AW222/BL222)+((AW222*BL222)*'CALCULO GERAL'!$E$11)/BL222,2)</f>
        <v>0.91</v>
      </c>
      <c r="BN222" s="186">
        <f t="shared" si="94"/>
        <v>0.91</v>
      </c>
      <c r="BO222" s="186">
        <f t="shared" si="95"/>
        <v>1.0660000000000001</v>
      </c>
      <c r="BP222" s="109">
        <f>BM222*'CALCULO GERAL'!$C$11</f>
        <v>4.5672899999999998</v>
      </c>
      <c r="BQ222" s="109">
        <f>BO222*'CALCULO GERAL'!$C$11</f>
        <v>5.3502540000000005</v>
      </c>
      <c r="BR222" s="186">
        <f>BN222*'CALCULO GERAL'!$C$11</f>
        <v>4.5672899999999998</v>
      </c>
      <c r="BS222" s="109">
        <f t="shared" si="124"/>
        <v>525238.35</v>
      </c>
      <c r="BT222" s="109">
        <f t="shared" si="125"/>
        <v>525238.35</v>
      </c>
      <c r="BU222" s="109">
        <f t="shared" si="99"/>
        <v>498548.81515837496</v>
      </c>
      <c r="BV222" s="109">
        <f t="shared" si="96"/>
        <v>26689.53484162502</v>
      </c>
      <c r="BW222" s="114">
        <f t="shared" si="126"/>
        <v>5.0814139602763243E-2</v>
      </c>
      <c r="BX222" s="152">
        <f t="shared" si="100"/>
        <v>0.87</v>
      </c>
      <c r="BZ222" s="55"/>
      <c r="CA222" s="113"/>
      <c r="CB222" s="113"/>
      <c r="CD222" s="152">
        <f t="shared" si="101"/>
        <v>0</v>
      </c>
      <c r="CE222" s="152">
        <f t="shared" si="97"/>
        <v>1</v>
      </c>
      <c r="CF222" s="152">
        <f t="shared" si="98"/>
        <v>1</v>
      </c>
      <c r="CG222" s="34"/>
      <c r="CI222" s="11"/>
      <c r="CJ222" s="11"/>
    </row>
    <row r="223" spans="1:88" s="152" customFormat="1" x14ac:dyDescent="0.2">
      <c r="A223" s="125" t="s">
        <v>357</v>
      </c>
      <c r="B223" s="187" t="s">
        <v>297</v>
      </c>
      <c r="C223" s="8">
        <v>0.26</v>
      </c>
      <c r="D223" s="8">
        <v>0</v>
      </c>
      <c r="E223" s="7">
        <v>2.1000000000000001E-2</v>
      </c>
      <c r="F223" s="7">
        <v>0.1045</v>
      </c>
      <c r="G223" s="1">
        <v>6.4999999999999997E-3</v>
      </c>
      <c r="H223" s="1">
        <v>0.03</v>
      </c>
      <c r="I223" s="1">
        <v>0.18</v>
      </c>
      <c r="J223" s="1">
        <v>0.04</v>
      </c>
      <c r="K223" s="1">
        <v>0.14000000000000001</v>
      </c>
      <c r="L223" s="1">
        <v>1.4999999999999999E-2</v>
      </c>
      <c r="M223" s="2" t="s">
        <v>175</v>
      </c>
      <c r="N223" s="105">
        <v>100000</v>
      </c>
      <c r="O223" s="119">
        <v>0.57999999999999996</v>
      </c>
      <c r="P223" s="119">
        <v>0.57999999999999996</v>
      </c>
      <c r="Q223" s="119">
        <v>0.66</v>
      </c>
      <c r="R223" s="119">
        <v>0.66</v>
      </c>
      <c r="S223" s="119">
        <v>0.64</v>
      </c>
      <c r="T223" s="119"/>
      <c r="U223" s="119"/>
      <c r="V223" s="119">
        <v>0.69</v>
      </c>
      <c r="W223" s="119">
        <v>0.66500000000000004</v>
      </c>
      <c r="X223" s="119">
        <f>MIN(O223:W223)</f>
        <v>0.57999999999999996</v>
      </c>
      <c r="Y223" s="118">
        <f>AVERAGE(O223:W223)</f>
        <v>0.63928571428571423</v>
      </c>
      <c r="Z223" s="109">
        <f>X223*N223</f>
        <v>57999.999999999993</v>
      </c>
      <c r="AA223" s="109">
        <f>'CALCULO GERAL'!$G$10</f>
        <v>6300</v>
      </c>
      <c r="AB223" s="109">
        <f>Z223+AA223</f>
        <v>64299.999999999993</v>
      </c>
      <c r="AC223" s="109">
        <f>AB223*'CALCULO GERAL'!$C$11</f>
        <v>322721.69999999995</v>
      </c>
      <c r="AD223" s="109">
        <f>AC223*C223</f>
        <v>83907.641999999993</v>
      </c>
      <c r="AE223" s="109">
        <f>(AC223+AD223)*D223</f>
        <v>0</v>
      </c>
      <c r="AF223" s="109">
        <f>AC223*E223</f>
        <v>6777.1556999999993</v>
      </c>
      <c r="AG223" s="109">
        <f>AC223*F223</f>
        <v>33724.417649999996</v>
      </c>
      <c r="AH223" s="109">
        <v>154.22999999999999</v>
      </c>
      <c r="AI223" s="109">
        <f>((AA223*'CALCULO GERAL'!$C$11))*0.08+20</f>
        <v>2549.576</v>
      </c>
      <c r="AJ223" s="109">
        <v>1010</v>
      </c>
      <c r="AK223" s="109">
        <v>2500</v>
      </c>
      <c r="AL223" s="109">
        <f>(AA223*('CALCULO GERAL'!$C$11*1.02))-(AA223*'CALCULO GERAL'!$C$11)</f>
        <v>632.39400000000387</v>
      </c>
      <c r="AM223" s="109">
        <v>1800</v>
      </c>
      <c r="AN223" s="109">
        <v>2600</v>
      </c>
      <c r="AO223" s="109">
        <v>9400</v>
      </c>
      <c r="AP223" s="109">
        <v>1000</v>
      </c>
      <c r="AQ223" s="109">
        <v>0</v>
      </c>
      <c r="AR223" s="109">
        <v>0</v>
      </c>
      <c r="AS223" s="109"/>
      <c r="AT223" s="109">
        <f>SUM(AC223:AS223)</f>
        <v>468777.11534999998</v>
      </c>
      <c r="AU223" s="111">
        <f>IFERROR((AT223/N223),0)</f>
        <v>4.6877711535</v>
      </c>
      <c r="AV223" s="109">
        <f>IFERROR((BS223*'CALCULO GERAL'!$E$11)/N223,0)</f>
        <v>0.1094142</v>
      </c>
      <c r="AW223" s="109">
        <f>AU223/'CALCULO GERAL'!$C$11</f>
        <v>0.93400501165570826</v>
      </c>
      <c r="AX223" s="109">
        <f>BP223-BB223-BD223*'CALCULO GERAL'!$C$11</f>
        <v>5.3886493500000006</v>
      </c>
      <c r="AY223" s="109">
        <f>AX223*G223</f>
        <v>3.5026220775000005E-2</v>
      </c>
      <c r="AZ223" s="109">
        <f>AX223*H223</f>
        <v>0.16165948050000001</v>
      </c>
      <c r="BA223" s="109">
        <f>BP223-BD223</f>
        <v>5.4707100000000004</v>
      </c>
      <c r="BB223" s="109">
        <f>BA223*L223</f>
        <v>8.2060649999999999E-2</v>
      </c>
      <c r="BC223" s="109">
        <f>BP223/(1+D223)</f>
        <v>5.4707100000000004</v>
      </c>
      <c r="BD223" s="109">
        <f>BC223*D223</f>
        <v>0</v>
      </c>
      <c r="BE223" s="109">
        <f>BT223*0.08</f>
        <v>43765.68</v>
      </c>
      <c r="BF223" s="109">
        <f>BT223*0.12</f>
        <v>65648.52</v>
      </c>
      <c r="BG223" s="109">
        <f>(BF223*0.09)/N223</f>
        <v>5.9083667999999999E-2</v>
      </c>
      <c r="BH223" s="109">
        <f>(BE223*0.15)/N223</f>
        <v>6.5648520000000002E-2</v>
      </c>
      <c r="BI223" s="109">
        <f>IF(BE223&gt;=$BX$1,($BX$1-BE223)*0.1,IF(BE223&lt;=$BX$1,($BX$1*0)))/N223</f>
        <v>0</v>
      </c>
      <c r="BJ223" s="109">
        <f>(AY223+AZ223+BB223+AV223+BD223+BG223+BH223+BI223)</f>
        <v>0.51289273927500001</v>
      </c>
      <c r="BK223" s="109">
        <f>BJ223+AU223</f>
        <v>5.2006638927750002</v>
      </c>
      <c r="BL223" s="148">
        <v>0.87</v>
      </c>
      <c r="BM223" s="112">
        <f>ROUND((AW223/BL223)+((AW223*BL223)*'CALCULO GERAL'!$E$11)/BL223,2)</f>
        <v>1.0900000000000001</v>
      </c>
      <c r="BN223" s="186">
        <f>BM223</f>
        <v>1.0900000000000001</v>
      </c>
      <c r="BO223" s="186">
        <f>ROUND(FV(0.02,8,,BN223)*-1,3)</f>
        <v>1.2769999999999999</v>
      </c>
      <c r="BP223" s="109">
        <f>BM223*'CALCULO GERAL'!$C$11</f>
        <v>5.4707100000000004</v>
      </c>
      <c r="BQ223" s="109">
        <f>BO223*'CALCULO GERAL'!$C$11</f>
        <v>6.4092630000000002</v>
      </c>
      <c r="BR223" s="186">
        <f>BN223*'CALCULO GERAL'!$C$11</f>
        <v>5.4707100000000004</v>
      </c>
      <c r="BS223" s="109">
        <f>BP223*N223</f>
        <v>547071</v>
      </c>
      <c r="BT223" s="109">
        <f>BR223*N223</f>
        <v>547071</v>
      </c>
      <c r="BU223" s="109">
        <f>BK223*N223</f>
        <v>520066.38927750004</v>
      </c>
      <c r="BV223" s="109">
        <f>BS223-BU223</f>
        <v>27004.610722499958</v>
      </c>
      <c r="BW223" s="114">
        <f>(((BK223*N223)-BS223)/BS223*-1)</f>
        <v>4.936216820577212E-2</v>
      </c>
      <c r="BX223" s="152">
        <f>ROUND(BL223,2)</f>
        <v>0.87</v>
      </c>
      <c r="BZ223" s="55"/>
      <c r="CA223" s="113"/>
      <c r="CB223" s="113"/>
      <c r="CD223" s="152">
        <f>CB223/BX223</f>
        <v>0</v>
      </c>
      <c r="CE223" s="152">
        <f>100%-CD223</f>
        <v>1</v>
      </c>
      <c r="CF223" s="152">
        <f>AVERAGE(CE223,CC223)</f>
        <v>1</v>
      </c>
      <c r="CG223" s="34"/>
      <c r="CI223" s="11"/>
      <c r="CJ223" s="11"/>
    </row>
    <row r="224" spans="1:88" s="152" customFormat="1" x14ac:dyDescent="0.2">
      <c r="A224" s="125" t="s">
        <v>358</v>
      </c>
      <c r="B224" s="187" t="s">
        <v>325</v>
      </c>
      <c r="C224" s="8">
        <v>0.26</v>
      </c>
      <c r="D224" s="8">
        <v>0</v>
      </c>
      <c r="E224" s="7">
        <v>2.1000000000000001E-2</v>
      </c>
      <c r="F224" s="7">
        <v>0.1045</v>
      </c>
      <c r="G224" s="1">
        <v>6.4999999999999997E-3</v>
      </c>
      <c r="H224" s="1">
        <v>0.03</v>
      </c>
      <c r="I224" s="1">
        <v>0.18</v>
      </c>
      <c r="J224" s="1">
        <v>0.04</v>
      </c>
      <c r="K224" s="1">
        <v>0.14000000000000001</v>
      </c>
      <c r="L224" s="1">
        <v>1.4999999999999999E-2</v>
      </c>
      <c r="M224" s="2" t="s">
        <v>175</v>
      </c>
      <c r="N224" s="105">
        <v>115000</v>
      </c>
      <c r="O224" s="119"/>
      <c r="P224" s="119"/>
      <c r="Q224" s="119"/>
      <c r="R224" s="119"/>
      <c r="S224" s="119"/>
      <c r="T224" s="119"/>
      <c r="U224" s="119"/>
      <c r="V224" s="119"/>
      <c r="W224" s="119">
        <v>0.54500000000000004</v>
      </c>
      <c r="X224" s="119">
        <f>MIN(O224:W224)</f>
        <v>0.54500000000000004</v>
      </c>
      <c r="Y224" s="118">
        <f t="shared" ref="Y224:Y232" si="127">AVERAGE(O224:W224)</f>
        <v>0.54500000000000004</v>
      </c>
      <c r="Z224" s="109">
        <f t="shared" ref="Z224:Z232" si="128">X224*N224</f>
        <v>62675.000000000007</v>
      </c>
      <c r="AA224" s="109">
        <f>'CALCULO GERAL'!$G$10</f>
        <v>6300</v>
      </c>
      <c r="AB224" s="109">
        <f t="shared" ref="AB224:AB232" si="129">Z224+AA224</f>
        <v>68975</v>
      </c>
      <c r="AC224" s="109">
        <f>AB224*'CALCULO GERAL'!$C$11</f>
        <v>346185.52500000002</v>
      </c>
      <c r="AD224" s="109">
        <f t="shared" ref="AD224:AD232" si="130">AC224*C224</f>
        <v>90008.236500000014</v>
      </c>
      <c r="AE224" s="109">
        <f t="shared" ref="AE224:AE232" si="131">(AC224+AD224)*D224</f>
        <v>0</v>
      </c>
      <c r="AF224" s="109">
        <f t="shared" ref="AF224:AF232" si="132">AC224*E224</f>
        <v>7269.8960250000009</v>
      </c>
      <c r="AG224" s="109">
        <f t="shared" ref="AG224:AG232" si="133">AC224*F224</f>
        <v>36176.387362499998</v>
      </c>
      <c r="AH224" s="109">
        <v>154.22999999999999</v>
      </c>
      <c r="AI224" s="109">
        <f>((AA224*'CALCULO GERAL'!$C$11))*0.08+20</f>
        <v>2549.576</v>
      </c>
      <c r="AJ224" s="109">
        <v>1010</v>
      </c>
      <c r="AK224" s="109">
        <v>2500</v>
      </c>
      <c r="AL224" s="109">
        <f>(AA224*('CALCULO GERAL'!$C$11*1.02))-(AA224*'CALCULO GERAL'!$C$11)</f>
        <v>632.39400000000387</v>
      </c>
      <c r="AM224" s="109">
        <v>1800</v>
      </c>
      <c r="AN224" s="109">
        <v>2600</v>
      </c>
      <c r="AO224" s="109">
        <v>9400</v>
      </c>
      <c r="AP224" s="109">
        <v>1000</v>
      </c>
      <c r="AQ224" s="109">
        <v>0</v>
      </c>
      <c r="AR224" s="109">
        <v>0</v>
      </c>
      <c r="AS224" s="109"/>
      <c r="AT224" s="109">
        <f t="shared" ref="AT224:AT268" si="134">SUM(AC224:AS224)</f>
        <v>501286.24488750007</v>
      </c>
      <c r="AU224" s="111">
        <f t="shared" ref="AU224:AU268" si="135">IFERROR((AT224/N224),0)</f>
        <v>4.3590108251086965</v>
      </c>
      <c r="AV224" s="109">
        <f>IFERROR((BS224*'CALCULO GERAL'!$E$11)/N224,0)</f>
        <v>0.10238760000000002</v>
      </c>
      <c r="AW224" s="109">
        <f>AU224/'CALCULO GERAL'!$C$11</f>
        <v>0.8685018579614856</v>
      </c>
      <c r="AX224" s="109">
        <f>BP224-BB224-BD224*'CALCULO GERAL'!$C$11</f>
        <v>5.0425893000000004</v>
      </c>
      <c r="AY224" s="109">
        <f t="shared" ref="AY224:AY268" si="136">AX224*G224</f>
        <v>3.2776830450000002E-2</v>
      </c>
      <c r="AZ224" s="109">
        <f t="shared" ref="AZ224:AZ268" si="137">AX224*H224</f>
        <v>0.151277679</v>
      </c>
      <c r="BA224" s="109">
        <f t="shared" ref="BA224:BA268" si="138">BP224-BD224</f>
        <v>5.1193800000000005</v>
      </c>
      <c r="BB224" s="109">
        <f t="shared" ref="BB224:BB268" si="139">BA224*L224</f>
        <v>7.6790700000000003E-2</v>
      </c>
      <c r="BC224" s="109">
        <f t="shared" ref="BC224:BC268" si="140">BP224/(1+D224)</f>
        <v>5.1193800000000005</v>
      </c>
      <c r="BD224" s="109">
        <f t="shared" ref="BD224:BD268" si="141">BC224*D224</f>
        <v>0</v>
      </c>
      <c r="BE224" s="109">
        <f t="shared" ref="BE224:BE268" si="142">BT224*0.08</f>
        <v>47098.296000000009</v>
      </c>
      <c r="BF224" s="109">
        <f t="shared" ref="BF224:BF268" si="143">BT224*0.12</f>
        <v>70647.444000000003</v>
      </c>
      <c r="BG224" s="109">
        <f t="shared" ref="BG224:BG268" si="144">(BF224*0.09)/N224</f>
        <v>5.5289303999999997E-2</v>
      </c>
      <c r="BH224" s="109">
        <f t="shared" ref="BH224:BH268" si="145">(BE224*0.15)/N224</f>
        <v>6.1432560000000011E-2</v>
      </c>
      <c r="BI224" s="109">
        <f t="shared" ref="BI224:BI268" si="146">IF(BE224&gt;=$BX$1,($BX$1-BE224)*0.1,IF(BE224&lt;=$BX$1,($BX$1*0)))/N224</f>
        <v>0</v>
      </c>
      <c r="BJ224" s="109">
        <f t="shared" ref="BJ224:BJ268" si="147">(AY224+AZ224+BB224+AV224+BD224+BG224+BH224+BI224)</f>
        <v>0.47995467345000004</v>
      </c>
      <c r="BK224" s="109">
        <f t="shared" ref="BK224:BK268" si="148">BJ224+AU224</f>
        <v>4.8389654985586965</v>
      </c>
      <c r="BL224" s="148">
        <v>0.87</v>
      </c>
      <c r="BM224" s="112">
        <f>ROUND((AW224/BL224)+((AW224*BL224)*'CALCULO GERAL'!$E$11)/BL224,2)</f>
        <v>1.02</v>
      </c>
      <c r="BN224" s="186">
        <f t="shared" ref="BN224:BN268" si="149">BM224</f>
        <v>1.02</v>
      </c>
      <c r="BO224" s="186">
        <f t="shared" ref="BO224:BO268" si="150">ROUND(FV(0.02,8,,BN224)*-1,3)</f>
        <v>1.1950000000000001</v>
      </c>
      <c r="BP224" s="109">
        <f>BM224*'CALCULO GERAL'!$C$11</f>
        <v>5.1193800000000005</v>
      </c>
      <c r="BQ224" s="109">
        <f>BO224*'CALCULO GERAL'!$C$11</f>
        <v>5.9977050000000007</v>
      </c>
      <c r="BR224" s="186">
        <f>BN224*'CALCULO GERAL'!$C$11</f>
        <v>5.1193800000000005</v>
      </c>
      <c r="BS224" s="109">
        <f t="shared" ref="BS224:BS268" si="151">BP224*N224</f>
        <v>588728.70000000007</v>
      </c>
      <c r="BT224" s="109">
        <f t="shared" ref="BT224:BT268" si="152">BR224*N224</f>
        <v>588728.70000000007</v>
      </c>
      <c r="BU224" s="109">
        <f t="shared" ref="BU224:BU268" si="153">BK224*N224</f>
        <v>556481.03233425005</v>
      </c>
      <c r="BV224" s="109">
        <f t="shared" ref="BV224:BV268" si="154">BS224-BU224</f>
        <v>32247.667665750021</v>
      </c>
      <c r="BW224" s="114">
        <f t="shared" ref="BW224:BW268" si="155">(((BK224*N224)-BS224)/BS224*-1)</f>
        <v>5.4775090233837788E-2</v>
      </c>
      <c r="BX224" s="152">
        <f t="shared" ref="BX224:BX232" si="156">ROUND(BL224,2)</f>
        <v>0.87</v>
      </c>
      <c r="BZ224" s="55"/>
      <c r="CA224" s="113"/>
      <c r="CB224" s="113"/>
      <c r="CD224" s="152">
        <f t="shared" ref="CD224:CD232" si="157">CB224/BX224</f>
        <v>0</v>
      </c>
      <c r="CE224" s="152">
        <f t="shared" ref="CE224:CE232" si="158">100%-CD224</f>
        <v>1</v>
      </c>
      <c r="CF224" s="152">
        <f t="shared" ref="CF224:CF232" si="159">AVERAGE(CE224,CC224)</f>
        <v>1</v>
      </c>
      <c r="CG224" s="34"/>
      <c r="CI224" s="11"/>
      <c r="CJ224" s="11"/>
    </row>
    <row r="225" spans="1:88" s="152" customFormat="1" x14ac:dyDescent="0.2">
      <c r="A225" s="125" t="s">
        <v>359</v>
      </c>
      <c r="B225" s="187" t="s">
        <v>325</v>
      </c>
      <c r="C225" s="8">
        <v>0.26</v>
      </c>
      <c r="D225" s="8">
        <v>0</v>
      </c>
      <c r="E225" s="7">
        <v>2.1000000000000001E-2</v>
      </c>
      <c r="F225" s="7">
        <v>0.1045</v>
      </c>
      <c r="G225" s="1">
        <v>6.4999999999999997E-3</v>
      </c>
      <c r="H225" s="1">
        <v>0.03</v>
      </c>
      <c r="I225" s="1">
        <v>0.18</v>
      </c>
      <c r="J225" s="1">
        <v>0.04</v>
      </c>
      <c r="K225" s="1">
        <v>0.14000000000000001</v>
      </c>
      <c r="L225" s="1">
        <v>1.4999999999999999E-2</v>
      </c>
      <c r="M225" s="2" t="s">
        <v>175</v>
      </c>
      <c r="N225" s="105">
        <v>160000</v>
      </c>
      <c r="O225" s="119">
        <v>0.43</v>
      </c>
      <c r="P225" s="119"/>
      <c r="Q225" s="119">
        <v>0.49</v>
      </c>
      <c r="R225" s="119">
        <v>0.54</v>
      </c>
      <c r="S225" s="119"/>
      <c r="T225" s="119"/>
      <c r="U225" s="119"/>
      <c r="V225" s="119">
        <v>0.52</v>
      </c>
      <c r="W225" s="119">
        <v>0.505</v>
      </c>
      <c r="X225" s="119">
        <f t="shared" ref="X225:X268" si="160">MIN(O225:W225)</f>
        <v>0.43</v>
      </c>
      <c r="Y225" s="118">
        <f t="shared" si="127"/>
        <v>0.497</v>
      </c>
      <c r="Z225" s="109">
        <f t="shared" si="128"/>
        <v>68800</v>
      </c>
      <c r="AA225" s="109">
        <f>'CALCULO GERAL'!$G$10</f>
        <v>6300</v>
      </c>
      <c r="AB225" s="109">
        <f t="shared" si="129"/>
        <v>75100</v>
      </c>
      <c r="AC225" s="109">
        <f>AB225*'CALCULO GERAL'!$C$11</f>
        <v>376926.9</v>
      </c>
      <c r="AD225" s="109">
        <f t="shared" si="130"/>
        <v>98000.994000000006</v>
      </c>
      <c r="AE225" s="109">
        <f t="shared" si="131"/>
        <v>0</v>
      </c>
      <c r="AF225" s="109">
        <f t="shared" si="132"/>
        <v>7915.4649000000009</v>
      </c>
      <c r="AG225" s="109">
        <f t="shared" si="133"/>
        <v>39388.86105</v>
      </c>
      <c r="AH225" s="109">
        <v>154.22999999999999</v>
      </c>
      <c r="AI225" s="109">
        <f>((AA225*'CALCULO GERAL'!$C$11))*0.08+20</f>
        <v>2549.576</v>
      </c>
      <c r="AJ225" s="109">
        <v>1010</v>
      </c>
      <c r="AK225" s="109">
        <v>2500</v>
      </c>
      <c r="AL225" s="109">
        <f>(AA225*('CALCULO GERAL'!$C$11*1.02))-(AA225*'CALCULO GERAL'!$C$11)</f>
        <v>632.39400000000387</v>
      </c>
      <c r="AM225" s="109">
        <v>1800</v>
      </c>
      <c r="AN225" s="109">
        <v>2600</v>
      </c>
      <c r="AO225" s="109">
        <v>9400</v>
      </c>
      <c r="AP225" s="109">
        <v>1000</v>
      </c>
      <c r="AQ225" s="109">
        <v>0</v>
      </c>
      <c r="AR225" s="109">
        <v>0</v>
      </c>
      <c r="AS225" s="109"/>
      <c r="AT225" s="109">
        <f t="shared" si="134"/>
        <v>543878.41995000001</v>
      </c>
      <c r="AU225" s="111">
        <f t="shared" si="135"/>
        <v>3.3992401246875001</v>
      </c>
      <c r="AV225" s="109">
        <f>IFERROR((BS225*'CALCULO GERAL'!$E$11)/N225,0)</f>
        <v>7.9300200000000015E-2</v>
      </c>
      <c r="AW225" s="109">
        <f>AU225/'CALCULO GERAL'!$C$11</f>
        <v>0.67727438228481773</v>
      </c>
      <c r="AX225" s="109">
        <f>BP225-BB225-BD225*'CALCULO GERAL'!$C$11</f>
        <v>3.9055348500000004</v>
      </c>
      <c r="AY225" s="109">
        <f t="shared" si="136"/>
        <v>2.5385976525000003E-2</v>
      </c>
      <c r="AZ225" s="109">
        <f t="shared" si="137"/>
        <v>0.11716604550000001</v>
      </c>
      <c r="BA225" s="109">
        <f t="shared" si="138"/>
        <v>3.9650100000000004</v>
      </c>
      <c r="BB225" s="109">
        <f t="shared" si="139"/>
        <v>5.9475150000000004E-2</v>
      </c>
      <c r="BC225" s="109">
        <f t="shared" si="140"/>
        <v>3.9650100000000004</v>
      </c>
      <c r="BD225" s="109">
        <f t="shared" si="141"/>
        <v>0</v>
      </c>
      <c r="BE225" s="109">
        <f t="shared" si="142"/>
        <v>50752.128000000012</v>
      </c>
      <c r="BF225" s="109">
        <f t="shared" si="143"/>
        <v>76128.19200000001</v>
      </c>
      <c r="BG225" s="109">
        <f t="shared" si="144"/>
        <v>4.2822108000000005E-2</v>
      </c>
      <c r="BH225" s="109">
        <f t="shared" si="145"/>
        <v>4.758012000000001E-2</v>
      </c>
      <c r="BI225" s="109">
        <f t="shared" si="146"/>
        <v>0</v>
      </c>
      <c r="BJ225" s="109">
        <f t="shared" si="147"/>
        <v>0.37172960002500005</v>
      </c>
      <c r="BK225" s="109">
        <f t="shared" si="148"/>
        <v>3.7709697247125002</v>
      </c>
      <c r="BL225" s="148">
        <v>0.87</v>
      </c>
      <c r="BM225" s="112">
        <f>ROUND((AW225/BL225)+((AW225*BL225)*'CALCULO GERAL'!$E$11)/BL225,2)</f>
        <v>0.79</v>
      </c>
      <c r="BN225" s="186">
        <f t="shared" si="149"/>
        <v>0.79</v>
      </c>
      <c r="BO225" s="186">
        <f t="shared" si="150"/>
        <v>0.92600000000000005</v>
      </c>
      <c r="BP225" s="109">
        <f>BM225*'CALCULO GERAL'!$C$11</f>
        <v>3.9650100000000004</v>
      </c>
      <c r="BQ225" s="109">
        <f>BO225*'CALCULO GERAL'!$C$11</f>
        <v>4.6475940000000007</v>
      </c>
      <c r="BR225" s="186">
        <f>BN225*'CALCULO GERAL'!$C$11</f>
        <v>3.9650100000000004</v>
      </c>
      <c r="BS225" s="109">
        <f t="shared" si="151"/>
        <v>634401.60000000009</v>
      </c>
      <c r="BT225" s="109">
        <f t="shared" si="152"/>
        <v>634401.60000000009</v>
      </c>
      <c r="BU225" s="109">
        <f t="shared" si="153"/>
        <v>603355.15595400007</v>
      </c>
      <c r="BV225" s="109">
        <f t="shared" si="154"/>
        <v>31046.444046000019</v>
      </c>
      <c r="BW225" s="114">
        <f t="shared" si="155"/>
        <v>4.8938155335673826E-2</v>
      </c>
      <c r="BX225" s="152">
        <f t="shared" si="156"/>
        <v>0.87</v>
      </c>
      <c r="BZ225" s="55"/>
      <c r="CA225" s="113"/>
      <c r="CB225" s="113"/>
      <c r="CD225" s="152">
        <f t="shared" si="157"/>
        <v>0</v>
      </c>
      <c r="CE225" s="152">
        <f t="shared" si="158"/>
        <v>1</v>
      </c>
      <c r="CF225" s="152">
        <f t="shared" si="159"/>
        <v>1</v>
      </c>
      <c r="CG225" s="34"/>
      <c r="CI225" s="11"/>
      <c r="CJ225" s="11"/>
    </row>
    <row r="226" spans="1:88" s="152" customFormat="1" x14ac:dyDescent="0.2">
      <c r="A226" s="125" t="s">
        <v>360</v>
      </c>
      <c r="B226" s="187" t="s">
        <v>325</v>
      </c>
      <c r="C226" s="8">
        <v>0.26</v>
      </c>
      <c r="D226" s="8">
        <v>0</v>
      </c>
      <c r="E226" s="7">
        <v>2.1000000000000001E-2</v>
      </c>
      <c r="F226" s="7">
        <v>0.1045</v>
      </c>
      <c r="G226" s="1">
        <v>6.4999999999999997E-3</v>
      </c>
      <c r="H226" s="1">
        <v>0.03</v>
      </c>
      <c r="I226" s="1">
        <v>0.18</v>
      </c>
      <c r="J226" s="1">
        <v>0.04</v>
      </c>
      <c r="K226" s="1">
        <v>0.14000000000000001</v>
      </c>
      <c r="L226" s="1">
        <v>1.4999999999999999E-2</v>
      </c>
      <c r="M226" s="2" t="s">
        <v>175</v>
      </c>
      <c r="N226" s="105">
        <v>115000</v>
      </c>
      <c r="O226" s="119">
        <v>0.54</v>
      </c>
      <c r="P226" s="119">
        <v>0.55000000000000004</v>
      </c>
      <c r="Q226" s="119">
        <v>0.54</v>
      </c>
      <c r="R226" s="119">
        <v>0.49</v>
      </c>
      <c r="S226" s="119"/>
      <c r="T226" s="119"/>
      <c r="U226" s="119"/>
      <c r="V226" s="119">
        <v>0.56000000000000005</v>
      </c>
      <c r="W226" s="119">
        <v>0.495</v>
      </c>
      <c r="X226" s="119">
        <f t="shared" si="160"/>
        <v>0.49</v>
      </c>
      <c r="Y226" s="118">
        <f t="shared" si="127"/>
        <v>0.52916666666666667</v>
      </c>
      <c r="Z226" s="109">
        <f t="shared" si="128"/>
        <v>56350</v>
      </c>
      <c r="AA226" s="109">
        <f>'CALCULO GERAL'!$G$10</f>
        <v>6300</v>
      </c>
      <c r="AB226" s="109">
        <f t="shared" si="129"/>
        <v>62650</v>
      </c>
      <c r="AC226" s="109">
        <f>AB226*'CALCULO GERAL'!$C$11</f>
        <v>314440.35000000003</v>
      </c>
      <c r="AD226" s="109">
        <f t="shared" si="130"/>
        <v>81754.491000000009</v>
      </c>
      <c r="AE226" s="109">
        <f t="shared" si="131"/>
        <v>0</v>
      </c>
      <c r="AF226" s="109">
        <f t="shared" si="132"/>
        <v>6603.2473500000015</v>
      </c>
      <c r="AG226" s="109">
        <f t="shared" si="133"/>
        <v>32859.016575000001</v>
      </c>
      <c r="AH226" s="109">
        <v>154.22999999999999</v>
      </c>
      <c r="AI226" s="109">
        <f>((AA226*'CALCULO GERAL'!$C$11))*0.08+20</f>
        <v>2549.576</v>
      </c>
      <c r="AJ226" s="109">
        <v>1010</v>
      </c>
      <c r="AK226" s="109">
        <v>2500</v>
      </c>
      <c r="AL226" s="109">
        <f>(AA226*('CALCULO GERAL'!$C$11*1.02))-(AA226*'CALCULO GERAL'!$C$11)</f>
        <v>632.39400000000387</v>
      </c>
      <c r="AM226" s="109">
        <v>1800</v>
      </c>
      <c r="AN226" s="109">
        <v>2600</v>
      </c>
      <c r="AO226" s="109">
        <v>9400</v>
      </c>
      <c r="AP226" s="109">
        <v>1000</v>
      </c>
      <c r="AQ226" s="109">
        <v>0</v>
      </c>
      <c r="AR226" s="109">
        <v>0</v>
      </c>
      <c r="AS226" s="109"/>
      <c r="AT226" s="109">
        <f t="shared" si="134"/>
        <v>457303.30492500006</v>
      </c>
      <c r="AU226" s="111">
        <f t="shared" si="135"/>
        <v>3.9765504776086962</v>
      </c>
      <c r="AV226" s="109">
        <f>IFERROR((BS226*'CALCULO GERAL'!$E$11)/N226,0)</f>
        <v>9.3353400000000017E-2</v>
      </c>
      <c r="AW226" s="109">
        <f>AU226/'CALCULO GERAL'!$C$11</f>
        <v>0.79229935796148554</v>
      </c>
      <c r="AX226" s="109">
        <f>BP226-BB226-BD226*'CALCULO GERAL'!$C$11</f>
        <v>4.5976549499999999</v>
      </c>
      <c r="AY226" s="109">
        <f t="shared" si="136"/>
        <v>2.9884757174999999E-2</v>
      </c>
      <c r="AZ226" s="109">
        <f t="shared" si="137"/>
        <v>0.1379296485</v>
      </c>
      <c r="BA226" s="109">
        <f t="shared" si="138"/>
        <v>4.6676700000000002</v>
      </c>
      <c r="BB226" s="109">
        <f t="shared" si="139"/>
        <v>7.0015049999999995E-2</v>
      </c>
      <c r="BC226" s="109">
        <f t="shared" si="140"/>
        <v>4.6676700000000002</v>
      </c>
      <c r="BD226" s="109">
        <f t="shared" si="141"/>
        <v>0</v>
      </c>
      <c r="BE226" s="109">
        <f t="shared" si="142"/>
        <v>42942.564000000006</v>
      </c>
      <c r="BF226" s="109">
        <f t="shared" si="143"/>
        <v>64413.846000000005</v>
      </c>
      <c r="BG226" s="109">
        <f t="shared" si="144"/>
        <v>5.0410836000000001E-2</v>
      </c>
      <c r="BH226" s="109">
        <f t="shared" si="145"/>
        <v>5.6012040000000006E-2</v>
      </c>
      <c r="BI226" s="109">
        <f t="shared" si="146"/>
        <v>0</v>
      </c>
      <c r="BJ226" s="109">
        <f t="shared" si="147"/>
        <v>0.437605731675</v>
      </c>
      <c r="BK226" s="109">
        <f t="shared" si="148"/>
        <v>4.4141562092836963</v>
      </c>
      <c r="BL226" s="148">
        <v>0.87</v>
      </c>
      <c r="BM226" s="112">
        <f>ROUND((AW226/BL226)+((AW226*BL226)*'CALCULO GERAL'!$E$11)/BL226,2)</f>
        <v>0.93</v>
      </c>
      <c r="BN226" s="186">
        <f t="shared" si="149"/>
        <v>0.93</v>
      </c>
      <c r="BO226" s="186">
        <f t="shared" si="150"/>
        <v>1.0900000000000001</v>
      </c>
      <c r="BP226" s="109">
        <f>BM226*'CALCULO GERAL'!$C$11</f>
        <v>4.6676700000000002</v>
      </c>
      <c r="BQ226" s="109">
        <f>BO226*'CALCULO GERAL'!$C$11</f>
        <v>5.4707100000000004</v>
      </c>
      <c r="BR226" s="186">
        <f>BN226*'CALCULO GERAL'!$C$11</f>
        <v>4.6676700000000002</v>
      </c>
      <c r="BS226" s="109">
        <f t="shared" si="151"/>
        <v>536782.05000000005</v>
      </c>
      <c r="BT226" s="109">
        <f t="shared" si="152"/>
        <v>536782.05000000005</v>
      </c>
      <c r="BU226" s="109">
        <f t="shared" si="153"/>
        <v>507627.96406762506</v>
      </c>
      <c r="BV226" s="109">
        <f t="shared" si="154"/>
        <v>29154.08593237499</v>
      </c>
      <c r="BW226" s="114">
        <f t="shared" si="155"/>
        <v>5.4312706493026337E-2</v>
      </c>
      <c r="BX226" s="152">
        <f t="shared" si="156"/>
        <v>0.87</v>
      </c>
      <c r="BZ226" s="55"/>
      <c r="CA226" s="113"/>
      <c r="CB226" s="113"/>
      <c r="CD226" s="152">
        <f t="shared" si="157"/>
        <v>0</v>
      </c>
      <c r="CE226" s="152">
        <f t="shared" si="158"/>
        <v>1</v>
      </c>
      <c r="CF226" s="152">
        <f t="shared" si="159"/>
        <v>1</v>
      </c>
      <c r="CG226" s="34"/>
      <c r="CI226" s="11"/>
      <c r="CJ226" s="11"/>
    </row>
    <row r="227" spans="1:88" s="152" customFormat="1" x14ac:dyDescent="0.2">
      <c r="A227" s="125" t="s">
        <v>361</v>
      </c>
      <c r="B227" s="187" t="s">
        <v>325</v>
      </c>
      <c r="C227" s="8">
        <v>0.26</v>
      </c>
      <c r="D227" s="8">
        <v>0</v>
      </c>
      <c r="E227" s="7">
        <v>2.1000000000000001E-2</v>
      </c>
      <c r="F227" s="7">
        <v>0.1045</v>
      </c>
      <c r="G227" s="1">
        <v>6.4999999999999997E-3</v>
      </c>
      <c r="H227" s="1">
        <v>0.03</v>
      </c>
      <c r="I227" s="1">
        <v>0.18</v>
      </c>
      <c r="J227" s="1">
        <v>0.04</v>
      </c>
      <c r="K227" s="1">
        <v>0.14000000000000001</v>
      </c>
      <c r="L227" s="1">
        <v>1.4999999999999999E-2</v>
      </c>
      <c r="M227" s="2" t="s">
        <v>175</v>
      </c>
      <c r="N227" s="105">
        <v>108000</v>
      </c>
      <c r="O227" s="119">
        <v>0.56000000000000005</v>
      </c>
      <c r="P227" s="119">
        <v>0.57999999999999996</v>
      </c>
      <c r="Q227" s="119">
        <v>0.56000000000000005</v>
      </c>
      <c r="R227" s="119">
        <v>0.51</v>
      </c>
      <c r="S227" s="119"/>
      <c r="T227" s="119"/>
      <c r="U227" s="119"/>
      <c r="V227" s="119">
        <v>0.57999999999999996</v>
      </c>
      <c r="W227" s="119">
        <v>0.51500000000000001</v>
      </c>
      <c r="X227" s="119">
        <f t="shared" si="160"/>
        <v>0.51</v>
      </c>
      <c r="Y227" s="118">
        <f t="shared" si="127"/>
        <v>0.5508333333333334</v>
      </c>
      <c r="Z227" s="109">
        <f t="shared" si="128"/>
        <v>55080</v>
      </c>
      <c r="AA227" s="109">
        <f>'CALCULO GERAL'!$G$10</f>
        <v>6300</v>
      </c>
      <c r="AB227" s="109">
        <f t="shared" si="129"/>
        <v>61380</v>
      </c>
      <c r="AC227" s="109">
        <f>AB227*'CALCULO GERAL'!$C$11</f>
        <v>308066.22000000003</v>
      </c>
      <c r="AD227" s="109">
        <f t="shared" si="130"/>
        <v>80097.217200000014</v>
      </c>
      <c r="AE227" s="109">
        <f t="shared" si="131"/>
        <v>0</v>
      </c>
      <c r="AF227" s="109">
        <f t="shared" si="132"/>
        <v>6469.390620000001</v>
      </c>
      <c r="AG227" s="109">
        <f t="shared" si="133"/>
        <v>32192.919990000002</v>
      </c>
      <c r="AH227" s="109">
        <v>154.22999999999999</v>
      </c>
      <c r="AI227" s="109">
        <f>((AA227*'CALCULO GERAL'!$C$11))*0.08+20</f>
        <v>2549.576</v>
      </c>
      <c r="AJ227" s="109">
        <v>1010</v>
      </c>
      <c r="AK227" s="109">
        <v>2500</v>
      </c>
      <c r="AL227" s="109">
        <f>(AA227*('CALCULO GERAL'!$C$11*1.02))-(AA227*'CALCULO GERAL'!$C$11)</f>
        <v>632.39400000000387</v>
      </c>
      <c r="AM227" s="109">
        <v>1800</v>
      </c>
      <c r="AN227" s="109">
        <v>2600</v>
      </c>
      <c r="AO227" s="109">
        <v>9400</v>
      </c>
      <c r="AP227" s="109">
        <v>1000</v>
      </c>
      <c r="AQ227" s="109">
        <v>0</v>
      </c>
      <c r="AR227" s="109">
        <v>0</v>
      </c>
      <c r="AS227" s="109"/>
      <c r="AT227" s="109">
        <f t="shared" si="134"/>
        <v>448471.9478100001</v>
      </c>
      <c r="AU227" s="111">
        <f t="shared" si="135"/>
        <v>4.1525180352777786</v>
      </c>
      <c r="AV227" s="109">
        <f>IFERROR((BS227*'CALCULO GERAL'!$E$11)/N227,0)</f>
        <v>9.8372399999999999E-2</v>
      </c>
      <c r="AW227" s="109">
        <f>AU227/'CALCULO GERAL'!$C$11</f>
        <v>0.82735964042195231</v>
      </c>
      <c r="AX227" s="109">
        <f>BP227-BB227-BD227*'CALCULO GERAL'!$C$11</f>
        <v>4.8448406999999998</v>
      </c>
      <c r="AY227" s="109">
        <f t="shared" si="136"/>
        <v>3.1491464549999994E-2</v>
      </c>
      <c r="AZ227" s="109">
        <f t="shared" si="137"/>
        <v>0.145345221</v>
      </c>
      <c r="BA227" s="109">
        <f t="shared" si="138"/>
        <v>4.9186199999999998</v>
      </c>
      <c r="BB227" s="109">
        <f t="shared" si="139"/>
        <v>7.3779299999999992E-2</v>
      </c>
      <c r="BC227" s="109">
        <f t="shared" si="140"/>
        <v>4.9186199999999998</v>
      </c>
      <c r="BD227" s="109">
        <f t="shared" si="141"/>
        <v>0</v>
      </c>
      <c r="BE227" s="109">
        <f t="shared" si="142"/>
        <v>42496.876799999998</v>
      </c>
      <c r="BF227" s="109">
        <f t="shared" si="143"/>
        <v>63745.31519999999</v>
      </c>
      <c r="BG227" s="109">
        <f t="shared" si="144"/>
        <v>5.3121095999999986E-2</v>
      </c>
      <c r="BH227" s="109">
        <f t="shared" si="145"/>
        <v>5.9023439999999996E-2</v>
      </c>
      <c r="BI227" s="109">
        <f t="shared" si="146"/>
        <v>0</v>
      </c>
      <c r="BJ227" s="109">
        <f t="shared" si="147"/>
        <v>0.46113292154999996</v>
      </c>
      <c r="BK227" s="109">
        <f t="shared" si="148"/>
        <v>4.6136509568277786</v>
      </c>
      <c r="BL227" s="148">
        <v>0.86</v>
      </c>
      <c r="BM227" s="112">
        <f>ROUND((AW227/BL227)+((AW227*BL227)*'CALCULO GERAL'!$E$11)/BL227,2)</f>
        <v>0.98</v>
      </c>
      <c r="BN227" s="186">
        <f t="shared" si="149"/>
        <v>0.98</v>
      </c>
      <c r="BO227" s="186">
        <f t="shared" si="150"/>
        <v>1.1479999999999999</v>
      </c>
      <c r="BP227" s="109">
        <f>BM227*'CALCULO GERAL'!$C$11</f>
        <v>4.9186199999999998</v>
      </c>
      <c r="BQ227" s="109">
        <f>BO227*'CALCULO GERAL'!$C$11</f>
        <v>5.7618119999999999</v>
      </c>
      <c r="BR227" s="186">
        <f>BN227*'CALCULO GERAL'!$C$11</f>
        <v>4.9186199999999998</v>
      </c>
      <c r="BS227" s="109">
        <f t="shared" si="151"/>
        <v>531210.96</v>
      </c>
      <c r="BT227" s="109">
        <f t="shared" si="152"/>
        <v>531210.96</v>
      </c>
      <c r="BU227" s="109">
        <f t="shared" si="153"/>
        <v>498274.30333740008</v>
      </c>
      <c r="BV227" s="109">
        <f t="shared" si="154"/>
        <v>32936.656662599882</v>
      </c>
      <c r="BW227" s="114">
        <f t="shared" si="155"/>
        <v>6.2002968957191477E-2</v>
      </c>
      <c r="BX227" s="152">
        <f t="shared" si="156"/>
        <v>0.86</v>
      </c>
      <c r="BZ227" s="55"/>
      <c r="CA227" s="113"/>
      <c r="CB227" s="113"/>
      <c r="CD227" s="152">
        <f t="shared" si="157"/>
        <v>0</v>
      </c>
      <c r="CE227" s="152">
        <f t="shared" si="158"/>
        <v>1</v>
      </c>
      <c r="CF227" s="152">
        <f t="shared" si="159"/>
        <v>1</v>
      </c>
      <c r="CG227" s="34"/>
      <c r="CI227" s="11"/>
      <c r="CJ227" s="11"/>
    </row>
    <row r="228" spans="1:88" s="152" customFormat="1" x14ac:dyDescent="0.2">
      <c r="A228" s="125" t="s">
        <v>362</v>
      </c>
      <c r="B228" s="187" t="s">
        <v>325</v>
      </c>
      <c r="C228" s="8">
        <v>0.26</v>
      </c>
      <c r="D228" s="8">
        <v>0</v>
      </c>
      <c r="E228" s="7">
        <v>2.1000000000000001E-2</v>
      </c>
      <c r="F228" s="7">
        <v>0.1045</v>
      </c>
      <c r="G228" s="1">
        <v>6.4999999999999997E-3</v>
      </c>
      <c r="H228" s="1">
        <v>0.03</v>
      </c>
      <c r="I228" s="1">
        <v>0.18</v>
      </c>
      <c r="J228" s="1">
        <v>0.04</v>
      </c>
      <c r="K228" s="1">
        <v>0.14000000000000001</v>
      </c>
      <c r="L228" s="1">
        <v>1.4999999999999999E-2</v>
      </c>
      <c r="M228" s="2" t="s">
        <v>175</v>
      </c>
      <c r="N228" s="105">
        <v>104000</v>
      </c>
      <c r="O228" s="119">
        <v>0.57999999999999996</v>
      </c>
      <c r="P228" s="119">
        <v>0.61</v>
      </c>
      <c r="Q228" s="119">
        <v>0.57999999999999996</v>
      </c>
      <c r="R228" s="119">
        <v>0.53</v>
      </c>
      <c r="S228" s="119"/>
      <c r="T228" s="119"/>
      <c r="U228" s="119"/>
      <c r="V228" s="119">
        <v>0.6</v>
      </c>
      <c r="W228" s="119">
        <v>0.53500000000000003</v>
      </c>
      <c r="X228" s="119">
        <f t="shared" si="160"/>
        <v>0.53</v>
      </c>
      <c r="Y228" s="118">
        <f t="shared" si="127"/>
        <v>0.57250000000000001</v>
      </c>
      <c r="Z228" s="109">
        <f t="shared" si="128"/>
        <v>55120</v>
      </c>
      <c r="AA228" s="109">
        <f>'CALCULO GERAL'!$G$10</f>
        <v>6300</v>
      </c>
      <c r="AB228" s="109">
        <f t="shared" si="129"/>
        <v>61420</v>
      </c>
      <c r="AC228" s="109">
        <f>AB228*'CALCULO GERAL'!$C$11</f>
        <v>308266.98</v>
      </c>
      <c r="AD228" s="109">
        <f t="shared" si="130"/>
        <v>80149.414799999999</v>
      </c>
      <c r="AE228" s="109">
        <f t="shared" si="131"/>
        <v>0</v>
      </c>
      <c r="AF228" s="109">
        <f t="shared" si="132"/>
        <v>6473.6065799999997</v>
      </c>
      <c r="AG228" s="109">
        <f t="shared" si="133"/>
        <v>32213.899409999998</v>
      </c>
      <c r="AH228" s="109">
        <v>154.22999999999999</v>
      </c>
      <c r="AI228" s="109">
        <f>((AA228*'CALCULO GERAL'!$C$11))*0.08+20</f>
        <v>2549.576</v>
      </c>
      <c r="AJ228" s="109">
        <v>1010</v>
      </c>
      <c r="AK228" s="109">
        <v>2500</v>
      </c>
      <c r="AL228" s="109">
        <f>(AA228*('CALCULO GERAL'!$C$11*1.02))-(AA228*'CALCULO GERAL'!$C$11)</f>
        <v>632.39400000000387</v>
      </c>
      <c r="AM228" s="109">
        <v>1800</v>
      </c>
      <c r="AN228" s="109">
        <v>2600</v>
      </c>
      <c r="AO228" s="109">
        <v>9400</v>
      </c>
      <c r="AP228" s="109">
        <v>1000</v>
      </c>
      <c r="AQ228" s="109">
        <v>0</v>
      </c>
      <c r="AR228" s="109">
        <v>0</v>
      </c>
      <c r="AS228" s="109"/>
      <c r="AT228" s="109">
        <f t="shared" si="134"/>
        <v>448750.10079000005</v>
      </c>
      <c r="AU228" s="111">
        <f t="shared" si="135"/>
        <v>4.3149048152884619</v>
      </c>
      <c r="AV228" s="109">
        <f>IFERROR((BS228*'CALCULO GERAL'!$E$11)/N228,0)</f>
        <v>0.10138380000000001</v>
      </c>
      <c r="AW228" s="109">
        <f>AU228/'CALCULO GERAL'!$C$11</f>
        <v>0.85971404966895038</v>
      </c>
      <c r="AX228" s="109">
        <f>BP228-BB228-BD228*'CALCULO GERAL'!$C$11</f>
        <v>4.9931521500000002</v>
      </c>
      <c r="AY228" s="109">
        <f t="shared" si="136"/>
        <v>3.2455488975000002E-2</v>
      </c>
      <c r="AZ228" s="109">
        <f t="shared" si="137"/>
        <v>0.1497945645</v>
      </c>
      <c r="BA228" s="109">
        <f t="shared" si="138"/>
        <v>5.0691899999999999</v>
      </c>
      <c r="BB228" s="109">
        <f t="shared" si="139"/>
        <v>7.603784999999999E-2</v>
      </c>
      <c r="BC228" s="109">
        <f t="shared" si="140"/>
        <v>5.0691899999999999</v>
      </c>
      <c r="BD228" s="109">
        <f t="shared" si="141"/>
        <v>0</v>
      </c>
      <c r="BE228" s="109">
        <f t="shared" si="142"/>
        <v>42175.660800000005</v>
      </c>
      <c r="BF228" s="109">
        <f t="shared" si="143"/>
        <v>63263.491199999997</v>
      </c>
      <c r="BG228" s="109">
        <f t="shared" si="144"/>
        <v>5.4747251999999996E-2</v>
      </c>
      <c r="BH228" s="109">
        <f t="shared" si="145"/>
        <v>6.0830280000000007E-2</v>
      </c>
      <c r="BI228" s="109">
        <f t="shared" si="146"/>
        <v>0</v>
      </c>
      <c r="BJ228" s="109">
        <f t="shared" si="147"/>
        <v>0.47524923547499998</v>
      </c>
      <c r="BK228" s="109">
        <f t="shared" si="148"/>
        <v>4.7901540507634621</v>
      </c>
      <c r="BL228" s="148">
        <v>0.87</v>
      </c>
      <c r="BM228" s="112">
        <f>ROUND((AW228/BL228)+((AW228*BL228)*'CALCULO GERAL'!$E$11)/BL228,2)</f>
        <v>1.01</v>
      </c>
      <c r="BN228" s="186">
        <f t="shared" si="149"/>
        <v>1.01</v>
      </c>
      <c r="BO228" s="186">
        <f t="shared" si="150"/>
        <v>1.1830000000000001</v>
      </c>
      <c r="BP228" s="109">
        <f>BM228*'CALCULO GERAL'!$C$11</f>
        <v>5.0691899999999999</v>
      </c>
      <c r="BQ228" s="109">
        <f>BO228*'CALCULO GERAL'!$C$11</f>
        <v>5.9374770000000003</v>
      </c>
      <c r="BR228" s="186">
        <f>BN228*'CALCULO GERAL'!$C$11</f>
        <v>5.0691899999999999</v>
      </c>
      <c r="BS228" s="109">
        <f t="shared" si="151"/>
        <v>527195.76</v>
      </c>
      <c r="BT228" s="109">
        <f t="shared" si="152"/>
        <v>527195.76</v>
      </c>
      <c r="BU228" s="109">
        <f t="shared" si="153"/>
        <v>498176.02127940004</v>
      </c>
      <c r="BV228" s="109">
        <f t="shared" si="154"/>
        <v>29019.738720599969</v>
      </c>
      <c r="BW228" s="114">
        <f t="shared" si="155"/>
        <v>5.5045470624801626E-2</v>
      </c>
      <c r="BX228" s="152">
        <f t="shared" si="156"/>
        <v>0.87</v>
      </c>
      <c r="BZ228" s="55"/>
      <c r="CA228" s="113"/>
      <c r="CB228" s="113"/>
      <c r="CD228" s="152">
        <f t="shared" si="157"/>
        <v>0</v>
      </c>
      <c r="CE228" s="152">
        <f t="shared" si="158"/>
        <v>1</v>
      </c>
      <c r="CF228" s="152">
        <f t="shared" si="159"/>
        <v>1</v>
      </c>
      <c r="CG228" s="34"/>
      <c r="CI228" s="11"/>
      <c r="CJ228" s="11"/>
    </row>
    <row r="229" spans="1:88" s="152" customFormat="1" x14ac:dyDescent="0.2">
      <c r="A229" s="125" t="s">
        <v>363</v>
      </c>
      <c r="B229" s="187" t="s">
        <v>297</v>
      </c>
      <c r="C229" s="8">
        <v>0.26</v>
      </c>
      <c r="D229" s="8">
        <v>0</v>
      </c>
      <c r="E229" s="7">
        <v>2.1000000000000001E-2</v>
      </c>
      <c r="F229" s="7">
        <v>0.1045</v>
      </c>
      <c r="G229" s="1">
        <v>6.4999999999999997E-3</v>
      </c>
      <c r="H229" s="1">
        <v>0.03</v>
      </c>
      <c r="I229" s="1">
        <v>0.18</v>
      </c>
      <c r="J229" s="1">
        <v>0.04</v>
      </c>
      <c r="K229" s="1">
        <v>0.14000000000000001</v>
      </c>
      <c r="L229" s="1">
        <v>1.4999999999999999E-2</v>
      </c>
      <c r="M229" s="2" t="s">
        <v>175</v>
      </c>
      <c r="N229" s="105">
        <v>160000</v>
      </c>
      <c r="O229" s="119">
        <v>0.34</v>
      </c>
      <c r="P229" s="119">
        <v>0.38</v>
      </c>
      <c r="Q229" s="119">
        <v>0.38</v>
      </c>
      <c r="R229" s="119">
        <v>0.4</v>
      </c>
      <c r="S229" s="119"/>
      <c r="T229" s="119"/>
      <c r="U229" s="119"/>
      <c r="V229" s="119">
        <v>0.36</v>
      </c>
      <c r="W229" s="119">
        <v>0.38500000000000001</v>
      </c>
      <c r="X229" s="119">
        <f t="shared" si="160"/>
        <v>0.34</v>
      </c>
      <c r="Y229" s="118">
        <f t="shared" si="127"/>
        <v>0.3741666666666667</v>
      </c>
      <c r="Z229" s="109">
        <f t="shared" si="128"/>
        <v>54400.000000000007</v>
      </c>
      <c r="AA229" s="109">
        <f>'CALCULO GERAL'!$G$10</f>
        <v>6300</v>
      </c>
      <c r="AB229" s="109">
        <f t="shared" si="129"/>
        <v>60700.000000000007</v>
      </c>
      <c r="AC229" s="109">
        <f>AB229*'CALCULO GERAL'!$C$11</f>
        <v>304653.30000000005</v>
      </c>
      <c r="AD229" s="109">
        <f t="shared" si="130"/>
        <v>79209.858000000022</v>
      </c>
      <c r="AE229" s="109">
        <f t="shared" si="131"/>
        <v>0</v>
      </c>
      <c r="AF229" s="109">
        <f t="shared" si="132"/>
        <v>6397.7193000000016</v>
      </c>
      <c r="AG229" s="109">
        <f t="shared" si="133"/>
        <v>31836.269850000004</v>
      </c>
      <c r="AH229" s="109">
        <v>154.22999999999999</v>
      </c>
      <c r="AI229" s="109">
        <f>((AA229*'CALCULO GERAL'!$C$11))*0.08+20</f>
        <v>2549.576</v>
      </c>
      <c r="AJ229" s="109">
        <v>1010</v>
      </c>
      <c r="AK229" s="109">
        <v>2500</v>
      </c>
      <c r="AL229" s="109">
        <f>(AA229*('CALCULO GERAL'!$C$11*1.02))-(AA229*'CALCULO GERAL'!$C$11)</f>
        <v>632.39400000000387</v>
      </c>
      <c r="AM229" s="109">
        <v>1800</v>
      </c>
      <c r="AN229" s="109">
        <v>2600</v>
      </c>
      <c r="AO229" s="109">
        <v>9400</v>
      </c>
      <c r="AP229" s="109">
        <v>1000</v>
      </c>
      <c r="AQ229" s="109">
        <v>0</v>
      </c>
      <c r="AR229" s="109">
        <v>0</v>
      </c>
      <c r="AS229" s="109"/>
      <c r="AT229" s="109">
        <f t="shared" si="134"/>
        <v>443743.34715000005</v>
      </c>
      <c r="AU229" s="111">
        <f t="shared" si="135"/>
        <v>2.7733959196875002</v>
      </c>
      <c r="AV229" s="109">
        <f>IFERROR((BS229*'CALCULO GERAL'!$E$11)/N229,0)</f>
        <v>6.5246999999999999E-2</v>
      </c>
      <c r="AW229" s="109">
        <f>AU229/'CALCULO GERAL'!$C$11</f>
        <v>0.55257938228481773</v>
      </c>
      <c r="AX229" s="109">
        <f>BP229-BB229-BD229*'CALCULO GERAL'!$C$11</f>
        <v>3.2134147500000001</v>
      </c>
      <c r="AY229" s="109">
        <f t="shared" si="136"/>
        <v>2.0887195875E-2</v>
      </c>
      <c r="AZ229" s="109">
        <f t="shared" si="137"/>
        <v>9.6402442500000005E-2</v>
      </c>
      <c r="BA229" s="109">
        <f t="shared" si="138"/>
        <v>3.2623500000000001</v>
      </c>
      <c r="BB229" s="109">
        <f t="shared" si="139"/>
        <v>4.893525E-2</v>
      </c>
      <c r="BC229" s="109">
        <f t="shared" si="140"/>
        <v>3.2623500000000001</v>
      </c>
      <c r="BD229" s="109">
        <f t="shared" si="141"/>
        <v>0</v>
      </c>
      <c r="BE229" s="109">
        <f t="shared" si="142"/>
        <v>41758.080000000002</v>
      </c>
      <c r="BF229" s="109">
        <f t="shared" si="143"/>
        <v>62637.119999999995</v>
      </c>
      <c r="BG229" s="109">
        <f t="shared" si="144"/>
        <v>3.5233379999999995E-2</v>
      </c>
      <c r="BH229" s="109">
        <f t="shared" si="145"/>
        <v>3.9148200000000001E-2</v>
      </c>
      <c r="BI229" s="109">
        <f t="shared" si="146"/>
        <v>0</v>
      </c>
      <c r="BJ229" s="109">
        <f t="shared" si="147"/>
        <v>0.30585346837499999</v>
      </c>
      <c r="BK229" s="109">
        <f t="shared" si="148"/>
        <v>3.0792493880625003</v>
      </c>
      <c r="BL229" s="148">
        <v>0.86</v>
      </c>
      <c r="BM229" s="112">
        <f>ROUND((AW229/BL229)+((AW229*BL229)*'CALCULO GERAL'!$E$11)/BL229,2)</f>
        <v>0.65</v>
      </c>
      <c r="BN229" s="186">
        <f t="shared" si="149"/>
        <v>0.65</v>
      </c>
      <c r="BO229" s="186">
        <f t="shared" si="150"/>
        <v>0.76200000000000001</v>
      </c>
      <c r="BP229" s="109">
        <f>BM229*'CALCULO GERAL'!$C$11</f>
        <v>3.2623500000000001</v>
      </c>
      <c r="BQ229" s="109">
        <f>BO229*'CALCULO GERAL'!$C$11</f>
        <v>3.824478</v>
      </c>
      <c r="BR229" s="186">
        <f>BN229*'CALCULO GERAL'!$C$11</f>
        <v>3.2623500000000001</v>
      </c>
      <c r="BS229" s="109">
        <f t="shared" si="151"/>
        <v>521976</v>
      </c>
      <c r="BT229" s="109">
        <f t="shared" si="152"/>
        <v>521976</v>
      </c>
      <c r="BU229" s="109">
        <f t="shared" si="153"/>
        <v>492679.90209000005</v>
      </c>
      <c r="BV229" s="109">
        <f t="shared" si="154"/>
        <v>29296.097909999953</v>
      </c>
      <c r="BW229" s="114">
        <f t="shared" si="155"/>
        <v>5.612537340797269E-2</v>
      </c>
      <c r="BX229" s="152">
        <f t="shared" si="156"/>
        <v>0.86</v>
      </c>
      <c r="BZ229" s="55"/>
      <c r="CA229" s="113"/>
      <c r="CB229" s="113"/>
      <c r="CD229" s="152">
        <f t="shared" si="157"/>
        <v>0</v>
      </c>
      <c r="CE229" s="152">
        <f t="shared" si="158"/>
        <v>1</v>
      </c>
      <c r="CF229" s="152">
        <f t="shared" si="159"/>
        <v>1</v>
      </c>
      <c r="CG229" s="34"/>
      <c r="CI229" s="11"/>
      <c r="CJ229" s="11"/>
    </row>
    <row r="230" spans="1:88" s="152" customFormat="1" x14ac:dyDescent="0.2">
      <c r="A230" s="125" t="s">
        <v>364</v>
      </c>
      <c r="B230" s="187" t="s">
        <v>297</v>
      </c>
      <c r="C230" s="8">
        <v>0.26</v>
      </c>
      <c r="D230" s="8">
        <v>0</v>
      </c>
      <c r="E230" s="7">
        <v>2.1000000000000001E-2</v>
      </c>
      <c r="F230" s="7">
        <v>0.1045</v>
      </c>
      <c r="G230" s="1">
        <v>6.4999999999999997E-3</v>
      </c>
      <c r="H230" s="1">
        <v>0.03</v>
      </c>
      <c r="I230" s="1">
        <v>0.18</v>
      </c>
      <c r="J230" s="1">
        <v>0.04</v>
      </c>
      <c r="K230" s="1">
        <v>0.14000000000000001</v>
      </c>
      <c r="L230" s="1">
        <v>1.4999999999999999E-2</v>
      </c>
      <c r="M230" s="2" t="s">
        <v>175</v>
      </c>
      <c r="N230" s="105">
        <v>115000</v>
      </c>
      <c r="O230" s="119">
        <v>0.51</v>
      </c>
      <c r="P230" s="119">
        <v>0.52</v>
      </c>
      <c r="Q230" s="119">
        <v>0.51</v>
      </c>
      <c r="R230" s="119">
        <v>0.56000000000000005</v>
      </c>
      <c r="S230" s="119">
        <v>0.53</v>
      </c>
      <c r="T230" s="119"/>
      <c r="U230" s="119"/>
      <c r="V230" s="119">
        <v>0.54</v>
      </c>
      <c r="W230" s="119">
        <v>0.51500000000000001</v>
      </c>
      <c r="X230" s="119">
        <f t="shared" si="160"/>
        <v>0.51</v>
      </c>
      <c r="Y230" s="118">
        <f t="shared" si="127"/>
        <v>0.52642857142857147</v>
      </c>
      <c r="Z230" s="109">
        <f t="shared" si="128"/>
        <v>58650</v>
      </c>
      <c r="AA230" s="109">
        <f>'CALCULO GERAL'!$G$10</f>
        <v>6300</v>
      </c>
      <c r="AB230" s="109">
        <f t="shared" si="129"/>
        <v>64950</v>
      </c>
      <c r="AC230" s="109">
        <f>AB230*'CALCULO GERAL'!$C$11</f>
        <v>325984.05</v>
      </c>
      <c r="AD230" s="109">
        <f t="shared" si="130"/>
        <v>84755.853000000003</v>
      </c>
      <c r="AE230" s="109">
        <f t="shared" si="131"/>
        <v>0</v>
      </c>
      <c r="AF230" s="109">
        <f t="shared" si="132"/>
        <v>6845.6650500000005</v>
      </c>
      <c r="AG230" s="109">
        <f t="shared" si="133"/>
        <v>34065.333224999995</v>
      </c>
      <c r="AH230" s="109">
        <v>154.22999999999999</v>
      </c>
      <c r="AI230" s="109">
        <f>((AA230*'CALCULO GERAL'!$C$11))*0.08+20</f>
        <v>2549.576</v>
      </c>
      <c r="AJ230" s="109">
        <v>1010</v>
      </c>
      <c r="AK230" s="109">
        <v>2500</v>
      </c>
      <c r="AL230" s="109">
        <f>(AA230*('CALCULO GERAL'!$C$11*1.02))-(AA230*'CALCULO GERAL'!$C$11)</f>
        <v>632.39400000000387</v>
      </c>
      <c r="AM230" s="109">
        <v>1800</v>
      </c>
      <c r="AN230" s="109">
        <v>2600</v>
      </c>
      <c r="AO230" s="109">
        <v>9400</v>
      </c>
      <c r="AP230" s="109">
        <v>1000</v>
      </c>
      <c r="AQ230" s="109">
        <v>0</v>
      </c>
      <c r="AR230" s="109">
        <v>0</v>
      </c>
      <c r="AS230" s="109"/>
      <c r="AT230" s="109">
        <f t="shared" si="134"/>
        <v>473297.10127500002</v>
      </c>
      <c r="AU230" s="111">
        <f t="shared" si="135"/>
        <v>4.1156269676086961</v>
      </c>
      <c r="AV230" s="109">
        <f>IFERROR((BS230*'CALCULO GERAL'!$E$11)/N230,0)</f>
        <v>9.63648E-2</v>
      </c>
      <c r="AW230" s="109">
        <f>AU230/'CALCULO GERAL'!$C$11</f>
        <v>0.82000935796148555</v>
      </c>
      <c r="AX230" s="109">
        <f>BP230-BB230-BD230*'CALCULO GERAL'!$C$11</f>
        <v>4.7459664000000004</v>
      </c>
      <c r="AY230" s="109">
        <f t="shared" si="136"/>
        <v>3.08487816E-2</v>
      </c>
      <c r="AZ230" s="109">
        <f t="shared" si="137"/>
        <v>0.14237899200000001</v>
      </c>
      <c r="BA230" s="109">
        <f t="shared" si="138"/>
        <v>4.8182400000000003</v>
      </c>
      <c r="BB230" s="109">
        <f t="shared" si="139"/>
        <v>7.2273600000000007E-2</v>
      </c>
      <c r="BC230" s="109">
        <f t="shared" si="140"/>
        <v>4.8182400000000003</v>
      </c>
      <c r="BD230" s="109">
        <f t="shared" si="141"/>
        <v>0</v>
      </c>
      <c r="BE230" s="109">
        <f t="shared" si="142"/>
        <v>44327.807999999997</v>
      </c>
      <c r="BF230" s="109">
        <f t="shared" si="143"/>
        <v>66491.712</v>
      </c>
      <c r="BG230" s="109">
        <f t="shared" si="144"/>
        <v>5.2036991999999997E-2</v>
      </c>
      <c r="BH230" s="109">
        <f t="shared" si="145"/>
        <v>5.7818879999999996E-2</v>
      </c>
      <c r="BI230" s="109">
        <f t="shared" si="146"/>
        <v>0</v>
      </c>
      <c r="BJ230" s="109">
        <f t="shared" si="147"/>
        <v>0.45172204560000007</v>
      </c>
      <c r="BK230" s="109">
        <f t="shared" si="148"/>
        <v>4.5673490132086965</v>
      </c>
      <c r="BL230" s="148">
        <v>0.87</v>
      </c>
      <c r="BM230" s="112">
        <f>ROUND((AW230/BL230)+((AW230*BL230)*'CALCULO GERAL'!$E$11)/BL230,2)</f>
        <v>0.96</v>
      </c>
      <c r="BN230" s="186">
        <f t="shared" si="149"/>
        <v>0.96</v>
      </c>
      <c r="BO230" s="186">
        <f t="shared" si="150"/>
        <v>1.125</v>
      </c>
      <c r="BP230" s="109">
        <f>BM230*'CALCULO GERAL'!$C$11</f>
        <v>4.8182400000000003</v>
      </c>
      <c r="BQ230" s="109">
        <f>BO230*'CALCULO GERAL'!$C$11</f>
        <v>5.6463749999999999</v>
      </c>
      <c r="BR230" s="186">
        <f>BN230*'CALCULO GERAL'!$C$11</f>
        <v>4.8182400000000003</v>
      </c>
      <c r="BS230" s="109">
        <f t="shared" si="151"/>
        <v>554097.6</v>
      </c>
      <c r="BT230" s="109">
        <f t="shared" si="152"/>
        <v>554097.6</v>
      </c>
      <c r="BU230" s="109">
        <f t="shared" si="153"/>
        <v>525245.13651900005</v>
      </c>
      <c r="BV230" s="109">
        <f t="shared" si="154"/>
        <v>28852.463480999926</v>
      </c>
      <c r="BW230" s="114">
        <f t="shared" si="155"/>
        <v>5.2071085456785821E-2</v>
      </c>
      <c r="BX230" s="152">
        <f t="shared" si="156"/>
        <v>0.87</v>
      </c>
      <c r="BZ230" s="55"/>
      <c r="CA230" s="113"/>
      <c r="CB230" s="113"/>
      <c r="CD230" s="152">
        <f t="shared" si="157"/>
        <v>0</v>
      </c>
      <c r="CE230" s="152">
        <f t="shared" si="158"/>
        <v>1</v>
      </c>
      <c r="CF230" s="152">
        <f t="shared" si="159"/>
        <v>1</v>
      </c>
      <c r="CG230" s="34"/>
      <c r="CI230" s="11"/>
      <c r="CJ230" s="11"/>
    </row>
    <row r="231" spans="1:88" s="152" customFormat="1" x14ac:dyDescent="0.2">
      <c r="A231" s="125" t="s">
        <v>365</v>
      </c>
      <c r="B231" s="187" t="s">
        <v>297</v>
      </c>
      <c r="C231" s="8">
        <v>0.26</v>
      </c>
      <c r="D231" s="8">
        <v>0</v>
      </c>
      <c r="E231" s="7">
        <v>2.1000000000000001E-2</v>
      </c>
      <c r="F231" s="7">
        <v>0.1045</v>
      </c>
      <c r="G231" s="1">
        <v>6.4999999999999997E-3</v>
      </c>
      <c r="H231" s="1">
        <v>0.03</v>
      </c>
      <c r="I231" s="1">
        <v>0.18</v>
      </c>
      <c r="J231" s="1">
        <v>0.04</v>
      </c>
      <c r="K231" s="1">
        <v>0.14000000000000001</v>
      </c>
      <c r="L231" s="1">
        <v>1.4999999999999999E-2</v>
      </c>
      <c r="M231" s="2" t="s">
        <v>175</v>
      </c>
      <c r="N231" s="105">
        <v>108000</v>
      </c>
      <c r="O231" s="119">
        <v>0.53</v>
      </c>
      <c r="P231" s="119">
        <v>0.54</v>
      </c>
      <c r="Q231" s="119">
        <v>0.53</v>
      </c>
      <c r="R231" s="119">
        <v>0.57999999999999996</v>
      </c>
      <c r="S231" s="119">
        <v>0.55000000000000004</v>
      </c>
      <c r="T231" s="119"/>
      <c r="U231" s="119"/>
      <c r="V231" s="119">
        <v>0.56000000000000005</v>
      </c>
      <c r="W231" s="119">
        <v>0.53500000000000003</v>
      </c>
      <c r="X231" s="119">
        <f t="shared" si="160"/>
        <v>0.53</v>
      </c>
      <c r="Y231" s="118">
        <f t="shared" si="127"/>
        <v>0.54642857142857149</v>
      </c>
      <c r="Z231" s="109">
        <f t="shared" si="128"/>
        <v>57240</v>
      </c>
      <c r="AA231" s="109">
        <f>'CALCULO GERAL'!$G$10</f>
        <v>6300</v>
      </c>
      <c r="AB231" s="109">
        <f t="shared" si="129"/>
        <v>63540</v>
      </c>
      <c r="AC231" s="109">
        <f>AB231*'CALCULO GERAL'!$C$11</f>
        <v>318907.26</v>
      </c>
      <c r="AD231" s="109">
        <f t="shared" si="130"/>
        <v>82915.887600000002</v>
      </c>
      <c r="AE231" s="109">
        <f t="shared" si="131"/>
        <v>0</v>
      </c>
      <c r="AF231" s="109">
        <f t="shared" si="132"/>
        <v>6697.0524600000008</v>
      </c>
      <c r="AG231" s="109">
        <f t="shared" si="133"/>
        <v>33325.808669999999</v>
      </c>
      <c r="AH231" s="109">
        <v>154.22999999999999</v>
      </c>
      <c r="AI231" s="109">
        <f>((AA231*'CALCULO GERAL'!$C$11))*0.08+20</f>
        <v>2549.576</v>
      </c>
      <c r="AJ231" s="109">
        <v>1010</v>
      </c>
      <c r="AK231" s="109">
        <v>2500</v>
      </c>
      <c r="AL231" s="109">
        <f>(AA231*('CALCULO GERAL'!$C$11*1.02))-(AA231*'CALCULO GERAL'!$C$11)</f>
        <v>632.39400000000387</v>
      </c>
      <c r="AM231" s="109">
        <v>1800</v>
      </c>
      <c r="AN231" s="109">
        <v>2600</v>
      </c>
      <c r="AO231" s="109">
        <v>9400</v>
      </c>
      <c r="AP231" s="109">
        <v>1000</v>
      </c>
      <c r="AQ231" s="109">
        <v>0</v>
      </c>
      <c r="AR231" s="109">
        <v>0</v>
      </c>
      <c r="AS231" s="109"/>
      <c r="AT231" s="109">
        <f t="shared" si="134"/>
        <v>463492.20873000001</v>
      </c>
      <c r="AU231" s="111">
        <f t="shared" si="135"/>
        <v>4.2915945252777776</v>
      </c>
      <c r="AV231" s="109">
        <f>IFERROR((BS231*'CALCULO GERAL'!$E$11)/N231,0)</f>
        <v>0.1013838</v>
      </c>
      <c r="AW231" s="109">
        <f>AU231/'CALCULO GERAL'!$C$11</f>
        <v>0.8550696404219521</v>
      </c>
      <c r="AX231" s="109">
        <f>BP231-BB231-BD231*'CALCULO GERAL'!$C$11</f>
        <v>4.9931521500000002</v>
      </c>
      <c r="AY231" s="109">
        <f t="shared" si="136"/>
        <v>3.2455488975000002E-2</v>
      </c>
      <c r="AZ231" s="109">
        <f t="shared" si="137"/>
        <v>0.1497945645</v>
      </c>
      <c r="BA231" s="109">
        <f t="shared" si="138"/>
        <v>5.0691899999999999</v>
      </c>
      <c r="BB231" s="109">
        <f t="shared" si="139"/>
        <v>7.603784999999999E-2</v>
      </c>
      <c r="BC231" s="109">
        <f t="shared" si="140"/>
        <v>5.0691899999999999</v>
      </c>
      <c r="BD231" s="109">
        <f t="shared" si="141"/>
        <v>0</v>
      </c>
      <c r="BE231" s="109">
        <f t="shared" si="142"/>
        <v>43797.801599999999</v>
      </c>
      <c r="BF231" s="109">
        <f t="shared" si="143"/>
        <v>65696.702399999995</v>
      </c>
      <c r="BG231" s="109">
        <f t="shared" si="144"/>
        <v>5.4747251999999989E-2</v>
      </c>
      <c r="BH231" s="109">
        <f t="shared" si="145"/>
        <v>6.0830279999999994E-2</v>
      </c>
      <c r="BI231" s="109">
        <f t="shared" si="146"/>
        <v>0</v>
      </c>
      <c r="BJ231" s="109">
        <f t="shared" si="147"/>
        <v>0.47524923547499998</v>
      </c>
      <c r="BK231" s="109">
        <f t="shared" si="148"/>
        <v>4.7668437607527778</v>
      </c>
      <c r="BL231" s="148">
        <v>0.86</v>
      </c>
      <c r="BM231" s="112">
        <f>ROUND((AW231/BL231)+((AW231*BL231)*'CALCULO GERAL'!$E$11)/BL231,2)</f>
        <v>1.01</v>
      </c>
      <c r="BN231" s="186">
        <f t="shared" si="149"/>
        <v>1.01</v>
      </c>
      <c r="BO231" s="186">
        <f t="shared" si="150"/>
        <v>1.1830000000000001</v>
      </c>
      <c r="BP231" s="109">
        <f>BM231*'CALCULO GERAL'!$C$11</f>
        <v>5.0691899999999999</v>
      </c>
      <c r="BQ231" s="109">
        <f>BO231*'CALCULO GERAL'!$C$11</f>
        <v>5.9374770000000003</v>
      </c>
      <c r="BR231" s="186">
        <f>BN231*'CALCULO GERAL'!$C$11</f>
        <v>5.0691899999999999</v>
      </c>
      <c r="BS231" s="109">
        <f t="shared" si="151"/>
        <v>547472.52</v>
      </c>
      <c r="BT231" s="109">
        <f t="shared" si="152"/>
        <v>547472.52</v>
      </c>
      <c r="BU231" s="109">
        <f t="shared" si="153"/>
        <v>514819.1261613</v>
      </c>
      <c r="BV231" s="109">
        <f t="shared" si="154"/>
        <v>32653.393838700023</v>
      </c>
      <c r="BW231" s="114">
        <f t="shared" si="155"/>
        <v>5.9643895621829611E-2</v>
      </c>
      <c r="BX231" s="152">
        <f t="shared" si="156"/>
        <v>0.86</v>
      </c>
      <c r="BZ231" s="55"/>
      <c r="CA231" s="113"/>
      <c r="CB231" s="113"/>
      <c r="CD231" s="152">
        <f t="shared" si="157"/>
        <v>0</v>
      </c>
      <c r="CE231" s="152">
        <f t="shared" si="158"/>
        <v>1</v>
      </c>
      <c r="CF231" s="152">
        <f t="shared" si="159"/>
        <v>1</v>
      </c>
      <c r="CG231" s="34"/>
      <c r="CI231" s="11"/>
      <c r="CJ231" s="11"/>
    </row>
    <row r="232" spans="1:88" s="152" customFormat="1" x14ac:dyDescent="0.2">
      <c r="A232" s="125" t="s">
        <v>366</v>
      </c>
      <c r="B232" s="187" t="s">
        <v>297</v>
      </c>
      <c r="C232" s="8">
        <v>0.26</v>
      </c>
      <c r="D232" s="8">
        <v>0</v>
      </c>
      <c r="E232" s="7">
        <v>2.1000000000000001E-2</v>
      </c>
      <c r="F232" s="7">
        <v>0.1045</v>
      </c>
      <c r="G232" s="1">
        <v>6.4999999999999997E-3</v>
      </c>
      <c r="H232" s="1">
        <v>0.03</v>
      </c>
      <c r="I232" s="1">
        <v>0.18</v>
      </c>
      <c r="J232" s="1">
        <v>0.04</v>
      </c>
      <c r="K232" s="1">
        <v>0.14000000000000001</v>
      </c>
      <c r="L232" s="1">
        <v>1.4999999999999999E-2</v>
      </c>
      <c r="M232" s="2" t="s">
        <v>175</v>
      </c>
      <c r="N232" s="105">
        <v>104000</v>
      </c>
      <c r="O232" s="119">
        <v>0.56999999999999995</v>
      </c>
      <c r="P232" s="119">
        <v>0.56000000000000005</v>
      </c>
      <c r="Q232" s="119">
        <v>0.54</v>
      </c>
      <c r="R232" s="119">
        <v>0.6</v>
      </c>
      <c r="S232" s="119">
        <v>0.56000000000000005</v>
      </c>
      <c r="T232" s="119"/>
      <c r="U232" s="119"/>
      <c r="V232" s="119">
        <v>0.56999999999999995</v>
      </c>
      <c r="W232" s="119">
        <v>0.54500000000000004</v>
      </c>
      <c r="X232" s="119">
        <f t="shared" si="160"/>
        <v>0.54</v>
      </c>
      <c r="Y232" s="118">
        <f t="shared" si="127"/>
        <v>0.5635714285714285</v>
      </c>
      <c r="Z232" s="109">
        <f t="shared" si="128"/>
        <v>56160.000000000007</v>
      </c>
      <c r="AA232" s="109">
        <f>'CALCULO GERAL'!$G$10</f>
        <v>6300</v>
      </c>
      <c r="AB232" s="109">
        <f t="shared" si="129"/>
        <v>62460.000000000007</v>
      </c>
      <c r="AC232" s="109">
        <f>AB232*'CALCULO GERAL'!$C$11</f>
        <v>313486.74000000005</v>
      </c>
      <c r="AD232" s="109">
        <f t="shared" si="130"/>
        <v>81506.552400000015</v>
      </c>
      <c r="AE232" s="109">
        <f t="shared" si="131"/>
        <v>0</v>
      </c>
      <c r="AF232" s="109">
        <f t="shared" si="132"/>
        <v>6583.2215400000014</v>
      </c>
      <c r="AG232" s="109">
        <f t="shared" si="133"/>
        <v>32759.364330000004</v>
      </c>
      <c r="AH232" s="109">
        <v>154.22999999999999</v>
      </c>
      <c r="AI232" s="109">
        <f>((AA232*'CALCULO GERAL'!$C$11))*0.08+20</f>
        <v>2549.576</v>
      </c>
      <c r="AJ232" s="109">
        <v>1010</v>
      </c>
      <c r="AK232" s="109">
        <v>2500</v>
      </c>
      <c r="AL232" s="109">
        <f>(AA232*('CALCULO GERAL'!$C$11*1.02))-(AA232*'CALCULO GERAL'!$C$11)</f>
        <v>632.39400000000387</v>
      </c>
      <c r="AM232" s="109">
        <v>1800</v>
      </c>
      <c r="AN232" s="109">
        <v>2600</v>
      </c>
      <c r="AO232" s="109">
        <v>9400</v>
      </c>
      <c r="AP232" s="109">
        <v>1000</v>
      </c>
      <c r="AQ232" s="109">
        <v>0</v>
      </c>
      <c r="AR232" s="109">
        <v>0</v>
      </c>
      <c r="AS232" s="109"/>
      <c r="AT232" s="109">
        <f t="shared" si="134"/>
        <v>455982.07827000006</v>
      </c>
      <c r="AU232" s="111">
        <f t="shared" si="135"/>
        <v>4.3844430602884623</v>
      </c>
      <c r="AV232" s="109">
        <f>IFERROR((BS232*'CALCULO GERAL'!$E$11)/N232,0)</f>
        <v>0.10339140000000001</v>
      </c>
      <c r="AW232" s="109">
        <f>AU232/'CALCULO GERAL'!$C$11</f>
        <v>0.87356904966895044</v>
      </c>
      <c r="AX232" s="109">
        <f>BP232-BB232-BD232*'CALCULO GERAL'!$C$11</f>
        <v>5.0920264500000005</v>
      </c>
      <c r="AY232" s="109">
        <f t="shared" si="136"/>
        <v>3.3098171925000003E-2</v>
      </c>
      <c r="AZ232" s="109">
        <f t="shared" si="137"/>
        <v>0.15276079350000002</v>
      </c>
      <c r="BA232" s="109">
        <f t="shared" si="138"/>
        <v>5.1695700000000002</v>
      </c>
      <c r="BB232" s="109">
        <f t="shared" si="139"/>
        <v>7.7543550000000003E-2</v>
      </c>
      <c r="BC232" s="109">
        <f t="shared" si="140"/>
        <v>5.1695700000000002</v>
      </c>
      <c r="BD232" s="109">
        <f t="shared" si="141"/>
        <v>0</v>
      </c>
      <c r="BE232" s="109">
        <f t="shared" si="142"/>
        <v>43010.822400000005</v>
      </c>
      <c r="BF232" s="109">
        <f t="shared" si="143"/>
        <v>64516.2336</v>
      </c>
      <c r="BG232" s="109">
        <f t="shared" si="144"/>
        <v>5.5831355999999999E-2</v>
      </c>
      <c r="BH232" s="109">
        <f t="shared" si="145"/>
        <v>6.2034840000000008E-2</v>
      </c>
      <c r="BI232" s="109">
        <f t="shared" si="146"/>
        <v>0</v>
      </c>
      <c r="BJ232" s="109">
        <f t="shared" si="147"/>
        <v>0.4846601114250001</v>
      </c>
      <c r="BK232" s="109">
        <f t="shared" si="148"/>
        <v>4.8691031717134621</v>
      </c>
      <c r="BL232" s="148">
        <v>0.86</v>
      </c>
      <c r="BM232" s="112">
        <f>ROUND((AW232/BL232)+((AW232*BL232)*'CALCULO GERAL'!$E$11)/BL232,2)</f>
        <v>1.03</v>
      </c>
      <c r="BN232" s="186">
        <f t="shared" si="149"/>
        <v>1.03</v>
      </c>
      <c r="BO232" s="186">
        <f t="shared" si="150"/>
        <v>1.2070000000000001</v>
      </c>
      <c r="BP232" s="109">
        <f>BM232*'CALCULO GERAL'!$C$11</f>
        <v>5.1695700000000002</v>
      </c>
      <c r="BQ232" s="109">
        <f>BO232*'CALCULO GERAL'!$C$11</f>
        <v>6.0579330000000002</v>
      </c>
      <c r="BR232" s="186">
        <f>BN232*'CALCULO GERAL'!$C$11</f>
        <v>5.1695700000000002</v>
      </c>
      <c r="BS232" s="109">
        <f t="shared" si="151"/>
        <v>537635.28</v>
      </c>
      <c r="BT232" s="109">
        <f t="shared" si="152"/>
        <v>537635.28</v>
      </c>
      <c r="BU232" s="109">
        <f t="shared" si="153"/>
        <v>506386.72985820007</v>
      </c>
      <c r="BV232" s="109">
        <f t="shared" si="154"/>
        <v>31248.550141799962</v>
      </c>
      <c r="BW232" s="114">
        <f t="shared" si="155"/>
        <v>5.8122209059271485E-2</v>
      </c>
      <c r="BX232" s="152">
        <f t="shared" si="156"/>
        <v>0.86</v>
      </c>
      <c r="BZ232" s="55"/>
      <c r="CA232" s="113"/>
      <c r="CB232" s="113"/>
      <c r="CD232" s="152">
        <f t="shared" si="157"/>
        <v>0</v>
      </c>
      <c r="CE232" s="152">
        <f t="shared" si="158"/>
        <v>1</v>
      </c>
      <c r="CF232" s="152">
        <f t="shared" si="159"/>
        <v>1</v>
      </c>
      <c r="CG232" s="34"/>
      <c r="CI232" s="11"/>
      <c r="CJ232" s="11"/>
    </row>
    <row r="233" spans="1:88" s="152" customFormat="1" x14ac:dyDescent="0.2">
      <c r="A233" s="125" t="s">
        <v>367</v>
      </c>
      <c r="B233" s="187" t="s">
        <v>297</v>
      </c>
      <c r="C233" s="8">
        <v>0.26</v>
      </c>
      <c r="D233" s="8">
        <v>0</v>
      </c>
      <c r="E233" s="7">
        <v>2.1000000000000001E-2</v>
      </c>
      <c r="F233" s="7">
        <v>0.1045</v>
      </c>
      <c r="G233" s="1">
        <v>6.4999999999999997E-3</v>
      </c>
      <c r="H233" s="1">
        <v>0.03</v>
      </c>
      <c r="I233" s="1">
        <v>0.18</v>
      </c>
      <c r="J233" s="1">
        <v>0.04</v>
      </c>
      <c r="K233" s="1">
        <v>0.14000000000000001</v>
      </c>
      <c r="L233" s="1">
        <v>1.4999999999999999E-2</v>
      </c>
      <c r="M233" s="2" t="s">
        <v>175</v>
      </c>
      <c r="N233" s="105">
        <v>81000</v>
      </c>
      <c r="O233" s="119">
        <v>0.63500000000000001</v>
      </c>
      <c r="P233" s="119"/>
      <c r="Q233" s="119"/>
      <c r="R233" s="119"/>
      <c r="S233" s="119"/>
      <c r="T233" s="119"/>
      <c r="U233" s="119"/>
      <c r="V233" s="119"/>
      <c r="W233" s="119"/>
      <c r="X233" s="119">
        <f t="shared" si="160"/>
        <v>0.63500000000000001</v>
      </c>
      <c r="Y233" s="118">
        <f>AVERAGE(O233:W233)</f>
        <v>0.63500000000000001</v>
      </c>
      <c r="Z233" s="109">
        <f>X233*N233</f>
        <v>51435</v>
      </c>
      <c r="AA233" s="109">
        <f>'CALCULO GERAL'!$G$10</f>
        <v>6300</v>
      </c>
      <c r="AB233" s="109">
        <f>Z233+AA233</f>
        <v>57735</v>
      </c>
      <c r="AC233" s="109">
        <f>AB233*'CALCULO GERAL'!$C$11</f>
        <v>289771.96500000003</v>
      </c>
      <c r="AD233" s="109">
        <f>AC233*C233</f>
        <v>75340.710900000005</v>
      </c>
      <c r="AE233" s="109">
        <f>(AC233+AD233)*D233</f>
        <v>0</v>
      </c>
      <c r="AF233" s="109">
        <f>AC233*E233</f>
        <v>6085.2112650000008</v>
      </c>
      <c r="AG233" s="109">
        <f>AC233*F233</f>
        <v>30281.170342500001</v>
      </c>
      <c r="AH233" s="109">
        <v>154.22999999999999</v>
      </c>
      <c r="AI233" s="109">
        <f>((AA233*'CALCULO GERAL'!$C$11))*0.08+20</f>
        <v>2549.576</v>
      </c>
      <c r="AJ233" s="109">
        <v>1010</v>
      </c>
      <c r="AK233" s="109">
        <v>2500</v>
      </c>
      <c r="AL233" s="109">
        <f>(AA233*('CALCULO GERAL'!$C$11*1.02))-(AA233*'CALCULO GERAL'!$C$11)</f>
        <v>632.39400000000387</v>
      </c>
      <c r="AM233" s="109">
        <v>1800</v>
      </c>
      <c r="AN233" s="109">
        <v>2600</v>
      </c>
      <c r="AO233" s="109">
        <v>9400</v>
      </c>
      <c r="AP233" s="109">
        <v>1000</v>
      </c>
      <c r="AQ233" s="109">
        <v>0</v>
      </c>
      <c r="AR233" s="109">
        <v>0</v>
      </c>
      <c r="AS233" s="109"/>
      <c r="AT233" s="109">
        <f t="shared" si="134"/>
        <v>423125.25750750006</v>
      </c>
      <c r="AU233" s="111">
        <f t="shared" si="135"/>
        <v>5.2237686112037043</v>
      </c>
      <c r="AV233" s="109">
        <f>IFERROR((BS233*'CALCULO GERAL'!$E$11)/N233,0)</f>
        <v>0.12346740000000002</v>
      </c>
      <c r="AW233" s="109">
        <f>AU233/'CALCULO GERAL'!$C$11</f>
        <v>1.0407986872292696</v>
      </c>
      <c r="AX233" s="109">
        <f>BP233-BB233-BD233*'CALCULO GERAL'!$C$11</f>
        <v>6.08076945</v>
      </c>
      <c r="AY233" s="109">
        <f t="shared" si="136"/>
        <v>3.9525001424999998E-2</v>
      </c>
      <c r="AZ233" s="109">
        <f t="shared" si="137"/>
        <v>0.1824230835</v>
      </c>
      <c r="BA233" s="109">
        <f t="shared" si="138"/>
        <v>6.1733700000000002</v>
      </c>
      <c r="BB233" s="109">
        <f t="shared" si="139"/>
        <v>9.2600550000000004E-2</v>
      </c>
      <c r="BC233" s="109">
        <f t="shared" si="140"/>
        <v>6.1733700000000002</v>
      </c>
      <c r="BD233" s="109">
        <f t="shared" si="141"/>
        <v>0</v>
      </c>
      <c r="BE233" s="109">
        <f t="shared" si="142"/>
        <v>40003.437600000005</v>
      </c>
      <c r="BF233" s="109">
        <f t="shared" si="143"/>
        <v>60005.1564</v>
      </c>
      <c r="BG233" s="109">
        <f t="shared" si="144"/>
        <v>6.6672396000000009E-2</v>
      </c>
      <c r="BH233" s="109">
        <f t="shared" si="145"/>
        <v>7.4080440000000011E-2</v>
      </c>
      <c r="BI233" s="109">
        <f t="shared" si="146"/>
        <v>0</v>
      </c>
      <c r="BJ233" s="109">
        <f t="shared" si="147"/>
        <v>0.57876887092500007</v>
      </c>
      <c r="BK233" s="109">
        <f t="shared" si="148"/>
        <v>5.8025374821287041</v>
      </c>
      <c r="BL233" s="148">
        <v>0.86</v>
      </c>
      <c r="BM233" s="112">
        <f>ROUND((AW233/BL233)+((AW233*BL233)*'CALCULO GERAL'!$E$11)/BL233,2)</f>
        <v>1.23</v>
      </c>
      <c r="BN233" s="186">
        <f t="shared" si="149"/>
        <v>1.23</v>
      </c>
      <c r="BO233" s="186">
        <f t="shared" si="150"/>
        <v>1.4410000000000001</v>
      </c>
      <c r="BP233" s="109">
        <f>BM233*'CALCULO GERAL'!$C$11</f>
        <v>6.1733700000000002</v>
      </c>
      <c r="BQ233" s="109">
        <f>BO233*'CALCULO GERAL'!$C$11</f>
        <v>7.2323790000000008</v>
      </c>
      <c r="BR233" s="186">
        <f>BN233*'CALCULO GERAL'!$C$11</f>
        <v>6.1733700000000002</v>
      </c>
      <c r="BS233" s="109">
        <f t="shared" si="151"/>
        <v>500042.97000000003</v>
      </c>
      <c r="BT233" s="109">
        <f t="shared" si="152"/>
        <v>500042.97000000003</v>
      </c>
      <c r="BU233" s="109">
        <f t="shared" si="153"/>
        <v>470005.53605242504</v>
      </c>
      <c r="BV233" s="109">
        <f t="shared" si="154"/>
        <v>30037.433947574988</v>
      </c>
      <c r="BW233" s="114">
        <f t="shared" si="155"/>
        <v>6.0069705504658899E-2</v>
      </c>
      <c r="BX233" s="152">
        <f>ROUND(BL233,2)</f>
        <v>0.86</v>
      </c>
      <c r="BZ233" s="55"/>
      <c r="CA233" s="113"/>
      <c r="CB233" s="113"/>
      <c r="CD233" s="152">
        <f>CB233/BX233</f>
        <v>0</v>
      </c>
      <c r="CE233" s="152">
        <f>100%-CD233</f>
        <v>1</v>
      </c>
      <c r="CF233" s="152">
        <f>AVERAGE(CE233,CC233)</f>
        <v>1</v>
      </c>
      <c r="CG233" s="34"/>
      <c r="CI233" s="11"/>
      <c r="CJ233" s="11"/>
    </row>
    <row r="234" spans="1:88" s="152" customFormat="1" x14ac:dyDescent="0.2">
      <c r="A234" s="125" t="s">
        <v>368</v>
      </c>
      <c r="B234" s="187" t="s">
        <v>325</v>
      </c>
      <c r="C234" s="8">
        <v>0.26</v>
      </c>
      <c r="D234" s="8">
        <v>0</v>
      </c>
      <c r="E234" s="7">
        <v>2.1000000000000001E-2</v>
      </c>
      <c r="F234" s="7">
        <v>0.1045</v>
      </c>
      <c r="G234" s="1">
        <v>6.4999999999999997E-3</v>
      </c>
      <c r="H234" s="1">
        <v>0.03</v>
      </c>
      <c r="I234" s="1">
        <v>0.18</v>
      </c>
      <c r="J234" s="1">
        <v>0.04</v>
      </c>
      <c r="K234" s="1">
        <v>0.14000000000000001</v>
      </c>
      <c r="L234" s="1">
        <v>1.4999999999999999E-2</v>
      </c>
      <c r="M234" s="2" t="s">
        <v>175</v>
      </c>
      <c r="N234" s="105">
        <v>81000</v>
      </c>
      <c r="O234" s="119">
        <v>0.66</v>
      </c>
      <c r="P234" s="119"/>
      <c r="Q234" s="119"/>
      <c r="R234" s="119"/>
      <c r="S234" s="119"/>
      <c r="T234" s="119"/>
      <c r="U234" s="119"/>
      <c r="V234" s="119"/>
      <c r="W234" s="119"/>
      <c r="X234" s="119">
        <f t="shared" si="160"/>
        <v>0.66</v>
      </c>
      <c r="Y234" s="118">
        <f>AVERAGE(O234:W234)</f>
        <v>0.66</v>
      </c>
      <c r="Z234" s="109">
        <f>X234*N234</f>
        <v>53460</v>
      </c>
      <c r="AA234" s="109">
        <f>'CALCULO GERAL'!$G$10</f>
        <v>6300</v>
      </c>
      <c r="AB234" s="109">
        <f>Z234+AA234</f>
        <v>59760</v>
      </c>
      <c r="AC234" s="109">
        <f>AB234*'CALCULO GERAL'!$C$11</f>
        <v>299935.44</v>
      </c>
      <c r="AD234" s="109">
        <f>AC234*C234</f>
        <v>77983.214399999997</v>
      </c>
      <c r="AE234" s="109">
        <f>(AC234+AD234)*D234</f>
        <v>0</v>
      </c>
      <c r="AF234" s="109">
        <f>AC234*E234</f>
        <v>6298.6442400000005</v>
      </c>
      <c r="AG234" s="109">
        <f>AC234*F234</f>
        <v>31343.253479999999</v>
      </c>
      <c r="AH234" s="109">
        <v>154.22999999999999</v>
      </c>
      <c r="AI234" s="109">
        <f>((AA234*'CALCULO GERAL'!$C$11))*0.08+20</f>
        <v>2549.576</v>
      </c>
      <c r="AJ234" s="109">
        <v>1010</v>
      </c>
      <c r="AK234" s="109">
        <v>2500</v>
      </c>
      <c r="AL234" s="109">
        <f>(AA234*('CALCULO GERAL'!$C$11*1.02))-(AA234*'CALCULO GERAL'!$C$11)</f>
        <v>632.39400000000387</v>
      </c>
      <c r="AM234" s="109">
        <v>1800</v>
      </c>
      <c r="AN234" s="109">
        <v>2600</v>
      </c>
      <c r="AO234" s="109">
        <v>9400</v>
      </c>
      <c r="AP234" s="109">
        <v>1000</v>
      </c>
      <c r="AQ234" s="109">
        <v>0</v>
      </c>
      <c r="AR234" s="109">
        <v>0</v>
      </c>
      <c r="AS234" s="109"/>
      <c r="AT234" s="109">
        <f t="shared" si="134"/>
        <v>437206.75212000002</v>
      </c>
      <c r="AU234" s="111">
        <f t="shared" si="135"/>
        <v>5.3976142237037044</v>
      </c>
      <c r="AV234" s="109">
        <f>IFERROR((BS234*'CALCULO GERAL'!$E$11)/N234,0)</f>
        <v>0.12748260000000003</v>
      </c>
      <c r="AW234" s="109">
        <f>AU234/'CALCULO GERAL'!$C$11</f>
        <v>1.0754361872292697</v>
      </c>
      <c r="AX234" s="109">
        <f>BP234-BB234-BD234*'CALCULO GERAL'!$C$11</f>
        <v>6.2785180499999997</v>
      </c>
      <c r="AY234" s="109">
        <f t="shared" si="136"/>
        <v>4.0810367324999999E-2</v>
      </c>
      <c r="AZ234" s="109">
        <f t="shared" si="137"/>
        <v>0.18835554149999997</v>
      </c>
      <c r="BA234" s="109">
        <f t="shared" si="138"/>
        <v>6.3741300000000001</v>
      </c>
      <c r="BB234" s="109">
        <f t="shared" si="139"/>
        <v>9.5611950000000001E-2</v>
      </c>
      <c r="BC234" s="109">
        <f t="shared" si="140"/>
        <v>6.3741300000000001</v>
      </c>
      <c r="BD234" s="109">
        <f t="shared" si="141"/>
        <v>0</v>
      </c>
      <c r="BE234" s="109">
        <f t="shared" si="142"/>
        <v>41304.362400000005</v>
      </c>
      <c r="BF234" s="109">
        <f t="shared" si="143"/>
        <v>61956.543600000005</v>
      </c>
      <c r="BG234" s="109">
        <f t="shared" si="144"/>
        <v>6.8840604000000014E-2</v>
      </c>
      <c r="BH234" s="109">
        <f t="shared" si="145"/>
        <v>7.6489560000000012E-2</v>
      </c>
      <c r="BI234" s="109">
        <f t="shared" si="146"/>
        <v>0</v>
      </c>
      <c r="BJ234" s="109">
        <f t="shared" si="147"/>
        <v>0.59759062282500008</v>
      </c>
      <c r="BK234" s="109">
        <f t="shared" si="148"/>
        <v>5.9952048465287042</v>
      </c>
      <c r="BL234" s="148">
        <v>0.86</v>
      </c>
      <c r="BM234" s="112">
        <f>ROUND((AW234/BL234)+((AW234*BL234)*'CALCULO GERAL'!$E$11)/BL234,2)</f>
        <v>1.27</v>
      </c>
      <c r="BN234" s="186">
        <f t="shared" si="149"/>
        <v>1.27</v>
      </c>
      <c r="BO234" s="186">
        <f t="shared" si="150"/>
        <v>1.488</v>
      </c>
      <c r="BP234" s="109">
        <f>BM234*'CALCULO GERAL'!$C$11</f>
        <v>6.3741300000000001</v>
      </c>
      <c r="BQ234" s="109">
        <f>BO234*'CALCULO GERAL'!$C$11</f>
        <v>7.4682719999999998</v>
      </c>
      <c r="BR234" s="186">
        <f>BN234*'CALCULO GERAL'!$C$11</f>
        <v>6.3741300000000001</v>
      </c>
      <c r="BS234" s="109">
        <f t="shared" si="151"/>
        <v>516304.53</v>
      </c>
      <c r="BT234" s="109">
        <f t="shared" si="152"/>
        <v>516304.53</v>
      </c>
      <c r="BU234" s="109">
        <f t="shared" si="153"/>
        <v>485611.59256882506</v>
      </c>
      <c r="BV234" s="109">
        <f t="shared" si="154"/>
        <v>30692.937431174971</v>
      </c>
      <c r="BW234" s="114">
        <f t="shared" si="155"/>
        <v>5.9447352575378275E-2</v>
      </c>
      <c r="BX234" s="152">
        <f>ROUND(BL234,2)</f>
        <v>0.86</v>
      </c>
      <c r="BZ234" s="55"/>
      <c r="CA234" s="113"/>
      <c r="CB234" s="113"/>
      <c r="CD234" s="152">
        <f>CB234/BX234</f>
        <v>0</v>
      </c>
      <c r="CE234" s="152">
        <f>100%-CD234</f>
        <v>1</v>
      </c>
      <c r="CF234" s="152">
        <f>AVERAGE(CE234,CC234)</f>
        <v>1</v>
      </c>
      <c r="CG234" s="34"/>
      <c r="CI234" s="11"/>
      <c r="CJ234" s="11"/>
    </row>
    <row r="235" spans="1:88" s="152" customFormat="1" x14ac:dyDescent="0.2">
      <c r="A235" s="125" t="s">
        <v>369</v>
      </c>
      <c r="B235" s="187" t="s">
        <v>297</v>
      </c>
      <c r="C235" s="8">
        <v>0.26</v>
      </c>
      <c r="D235" s="8">
        <v>0</v>
      </c>
      <c r="E235" s="7">
        <v>2.1000000000000001E-2</v>
      </c>
      <c r="F235" s="7">
        <v>0.1045</v>
      </c>
      <c r="G235" s="1">
        <v>6.4999999999999997E-3</v>
      </c>
      <c r="H235" s="1">
        <v>0.03</v>
      </c>
      <c r="I235" s="1">
        <v>0.18</v>
      </c>
      <c r="J235" s="1">
        <v>0.04</v>
      </c>
      <c r="K235" s="1">
        <v>0.14000000000000001</v>
      </c>
      <c r="L235" s="1">
        <v>1.4999999999999999E-2</v>
      </c>
      <c r="M235" s="2" t="s">
        <v>175</v>
      </c>
      <c r="N235" s="105">
        <v>81000</v>
      </c>
      <c r="O235" s="119">
        <v>0.7</v>
      </c>
      <c r="P235" s="119"/>
      <c r="Q235" s="119"/>
      <c r="R235" s="119"/>
      <c r="S235" s="119"/>
      <c r="T235" s="119"/>
      <c r="U235" s="119"/>
      <c r="V235" s="119"/>
      <c r="W235" s="119"/>
      <c r="X235" s="119">
        <f t="shared" si="160"/>
        <v>0.7</v>
      </c>
      <c r="Y235" s="118">
        <f>AVERAGE(O235:W235)</f>
        <v>0.7</v>
      </c>
      <c r="Z235" s="109">
        <f>X235*N235</f>
        <v>56700</v>
      </c>
      <c r="AA235" s="109">
        <f>'CALCULO GERAL'!$G$10</f>
        <v>6300</v>
      </c>
      <c r="AB235" s="109">
        <f>Z235+AA235</f>
        <v>63000</v>
      </c>
      <c r="AC235" s="109">
        <f>AB235*'CALCULO GERAL'!$C$11</f>
        <v>316197</v>
      </c>
      <c r="AD235" s="109">
        <f>AC235*C235</f>
        <v>82211.22</v>
      </c>
      <c r="AE235" s="109">
        <f>(AC235+AD235)*D235</f>
        <v>0</v>
      </c>
      <c r="AF235" s="109">
        <f>AC235*E235</f>
        <v>6640.1370000000006</v>
      </c>
      <c r="AG235" s="109">
        <f>AC235*F235</f>
        <v>33042.586499999998</v>
      </c>
      <c r="AH235" s="109">
        <v>154.22999999999999</v>
      </c>
      <c r="AI235" s="109">
        <f>((AA235*'CALCULO GERAL'!$C$11))*0.08+20</f>
        <v>2549.576</v>
      </c>
      <c r="AJ235" s="109">
        <v>1010</v>
      </c>
      <c r="AK235" s="109">
        <v>2500</v>
      </c>
      <c r="AL235" s="109">
        <f>(AA235*('CALCULO GERAL'!$C$11*1.02))-(AA235*'CALCULO GERAL'!$C$11)</f>
        <v>632.39400000000387</v>
      </c>
      <c r="AM235" s="109">
        <v>1800</v>
      </c>
      <c r="AN235" s="109">
        <v>2600</v>
      </c>
      <c r="AO235" s="109">
        <v>9400</v>
      </c>
      <c r="AP235" s="109">
        <v>1000</v>
      </c>
      <c r="AQ235" s="109">
        <v>0</v>
      </c>
      <c r="AR235" s="109">
        <v>0</v>
      </c>
      <c r="AS235" s="109"/>
      <c r="AT235" s="109">
        <f t="shared" si="134"/>
        <v>459737.14349999995</v>
      </c>
      <c r="AU235" s="111">
        <f t="shared" si="135"/>
        <v>5.6757672037037032</v>
      </c>
      <c r="AV235" s="109">
        <f>IFERROR((BS235*'CALCULO GERAL'!$E$11)/N235,0)</f>
        <v>0.13450920000000005</v>
      </c>
      <c r="AW235" s="109">
        <f>AU235/'CALCULO GERAL'!$C$11</f>
        <v>1.1308561872292695</v>
      </c>
      <c r="AX235" s="109">
        <f>BP235-BB235-BD235*'CALCULO GERAL'!$C$11</f>
        <v>6.6245781000000008</v>
      </c>
      <c r="AY235" s="109">
        <f t="shared" si="136"/>
        <v>4.3059757650000002E-2</v>
      </c>
      <c r="AZ235" s="109">
        <f t="shared" si="137"/>
        <v>0.19873734300000001</v>
      </c>
      <c r="BA235" s="109">
        <f t="shared" si="138"/>
        <v>6.7254600000000009</v>
      </c>
      <c r="BB235" s="109">
        <f t="shared" si="139"/>
        <v>0.10088190000000001</v>
      </c>
      <c r="BC235" s="109">
        <f t="shared" si="140"/>
        <v>6.7254600000000009</v>
      </c>
      <c r="BD235" s="109">
        <f t="shared" si="141"/>
        <v>0</v>
      </c>
      <c r="BE235" s="109">
        <f t="shared" si="142"/>
        <v>43580.980800000012</v>
      </c>
      <c r="BF235" s="109">
        <f t="shared" si="143"/>
        <v>65371.471200000015</v>
      </c>
      <c r="BG235" s="109">
        <f t="shared" si="144"/>
        <v>7.2634968000000022E-2</v>
      </c>
      <c r="BH235" s="109">
        <f t="shared" si="145"/>
        <v>8.0705520000000017E-2</v>
      </c>
      <c r="BI235" s="109">
        <f t="shared" si="146"/>
        <v>0</v>
      </c>
      <c r="BJ235" s="109">
        <f t="shared" si="147"/>
        <v>0.63052868865000011</v>
      </c>
      <c r="BK235" s="109">
        <f t="shared" si="148"/>
        <v>6.3062958923537034</v>
      </c>
      <c r="BL235" s="148">
        <v>0.86</v>
      </c>
      <c r="BM235" s="112">
        <f>ROUND((AW235/BL235)+((AW235*BL235)*'CALCULO GERAL'!$E$11)/BL235,2)</f>
        <v>1.34</v>
      </c>
      <c r="BN235" s="186">
        <f t="shared" si="149"/>
        <v>1.34</v>
      </c>
      <c r="BO235" s="186">
        <f t="shared" si="150"/>
        <v>1.57</v>
      </c>
      <c r="BP235" s="109">
        <f>BM235*'CALCULO GERAL'!$C$11</f>
        <v>6.7254600000000009</v>
      </c>
      <c r="BQ235" s="109">
        <f>BO235*'CALCULO GERAL'!$C$11</f>
        <v>7.8798300000000001</v>
      </c>
      <c r="BR235" s="186">
        <f>BN235*'CALCULO GERAL'!$C$11</f>
        <v>6.7254600000000009</v>
      </c>
      <c r="BS235" s="109">
        <f t="shared" si="151"/>
        <v>544762.26000000013</v>
      </c>
      <c r="BT235" s="109">
        <f t="shared" si="152"/>
        <v>544762.26000000013</v>
      </c>
      <c r="BU235" s="109">
        <f t="shared" si="153"/>
        <v>510809.96728064999</v>
      </c>
      <c r="BV235" s="109">
        <f t="shared" si="154"/>
        <v>33952.292719350138</v>
      </c>
      <c r="BW235" s="114">
        <f t="shared" si="155"/>
        <v>6.2324972216963287E-2</v>
      </c>
      <c r="BX235" s="152">
        <f>ROUND(BL235,2)</f>
        <v>0.86</v>
      </c>
      <c r="BZ235" s="55"/>
      <c r="CA235" s="113"/>
      <c r="CB235" s="113"/>
      <c r="CD235" s="152">
        <f>CB235/BX235</f>
        <v>0</v>
      </c>
      <c r="CE235" s="152">
        <f>100%-CD235</f>
        <v>1</v>
      </c>
      <c r="CF235" s="152">
        <f>AVERAGE(CE235,CC235)</f>
        <v>1</v>
      </c>
      <c r="CG235" s="34"/>
      <c r="CI235" s="11"/>
      <c r="CJ235" s="11"/>
    </row>
    <row r="236" spans="1:88" s="152" customFormat="1" x14ac:dyDescent="0.2">
      <c r="A236" s="125" t="s">
        <v>370</v>
      </c>
      <c r="B236" s="187" t="s">
        <v>297</v>
      </c>
      <c r="C236" s="8">
        <v>0.26</v>
      </c>
      <c r="D236" s="8">
        <v>0</v>
      </c>
      <c r="E236" s="7">
        <v>2.1000000000000001E-2</v>
      </c>
      <c r="F236" s="7">
        <v>0.1045</v>
      </c>
      <c r="G236" s="1">
        <v>6.4999999999999997E-3</v>
      </c>
      <c r="H236" s="1">
        <v>0.03</v>
      </c>
      <c r="I236" s="1">
        <v>0.18</v>
      </c>
      <c r="J236" s="1">
        <v>0.04</v>
      </c>
      <c r="K236" s="1">
        <v>0.14000000000000001</v>
      </c>
      <c r="L236" s="1">
        <v>1.4999999999999999E-2</v>
      </c>
      <c r="M236" s="2" t="s">
        <v>175</v>
      </c>
      <c r="N236" s="105">
        <v>74000</v>
      </c>
      <c r="O236" s="119">
        <v>0.76</v>
      </c>
      <c r="P236" s="119"/>
      <c r="Q236" s="119"/>
      <c r="R236" s="119"/>
      <c r="S236" s="119"/>
      <c r="T236" s="119"/>
      <c r="U236" s="119"/>
      <c r="V236" s="119"/>
      <c r="W236" s="119"/>
      <c r="X236" s="119">
        <f t="shared" si="160"/>
        <v>0.76</v>
      </c>
      <c r="Y236" s="118">
        <f>AVERAGE(O236:W236)</f>
        <v>0.76</v>
      </c>
      <c r="Z236" s="109">
        <f>X236*N236</f>
        <v>56240</v>
      </c>
      <c r="AA236" s="109">
        <f>'CALCULO GERAL'!$G$10</f>
        <v>6300</v>
      </c>
      <c r="AB236" s="109">
        <f>Z236+AA236</f>
        <v>62540</v>
      </c>
      <c r="AC236" s="109">
        <f>AB236*'CALCULO GERAL'!$C$11</f>
        <v>313888.26</v>
      </c>
      <c r="AD236" s="109">
        <f>AC236*C236</f>
        <v>81610.9476</v>
      </c>
      <c r="AE236" s="109">
        <f>(AC236+AD236)*D236</f>
        <v>0</v>
      </c>
      <c r="AF236" s="109">
        <f>AC236*E236</f>
        <v>6591.6534600000005</v>
      </c>
      <c r="AG236" s="109">
        <f>AC236*F236</f>
        <v>32801.323169999996</v>
      </c>
      <c r="AH236" s="109">
        <v>154.22999999999999</v>
      </c>
      <c r="AI236" s="109">
        <f>((AA236*'CALCULO GERAL'!$C$11))*0.08+20</f>
        <v>2549.576</v>
      </c>
      <c r="AJ236" s="109">
        <v>1010</v>
      </c>
      <c r="AK236" s="109">
        <v>2500</v>
      </c>
      <c r="AL236" s="109">
        <f>(AA236*('CALCULO GERAL'!$C$11*1.02))-(AA236*'CALCULO GERAL'!$C$11)</f>
        <v>632.39400000000387</v>
      </c>
      <c r="AM236" s="109">
        <v>1800</v>
      </c>
      <c r="AN236" s="109">
        <v>2600</v>
      </c>
      <c r="AO236" s="109">
        <v>9400</v>
      </c>
      <c r="AP236" s="109">
        <v>1000</v>
      </c>
      <c r="AQ236" s="109">
        <v>0</v>
      </c>
      <c r="AR236" s="109">
        <v>0</v>
      </c>
      <c r="AS236" s="109"/>
      <c r="AT236" s="109">
        <f t="shared" si="134"/>
        <v>456538.38423000003</v>
      </c>
      <c r="AU236" s="111">
        <f t="shared" si="135"/>
        <v>6.1694376247297305</v>
      </c>
      <c r="AV236" s="109">
        <f>IFERROR((BS236*'CALCULO GERAL'!$E$11)/N236,0)</f>
        <v>0.14555099999999999</v>
      </c>
      <c r="AW236" s="109">
        <f>AU236/'CALCULO GERAL'!$C$11</f>
        <v>1.2292165022374437</v>
      </c>
      <c r="AX236" s="109">
        <f>BP236-BB236-BD236*'CALCULO GERAL'!$C$11</f>
        <v>7.1683867499999998</v>
      </c>
      <c r="AY236" s="109">
        <f t="shared" si="136"/>
        <v>4.6594513874999993E-2</v>
      </c>
      <c r="AZ236" s="109">
        <f t="shared" si="137"/>
        <v>0.21505160249999999</v>
      </c>
      <c r="BA236" s="109">
        <f t="shared" si="138"/>
        <v>7.2775499999999997</v>
      </c>
      <c r="BB236" s="109">
        <f t="shared" si="139"/>
        <v>0.10916324999999999</v>
      </c>
      <c r="BC236" s="109">
        <f t="shared" si="140"/>
        <v>7.2775499999999997</v>
      </c>
      <c r="BD236" s="109">
        <f t="shared" si="141"/>
        <v>0</v>
      </c>
      <c r="BE236" s="109">
        <f t="shared" si="142"/>
        <v>43083.095999999998</v>
      </c>
      <c r="BF236" s="109">
        <f t="shared" si="143"/>
        <v>64624.643999999993</v>
      </c>
      <c r="BG236" s="109">
        <f t="shared" si="144"/>
        <v>7.8597539999999994E-2</v>
      </c>
      <c r="BH236" s="109">
        <f t="shared" si="145"/>
        <v>8.7330599999999994E-2</v>
      </c>
      <c r="BI236" s="109">
        <f t="shared" si="146"/>
        <v>0</v>
      </c>
      <c r="BJ236" s="109">
        <f t="shared" si="147"/>
        <v>0.68228850637500005</v>
      </c>
      <c r="BK236" s="109">
        <f t="shared" si="148"/>
        <v>6.8517261311047308</v>
      </c>
      <c r="BL236" s="148">
        <v>0.86</v>
      </c>
      <c r="BM236" s="112">
        <f>ROUND((AW236/BL236)+((AW236*BL236)*'CALCULO GERAL'!$E$11)/BL236,2)</f>
        <v>1.45</v>
      </c>
      <c r="BN236" s="186">
        <f t="shared" si="149"/>
        <v>1.45</v>
      </c>
      <c r="BO236" s="186">
        <f t="shared" si="150"/>
        <v>1.6990000000000001</v>
      </c>
      <c r="BP236" s="109">
        <f>BM236*'CALCULO GERAL'!$C$11</f>
        <v>7.2775499999999997</v>
      </c>
      <c r="BQ236" s="109">
        <f>BO236*'CALCULO GERAL'!$C$11</f>
        <v>8.5272810000000003</v>
      </c>
      <c r="BR236" s="186">
        <f>BN236*'CALCULO GERAL'!$C$11</f>
        <v>7.2775499999999997</v>
      </c>
      <c r="BS236" s="109">
        <f t="shared" si="151"/>
        <v>538538.69999999995</v>
      </c>
      <c r="BT236" s="109">
        <f t="shared" si="152"/>
        <v>538538.69999999995</v>
      </c>
      <c r="BU236" s="109">
        <f t="shared" si="153"/>
        <v>507027.73370175005</v>
      </c>
      <c r="BV236" s="109">
        <f t="shared" si="154"/>
        <v>31510.966298249899</v>
      </c>
      <c r="BW236" s="114">
        <f t="shared" si="155"/>
        <v>5.8511981215555918E-2</v>
      </c>
      <c r="BX236" s="152">
        <f>ROUND(BL236,2)</f>
        <v>0.86</v>
      </c>
      <c r="BZ236" s="55"/>
      <c r="CA236" s="113"/>
      <c r="CB236" s="113"/>
      <c r="CD236" s="152">
        <f>CB236/BX236</f>
        <v>0</v>
      </c>
      <c r="CE236" s="152">
        <f>100%-CD236</f>
        <v>1</v>
      </c>
      <c r="CF236" s="152">
        <f>AVERAGE(CE236,CC236)</f>
        <v>1</v>
      </c>
      <c r="CG236" s="34"/>
      <c r="CI236" s="11"/>
      <c r="CJ236" s="11"/>
    </row>
    <row r="237" spans="1:88" s="152" customFormat="1" x14ac:dyDescent="0.2">
      <c r="A237" s="125" t="s">
        <v>371</v>
      </c>
      <c r="B237" s="187" t="s">
        <v>297</v>
      </c>
      <c r="C237" s="8">
        <v>0.26</v>
      </c>
      <c r="D237" s="8">
        <v>0</v>
      </c>
      <c r="E237" s="7">
        <v>2.1000000000000001E-2</v>
      </c>
      <c r="F237" s="7">
        <v>0.1045</v>
      </c>
      <c r="G237" s="1">
        <v>6.4999999999999997E-3</v>
      </c>
      <c r="H237" s="1">
        <v>0.03</v>
      </c>
      <c r="I237" s="1">
        <v>0.18</v>
      </c>
      <c r="J237" s="1">
        <v>0.04</v>
      </c>
      <c r="K237" s="1">
        <v>0.14000000000000001</v>
      </c>
      <c r="L237" s="1">
        <v>1.4999999999999999E-2</v>
      </c>
      <c r="M237" s="2" t="s">
        <v>175</v>
      </c>
      <c r="N237" s="105">
        <v>78000</v>
      </c>
      <c r="O237" s="119">
        <v>0.69</v>
      </c>
      <c r="P237" s="119"/>
      <c r="Q237" s="119"/>
      <c r="R237" s="119"/>
      <c r="S237" s="119"/>
      <c r="T237" s="119"/>
      <c r="U237" s="119"/>
      <c r="V237" s="119"/>
      <c r="W237" s="119"/>
      <c r="X237" s="119">
        <f t="shared" si="160"/>
        <v>0.69</v>
      </c>
      <c r="Y237" s="118">
        <f>AVERAGE(O237:W237)</f>
        <v>0.69</v>
      </c>
      <c r="Z237" s="109">
        <f>X237*N233</f>
        <v>55889.999999999993</v>
      </c>
      <c r="AA237" s="109">
        <f>'CALCULO GERAL'!$G$10</f>
        <v>6300</v>
      </c>
      <c r="AB237" s="109">
        <f>Z237+AA237</f>
        <v>62189.999999999993</v>
      </c>
      <c r="AC237" s="109">
        <f>AB237*'CALCULO GERAL'!$C$11</f>
        <v>312131.61</v>
      </c>
      <c r="AD237" s="109">
        <f>AC237*C237</f>
        <v>81154.218599999993</v>
      </c>
      <c r="AE237" s="109">
        <f>(AC237+AD237)*D237</f>
        <v>0</v>
      </c>
      <c r="AF237" s="109">
        <f>AC237*E237</f>
        <v>6554.7638100000004</v>
      </c>
      <c r="AG237" s="109">
        <f>AC237*F237</f>
        <v>32617.753244999996</v>
      </c>
      <c r="AH237" s="109">
        <v>154.22999999999999</v>
      </c>
      <c r="AI237" s="109">
        <f>((AA237*'CALCULO GERAL'!$C$11))*0.08+20</f>
        <v>2549.576</v>
      </c>
      <c r="AJ237" s="109">
        <v>1010</v>
      </c>
      <c r="AK237" s="109">
        <v>2500</v>
      </c>
      <c r="AL237" s="109">
        <f>(AA237*('CALCULO GERAL'!$C$11*1.02))-(AA237*'CALCULO GERAL'!$C$11)</f>
        <v>632.39400000000387</v>
      </c>
      <c r="AM237" s="109">
        <v>1800</v>
      </c>
      <c r="AN237" s="109">
        <v>2600</v>
      </c>
      <c r="AO237" s="109">
        <v>9400</v>
      </c>
      <c r="AP237" s="109">
        <v>1000</v>
      </c>
      <c r="AQ237" s="109">
        <v>0</v>
      </c>
      <c r="AR237" s="109">
        <v>0</v>
      </c>
      <c r="AS237" s="109"/>
      <c r="AT237" s="109">
        <f t="shared" si="134"/>
        <v>454104.54565499997</v>
      </c>
      <c r="AU237" s="111">
        <f t="shared" si="135"/>
        <v>5.8218531494230765</v>
      </c>
      <c r="AV237" s="109">
        <f>IFERROR((BS237*'CALCULO GERAL'!$E$11)/N237,0)</f>
        <v>0.13752060000000002</v>
      </c>
      <c r="AW237" s="109">
        <f>AU237/'CALCULO GERAL'!$C$11</f>
        <v>1.1599627713534721</v>
      </c>
      <c r="AX237" s="109">
        <f>BP237-BB237-BD237*'CALCULO GERAL'!$C$11</f>
        <v>6.7728895500000013</v>
      </c>
      <c r="AY237" s="109">
        <f t="shared" si="136"/>
        <v>4.4023782075000004E-2</v>
      </c>
      <c r="AZ237" s="109">
        <f t="shared" si="137"/>
        <v>0.20318668650000002</v>
      </c>
      <c r="BA237" s="109">
        <f t="shared" si="138"/>
        <v>6.876030000000001</v>
      </c>
      <c r="BB237" s="109">
        <f t="shared" si="139"/>
        <v>0.10314045000000001</v>
      </c>
      <c r="BC237" s="109">
        <f t="shared" si="140"/>
        <v>6.876030000000001</v>
      </c>
      <c r="BD237" s="109">
        <f t="shared" si="141"/>
        <v>0</v>
      </c>
      <c r="BE237" s="109">
        <f t="shared" si="142"/>
        <v>42906.427200000006</v>
      </c>
      <c r="BF237" s="109">
        <f t="shared" si="143"/>
        <v>64359.640800000008</v>
      </c>
      <c r="BG237" s="109">
        <f t="shared" si="144"/>
        <v>7.4261123999999998E-2</v>
      </c>
      <c r="BH237" s="109">
        <f t="shared" si="145"/>
        <v>8.2512360000000007E-2</v>
      </c>
      <c r="BI237" s="109">
        <f t="shared" si="146"/>
        <v>0</v>
      </c>
      <c r="BJ237" s="109">
        <f t="shared" si="147"/>
        <v>0.6446450025749999</v>
      </c>
      <c r="BK237" s="109">
        <f t="shared" si="148"/>
        <v>6.466498151998076</v>
      </c>
      <c r="BL237" s="148">
        <v>0.86</v>
      </c>
      <c r="BM237" s="112">
        <f>ROUND((AW237/BL237)+((AW237*BL237)*'CALCULO GERAL'!$E$11)/BL237,2)</f>
        <v>1.37</v>
      </c>
      <c r="BN237" s="186">
        <f t="shared" si="149"/>
        <v>1.37</v>
      </c>
      <c r="BO237" s="186">
        <f t="shared" si="150"/>
        <v>1.605</v>
      </c>
      <c r="BP237" s="109">
        <f>BM237*'CALCULO GERAL'!$C$11</f>
        <v>6.876030000000001</v>
      </c>
      <c r="BQ237" s="109">
        <f>BO237*'CALCULO GERAL'!$C$11</f>
        <v>8.0554950000000005</v>
      </c>
      <c r="BR237" s="186">
        <f>BN237*'CALCULO GERAL'!$C$11</f>
        <v>6.876030000000001</v>
      </c>
      <c r="BS237" s="109">
        <f t="shared" si="151"/>
        <v>536330.34000000008</v>
      </c>
      <c r="BT237" s="109">
        <f t="shared" si="152"/>
        <v>536330.34000000008</v>
      </c>
      <c r="BU237" s="109">
        <f t="shared" si="153"/>
        <v>504386.85585584992</v>
      </c>
      <c r="BV237" s="109">
        <f t="shared" si="154"/>
        <v>31943.484144150163</v>
      </c>
      <c r="BW237" s="114">
        <f t="shared" si="155"/>
        <v>5.9559345727392854E-2</v>
      </c>
      <c r="BX237" s="152">
        <f>ROUND(BL237,2)</f>
        <v>0.86</v>
      </c>
      <c r="BZ237" s="55"/>
      <c r="CA237" s="113"/>
      <c r="CB237" s="113"/>
      <c r="CD237" s="152">
        <f>CB237/BX237</f>
        <v>0</v>
      </c>
      <c r="CE237" s="152">
        <f>100%-CD237</f>
        <v>1</v>
      </c>
      <c r="CF237" s="152">
        <f>AVERAGE(CE237,CC237)</f>
        <v>1</v>
      </c>
      <c r="CG237" s="34"/>
      <c r="CI237" s="11"/>
      <c r="CJ237" s="11"/>
    </row>
    <row r="238" spans="1:88" s="152" customFormat="1" x14ac:dyDescent="0.2">
      <c r="A238" s="125" t="s">
        <v>372</v>
      </c>
      <c r="B238" s="187" t="s">
        <v>297</v>
      </c>
      <c r="C238" s="8">
        <v>0.26</v>
      </c>
      <c r="D238" s="8">
        <v>0</v>
      </c>
      <c r="E238" s="7">
        <v>2.1000000000000001E-2</v>
      </c>
      <c r="F238" s="7">
        <v>0.1045</v>
      </c>
      <c r="G238" s="1">
        <v>6.4999999999999997E-3</v>
      </c>
      <c r="H238" s="1">
        <v>0.03</v>
      </c>
      <c r="I238" s="1">
        <v>0.18</v>
      </c>
      <c r="J238" s="1">
        <v>0.04</v>
      </c>
      <c r="K238" s="1">
        <v>0.14000000000000001</v>
      </c>
      <c r="L238" s="1">
        <v>1.4999999999999999E-2</v>
      </c>
      <c r="M238" s="2" t="s">
        <v>175</v>
      </c>
      <c r="N238" s="105">
        <v>70000</v>
      </c>
      <c r="O238" s="119">
        <v>0.78</v>
      </c>
      <c r="P238" s="119">
        <v>0.81</v>
      </c>
      <c r="Q238" s="119">
        <v>0.78</v>
      </c>
      <c r="R238" s="119"/>
      <c r="S238" s="119"/>
      <c r="T238" s="119"/>
      <c r="U238" s="119"/>
      <c r="V238" s="119"/>
      <c r="W238" s="119"/>
      <c r="X238" s="119">
        <f t="shared" si="160"/>
        <v>0.78</v>
      </c>
      <c r="Y238" s="118">
        <f t="shared" ref="Y238:Y268" si="161">AVERAGE(O238:W238)</f>
        <v>0.79</v>
      </c>
      <c r="Z238" s="109">
        <f t="shared" ref="Z238:Z247" si="162">X238*N238</f>
        <v>54600</v>
      </c>
      <c r="AA238" s="109">
        <f>'CALCULO GERAL'!$G$10</f>
        <v>6300</v>
      </c>
      <c r="AB238" s="109">
        <f t="shared" ref="AB238:AB268" si="163">Z238+AA238</f>
        <v>60900</v>
      </c>
      <c r="AC238" s="109">
        <f>AB238*'CALCULO GERAL'!$C$11</f>
        <v>305657.10000000003</v>
      </c>
      <c r="AD238" s="109">
        <f t="shared" ref="AD238:AD268" si="164">AC238*C238</f>
        <v>79470.846000000005</v>
      </c>
      <c r="AE238" s="109">
        <f t="shared" ref="AE238:AE268" si="165">(AC238+AD238)*D238</f>
        <v>0</v>
      </c>
      <c r="AF238" s="109">
        <f t="shared" ref="AF238:AF268" si="166">AC238*E238</f>
        <v>6418.7991000000011</v>
      </c>
      <c r="AG238" s="109">
        <f t="shared" ref="AG238:AG268" si="167">AC238*F238</f>
        <v>31941.166950000003</v>
      </c>
      <c r="AH238" s="109">
        <v>154.22999999999999</v>
      </c>
      <c r="AI238" s="109">
        <f>((AA238*'CALCULO GERAL'!$C$11))*0.08+20</f>
        <v>2549.576</v>
      </c>
      <c r="AJ238" s="109">
        <v>1010</v>
      </c>
      <c r="AK238" s="109">
        <v>2500</v>
      </c>
      <c r="AL238" s="109">
        <f>(AA238*('CALCULO GERAL'!$C$11*1.02))-(AA238*'CALCULO GERAL'!$C$11)</f>
        <v>632.39400000000387</v>
      </c>
      <c r="AM238" s="109">
        <v>1800</v>
      </c>
      <c r="AN238" s="109">
        <v>2600</v>
      </c>
      <c r="AO238" s="109">
        <v>9400</v>
      </c>
      <c r="AP238" s="109">
        <v>1000</v>
      </c>
      <c r="AQ238" s="109">
        <v>0</v>
      </c>
      <c r="AR238" s="109">
        <v>0</v>
      </c>
      <c r="AS238" s="109"/>
      <c r="AT238" s="109">
        <f t="shared" si="134"/>
        <v>445134.11205000005</v>
      </c>
      <c r="AU238" s="111">
        <f t="shared" si="135"/>
        <v>6.3590587435714294</v>
      </c>
      <c r="AV238" s="109">
        <f>IFERROR((BS238*'CALCULO GERAL'!$E$11)/N238,0)</f>
        <v>0.15056999999999998</v>
      </c>
      <c r="AW238" s="109">
        <f>AU238/'CALCULO GERAL'!$C$11</f>
        <v>1.2669971595081548</v>
      </c>
      <c r="AX238" s="109">
        <f>BP238-BB238-BD238*'CALCULO GERAL'!$C$11</f>
        <v>7.4155725000000006</v>
      </c>
      <c r="AY238" s="109">
        <f t="shared" si="136"/>
        <v>4.8201221250000002E-2</v>
      </c>
      <c r="AZ238" s="109">
        <f t="shared" si="137"/>
        <v>0.22246717500000002</v>
      </c>
      <c r="BA238" s="109">
        <f t="shared" si="138"/>
        <v>7.5285000000000002</v>
      </c>
      <c r="BB238" s="109">
        <f t="shared" si="139"/>
        <v>0.1129275</v>
      </c>
      <c r="BC238" s="109">
        <f t="shared" si="140"/>
        <v>7.5285000000000002</v>
      </c>
      <c r="BD238" s="109">
        <f t="shared" si="141"/>
        <v>0</v>
      </c>
      <c r="BE238" s="109">
        <f t="shared" si="142"/>
        <v>42159.6</v>
      </c>
      <c r="BF238" s="109">
        <f t="shared" si="143"/>
        <v>63239.399999999994</v>
      </c>
      <c r="BG238" s="109">
        <f t="shared" si="144"/>
        <v>8.1307799999999986E-2</v>
      </c>
      <c r="BH238" s="109">
        <f t="shared" si="145"/>
        <v>9.0341999999999992E-2</v>
      </c>
      <c r="BI238" s="109">
        <f t="shared" si="146"/>
        <v>0</v>
      </c>
      <c r="BJ238" s="109">
        <f t="shared" si="147"/>
        <v>0.70581569625000007</v>
      </c>
      <c r="BK238" s="109">
        <f t="shared" si="148"/>
        <v>7.0648744398214296</v>
      </c>
      <c r="BL238" s="148">
        <v>0.86</v>
      </c>
      <c r="BM238" s="112">
        <f>ROUND((AW238/BL238)+((AW238*BL238)*'CALCULO GERAL'!$E$11)/BL238,2)</f>
        <v>1.5</v>
      </c>
      <c r="BN238" s="186">
        <f t="shared" si="149"/>
        <v>1.5</v>
      </c>
      <c r="BO238" s="186">
        <f t="shared" si="150"/>
        <v>1.7569999999999999</v>
      </c>
      <c r="BP238" s="109">
        <f>BM238*'CALCULO GERAL'!$C$11</f>
        <v>7.5285000000000002</v>
      </c>
      <c r="BQ238" s="109">
        <f>BO238*'CALCULO GERAL'!$C$11</f>
        <v>8.818382999999999</v>
      </c>
      <c r="BR238" s="186">
        <f>BN238*'CALCULO GERAL'!$C$11</f>
        <v>7.5285000000000002</v>
      </c>
      <c r="BS238" s="109">
        <f t="shared" si="151"/>
        <v>526995</v>
      </c>
      <c r="BT238" s="109">
        <f t="shared" si="152"/>
        <v>526995</v>
      </c>
      <c r="BU238" s="109">
        <f t="shared" si="153"/>
        <v>494541.21078750008</v>
      </c>
      <c r="BV238" s="109">
        <f t="shared" si="154"/>
        <v>32453.78921249992</v>
      </c>
      <c r="BW238" s="114">
        <f t="shared" si="155"/>
        <v>6.1582726994563367E-2</v>
      </c>
      <c r="BX238" s="152">
        <f t="shared" ref="BX238:BX268" si="168">ROUND(BL238,2)</f>
        <v>0.86</v>
      </c>
      <c r="BZ238" s="55"/>
      <c r="CA238" s="113"/>
      <c r="CB238" s="113"/>
      <c r="CD238" s="152">
        <f t="shared" ref="CD238:CD268" si="169">CB238/BX238</f>
        <v>0</v>
      </c>
      <c r="CE238" s="152">
        <f t="shared" ref="CE238:CE268" si="170">100%-CD238</f>
        <v>1</v>
      </c>
      <c r="CF238" s="152">
        <f t="shared" ref="CF238:CF268" si="171">AVERAGE(CE238,CC238)</f>
        <v>1</v>
      </c>
      <c r="CG238" s="34"/>
      <c r="CI238" s="11"/>
      <c r="CJ238" s="11"/>
    </row>
    <row r="239" spans="1:88" s="152" customFormat="1" x14ac:dyDescent="0.2">
      <c r="A239" s="125" t="s">
        <v>373</v>
      </c>
      <c r="B239" s="187" t="s">
        <v>297</v>
      </c>
      <c r="C239" s="8">
        <v>0.26</v>
      </c>
      <c r="D239" s="8">
        <v>0</v>
      </c>
      <c r="E239" s="7">
        <v>2.1000000000000001E-2</v>
      </c>
      <c r="F239" s="7">
        <v>0.1045</v>
      </c>
      <c r="G239" s="1">
        <v>6.4999999999999997E-3</v>
      </c>
      <c r="H239" s="1">
        <v>0.03</v>
      </c>
      <c r="I239" s="1">
        <v>0.18</v>
      </c>
      <c r="J239" s="1">
        <v>0.04</v>
      </c>
      <c r="K239" s="1">
        <v>0.14000000000000001</v>
      </c>
      <c r="L239" s="1">
        <v>1.4999999999999999E-2</v>
      </c>
      <c r="M239" s="2" t="s">
        <v>175</v>
      </c>
      <c r="N239" s="105">
        <v>65000</v>
      </c>
      <c r="O239" s="119">
        <v>0.81</v>
      </c>
      <c r="P239" s="119">
        <v>0.81</v>
      </c>
      <c r="Q239" s="119"/>
      <c r="R239" s="119"/>
      <c r="S239" s="119"/>
      <c r="T239" s="119"/>
      <c r="U239" s="119"/>
      <c r="V239" s="119"/>
      <c r="W239" s="119"/>
      <c r="X239" s="119">
        <f t="shared" si="160"/>
        <v>0.81</v>
      </c>
      <c r="Y239" s="118">
        <f t="shared" si="161"/>
        <v>0.81</v>
      </c>
      <c r="Z239" s="109">
        <f t="shared" si="162"/>
        <v>52650</v>
      </c>
      <c r="AA239" s="109">
        <f>'CALCULO GERAL'!$G$10</f>
        <v>6300</v>
      </c>
      <c r="AB239" s="109">
        <f t="shared" si="163"/>
        <v>58950</v>
      </c>
      <c r="AC239" s="109">
        <f>AB239*'CALCULO GERAL'!$C$11</f>
        <v>295870.05</v>
      </c>
      <c r="AD239" s="109">
        <f t="shared" si="164"/>
        <v>76926.213000000003</v>
      </c>
      <c r="AE239" s="109">
        <f t="shared" si="165"/>
        <v>0</v>
      </c>
      <c r="AF239" s="109">
        <f t="shared" si="166"/>
        <v>6213.2710500000003</v>
      </c>
      <c r="AG239" s="109">
        <f t="shared" si="167"/>
        <v>30918.420224999998</v>
      </c>
      <c r="AH239" s="109">
        <v>154.22999999999999</v>
      </c>
      <c r="AI239" s="109">
        <f>((AA239*'CALCULO GERAL'!$C$11))*0.08+20</f>
        <v>2549.576</v>
      </c>
      <c r="AJ239" s="109">
        <v>1010</v>
      </c>
      <c r="AK239" s="109">
        <v>2500</v>
      </c>
      <c r="AL239" s="109">
        <f>(AA239*('CALCULO GERAL'!$C$11*1.02))-(AA239*'CALCULO GERAL'!$C$11)</f>
        <v>632.39400000000387</v>
      </c>
      <c r="AM239" s="109">
        <v>1800</v>
      </c>
      <c r="AN239" s="109">
        <v>2600</v>
      </c>
      <c r="AO239" s="109">
        <v>9400</v>
      </c>
      <c r="AP239" s="109">
        <v>1000</v>
      </c>
      <c r="AQ239" s="109">
        <v>0</v>
      </c>
      <c r="AR239" s="109">
        <v>0</v>
      </c>
      <c r="AS239" s="109"/>
      <c r="AT239" s="109">
        <f t="shared" si="134"/>
        <v>431574.15427499998</v>
      </c>
      <c r="AU239" s="111">
        <f t="shared" si="135"/>
        <v>6.6396023734615381</v>
      </c>
      <c r="AV239" s="109">
        <f>IFERROR((BS239*'CALCULO GERAL'!$E$11)/N239,0)</f>
        <v>0.1565928</v>
      </c>
      <c r="AW239" s="109">
        <f>AU239/'CALCULO GERAL'!$C$11</f>
        <v>1.3228934794703204</v>
      </c>
      <c r="AX239" s="109">
        <f>BP239-BB239-BD239*'CALCULO GERAL'!$C$11</f>
        <v>7.7121954000000006</v>
      </c>
      <c r="AY239" s="109">
        <f t="shared" si="136"/>
        <v>5.0129270100000005E-2</v>
      </c>
      <c r="AZ239" s="109">
        <f t="shared" si="137"/>
        <v>0.23136586200000001</v>
      </c>
      <c r="BA239" s="109">
        <f t="shared" si="138"/>
        <v>7.8296400000000004</v>
      </c>
      <c r="BB239" s="109">
        <f t="shared" si="139"/>
        <v>0.1174446</v>
      </c>
      <c r="BC239" s="109">
        <f t="shared" si="140"/>
        <v>7.8296400000000004</v>
      </c>
      <c r="BD239" s="109">
        <f t="shared" si="141"/>
        <v>0</v>
      </c>
      <c r="BE239" s="109">
        <f t="shared" si="142"/>
        <v>40714.128000000004</v>
      </c>
      <c r="BF239" s="109">
        <f t="shared" si="143"/>
        <v>61071.192000000003</v>
      </c>
      <c r="BG239" s="109">
        <f t="shared" si="144"/>
        <v>8.4560112000000007E-2</v>
      </c>
      <c r="BH239" s="109">
        <f t="shared" si="145"/>
        <v>9.395568E-2</v>
      </c>
      <c r="BI239" s="109">
        <f t="shared" si="146"/>
        <v>0</v>
      </c>
      <c r="BJ239" s="109">
        <f t="shared" si="147"/>
        <v>0.73404832409999998</v>
      </c>
      <c r="BK239" s="109">
        <f t="shared" si="148"/>
        <v>7.3736506975615379</v>
      </c>
      <c r="BL239" s="148">
        <v>0.86</v>
      </c>
      <c r="BM239" s="112">
        <f>ROUND((AW239/BL239)+((AW239*BL239)*'CALCULO GERAL'!$E$11)/BL239,2)</f>
        <v>1.56</v>
      </c>
      <c r="BN239" s="186">
        <f t="shared" si="149"/>
        <v>1.56</v>
      </c>
      <c r="BO239" s="186">
        <f t="shared" si="150"/>
        <v>1.8280000000000001</v>
      </c>
      <c r="BP239" s="109">
        <f>BM239*'CALCULO GERAL'!$C$11</f>
        <v>7.8296400000000004</v>
      </c>
      <c r="BQ239" s="109">
        <f>BO239*'CALCULO GERAL'!$C$11</f>
        <v>9.1747320000000006</v>
      </c>
      <c r="BR239" s="186">
        <f>BN239*'CALCULO GERAL'!$C$11</f>
        <v>7.8296400000000004</v>
      </c>
      <c r="BS239" s="109">
        <f t="shared" si="151"/>
        <v>508926.60000000003</v>
      </c>
      <c r="BT239" s="109">
        <f t="shared" si="152"/>
        <v>508926.60000000003</v>
      </c>
      <c r="BU239" s="109">
        <f t="shared" si="153"/>
        <v>479287.29534149996</v>
      </c>
      <c r="BV239" s="109">
        <f t="shared" si="154"/>
        <v>29639.30465850007</v>
      </c>
      <c r="BW239" s="114">
        <f t="shared" si="155"/>
        <v>5.8238859313897266E-2</v>
      </c>
      <c r="BX239" s="152">
        <f t="shared" si="168"/>
        <v>0.86</v>
      </c>
      <c r="BZ239" s="55"/>
      <c r="CA239" s="113"/>
      <c r="CB239" s="113"/>
      <c r="CD239" s="152">
        <f t="shared" si="169"/>
        <v>0</v>
      </c>
      <c r="CE239" s="152">
        <f t="shared" si="170"/>
        <v>1</v>
      </c>
      <c r="CF239" s="152">
        <f t="shared" si="171"/>
        <v>1</v>
      </c>
      <c r="CG239" s="34"/>
      <c r="CI239" s="11"/>
      <c r="CJ239" s="11"/>
    </row>
    <row r="240" spans="1:88" s="152" customFormat="1" x14ac:dyDescent="0.2">
      <c r="A240" s="5" t="s">
        <v>374</v>
      </c>
      <c r="B240" s="187" t="s">
        <v>297</v>
      </c>
      <c r="C240" s="8">
        <v>0.26</v>
      </c>
      <c r="D240" s="8">
        <v>0</v>
      </c>
      <c r="E240" s="7">
        <v>2.1000000000000001E-2</v>
      </c>
      <c r="F240" s="7">
        <v>0.1045</v>
      </c>
      <c r="G240" s="1">
        <v>6.4999999999999997E-3</v>
      </c>
      <c r="H240" s="1">
        <v>0.03</v>
      </c>
      <c r="I240" s="1">
        <v>0.18</v>
      </c>
      <c r="J240" s="1">
        <v>0.04</v>
      </c>
      <c r="K240" s="1">
        <v>0.14000000000000001</v>
      </c>
      <c r="L240" s="1">
        <v>1.4999999999999999E-2</v>
      </c>
      <c r="M240" s="2" t="s">
        <v>175</v>
      </c>
      <c r="N240" s="105">
        <v>60000</v>
      </c>
      <c r="O240" s="119">
        <v>0.85</v>
      </c>
      <c r="P240" s="119">
        <v>0.87</v>
      </c>
      <c r="Q240" s="119">
        <v>0.93</v>
      </c>
      <c r="R240" s="119"/>
      <c r="S240" s="119"/>
      <c r="T240" s="119"/>
      <c r="U240" s="119"/>
      <c r="V240" s="119"/>
      <c r="W240" s="119">
        <v>0.93</v>
      </c>
      <c r="X240" s="119">
        <f t="shared" si="160"/>
        <v>0.85</v>
      </c>
      <c r="Y240" s="118">
        <f t="shared" si="161"/>
        <v>0.89500000000000002</v>
      </c>
      <c r="Z240" s="109">
        <f t="shared" si="162"/>
        <v>51000</v>
      </c>
      <c r="AA240" s="109">
        <f>'CALCULO GERAL'!$G$10</f>
        <v>6300</v>
      </c>
      <c r="AB240" s="109">
        <f t="shared" si="163"/>
        <v>57300</v>
      </c>
      <c r="AC240" s="109">
        <f>AB240*'CALCULO GERAL'!$C$11</f>
        <v>287588.7</v>
      </c>
      <c r="AD240" s="109">
        <f t="shared" si="164"/>
        <v>74773.062000000005</v>
      </c>
      <c r="AE240" s="109">
        <f t="shared" si="165"/>
        <v>0</v>
      </c>
      <c r="AF240" s="109">
        <f t="shared" si="166"/>
        <v>6039.3627000000006</v>
      </c>
      <c r="AG240" s="109">
        <f t="shared" si="167"/>
        <v>30053.01915</v>
      </c>
      <c r="AH240" s="109">
        <v>154.22999999999999</v>
      </c>
      <c r="AI240" s="109">
        <f>((AA240*'CALCULO GERAL'!$C$11))*0.08+20</f>
        <v>2549.576</v>
      </c>
      <c r="AJ240" s="109">
        <v>1010</v>
      </c>
      <c r="AK240" s="109">
        <v>2500</v>
      </c>
      <c r="AL240" s="109">
        <f>(AA240*('CALCULO GERAL'!$C$11*1.02))-(AA240*'CALCULO GERAL'!$C$11)</f>
        <v>632.39400000000387</v>
      </c>
      <c r="AM240" s="109">
        <v>1800</v>
      </c>
      <c r="AN240" s="109">
        <v>2600</v>
      </c>
      <c r="AO240" s="109">
        <v>9400</v>
      </c>
      <c r="AP240" s="109">
        <v>1000</v>
      </c>
      <c r="AQ240" s="109">
        <v>0</v>
      </c>
      <c r="AR240" s="109">
        <v>0</v>
      </c>
      <c r="AS240" s="109"/>
      <c r="AT240" s="109">
        <f t="shared" si="134"/>
        <v>420100.34385</v>
      </c>
      <c r="AU240" s="111">
        <f t="shared" si="135"/>
        <v>7.0016723975000001</v>
      </c>
      <c r="AV240" s="109">
        <f>IFERROR((BS240*'CALCULO GERAL'!$E$11)/N240,0)</f>
        <v>0.16763459999999999</v>
      </c>
      <c r="AW240" s="109">
        <f>AU240/'CALCULO GERAL'!$C$11</f>
        <v>1.3950333527595138</v>
      </c>
      <c r="AX240" s="109">
        <f>BP240-BB240-BD240*'CALCULO GERAL'!$C$11</f>
        <v>8.2560040499999996</v>
      </c>
      <c r="AY240" s="109">
        <f t="shared" si="136"/>
        <v>5.3664026324999996E-2</v>
      </c>
      <c r="AZ240" s="109">
        <f t="shared" si="137"/>
        <v>0.24768012149999999</v>
      </c>
      <c r="BA240" s="109">
        <f t="shared" si="138"/>
        <v>8.3817299999999992</v>
      </c>
      <c r="BB240" s="109">
        <f t="shared" si="139"/>
        <v>0.12572594999999998</v>
      </c>
      <c r="BC240" s="109">
        <f t="shared" si="140"/>
        <v>8.3817299999999992</v>
      </c>
      <c r="BD240" s="109">
        <f t="shared" si="141"/>
        <v>0</v>
      </c>
      <c r="BE240" s="109">
        <f t="shared" si="142"/>
        <v>40232.303999999996</v>
      </c>
      <c r="BF240" s="109">
        <f t="shared" si="143"/>
        <v>60348.455999999991</v>
      </c>
      <c r="BG240" s="109">
        <f t="shared" si="144"/>
        <v>9.0522683999999978E-2</v>
      </c>
      <c r="BH240" s="109">
        <f t="shared" si="145"/>
        <v>0.10058075999999999</v>
      </c>
      <c r="BI240" s="109">
        <f t="shared" si="146"/>
        <v>0</v>
      </c>
      <c r="BJ240" s="109">
        <f t="shared" si="147"/>
        <v>0.78580814182499981</v>
      </c>
      <c r="BK240" s="109">
        <f t="shared" si="148"/>
        <v>7.7874805393250002</v>
      </c>
      <c r="BL240" s="148">
        <v>0.85</v>
      </c>
      <c r="BM240" s="112">
        <f>ROUND((AW240/BL240)+((AW240*BL240)*'CALCULO GERAL'!$E$11)/BL240,2)</f>
        <v>1.67</v>
      </c>
      <c r="BN240" s="186">
        <f t="shared" si="149"/>
        <v>1.67</v>
      </c>
      <c r="BO240" s="186">
        <f t="shared" si="150"/>
        <v>1.9570000000000001</v>
      </c>
      <c r="BP240" s="109">
        <f>BM240*'CALCULO GERAL'!$C$11</f>
        <v>8.3817299999999992</v>
      </c>
      <c r="BQ240" s="109">
        <f>BO240*'CALCULO GERAL'!$C$11</f>
        <v>9.8221830000000008</v>
      </c>
      <c r="BR240" s="186">
        <f>BN240*'CALCULO GERAL'!$C$11</f>
        <v>8.3817299999999992</v>
      </c>
      <c r="BS240" s="109">
        <f t="shared" si="151"/>
        <v>502903.79999999993</v>
      </c>
      <c r="BT240" s="109">
        <f t="shared" si="152"/>
        <v>502903.79999999993</v>
      </c>
      <c r="BU240" s="109">
        <f t="shared" si="153"/>
        <v>467248.8323595</v>
      </c>
      <c r="BV240" s="109">
        <f t="shared" si="154"/>
        <v>35654.967640499934</v>
      </c>
      <c r="BW240" s="114">
        <f t="shared" si="155"/>
        <v>7.0898186970350871E-2</v>
      </c>
      <c r="BX240" s="152">
        <f t="shared" si="168"/>
        <v>0.85</v>
      </c>
      <c r="BZ240" s="55"/>
      <c r="CA240" s="113"/>
      <c r="CB240" s="113"/>
      <c r="CD240" s="152">
        <f t="shared" si="169"/>
        <v>0</v>
      </c>
      <c r="CE240" s="152">
        <f t="shared" si="170"/>
        <v>1</v>
      </c>
      <c r="CF240" s="152">
        <f t="shared" si="171"/>
        <v>1</v>
      </c>
      <c r="CG240" s="34"/>
      <c r="CI240" s="11"/>
      <c r="CJ240" s="11"/>
    </row>
    <row r="241" spans="1:88" s="152" customFormat="1" x14ac:dyDescent="0.2">
      <c r="A241" s="125" t="s">
        <v>375</v>
      </c>
      <c r="B241" s="187" t="s">
        <v>297</v>
      </c>
      <c r="C241" s="8">
        <v>0.26</v>
      </c>
      <c r="D241" s="8">
        <v>0</v>
      </c>
      <c r="E241" s="7">
        <v>2.1000000000000001E-2</v>
      </c>
      <c r="F241" s="7">
        <v>0.1045</v>
      </c>
      <c r="G241" s="1">
        <v>6.4999999999999997E-3</v>
      </c>
      <c r="H241" s="1">
        <v>0.03</v>
      </c>
      <c r="I241" s="1">
        <v>0.18</v>
      </c>
      <c r="J241" s="1">
        <v>0.04</v>
      </c>
      <c r="K241" s="1">
        <v>0.14000000000000001</v>
      </c>
      <c r="L241" s="1">
        <v>1.4999999999999999E-2</v>
      </c>
      <c r="M241" s="2" t="s">
        <v>175</v>
      </c>
      <c r="N241" s="105">
        <v>75000</v>
      </c>
      <c r="O241" s="119">
        <v>1.04</v>
      </c>
      <c r="P241" s="119"/>
      <c r="Q241" s="119"/>
      <c r="R241" s="119"/>
      <c r="S241" s="119"/>
      <c r="T241" s="119"/>
      <c r="U241" s="119"/>
      <c r="V241" s="119"/>
      <c r="W241" s="119"/>
      <c r="X241" s="119">
        <f t="shared" si="160"/>
        <v>1.04</v>
      </c>
      <c r="Y241" s="118">
        <f t="shared" si="161"/>
        <v>1.04</v>
      </c>
      <c r="Z241" s="109">
        <f t="shared" si="162"/>
        <v>78000</v>
      </c>
      <c r="AA241" s="109">
        <f>'CALCULO GERAL'!$G$10</f>
        <v>6300</v>
      </c>
      <c r="AB241" s="109">
        <f t="shared" si="163"/>
        <v>84300</v>
      </c>
      <c r="AC241" s="109">
        <f>AB241*'CALCULO GERAL'!$C$11</f>
        <v>423101.7</v>
      </c>
      <c r="AD241" s="109">
        <f t="shared" si="164"/>
        <v>110006.44200000001</v>
      </c>
      <c r="AE241" s="109">
        <f t="shared" si="165"/>
        <v>0</v>
      </c>
      <c r="AF241" s="109">
        <f t="shared" si="166"/>
        <v>8885.1357000000007</v>
      </c>
      <c r="AG241" s="109">
        <f t="shared" si="167"/>
        <v>44214.127650000002</v>
      </c>
      <c r="AH241" s="109">
        <v>154.22999999999999</v>
      </c>
      <c r="AI241" s="109">
        <f>((AA241*'CALCULO GERAL'!$C$11))*0.08+20</f>
        <v>2549.576</v>
      </c>
      <c r="AJ241" s="109">
        <v>1010</v>
      </c>
      <c r="AK241" s="109">
        <v>2500</v>
      </c>
      <c r="AL241" s="109">
        <f>(AA241*('CALCULO GERAL'!$C$11*1.02))-(AA241*'CALCULO GERAL'!$C$11)</f>
        <v>632.39400000000387</v>
      </c>
      <c r="AM241" s="109">
        <v>1800</v>
      </c>
      <c r="AN241" s="109">
        <v>2600</v>
      </c>
      <c r="AO241" s="109">
        <v>9400</v>
      </c>
      <c r="AP241" s="109">
        <v>1000</v>
      </c>
      <c r="AQ241" s="109">
        <v>0</v>
      </c>
      <c r="AR241" s="109">
        <v>0</v>
      </c>
      <c r="AS241" s="109"/>
      <c r="AT241" s="109">
        <f t="shared" si="134"/>
        <v>607853.60534999997</v>
      </c>
      <c r="AU241" s="111">
        <f t="shared" si="135"/>
        <v>8.1047147380000002</v>
      </c>
      <c r="AV241" s="109">
        <f>IFERROR((BS241*'CALCULO GERAL'!$E$11)/N241,0)</f>
        <v>0.1897182</v>
      </c>
      <c r="AW241" s="109">
        <f>AU241/'CALCULO GERAL'!$C$11</f>
        <v>1.614806682207611</v>
      </c>
      <c r="AX241" s="109">
        <f>BP241-BB241-BD241*'CALCULO GERAL'!$C$11</f>
        <v>9.3436213500000012</v>
      </c>
      <c r="AY241" s="109">
        <f t="shared" si="136"/>
        <v>6.0733538775000005E-2</v>
      </c>
      <c r="AZ241" s="109">
        <f t="shared" si="137"/>
        <v>0.28030864050000004</v>
      </c>
      <c r="BA241" s="109">
        <f t="shared" si="138"/>
        <v>9.4859100000000005</v>
      </c>
      <c r="BB241" s="109">
        <f t="shared" si="139"/>
        <v>0.14228864999999999</v>
      </c>
      <c r="BC241" s="109">
        <f t="shared" si="140"/>
        <v>9.4859100000000005</v>
      </c>
      <c r="BD241" s="109">
        <f t="shared" si="141"/>
        <v>0</v>
      </c>
      <c r="BE241" s="109">
        <f t="shared" si="142"/>
        <v>56915.46</v>
      </c>
      <c r="BF241" s="109">
        <f t="shared" si="143"/>
        <v>85373.19</v>
      </c>
      <c r="BG241" s="109">
        <f t="shared" si="144"/>
        <v>0.10244782799999999</v>
      </c>
      <c r="BH241" s="109">
        <f t="shared" si="145"/>
        <v>0.11383091999999999</v>
      </c>
      <c r="BI241" s="109">
        <f t="shared" si="146"/>
        <v>0</v>
      </c>
      <c r="BJ241" s="109">
        <f t="shared" si="147"/>
        <v>0.8893277772749999</v>
      </c>
      <c r="BK241" s="109">
        <f t="shared" si="148"/>
        <v>8.9940425152749999</v>
      </c>
      <c r="BL241" s="148">
        <v>0.87</v>
      </c>
      <c r="BM241" s="112">
        <f>ROUND((AW241/BL241)+((AW241*BL241)*'CALCULO GERAL'!$E$11)/BL241,2)</f>
        <v>1.89</v>
      </c>
      <c r="BN241" s="186">
        <f t="shared" si="149"/>
        <v>1.89</v>
      </c>
      <c r="BO241" s="186">
        <f t="shared" si="150"/>
        <v>2.214</v>
      </c>
      <c r="BP241" s="109">
        <f>BM241*'CALCULO GERAL'!$C$11</f>
        <v>9.4859100000000005</v>
      </c>
      <c r="BQ241" s="109">
        <f>BO241*'CALCULO GERAL'!$C$11</f>
        <v>11.112066</v>
      </c>
      <c r="BR241" s="186">
        <f>BN241*'CALCULO GERAL'!$C$11</f>
        <v>9.4859100000000005</v>
      </c>
      <c r="BS241" s="109">
        <f t="shared" si="151"/>
        <v>711443.25</v>
      </c>
      <c r="BT241" s="109">
        <f t="shared" si="152"/>
        <v>711443.25</v>
      </c>
      <c r="BU241" s="109">
        <f t="shared" si="153"/>
        <v>674553.18864562502</v>
      </c>
      <c r="BV241" s="109">
        <f t="shared" si="154"/>
        <v>36890.061354374979</v>
      </c>
      <c r="BW241" s="114">
        <f t="shared" si="155"/>
        <v>5.1852430048883E-2</v>
      </c>
      <c r="BX241" s="152">
        <f t="shared" si="168"/>
        <v>0.87</v>
      </c>
      <c r="BZ241" s="55"/>
      <c r="CA241" s="113"/>
      <c r="CB241" s="113"/>
      <c r="CD241" s="152">
        <f t="shared" si="169"/>
        <v>0</v>
      </c>
      <c r="CE241" s="152">
        <f t="shared" si="170"/>
        <v>1</v>
      </c>
      <c r="CF241" s="152">
        <f t="shared" si="171"/>
        <v>1</v>
      </c>
      <c r="CG241" s="34"/>
      <c r="CI241" s="11"/>
      <c r="CJ241" s="11"/>
    </row>
    <row r="242" spans="1:88" s="152" customFormat="1" x14ac:dyDescent="0.2">
      <c r="A242" s="125" t="s">
        <v>376</v>
      </c>
      <c r="B242" s="187" t="s">
        <v>297</v>
      </c>
      <c r="C242" s="8">
        <v>0.26</v>
      </c>
      <c r="D242" s="8">
        <v>0</v>
      </c>
      <c r="E242" s="7">
        <v>2.1000000000000001E-2</v>
      </c>
      <c r="F242" s="7">
        <v>0.1045</v>
      </c>
      <c r="G242" s="1">
        <v>6.4999999999999997E-3</v>
      </c>
      <c r="H242" s="1">
        <v>0.03</v>
      </c>
      <c r="I242" s="1">
        <v>0.18</v>
      </c>
      <c r="J242" s="1">
        <v>0.04</v>
      </c>
      <c r="K242" s="1">
        <v>0.14000000000000001</v>
      </c>
      <c r="L242" s="1">
        <v>1.4999999999999999E-2</v>
      </c>
      <c r="M242" s="2" t="s">
        <v>175</v>
      </c>
      <c r="N242" s="105">
        <v>70000</v>
      </c>
      <c r="O242" s="119">
        <v>1.0900000000000001</v>
      </c>
      <c r="P242" s="119"/>
      <c r="Q242" s="119"/>
      <c r="R242" s="119"/>
      <c r="S242" s="119"/>
      <c r="T242" s="119"/>
      <c r="U242" s="119"/>
      <c r="V242" s="119"/>
      <c r="W242" s="119"/>
      <c r="X242" s="119">
        <f t="shared" si="160"/>
        <v>1.0900000000000001</v>
      </c>
      <c r="Y242" s="118">
        <f t="shared" si="161"/>
        <v>1.0900000000000001</v>
      </c>
      <c r="Z242" s="109">
        <f t="shared" si="162"/>
        <v>76300</v>
      </c>
      <c r="AA242" s="109">
        <f>'CALCULO GERAL'!$G$10</f>
        <v>6300</v>
      </c>
      <c r="AB242" s="109">
        <f t="shared" si="163"/>
        <v>82600</v>
      </c>
      <c r="AC242" s="109">
        <f>AB242*'CALCULO GERAL'!$C$11</f>
        <v>414569.4</v>
      </c>
      <c r="AD242" s="109">
        <f t="shared" si="164"/>
        <v>107788.04400000001</v>
      </c>
      <c r="AE242" s="109">
        <f t="shared" si="165"/>
        <v>0</v>
      </c>
      <c r="AF242" s="109">
        <f t="shared" si="166"/>
        <v>8705.9574000000011</v>
      </c>
      <c r="AG242" s="109">
        <f t="shared" si="167"/>
        <v>43322.5023</v>
      </c>
      <c r="AH242" s="109">
        <v>154.22999999999999</v>
      </c>
      <c r="AI242" s="109">
        <f>((AA242*'CALCULO GERAL'!$C$11))*0.08+20</f>
        <v>2549.576</v>
      </c>
      <c r="AJ242" s="109">
        <v>1010</v>
      </c>
      <c r="AK242" s="109">
        <v>2500</v>
      </c>
      <c r="AL242" s="109">
        <f>(AA242*('CALCULO GERAL'!$C$11*1.02))-(AA242*'CALCULO GERAL'!$C$11)</f>
        <v>632.39400000000387</v>
      </c>
      <c r="AM242" s="109">
        <v>1800</v>
      </c>
      <c r="AN242" s="109">
        <v>2600</v>
      </c>
      <c r="AO242" s="109">
        <v>9400</v>
      </c>
      <c r="AP242" s="109">
        <v>1000</v>
      </c>
      <c r="AQ242" s="109">
        <v>0</v>
      </c>
      <c r="AR242" s="109">
        <v>0</v>
      </c>
      <c r="AS242" s="109"/>
      <c r="AT242" s="109">
        <f t="shared" si="134"/>
        <v>596032.10369999998</v>
      </c>
      <c r="AU242" s="111">
        <f t="shared" si="135"/>
        <v>8.514744338571429</v>
      </c>
      <c r="AV242" s="109">
        <f>IFERROR((BS242*'CALCULO GERAL'!$E$11)/N242,0)</f>
        <v>0.19875240000000002</v>
      </c>
      <c r="AW242" s="109">
        <f>AU242/'CALCULO GERAL'!$C$11</f>
        <v>1.6965021595081549</v>
      </c>
      <c r="AX242" s="109">
        <f>BP242-BB242-BD242*'CALCULO GERAL'!$C$11</f>
        <v>9.7885557000000016</v>
      </c>
      <c r="AY242" s="109">
        <f t="shared" si="136"/>
        <v>6.3625612050000002E-2</v>
      </c>
      <c r="AZ242" s="109">
        <f t="shared" si="137"/>
        <v>0.29365667100000004</v>
      </c>
      <c r="BA242" s="109">
        <f t="shared" si="138"/>
        <v>9.9376200000000008</v>
      </c>
      <c r="BB242" s="109">
        <f t="shared" si="139"/>
        <v>0.14906430000000001</v>
      </c>
      <c r="BC242" s="109">
        <f t="shared" si="140"/>
        <v>9.9376200000000008</v>
      </c>
      <c r="BD242" s="109">
        <f t="shared" si="141"/>
        <v>0</v>
      </c>
      <c r="BE242" s="109">
        <f t="shared" si="142"/>
        <v>55650.672000000006</v>
      </c>
      <c r="BF242" s="109">
        <f t="shared" si="143"/>
        <v>83476.008000000002</v>
      </c>
      <c r="BG242" s="109">
        <f t="shared" si="144"/>
        <v>0.107326296</v>
      </c>
      <c r="BH242" s="109">
        <f t="shared" si="145"/>
        <v>0.11925144</v>
      </c>
      <c r="BI242" s="109">
        <f t="shared" si="146"/>
        <v>0</v>
      </c>
      <c r="BJ242" s="109">
        <f t="shared" si="147"/>
        <v>0.93167671905000005</v>
      </c>
      <c r="BK242" s="109">
        <f t="shared" si="148"/>
        <v>9.4464210576214285</v>
      </c>
      <c r="BL242" s="148">
        <v>0.87</v>
      </c>
      <c r="BM242" s="112">
        <f>ROUND((AW242/BL242)+((AW242*BL242)*'CALCULO GERAL'!$E$11)/BL242,2)</f>
        <v>1.98</v>
      </c>
      <c r="BN242" s="186">
        <f t="shared" si="149"/>
        <v>1.98</v>
      </c>
      <c r="BO242" s="186">
        <f t="shared" si="150"/>
        <v>2.3199999999999998</v>
      </c>
      <c r="BP242" s="109">
        <f>BM242*'CALCULO GERAL'!$C$11</f>
        <v>9.9376200000000008</v>
      </c>
      <c r="BQ242" s="109">
        <f>BO242*'CALCULO GERAL'!$C$11</f>
        <v>11.644079999999999</v>
      </c>
      <c r="BR242" s="186">
        <f>BN242*'CALCULO GERAL'!$C$11</f>
        <v>9.9376200000000008</v>
      </c>
      <c r="BS242" s="109">
        <f t="shared" si="151"/>
        <v>695633.4</v>
      </c>
      <c r="BT242" s="109">
        <f t="shared" si="152"/>
        <v>695633.4</v>
      </c>
      <c r="BU242" s="109">
        <f t="shared" si="153"/>
        <v>661249.47403349995</v>
      </c>
      <c r="BV242" s="109">
        <f t="shared" si="154"/>
        <v>34383.925966500072</v>
      </c>
      <c r="BW242" s="114">
        <f t="shared" si="155"/>
        <v>4.9428227521134079E-2</v>
      </c>
      <c r="BX242" s="152">
        <f t="shared" si="168"/>
        <v>0.87</v>
      </c>
      <c r="BZ242" s="55"/>
      <c r="CA242" s="113"/>
      <c r="CB242" s="113"/>
      <c r="CD242" s="152">
        <f t="shared" si="169"/>
        <v>0</v>
      </c>
      <c r="CE242" s="152">
        <f t="shared" si="170"/>
        <v>1</v>
      </c>
      <c r="CF242" s="152">
        <f t="shared" si="171"/>
        <v>1</v>
      </c>
      <c r="CG242" s="34"/>
      <c r="CI242" s="11"/>
      <c r="CJ242" s="11"/>
    </row>
    <row r="243" spans="1:88" s="152" customFormat="1" x14ac:dyDescent="0.2">
      <c r="A243" s="5" t="s">
        <v>377</v>
      </c>
      <c r="B243" s="187" t="s">
        <v>325</v>
      </c>
      <c r="C243" s="8">
        <v>0.26</v>
      </c>
      <c r="D243" s="8">
        <v>0</v>
      </c>
      <c r="E243" s="7">
        <v>2.1000000000000001E-2</v>
      </c>
      <c r="F243" s="7">
        <v>0.1045</v>
      </c>
      <c r="G243" s="1">
        <v>6.4999999999999997E-3</v>
      </c>
      <c r="H243" s="1">
        <v>0.03</v>
      </c>
      <c r="I243" s="1">
        <v>0.18</v>
      </c>
      <c r="J243" s="1">
        <v>0.04</v>
      </c>
      <c r="K243" s="1">
        <v>0.14000000000000001</v>
      </c>
      <c r="L243" s="1">
        <v>1.4999999999999999E-2</v>
      </c>
      <c r="M243" s="2" t="s">
        <v>175</v>
      </c>
      <c r="N243" s="105">
        <v>160000</v>
      </c>
      <c r="O243" s="119"/>
      <c r="P243" s="119"/>
      <c r="Q243" s="119"/>
      <c r="R243" s="119"/>
      <c r="S243" s="119"/>
      <c r="T243" s="119"/>
      <c r="U243" s="119"/>
      <c r="V243" s="119">
        <v>0.71</v>
      </c>
      <c r="W243" s="119"/>
      <c r="X243" s="119">
        <f t="shared" si="160"/>
        <v>0.71</v>
      </c>
      <c r="Y243" s="118">
        <f t="shared" si="161"/>
        <v>0.71</v>
      </c>
      <c r="Z243" s="109">
        <f t="shared" si="162"/>
        <v>113600</v>
      </c>
      <c r="AA243" s="109">
        <f>'CALCULO GERAL'!$G$10</f>
        <v>6300</v>
      </c>
      <c r="AB243" s="109">
        <f t="shared" si="163"/>
        <v>119900</v>
      </c>
      <c r="AC243" s="109">
        <f>AB243*'CALCULO GERAL'!$C$11</f>
        <v>601778.1</v>
      </c>
      <c r="AD243" s="109">
        <f t="shared" si="164"/>
        <v>156462.30600000001</v>
      </c>
      <c r="AE243" s="109">
        <f t="shared" si="165"/>
        <v>0</v>
      </c>
      <c r="AF243" s="109">
        <f t="shared" si="166"/>
        <v>12637.340099999999</v>
      </c>
      <c r="AG243" s="109">
        <f t="shared" si="167"/>
        <v>62885.811449999994</v>
      </c>
      <c r="AH243" s="109">
        <v>154.22999999999999</v>
      </c>
      <c r="AI243" s="109">
        <f>((AA243*'CALCULO GERAL'!$C$11))*0.08+20</f>
        <v>2549.576</v>
      </c>
      <c r="AJ243" s="109">
        <v>1010</v>
      </c>
      <c r="AK243" s="109">
        <v>2500</v>
      </c>
      <c r="AL243" s="109">
        <f>(AA243*('CALCULO GERAL'!$C$11*1.02))-(AA243*'CALCULO GERAL'!$C$11)</f>
        <v>632.39400000000387</v>
      </c>
      <c r="AM243" s="109">
        <v>1800</v>
      </c>
      <c r="AN243" s="109">
        <v>2600</v>
      </c>
      <c r="AO243" s="109">
        <v>9400</v>
      </c>
      <c r="AP243" s="109">
        <v>1000</v>
      </c>
      <c r="AQ243" s="109">
        <v>0</v>
      </c>
      <c r="AR243" s="109">
        <v>0</v>
      </c>
      <c r="AS243" s="109"/>
      <c r="AT243" s="109">
        <f t="shared" si="134"/>
        <v>855409.75754999998</v>
      </c>
      <c r="AU243" s="111">
        <f t="shared" si="135"/>
        <v>5.3463109846874994</v>
      </c>
      <c r="AV243" s="109">
        <f>IFERROR((BS243*'CALCULO GERAL'!$E$11)/N243,0)</f>
        <v>0.12246359999999999</v>
      </c>
      <c r="AW243" s="109">
        <f>AU243/'CALCULO GERAL'!$C$11</f>
        <v>1.0652143822848175</v>
      </c>
      <c r="AX243" s="109">
        <f>BP243-BB243-BD243*'CALCULO GERAL'!$C$11</f>
        <v>6.0313322999999999</v>
      </c>
      <c r="AY243" s="109">
        <f t="shared" si="136"/>
        <v>3.9203659949999997E-2</v>
      </c>
      <c r="AZ243" s="109">
        <f t="shared" si="137"/>
        <v>0.18093996899999998</v>
      </c>
      <c r="BA243" s="109">
        <f t="shared" si="138"/>
        <v>6.1231799999999996</v>
      </c>
      <c r="BB243" s="109">
        <f t="shared" si="139"/>
        <v>9.184769999999999E-2</v>
      </c>
      <c r="BC243" s="109">
        <f t="shared" si="140"/>
        <v>6.1231799999999996</v>
      </c>
      <c r="BD243" s="109">
        <f t="shared" si="141"/>
        <v>0</v>
      </c>
      <c r="BE243" s="109">
        <f t="shared" si="142"/>
        <v>78376.703999999998</v>
      </c>
      <c r="BF243" s="109">
        <f t="shared" si="143"/>
        <v>117565.05599999998</v>
      </c>
      <c r="BG243" s="109">
        <f t="shared" si="144"/>
        <v>6.6130343999999994E-2</v>
      </c>
      <c r="BH243" s="109">
        <f t="shared" si="145"/>
        <v>7.3478159999999987E-2</v>
      </c>
      <c r="BI243" s="109">
        <f t="shared" si="146"/>
        <v>-1.1485446250000001E-2</v>
      </c>
      <c r="BJ243" s="109">
        <f t="shared" si="147"/>
        <v>0.56257798669999992</v>
      </c>
      <c r="BK243" s="109">
        <f t="shared" si="148"/>
        <v>5.9088889713874995</v>
      </c>
      <c r="BL243" s="148">
        <v>0.89</v>
      </c>
      <c r="BM243" s="112">
        <f>ROUND((AW243/BL243)+((AW243*BL243)*'CALCULO GERAL'!$E$11)/BL243,2)</f>
        <v>1.22</v>
      </c>
      <c r="BN243" s="186">
        <f t="shared" si="149"/>
        <v>1.22</v>
      </c>
      <c r="BO243" s="186">
        <f t="shared" si="150"/>
        <v>1.429</v>
      </c>
      <c r="BP243" s="109">
        <f>BM243*'CALCULO GERAL'!$C$11</f>
        <v>6.1231799999999996</v>
      </c>
      <c r="BQ243" s="109">
        <f>BO243*'CALCULO GERAL'!$C$11</f>
        <v>7.1721510000000004</v>
      </c>
      <c r="BR243" s="186">
        <f>BN243*'CALCULO GERAL'!$C$11</f>
        <v>6.1231799999999996</v>
      </c>
      <c r="BS243" s="109">
        <f t="shared" si="151"/>
        <v>979708.79999999993</v>
      </c>
      <c r="BT243" s="109">
        <f t="shared" si="152"/>
        <v>979708.79999999993</v>
      </c>
      <c r="BU243" s="109">
        <f t="shared" si="153"/>
        <v>945422.23542199994</v>
      </c>
      <c r="BV243" s="109">
        <f t="shared" si="154"/>
        <v>34286.56457799999</v>
      </c>
      <c r="BW243" s="114">
        <f t="shared" si="155"/>
        <v>3.4996689401993727E-2</v>
      </c>
      <c r="BX243" s="152">
        <f t="shared" si="168"/>
        <v>0.89</v>
      </c>
      <c r="BZ243" s="55"/>
      <c r="CA243" s="113"/>
      <c r="CB243" s="113"/>
      <c r="CD243" s="152">
        <f t="shared" si="169"/>
        <v>0</v>
      </c>
      <c r="CE243" s="152">
        <f t="shared" si="170"/>
        <v>1</v>
      </c>
      <c r="CF243" s="152">
        <f t="shared" si="171"/>
        <v>1</v>
      </c>
      <c r="CG243" s="34"/>
      <c r="CI243" s="11"/>
      <c r="CJ243" s="11"/>
    </row>
    <row r="244" spans="1:88" s="152" customFormat="1" x14ac:dyDescent="0.2">
      <c r="A244" s="5" t="s">
        <v>378</v>
      </c>
      <c r="B244" s="187" t="s">
        <v>325</v>
      </c>
      <c r="C244" s="8">
        <v>0.26</v>
      </c>
      <c r="D244" s="8">
        <v>0</v>
      </c>
      <c r="E244" s="7">
        <v>2.1000000000000001E-2</v>
      </c>
      <c r="F244" s="7">
        <v>0.1045</v>
      </c>
      <c r="G244" s="1">
        <v>6.4999999999999997E-3</v>
      </c>
      <c r="H244" s="1">
        <v>0.03</v>
      </c>
      <c r="I244" s="1">
        <v>0.18</v>
      </c>
      <c r="J244" s="1">
        <v>0.04</v>
      </c>
      <c r="K244" s="1">
        <v>0.14000000000000001</v>
      </c>
      <c r="L244" s="1">
        <v>1.4999999999999999E-2</v>
      </c>
      <c r="M244" s="2" t="s">
        <v>175</v>
      </c>
      <c r="N244" s="105">
        <v>74000</v>
      </c>
      <c r="O244" s="119">
        <v>1.46</v>
      </c>
      <c r="P244" s="119"/>
      <c r="Q244" s="119"/>
      <c r="R244" s="119"/>
      <c r="S244" s="119"/>
      <c r="T244" s="119"/>
      <c r="U244" s="119"/>
      <c r="V244" s="119"/>
      <c r="W244" s="119"/>
      <c r="X244" s="119">
        <f t="shared" si="160"/>
        <v>1.46</v>
      </c>
      <c r="Y244" s="118">
        <f t="shared" si="161"/>
        <v>1.46</v>
      </c>
      <c r="Z244" s="109">
        <f t="shared" si="162"/>
        <v>108040</v>
      </c>
      <c r="AA244" s="109">
        <f>'CALCULO GERAL'!$G$10</f>
        <v>6300</v>
      </c>
      <c r="AB244" s="109">
        <f t="shared" si="163"/>
        <v>114340</v>
      </c>
      <c r="AC244" s="109">
        <f>AB244*'CALCULO GERAL'!$C$11</f>
        <v>573872.46</v>
      </c>
      <c r="AD244" s="109">
        <f t="shared" si="164"/>
        <v>149206.83960000001</v>
      </c>
      <c r="AE244" s="109">
        <f t="shared" si="165"/>
        <v>0</v>
      </c>
      <c r="AF244" s="109">
        <f t="shared" si="166"/>
        <v>12051.32166</v>
      </c>
      <c r="AG244" s="109">
        <f t="shared" si="167"/>
        <v>59969.672069999993</v>
      </c>
      <c r="AH244" s="109">
        <v>154.22999999999999</v>
      </c>
      <c r="AI244" s="109">
        <f>((AA244*'CALCULO GERAL'!$C$11))*0.08+20</f>
        <v>2549.576</v>
      </c>
      <c r="AJ244" s="109">
        <v>1010</v>
      </c>
      <c r="AK244" s="109">
        <v>2500</v>
      </c>
      <c r="AL244" s="109">
        <f>(AA244*('CALCULO GERAL'!$C$11*1.02))-(AA244*'CALCULO GERAL'!$C$11)</f>
        <v>632.39400000000387</v>
      </c>
      <c r="AM244" s="109">
        <v>1800</v>
      </c>
      <c r="AN244" s="109">
        <v>2600</v>
      </c>
      <c r="AO244" s="109">
        <v>9400</v>
      </c>
      <c r="AP244" s="109">
        <v>1000</v>
      </c>
      <c r="AQ244" s="109">
        <v>0</v>
      </c>
      <c r="AR244" s="109">
        <v>0</v>
      </c>
      <c r="AS244" s="109"/>
      <c r="AT244" s="109">
        <f t="shared" si="134"/>
        <v>816746.49332999997</v>
      </c>
      <c r="AU244" s="111">
        <f t="shared" si="135"/>
        <v>11.03711477472973</v>
      </c>
      <c r="AV244" s="109">
        <f>IFERROR((BS244*'CALCULO GERAL'!$E$11)/N244,0)</f>
        <v>0.25195380000000001</v>
      </c>
      <c r="AW244" s="109">
        <f>AU244/'CALCULO GERAL'!$C$11</f>
        <v>2.1990665022374438</v>
      </c>
      <c r="AX244" s="109">
        <f>BP244-BB244-BD244*'CALCULO GERAL'!$C$11</f>
        <v>12.40872465</v>
      </c>
      <c r="AY244" s="109">
        <f t="shared" si="136"/>
        <v>8.0656710224999997E-2</v>
      </c>
      <c r="AZ244" s="109">
        <f t="shared" si="137"/>
        <v>0.37226173949999997</v>
      </c>
      <c r="BA244" s="109">
        <f t="shared" si="138"/>
        <v>12.59769</v>
      </c>
      <c r="BB244" s="109">
        <f t="shared" si="139"/>
        <v>0.18896535</v>
      </c>
      <c r="BC244" s="109">
        <f t="shared" si="140"/>
        <v>12.59769</v>
      </c>
      <c r="BD244" s="109">
        <f t="shared" si="141"/>
        <v>0</v>
      </c>
      <c r="BE244" s="109">
        <f t="shared" si="142"/>
        <v>74578.324800000002</v>
      </c>
      <c r="BF244" s="109">
        <f t="shared" si="143"/>
        <v>111867.4872</v>
      </c>
      <c r="BG244" s="109">
        <f t="shared" si="144"/>
        <v>0.13605505200000001</v>
      </c>
      <c r="BH244" s="109">
        <f t="shared" si="145"/>
        <v>0.15117227999999999</v>
      </c>
      <c r="BI244" s="109">
        <f t="shared" si="146"/>
        <v>-1.9700452432432437E-2</v>
      </c>
      <c r="BJ244" s="109">
        <f t="shared" si="147"/>
        <v>1.1613644792925675</v>
      </c>
      <c r="BK244" s="109">
        <f t="shared" si="148"/>
        <v>12.198479254022297</v>
      </c>
      <c r="BL244" s="148">
        <v>0.89</v>
      </c>
      <c r="BM244" s="112">
        <f>ROUND((AW244/BL244)+((AW244*BL244)*'CALCULO GERAL'!$E$11)/BL244,2)</f>
        <v>2.5099999999999998</v>
      </c>
      <c r="BN244" s="186">
        <f t="shared" si="149"/>
        <v>2.5099999999999998</v>
      </c>
      <c r="BO244" s="186">
        <f t="shared" si="150"/>
        <v>2.9409999999999998</v>
      </c>
      <c r="BP244" s="109">
        <f>BM244*'CALCULO GERAL'!$C$11</f>
        <v>12.59769</v>
      </c>
      <c r="BQ244" s="109">
        <f>BO244*'CALCULO GERAL'!$C$11</f>
        <v>14.760878999999999</v>
      </c>
      <c r="BR244" s="186">
        <f>BN244*'CALCULO GERAL'!$C$11</f>
        <v>12.59769</v>
      </c>
      <c r="BS244" s="109">
        <f t="shared" si="151"/>
        <v>932229.06</v>
      </c>
      <c r="BT244" s="109">
        <f t="shared" si="152"/>
        <v>932229.06</v>
      </c>
      <c r="BU244" s="109">
        <f t="shared" si="153"/>
        <v>902687.46479765</v>
      </c>
      <c r="BV244" s="109">
        <f t="shared" si="154"/>
        <v>29541.595202350058</v>
      </c>
      <c r="BW244" s="114">
        <f t="shared" si="155"/>
        <v>3.1689202224987556E-2</v>
      </c>
      <c r="BX244" s="152">
        <f t="shared" si="168"/>
        <v>0.89</v>
      </c>
      <c r="BZ244" s="55"/>
      <c r="CA244" s="113"/>
      <c r="CB244" s="113"/>
      <c r="CD244" s="152">
        <f t="shared" si="169"/>
        <v>0</v>
      </c>
      <c r="CE244" s="152">
        <f t="shared" si="170"/>
        <v>1</v>
      </c>
      <c r="CF244" s="152">
        <f t="shared" si="171"/>
        <v>1</v>
      </c>
      <c r="CG244" s="34"/>
      <c r="CI244" s="11"/>
      <c r="CJ244" s="11"/>
    </row>
    <row r="245" spans="1:88" s="152" customFormat="1" x14ac:dyDescent="0.2">
      <c r="A245" s="5" t="s">
        <v>379</v>
      </c>
      <c r="B245" s="187" t="s">
        <v>325</v>
      </c>
      <c r="C245" s="8">
        <v>0.26</v>
      </c>
      <c r="D245" s="8">
        <v>0</v>
      </c>
      <c r="E245" s="7">
        <v>2.1000000000000001E-2</v>
      </c>
      <c r="F245" s="7">
        <v>0.1045</v>
      </c>
      <c r="G245" s="1">
        <v>6.4999999999999997E-3</v>
      </c>
      <c r="H245" s="1">
        <v>0.03</v>
      </c>
      <c r="I245" s="1">
        <v>0.18</v>
      </c>
      <c r="J245" s="1">
        <v>0.04</v>
      </c>
      <c r="K245" s="1">
        <v>0.14000000000000001</v>
      </c>
      <c r="L245" s="1">
        <v>1.4999999999999999E-2</v>
      </c>
      <c r="M245" s="2" t="s">
        <v>175</v>
      </c>
      <c r="N245" s="105">
        <v>130000</v>
      </c>
      <c r="O245" s="119"/>
      <c r="P245" s="119"/>
      <c r="Q245" s="119"/>
      <c r="R245" s="119"/>
      <c r="S245" s="119">
        <v>0.51</v>
      </c>
      <c r="T245" s="119"/>
      <c r="U245" s="119"/>
      <c r="V245" s="119">
        <v>0.47</v>
      </c>
      <c r="W245" s="119">
        <v>0.47499999999999998</v>
      </c>
      <c r="X245" s="119">
        <f t="shared" si="160"/>
        <v>0.47</v>
      </c>
      <c r="Y245" s="118">
        <f t="shared" si="161"/>
        <v>0.48500000000000004</v>
      </c>
      <c r="Z245" s="109">
        <f t="shared" si="162"/>
        <v>61100</v>
      </c>
      <c r="AA245" s="109">
        <f>'CALCULO GERAL'!$G$10</f>
        <v>6300</v>
      </c>
      <c r="AB245" s="109">
        <f t="shared" si="163"/>
        <v>67400</v>
      </c>
      <c r="AC245" s="109">
        <f>AB245*'CALCULO GERAL'!$C$11</f>
        <v>338280.60000000003</v>
      </c>
      <c r="AD245" s="109">
        <f t="shared" si="164"/>
        <v>87952.956000000006</v>
      </c>
      <c r="AE245" s="109">
        <f t="shared" si="165"/>
        <v>0</v>
      </c>
      <c r="AF245" s="109">
        <f t="shared" si="166"/>
        <v>7103.892600000001</v>
      </c>
      <c r="AG245" s="109">
        <f t="shared" si="167"/>
        <v>35350.322700000004</v>
      </c>
      <c r="AH245" s="109">
        <v>154.22999999999999</v>
      </c>
      <c r="AI245" s="109">
        <f>((AA245*'CALCULO GERAL'!$C$11))*0.08+20</f>
        <v>2549.576</v>
      </c>
      <c r="AJ245" s="109">
        <v>1010</v>
      </c>
      <c r="AK245" s="109">
        <v>2500</v>
      </c>
      <c r="AL245" s="109">
        <f>(AA245*('CALCULO GERAL'!$C$11*1.02))-(AA245*'CALCULO GERAL'!$C$11)</f>
        <v>632.39400000000387</v>
      </c>
      <c r="AM245" s="109">
        <v>1800</v>
      </c>
      <c r="AN245" s="109">
        <v>2600</v>
      </c>
      <c r="AO245" s="109">
        <v>9400</v>
      </c>
      <c r="AP245" s="109">
        <v>1000</v>
      </c>
      <c r="AQ245" s="109">
        <v>0</v>
      </c>
      <c r="AR245" s="109">
        <v>0</v>
      </c>
      <c r="AS245" s="109"/>
      <c r="AT245" s="109">
        <f t="shared" si="134"/>
        <v>490333.97130000009</v>
      </c>
      <c r="AU245" s="111">
        <f t="shared" si="135"/>
        <v>3.7717997792307698</v>
      </c>
      <c r="AV245" s="109">
        <f>IFERROR((BS245*'CALCULO GERAL'!$E$11)/N245,0)</f>
        <v>8.8334399999999993E-2</v>
      </c>
      <c r="AW245" s="109">
        <f>AU245/'CALCULO GERAL'!$C$11</f>
        <v>0.75150423973516034</v>
      </c>
      <c r="AX245" s="109">
        <f>BP245-BB245-BD245*'CALCULO GERAL'!$C$11</f>
        <v>4.3504692</v>
      </c>
      <c r="AY245" s="109">
        <f t="shared" si="136"/>
        <v>2.82780498E-2</v>
      </c>
      <c r="AZ245" s="109">
        <f t="shared" si="137"/>
        <v>0.13051407600000001</v>
      </c>
      <c r="BA245" s="109">
        <f t="shared" si="138"/>
        <v>4.4167199999999998</v>
      </c>
      <c r="BB245" s="109">
        <f t="shared" si="139"/>
        <v>6.6250799999999999E-2</v>
      </c>
      <c r="BC245" s="109">
        <f t="shared" si="140"/>
        <v>4.4167199999999998</v>
      </c>
      <c r="BD245" s="109">
        <f t="shared" si="141"/>
        <v>0</v>
      </c>
      <c r="BE245" s="109">
        <f t="shared" si="142"/>
        <v>45933.887999999999</v>
      </c>
      <c r="BF245" s="109">
        <f t="shared" si="143"/>
        <v>68900.831999999995</v>
      </c>
      <c r="BG245" s="109">
        <f t="shared" si="144"/>
        <v>4.7700575999999995E-2</v>
      </c>
      <c r="BH245" s="109">
        <f t="shared" si="145"/>
        <v>5.3000640000000002E-2</v>
      </c>
      <c r="BI245" s="109">
        <f t="shared" si="146"/>
        <v>0</v>
      </c>
      <c r="BJ245" s="109">
        <f t="shared" si="147"/>
        <v>0.41407854179999998</v>
      </c>
      <c r="BK245" s="109">
        <f t="shared" si="148"/>
        <v>4.1858783210307697</v>
      </c>
      <c r="BL245" s="148">
        <v>0.87</v>
      </c>
      <c r="BM245" s="112">
        <f>ROUND((AW245/BL245)+((AW245*BL245)*'CALCULO GERAL'!$E$11)/BL245,2)</f>
        <v>0.88</v>
      </c>
      <c r="BN245" s="186">
        <f t="shared" si="149"/>
        <v>0.88</v>
      </c>
      <c r="BO245" s="186">
        <f t="shared" si="150"/>
        <v>1.0309999999999999</v>
      </c>
      <c r="BP245" s="109">
        <f>BM245*'CALCULO GERAL'!$C$11</f>
        <v>4.4167199999999998</v>
      </c>
      <c r="BQ245" s="109">
        <f>BO245*'CALCULO GERAL'!$C$11</f>
        <v>5.1745890000000001</v>
      </c>
      <c r="BR245" s="186">
        <f>BN245*'CALCULO GERAL'!$C$11</f>
        <v>4.4167199999999998</v>
      </c>
      <c r="BS245" s="109">
        <f t="shared" si="151"/>
        <v>574173.6</v>
      </c>
      <c r="BT245" s="109">
        <f t="shared" si="152"/>
        <v>574173.6</v>
      </c>
      <c r="BU245" s="109">
        <f t="shared" si="153"/>
        <v>544164.1817340001</v>
      </c>
      <c r="BV245" s="109">
        <f t="shared" si="154"/>
        <v>30009.418265999877</v>
      </c>
      <c r="BW245" s="114">
        <f t="shared" si="155"/>
        <v>5.2265409391863152E-2</v>
      </c>
      <c r="BX245" s="152">
        <f t="shared" si="168"/>
        <v>0.87</v>
      </c>
      <c r="BZ245" s="55"/>
      <c r="CA245" s="113"/>
      <c r="CB245" s="113"/>
      <c r="CD245" s="152">
        <f t="shared" si="169"/>
        <v>0</v>
      </c>
      <c r="CE245" s="152">
        <f t="shared" si="170"/>
        <v>1</v>
      </c>
      <c r="CF245" s="152">
        <f t="shared" si="171"/>
        <v>1</v>
      </c>
      <c r="CG245" s="34"/>
      <c r="CI245" s="11"/>
      <c r="CJ245" s="11"/>
    </row>
    <row r="246" spans="1:88" s="152" customFormat="1" x14ac:dyDescent="0.2">
      <c r="A246" s="5" t="s">
        <v>380</v>
      </c>
      <c r="B246" s="187" t="s">
        <v>297</v>
      </c>
      <c r="C246" s="8">
        <v>0.26</v>
      </c>
      <c r="D246" s="8">
        <v>0</v>
      </c>
      <c r="E246" s="7">
        <v>2.1000000000000001E-2</v>
      </c>
      <c r="F246" s="7">
        <v>0.1045</v>
      </c>
      <c r="G246" s="1">
        <v>6.4999999999999997E-3</v>
      </c>
      <c r="H246" s="1">
        <v>0.03</v>
      </c>
      <c r="I246" s="1">
        <v>0.18</v>
      </c>
      <c r="J246" s="1">
        <v>0.04</v>
      </c>
      <c r="K246" s="1">
        <v>0.14000000000000001</v>
      </c>
      <c r="L246" s="1">
        <v>1.4999999999999999E-2</v>
      </c>
      <c r="M246" s="2" t="s">
        <v>175</v>
      </c>
      <c r="N246" s="105">
        <v>120000</v>
      </c>
      <c r="O246" s="119">
        <v>0.43</v>
      </c>
      <c r="P246" s="119"/>
      <c r="Q246" s="119"/>
      <c r="R246" s="119"/>
      <c r="S246" s="119">
        <v>0.44</v>
      </c>
      <c r="T246" s="119"/>
      <c r="U246" s="119">
        <v>0.44</v>
      </c>
      <c r="V246" s="119">
        <v>0.42</v>
      </c>
      <c r="W246" s="119">
        <v>0.41499999999999998</v>
      </c>
      <c r="X246" s="119">
        <f t="shared" si="160"/>
        <v>0.41499999999999998</v>
      </c>
      <c r="Y246" s="118">
        <f t="shared" si="161"/>
        <v>0.42899999999999999</v>
      </c>
      <c r="Z246" s="109">
        <f t="shared" si="162"/>
        <v>49800</v>
      </c>
      <c r="AA246" s="109">
        <f>'CALCULO GERAL'!$G$10</f>
        <v>6300</v>
      </c>
      <c r="AB246" s="109">
        <f t="shared" si="163"/>
        <v>56100</v>
      </c>
      <c r="AC246" s="109">
        <f>AB246*'CALCULO GERAL'!$C$11</f>
        <v>281565.90000000002</v>
      </c>
      <c r="AD246" s="109">
        <f t="shared" si="164"/>
        <v>73207.134000000005</v>
      </c>
      <c r="AE246" s="109">
        <f t="shared" si="165"/>
        <v>0</v>
      </c>
      <c r="AF246" s="109">
        <f t="shared" si="166"/>
        <v>5912.8839000000007</v>
      </c>
      <c r="AG246" s="109">
        <f t="shared" si="167"/>
        <v>29423.636550000003</v>
      </c>
      <c r="AH246" s="109">
        <v>154.22999999999999</v>
      </c>
      <c r="AI246" s="109">
        <f>((AA246*'CALCULO GERAL'!$C$11))*0.08+20</f>
        <v>2549.576</v>
      </c>
      <c r="AJ246" s="109">
        <v>1010</v>
      </c>
      <c r="AK246" s="109">
        <v>2500</v>
      </c>
      <c r="AL246" s="109">
        <f>(AA246*('CALCULO GERAL'!$C$11*1.02))-(AA246*'CALCULO GERAL'!$C$11)</f>
        <v>632.39400000000387</v>
      </c>
      <c r="AM246" s="109">
        <v>1800</v>
      </c>
      <c r="AN246" s="109">
        <v>2600</v>
      </c>
      <c r="AO246" s="109">
        <v>9400</v>
      </c>
      <c r="AP246" s="109">
        <v>1000</v>
      </c>
      <c r="AQ246" s="109">
        <v>0</v>
      </c>
      <c r="AR246" s="109">
        <v>0</v>
      </c>
      <c r="AS246" s="109"/>
      <c r="AT246" s="109">
        <f t="shared" si="134"/>
        <v>411755.75445000007</v>
      </c>
      <c r="AU246" s="111">
        <f t="shared" si="135"/>
        <v>3.4312979537500006</v>
      </c>
      <c r="AV246" s="109">
        <f>IFERROR((BS246*'CALCULO GERAL'!$E$11)/N246,0)</f>
        <v>8.1307800000000013E-2</v>
      </c>
      <c r="AW246" s="109">
        <f>AU246/'CALCULO GERAL'!$C$11</f>
        <v>0.68366167637975706</v>
      </c>
      <c r="AX246" s="109">
        <f>BP246-BB246-BD246*'CALCULO GERAL'!$C$11</f>
        <v>4.0044091500000007</v>
      </c>
      <c r="AY246" s="109">
        <f t="shared" si="136"/>
        <v>2.6028659475000004E-2</v>
      </c>
      <c r="AZ246" s="109">
        <f t="shared" si="137"/>
        <v>0.12013227450000002</v>
      </c>
      <c r="BA246" s="109">
        <f t="shared" si="138"/>
        <v>4.0653900000000007</v>
      </c>
      <c r="BB246" s="109">
        <f t="shared" si="139"/>
        <v>6.098085000000001E-2</v>
      </c>
      <c r="BC246" s="109">
        <f t="shared" si="140"/>
        <v>4.0653900000000007</v>
      </c>
      <c r="BD246" s="109">
        <f t="shared" si="141"/>
        <v>0</v>
      </c>
      <c r="BE246" s="109">
        <f t="shared" si="142"/>
        <v>39027.744000000006</v>
      </c>
      <c r="BF246" s="109">
        <f t="shared" si="143"/>
        <v>58541.616000000009</v>
      </c>
      <c r="BG246" s="109">
        <f t="shared" si="144"/>
        <v>4.3906212000000007E-2</v>
      </c>
      <c r="BH246" s="109">
        <f t="shared" si="145"/>
        <v>4.8784680000000004E-2</v>
      </c>
      <c r="BI246" s="109">
        <f t="shared" si="146"/>
        <v>0</v>
      </c>
      <c r="BJ246" s="109">
        <f t="shared" si="147"/>
        <v>0.38114047597500006</v>
      </c>
      <c r="BK246" s="109">
        <f t="shared" si="148"/>
        <v>3.8124384297250007</v>
      </c>
      <c r="BL246" s="148">
        <v>0.86</v>
      </c>
      <c r="BM246" s="112">
        <f>ROUND((AW246/BL246)+((AW246*BL246)*'CALCULO GERAL'!$E$11)/BL246,2)</f>
        <v>0.81</v>
      </c>
      <c r="BN246" s="186">
        <f t="shared" si="149"/>
        <v>0.81</v>
      </c>
      <c r="BO246" s="186">
        <f t="shared" si="150"/>
        <v>0.94899999999999995</v>
      </c>
      <c r="BP246" s="109">
        <f>BM246*'CALCULO GERAL'!$C$11</f>
        <v>4.0653900000000007</v>
      </c>
      <c r="BQ246" s="109">
        <f>BO246*'CALCULO GERAL'!$C$11</f>
        <v>4.7630309999999998</v>
      </c>
      <c r="BR246" s="186">
        <f>BN246*'CALCULO GERAL'!$C$11</f>
        <v>4.0653900000000007</v>
      </c>
      <c r="BS246" s="109">
        <f t="shared" si="151"/>
        <v>487846.8000000001</v>
      </c>
      <c r="BT246" s="109">
        <f t="shared" si="152"/>
        <v>487846.8000000001</v>
      </c>
      <c r="BU246" s="109">
        <f t="shared" si="153"/>
        <v>457492.6115670001</v>
      </c>
      <c r="BV246" s="109">
        <f t="shared" si="154"/>
        <v>30354.188433000003</v>
      </c>
      <c r="BW246" s="114">
        <f t="shared" si="155"/>
        <v>6.2220739037337124E-2</v>
      </c>
      <c r="BX246" s="152">
        <f t="shared" si="168"/>
        <v>0.86</v>
      </c>
      <c r="BZ246" s="55"/>
      <c r="CA246" s="113"/>
      <c r="CB246" s="113"/>
      <c r="CD246" s="152">
        <f t="shared" si="169"/>
        <v>0</v>
      </c>
      <c r="CE246" s="152">
        <f t="shared" si="170"/>
        <v>1</v>
      </c>
      <c r="CF246" s="152">
        <f t="shared" si="171"/>
        <v>1</v>
      </c>
      <c r="CG246" s="34"/>
      <c r="CI246" s="11"/>
      <c r="CJ246" s="11"/>
    </row>
    <row r="247" spans="1:88" s="152" customFormat="1" x14ac:dyDescent="0.2">
      <c r="A247" s="5" t="s">
        <v>381</v>
      </c>
      <c r="B247" s="187" t="s">
        <v>297</v>
      </c>
      <c r="C247" s="8">
        <v>0.26</v>
      </c>
      <c r="D247" s="8">
        <v>0</v>
      </c>
      <c r="E247" s="7">
        <v>2.1000000000000001E-2</v>
      </c>
      <c r="F247" s="7">
        <v>0.1045</v>
      </c>
      <c r="G247" s="1">
        <v>6.4999999999999997E-3</v>
      </c>
      <c r="H247" s="1">
        <v>0.03</v>
      </c>
      <c r="I247" s="1">
        <v>0.18</v>
      </c>
      <c r="J247" s="1">
        <v>0.04</v>
      </c>
      <c r="K247" s="1">
        <v>0.14000000000000001</v>
      </c>
      <c r="L247" s="1">
        <v>1.4999999999999999E-2</v>
      </c>
      <c r="M247" s="2" t="s">
        <v>175</v>
      </c>
      <c r="N247" s="105">
        <v>90000</v>
      </c>
      <c r="O247" s="119">
        <v>0.83</v>
      </c>
      <c r="P247" s="119"/>
      <c r="Q247" s="119"/>
      <c r="R247" s="119"/>
      <c r="S247" s="119">
        <v>0.84</v>
      </c>
      <c r="T247" s="119"/>
      <c r="U247" s="119"/>
      <c r="V247" s="119">
        <v>0.89</v>
      </c>
      <c r="W247" s="119">
        <v>0.83</v>
      </c>
      <c r="X247" s="119">
        <f t="shared" si="160"/>
        <v>0.83</v>
      </c>
      <c r="Y247" s="118">
        <f t="shared" si="161"/>
        <v>0.84750000000000003</v>
      </c>
      <c r="Z247" s="109">
        <f t="shared" si="162"/>
        <v>74700</v>
      </c>
      <c r="AA247" s="109">
        <f>'CALCULO GERAL'!$G$10</f>
        <v>6300</v>
      </c>
      <c r="AB247" s="109">
        <f t="shared" si="163"/>
        <v>81000</v>
      </c>
      <c r="AC247" s="109">
        <f>AB247*'CALCULO GERAL'!$C$11</f>
        <v>406539</v>
      </c>
      <c r="AD247" s="109">
        <f t="shared" si="164"/>
        <v>105700.14</v>
      </c>
      <c r="AE247" s="109">
        <f t="shared" si="165"/>
        <v>0</v>
      </c>
      <c r="AF247" s="109">
        <f t="shared" si="166"/>
        <v>8537.3190000000013</v>
      </c>
      <c r="AG247" s="109">
        <f t="shared" si="167"/>
        <v>42483.325499999999</v>
      </c>
      <c r="AH247" s="109">
        <v>154.22999999999999</v>
      </c>
      <c r="AI247" s="109">
        <f>((AA247*'CALCULO GERAL'!$C$11))*0.08+20</f>
        <v>2549.576</v>
      </c>
      <c r="AJ247" s="109">
        <v>1010</v>
      </c>
      <c r="AK247" s="109">
        <v>2500</v>
      </c>
      <c r="AL247" s="109">
        <f>(AA247*('CALCULO GERAL'!$C$11*1.02))-(AA247*'CALCULO GERAL'!$C$11)</f>
        <v>632.39400000000387</v>
      </c>
      <c r="AM247" s="109">
        <v>1800</v>
      </c>
      <c r="AN247" s="109">
        <v>2600</v>
      </c>
      <c r="AO247" s="109">
        <v>9400</v>
      </c>
      <c r="AP247" s="109">
        <v>1000</v>
      </c>
      <c r="AQ247" s="109">
        <v>0</v>
      </c>
      <c r="AR247" s="109">
        <v>0</v>
      </c>
      <c r="AS247" s="109"/>
      <c r="AT247" s="109">
        <f t="shared" si="134"/>
        <v>584905.98450000002</v>
      </c>
      <c r="AU247" s="111">
        <f t="shared" si="135"/>
        <v>6.4989553833333336</v>
      </c>
      <c r="AV247" s="109">
        <f>IFERROR((BS247*'CALCULO GERAL'!$E$11)/N247,0)</f>
        <v>0.15157380000000001</v>
      </c>
      <c r="AW247" s="109">
        <f>AU247/'CALCULO GERAL'!$C$11</f>
        <v>1.2948705685063426</v>
      </c>
      <c r="AX247" s="109">
        <f>BP247-BB247-BD247*'CALCULO GERAL'!$C$11</f>
        <v>7.4650096499999998</v>
      </c>
      <c r="AY247" s="109">
        <f t="shared" si="136"/>
        <v>4.8522562724999996E-2</v>
      </c>
      <c r="AZ247" s="109">
        <f t="shared" si="137"/>
        <v>0.22395028949999998</v>
      </c>
      <c r="BA247" s="109">
        <f t="shared" si="138"/>
        <v>7.5786899999999999</v>
      </c>
      <c r="BB247" s="109">
        <f t="shared" si="139"/>
        <v>0.11368035</v>
      </c>
      <c r="BC247" s="109">
        <f t="shared" si="140"/>
        <v>7.5786899999999999</v>
      </c>
      <c r="BD247" s="109">
        <f t="shared" si="141"/>
        <v>0</v>
      </c>
      <c r="BE247" s="109">
        <f t="shared" si="142"/>
        <v>54566.567999999999</v>
      </c>
      <c r="BF247" s="109">
        <f t="shared" si="143"/>
        <v>81849.851999999999</v>
      </c>
      <c r="BG247" s="109">
        <f t="shared" si="144"/>
        <v>8.1849852000000001E-2</v>
      </c>
      <c r="BH247" s="109">
        <f t="shared" si="145"/>
        <v>9.0944279999999988E-2</v>
      </c>
      <c r="BI247" s="109">
        <f t="shared" si="146"/>
        <v>0</v>
      </c>
      <c r="BJ247" s="109">
        <f t="shared" si="147"/>
        <v>0.71052113422499996</v>
      </c>
      <c r="BK247" s="109">
        <f t="shared" si="148"/>
        <v>7.2094765175583335</v>
      </c>
      <c r="BL247" s="148">
        <v>0.875</v>
      </c>
      <c r="BM247" s="112">
        <f>ROUND((AW247/BL247)+((AW247*BL247)*'CALCULO GERAL'!$E$11)/BL247,2)</f>
        <v>1.51</v>
      </c>
      <c r="BN247" s="186">
        <f t="shared" si="149"/>
        <v>1.51</v>
      </c>
      <c r="BO247" s="186">
        <f t="shared" si="150"/>
        <v>1.7689999999999999</v>
      </c>
      <c r="BP247" s="109">
        <f>BM247*'CALCULO GERAL'!$C$11</f>
        <v>7.5786899999999999</v>
      </c>
      <c r="BQ247" s="109">
        <f>BO247*'CALCULO GERAL'!$C$11</f>
        <v>8.8786109999999994</v>
      </c>
      <c r="BR247" s="186">
        <f>BN247*'CALCULO GERAL'!$C$11</f>
        <v>7.5786899999999999</v>
      </c>
      <c r="BS247" s="109">
        <f t="shared" si="151"/>
        <v>682082.1</v>
      </c>
      <c r="BT247" s="109">
        <f t="shared" si="152"/>
        <v>682082.1</v>
      </c>
      <c r="BU247" s="109">
        <f t="shared" si="153"/>
        <v>648852.88658024999</v>
      </c>
      <c r="BV247" s="109">
        <f t="shared" si="154"/>
        <v>33229.213419749984</v>
      </c>
      <c r="BW247" s="114">
        <f t="shared" si="155"/>
        <v>4.8717322181230066E-2</v>
      </c>
      <c r="BX247" s="152">
        <f t="shared" si="168"/>
        <v>0.88</v>
      </c>
      <c r="BZ247" s="55"/>
      <c r="CA247" s="113"/>
      <c r="CB247" s="113"/>
      <c r="CD247" s="152">
        <f t="shared" si="169"/>
        <v>0</v>
      </c>
      <c r="CE247" s="152">
        <f t="shared" si="170"/>
        <v>1</v>
      </c>
      <c r="CF247" s="152">
        <f t="shared" si="171"/>
        <v>1</v>
      </c>
      <c r="CG247" s="34"/>
      <c r="CI247" s="11"/>
      <c r="CJ247" s="11"/>
    </row>
    <row r="248" spans="1:88" s="152" customFormat="1" x14ac:dyDescent="0.2">
      <c r="A248" s="5" t="s">
        <v>382</v>
      </c>
      <c r="B248" s="187" t="s">
        <v>383</v>
      </c>
      <c r="C248" s="6">
        <v>0</v>
      </c>
      <c r="D248" s="8">
        <v>0</v>
      </c>
      <c r="E248" s="7">
        <v>2.1000000000000001E-2</v>
      </c>
      <c r="F248" s="7">
        <v>0.1045</v>
      </c>
      <c r="G248" s="1">
        <v>6.4999999999999997E-3</v>
      </c>
      <c r="H248" s="1">
        <v>0.03</v>
      </c>
      <c r="I248" s="1">
        <v>0.18</v>
      </c>
      <c r="J248" s="1">
        <v>0.04</v>
      </c>
      <c r="K248" s="1">
        <v>0.14000000000000001</v>
      </c>
      <c r="L248" s="1">
        <v>1.4999999999999999E-2</v>
      </c>
      <c r="M248" s="2" t="s">
        <v>175</v>
      </c>
      <c r="N248" s="105">
        <v>17000</v>
      </c>
      <c r="O248" s="119"/>
      <c r="P248" s="119"/>
      <c r="Q248" s="119"/>
      <c r="R248" s="119"/>
      <c r="S248" s="119"/>
      <c r="T248" s="119"/>
      <c r="U248" s="119"/>
      <c r="V248" s="119">
        <v>2.0499999999999998</v>
      </c>
      <c r="W248" s="119">
        <v>2.2000000000000002</v>
      </c>
      <c r="X248" s="119">
        <f t="shared" si="160"/>
        <v>2.0499999999999998</v>
      </c>
      <c r="Y248" s="118">
        <f t="shared" si="161"/>
        <v>2.125</v>
      </c>
      <c r="Z248" s="109">
        <f t="shared" ref="Z248:Z268" si="172">Y248*N248</f>
        <v>36125</v>
      </c>
      <c r="AA248" s="109">
        <f>'CALCULO GERAL'!$G$10</f>
        <v>6300</v>
      </c>
      <c r="AB248" s="109">
        <f t="shared" si="163"/>
        <v>42425</v>
      </c>
      <c r="AC248" s="109">
        <f>AB248*'CALCULO GERAL'!$C$11</f>
        <v>212931.07500000001</v>
      </c>
      <c r="AD248" s="109">
        <f t="shared" si="164"/>
        <v>0</v>
      </c>
      <c r="AE248" s="109">
        <f t="shared" si="165"/>
        <v>0</v>
      </c>
      <c r="AF248" s="109">
        <f t="shared" si="166"/>
        <v>4471.5525750000006</v>
      </c>
      <c r="AG248" s="109">
        <f t="shared" si="167"/>
        <v>22251.2973375</v>
      </c>
      <c r="AH248" s="109">
        <v>154.22999999999999</v>
      </c>
      <c r="AI248" s="109">
        <f>((AA248*'CALCULO GERAL'!$C$11))*0.08+20</f>
        <v>2549.576</v>
      </c>
      <c r="AJ248" s="109">
        <v>1010</v>
      </c>
      <c r="AK248" s="109">
        <v>2500</v>
      </c>
      <c r="AL248" s="109">
        <f>(AA248*('CALCULO GERAL'!$C$11*1.02))-(AA248*'CALCULO GERAL'!$C$11)</f>
        <v>632.39400000000387</v>
      </c>
      <c r="AM248" s="109">
        <v>1800</v>
      </c>
      <c r="AN248" s="109">
        <v>2600</v>
      </c>
      <c r="AO248" s="109">
        <v>9400</v>
      </c>
      <c r="AP248" s="109">
        <v>1000</v>
      </c>
      <c r="AQ248" s="109">
        <v>0</v>
      </c>
      <c r="AR248" s="109">
        <v>0</v>
      </c>
      <c r="AS248" s="109"/>
      <c r="AT248" s="109">
        <f t="shared" si="134"/>
        <v>261300.12491250003</v>
      </c>
      <c r="AU248" s="111">
        <f t="shared" si="135"/>
        <v>15.370595583088237</v>
      </c>
      <c r="AV248" s="109">
        <f>IFERROR((BS248*'CALCULO GERAL'!$E$11)/N248,0)</f>
        <v>0.38144400000000001</v>
      </c>
      <c r="AW248" s="109">
        <f>AU248/'CALCULO GERAL'!$C$11</f>
        <v>3.0624816862100492</v>
      </c>
      <c r="AX248" s="109">
        <f>BP248-BB248-BD248*'CALCULO GERAL'!$C$11</f>
        <v>18.786116999999997</v>
      </c>
      <c r="AY248" s="109">
        <f t="shared" si="136"/>
        <v>0.12210976049999998</v>
      </c>
      <c r="AZ248" s="109">
        <f t="shared" si="137"/>
        <v>0.56358350999999984</v>
      </c>
      <c r="BA248" s="109">
        <f t="shared" si="138"/>
        <v>19.072199999999999</v>
      </c>
      <c r="BB248" s="109">
        <f t="shared" si="139"/>
        <v>0.28608299999999998</v>
      </c>
      <c r="BC248" s="109">
        <f t="shared" si="140"/>
        <v>19.072199999999999</v>
      </c>
      <c r="BD248" s="109">
        <f t="shared" si="141"/>
        <v>0</v>
      </c>
      <c r="BE248" s="109">
        <f t="shared" si="142"/>
        <v>25938.191999999999</v>
      </c>
      <c r="BF248" s="109">
        <f t="shared" si="143"/>
        <v>38907.287999999993</v>
      </c>
      <c r="BG248" s="109">
        <f t="shared" si="144"/>
        <v>0.20597975999999996</v>
      </c>
      <c r="BH248" s="109">
        <f t="shared" si="145"/>
        <v>0.2288664</v>
      </c>
      <c r="BI248" s="109">
        <f t="shared" si="146"/>
        <v>0</v>
      </c>
      <c r="BJ248" s="109">
        <f t="shared" si="147"/>
        <v>1.7880664304999998</v>
      </c>
      <c r="BK248" s="109">
        <f t="shared" si="148"/>
        <v>17.158662013588238</v>
      </c>
      <c r="BL248" s="148">
        <v>0.82</v>
      </c>
      <c r="BM248" s="112">
        <f>ROUND((AW248/BL248)+((AW248*BL248)*'CALCULO GERAL'!$E$11)/BL248,2)</f>
        <v>3.8</v>
      </c>
      <c r="BN248" s="186">
        <f t="shared" si="149"/>
        <v>3.8</v>
      </c>
      <c r="BO248" s="186">
        <f t="shared" si="150"/>
        <v>4.452</v>
      </c>
      <c r="BP248" s="109">
        <f>BM248*'CALCULO GERAL'!$C$11</f>
        <v>19.072199999999999</v>
      </c>
      <c r="BQ248" s="109">
        <f>BO248*'CALCULO GERAL'!$C$11</f>
        <v>22.344588000000002</v>
      </c>
      <c r="BR248" s="186">
        <f>BN248*'CALCULO GERAL'!$C$11</f>
        <v>19.072199999999999</v>
      </c>
      <c r="BS248" s="109">
        <f t="shared" si="151"/>
        <v>324227.39999999997</v>
      </c>
      <c r="BT248" s="109">
        <f t="shared" si="152"/>
        <v>324227.39999999997</v>
      </c>
      <c r="BU248" s="109">
        <f t="shared" si="153"/>
        <v>291697.25423100003</v>
      </c>
      <c r="BV248" s="109">
        <f t="shared" si="154"/>
        <v>32530.145768999937</v>
      </c>
      <c r="BW248" s="114">
        <f t="shared" si="155"/>
        <v>0.10033126678682906</v>
      </c>
      <c r="BX248" s="152">
        <f t="shared" si="168"/>
        <v>0.82</v>
      </c>
      <c r="BZ248" s="55"/>
      <c r="CA248" s="113"/>
      <c r="CB248" s="113"/>
      <c r="CD248" s="152">
        <f t="shared" si="169"/>
        <v>0</v>
      </c>
      <c r="CE248" s="152">
        <f t="shared" si="170"/>
        <v>1</v>
      </c>
      <c r="CF248" s="152">
        <f t="shared" si="171"/>
        <v>1</v>
      </c>
      <c r="CG248" s="34"/>
      <c r="CI248" s="11"/>
      <c r="CJ248" s="11"/>
    </row>
    <row r="249" spans="1:88" s="152" customFormat="1" x14ac:dyDescent="0.2">
      <c r="A249" s="5" t="s">
        <v>384</v>
      </c>
      <c r="B249" s="187" t="s">
        <v>383</v>
      </c>
      <c r="C249" s="6">
        <v>0</v>
      </c>
      <c r="D249" s="8">
        <v>0</v>
      </c>
      <c r="E249" s="7">
        <v>2.1000000000000001E-2</v>
      </c>
      <c r="F249" s="7">
        <v>0.1045</v>
      </c>
      <c r="G249" s="1">
        <v>6.4999999999999997E-3</v>
      </c>
      <c r="H249" s="1">
        <v>0.03</v>
      </c>
      <c r="I249" s="1">
        <v>0.18</v>
      </c>
      <c r="J249" s="1">
        <v>0.04</v>
      </c>
      <c r="K249" s="1">
        <v>0.14000000000000001</v>
      </c>
      <c r="L249" s="1">
        <v>1.4999999999999999E-2</v>
      </c>
      <c r="M249" s="2" t="s">
        <v>175</v>
      </c>
      <c r="N249" s="105">
        <v>17000</v>
      </c>
      <c r="O249" s="119"/>
      <c r="P249" s="119"/>
      <c r="Q249" s="119"/>
      <c r="R249" s="119"/>
      <c r="S249" s="119"/>
      <c r="T249" s="119"/>
      <c r="U249" s="119"/>
      <c r="V249" s="119">
        <v>2.2999999999999998</v>
      </c>
      <c r="W249" s="119">
        <v>2.2999999999999998</v>
      </c>
      <c r="X249" s="119">
        <f t="shared" si="160"/>
        <v>2.2999999999999998</v>
      </c>
      <c r="Y249" s="118">
        <f t="shared" si="161"/>
        <v>2.2999999999999998</v>
      </c>
      <c r="Z249" s="109">
        <f t="shared" si="172"/>
        <v>39100</v>
      </c>
      <c r="AA249" s="109">
        <f>'CALCULO GERAL'!$G$10</f>
        <v>6300</v>
      </c>
      <c r="AB249" s="109">
        <f t="shared" si="163"/>
        <v>45400</v>
      </c>
      <c r="AC249" s="109">
        <f>AB249*'CALCULO GERAL'!$C$11</f>
        <v>227862.6</v>
      </c>
      <c r="AD249" s="109">
        <f t="shared" si="164"/>
        <v>0</v>
      </c>
      <c r="AE249" s="109">
        <f t="shared" si="165"/>
        <v>0</v>
      </c>
      <c r="AF249" s="109">
        <f t="shared" si="166"/>
        <v>4785.1146000000008</v>
      </c>
      <c r="AG249" s="109">
        <f t="shared" si="167"/>
        <v>23811.6417</v>
      </c>
      <c r="AH249" s="109">
        <v>154.22999999999999</v>
      </c>
      <c r="AI249" s="109">
        <f>((AA249*'CALCULO GERAL'!$C$11))*0.08+20</f>
        <v>2549.576</v>
      </c>
      <c r="AJ249" s="109">
        <v>1010</v>
      </c>
      <c r="AK249" s="109">
        <v>2500</v>
      </c>
      <c r="AL249" s="109">
        <f>(AA249*('CALCULO GERAL'!$C$11*1.02))-(AA249*'CALCULO GERAL'!$C$11)</f>
        <v>632.39400000000387</v>
      </c>
      <c r="AM249" s="109">
        <v>1800</v>
      </c>
      <c r="AN249" s="109">
        <v>2600</v>
      </c>
      <c r="AO249" s="109">
        <v>9400</v>
      </c>
      <c r="AP249" s="109">
        <v>1000</v>
      </c>
      <c r="AQ249" s="109">
        <v>0</v>
      </c>
      <c r="AR249" s="109">
        <v>0</v>
      </c>
      <c r="AS249" s="109"/>
      <c r="AT249" s="109">
        <f t="shared" si="134"/>
        <v>278105.55630000005</v>
      </c>
      <c r="AU249" s="111">
        <f t="shared" si="135"/>
        <v>16.359150370588239</v>
      </c>
      <c r="AV249" s="109">
        <f>IFERROR((BS249*'CALCULO GERAL'!$E$11)/N249,0)</f>
        <v>0.40553519999999998</v>
      </c>
      <c r="AW249" s="109">
        <f>AU249/'CALCULO GERAL'!$C$11</f>
        <v>3.2594441862100494</v>
      </c>
      <c r="AX249" s="109">
        <f>BP249-BB249-BD249*'CALCULO GERAL'!$C$11</f>
        <v>19.972608600000001</v>
      </c>
      <c r="AY249" s="109">
        <f t="shared" si="136"/>
        <v>0.12982195590000001</v>
      </c>
      <c r="AZ249" s="109">
        <f t="shared" si="137"/>
        <v>0.59917825800000002</v>
      </c>
      <c r="BA249" s="109">
        <f t="shared" si="138"/>
        <v>20.276759999999999</v>
      </c>
      <c r="BB249" s="109">
        <f t="shared" si="139"/>
        <v>0.30415139999999996</v>
      </c>
      <c r="BC249" s="109">
        <f t="shared" si="140"/>
        <v>20.276759999999999</v>
      </c>
      <c r="BD249" s="109">
        <f t="shared" si="141"/>
        <v>0</v>
      </c>
      <c r="BE249" s="109">
        <f t="shared" si="142"/>
        <v>27576.393599999999</v>
      </c>
      <c r="BF249" s="109">
        <f t="shared" si="143"/>
        <v>41364.590399999994</v>
      </c>
      <c r="BG249" s="109">
        <f t="shared" si="144"/>
        <v>0.21898900799999996</v>
      </c>
      <c r="BH249" s="109">
        <f t="shared" si="145"/>
        <v>0.24332111999999997</v>
      </c>
      <c r="BI249" s="109">
        <f t="shared" si="146"/>
        <v>0</v>
      </c>
      <c r="BJ249" s="109">
        <f t="shared" si="147"/>
        <v>1.9009969418999999</v>
      </c>
      <c r="BK249" s="109">
        <f t="shared" si="148"/>
        <v>18.26014731248824</v>
      </c>
      <c r="BL249" s="148">
        <v>0.82</v>
      </c>
      <c r="BM249" s="112">
        <f>ROUND((AW249/BL249)+((AW249*BL249)*'CALCULO GERAL'!$E$11)/BL249,2)</f>
        <v>4.04</v>
      </c>
      <c r="BN249" s="186">
        <f t="shared" si="149"/>
        <v>4.04</v>
      </c>
      <c r="BO249" s="186">
        <f t="shared" si="150"/>
        <v>4.734</v>
      </c>
      <c r="BP249" s="109">
        <f>BM249*'CALCULO GERAL'!$C$11</f>
        <v>20.276759999999999</v>
      </c>
      <c r="BQ249" s="109">
        <f>BO249*'CALCULO GERAL'!$C$11</f>
        <v>23.759945999999999</v>
      </c>
      <c r="BR249" s="186">
        <f>BN249*'CALCULO GERAL'!$C$11</f>
        <v>20.276759999999999</v>
      </c>
      <c r="BS249" s="109">
        <f t="shared" si="151"/>
        <v>344704.92</v>
      </c>
      <c r="BT249" s="109">
        <f t="shared" si="152"/>
        <v>344704.92</v>
      </c>
      <c r="BU249" s="109">
        <f t="shared" si="153"/>
        <v>310422.50431230007</v>
      </c>
      <c r="BV249" s="109">
        <f t="shared" si="154"/>
        <v>34282.415687699919</v>
      </c>
      <c r="BW249" s="114">
        <f t="shared" si="155"/>
        <v>9.9454384601472823E-2</v>
      </c>
      <c r="BX249" s="152">
        <f t="shared" si="168"/>
        <v>0.82</v>
      </c>
      <c r="BZ249" s="55"/>
      <c r="CA249" s="113"/>
      <c r="CB249" s="113"/>
      <c r="CD249" s="152">
        <f t="shared" si="169"/>
        <v>0</v>
      </c>
      <c r="CE249" s="152">
        <f t="shared" si="170"/>
        <v>1</v>
      </c>
      <c r="CF249" s="152">
        <f t="shared" si="171"/>
        <v>1</v>
      </c>
      <c r="CG249" s="34"/>
      <c r="CI249" s="11"/>
      <c r="CJ249" s="11"/>
    </row>
    <row r="250" spans="1:88" s="152" customFormat="1" x14ac:dyDescent="0.2">
      <c r="A250" s="5" t="s">
        <v>385</v>
      </c>
      <c r="B250" s="187" t="s">
        <v>383</v>
      </c>
      <c r="C250" s="8">
        <v>0.26</v>
      </c>
      <c r="D250" s="8">
        <v>0</v>
      </c>
      <c r="E250" s="7">
        <v>2.1000000000000001E-2</v>
      </c>
      <c r="F250" s="7">
        <v>0.1045</v>
      </c>
      <c r="G250" s="1">
        <v>6.4999999999999997E-3</v>
      </c>
      <c r="H250" s="1">
        <v>0.03</v>
      </c>
      <c r="I250" s="1">
        <v>0.18</v>
      </c>
      <c r="J250" s="1">
        <v>0.04</v>
      </c>
      <c r="K250" s="1">
        <v>0.14000000000000001</v>
      </c>
      <c r="L250" s="1">
        <v>1.4999999999999999E-2</v>
      </c>
      <c r="M250" s="2" t="s">
        <v>175</v>
      </c>
      <c r="N250" s="105">
        <v>22000</v>
      </c>
      <c r="O250" s="119"/>
      <c r="P250" s="119"/>
      <c r="Q250" s="119"/>
      <c r="R250" s="119"/>
      <c r="S250" s="119"/>
      <c r="T250" s="119"/>
      <c r="U250" s="119"/>
      <c r="V250" s="119">
        <v>2.2999999999999998</v>
      </c>
      <c r="W250" s="119"/>
      <c r="X250" s="119">
        <f t="shared" si="160"/>
        <v>2.2999999999999998</v>
      </c>
      <c r="Y250" s="118">
        <f t="shared" si="161"/>
        <v>2.2999999999999998</v>
      </c>
      <c r="Z250" s="109">
        <f t="shared" si="172"/>
        <v>50599.999999999993</v>
      </c>
      <c r="AA250" s="109">
        <f>'CALCULO GERAL'!$G$10</f>
        <v>6300</v>
      </c>
      <c r="AB250" s="109">
        <f t="shared" si="163"/>
        <v>56899.999999999993</v>
      </c>
      <c r="AC250" s="109">
        <f>AB250*'CALCULO GERAL'!$C$11</f>
        <v>285581.09999999998</v>
      </c>
      <c r="AD250" s="109">
        <f t="shared" si="164"/>
        <v>74251.085999999996</v>
      </c>
      <c r="AE250" s="109">
        <f t="shared" si="165"/>
        <v>0</v>
      </c>
      <c r="AF250" s="109">
        <f t="shared" si="166"/>
        <v>5997.2030999999997</v>
      </c>
      <c r="AG250" s="109">
        <f t="shared" si="167"/>
        <v>29843.224949999996</v>
      </c>
      <c r="AH250" s="109">
        <v>154.22999999999999</v>
      </c>
      <c r="AI250" s="109">
        <f>((AA250*'CALCULO GERAL'!$C$11))*0.08+20</f>
        <v>2549.576</v>
      </c>
      <c r="AJ250" s="109">
        <v>1010</v>
      </c>
      <c r="AK250" s="109">
        <v>2500</v>
      </c>
      <c r="AL250" s="109">
        <f>(AA250*('CALCULO GERAL'!$C$11*1.02))-(AA250*'CALCULO GERAL'!$C$11)</f>
        <v>632.39400000000387</v>
      </c>
      <c r="AM250" s="109">
        <v>1800</v>
      </c>
      <c r="AN250" s="109">
        <v>2600</v>
      </c>
      <c r="AO250" s="109">
        <v>9400</v>
      </c>
      <c r="AP250" s="109">
        <v>1000</v>
      </c>
      <c r="AQ250" s="109">
        <v>0</v>
      </c>
      <c r="AR250" s="109">
        <v>0</v>
      </c>
      <c r="AS250" s="109"/>
      <c r="AT250" s="109">
        <f t="shared" si="134"/>
        <v>417318.81404999999</v>
      </c>
      <c r="AU250" s="111">
        <f t="shared" si="135"/>
        <v>18.969037002272728</v>
      </c>
      <c r="AV250" s="109">
        <f>IFERROR((BS250*'CALCULO GERAL'!$E$11)/N250,0)</f>
        <v>0.46977839999999998</v>
      </c>
      <c r="AW250" s="109">
        <f>AU250/'CALCULO GERAL'!$C$11</f>
        <v>3.779445507525947</v>
      </c>
      <c r="AX250" s="109">
        <f>BP250-BB250-BD250*'CALCULO GERAL'!$C$11</f>
        <v>23.1365862</v>
      </c>
      <c r="AY250" s="109">
        <f t="shared" si="136"/>
        <v>0.15038781029999998</v>
      </c>
      <c r="AZ250" s="109">
        <f t="shared" si="137"/>
        <v>0.69409758599999993</v>
      </c>
      <c r="BA250" s="109">
        <f t="shared" si="138"/>
        <v>23.48892</v>
      </c>
      <c r="BB250" s="109">
        <f t="shared" si="139"/>
        <v>0.35233379999999997</v>
      </c>
      <c r="BC250" s="109">
        <f t="shared" si="140"/>
        <v>23.48892</v>
      </c>
      <c r="BD250" s="109">
        <f t="shared" si="141"/>
        <v>0</v>
      </c>
      <c r="BE250" s="109">
        <f t="shared" si="142"/>
        <v>41340.499199999998</v>
      </c>
      <c r="BF250" s="109">
        <f t="shared" si="143"/>
        <v>62010.748799999994</v>
      </c>
      <c r="BG250" s="109">
        <f t="shared" si="144"/>
        <v>0.25368033600000001</v>
      </c>
      <c r="BH250" s="109">
        <f t="shared" si="145"/>
        <v>0.28186703999999996</v>
      </c>
      <c r="BI250" s="109">
        <f t="shared" si="146"/>
        <v>0</v>
      </c>
      <c r="BJ250" s="109">
        <f t="shared" si="147"/>
        <v>2.2021449722999997</v>
      </c>
      <c r="BK250" s="109">
        <f t="shared" si="148"/>
        <v>21.171181974572729</v>
      </c>
      <c r="BL250" s="148">
        <v>0.82</v>
      </c>
      <c r="BM250" s="112">
        <f>ROUND((AW250/BL250)+((AW250*BL250)*'CALCULO GERAL'!$E$11)/BL250,2)</f>
        <v>4.68</v>
      </c>
      <c r="BN250" s="186">
        <f t="shared" si="149"/>
        <v>4.68</v>
      </c>
      <c r="BO250" s="186">
        <f t="shared" si="150"/>
        <v>5.4829999999999997</v>
      </c>
      <c r="BP250" s="109">
        <f>BM250*'CALCULO GERAL'!$C$11</f>
        <v>23.48892</v>
      </c>
      <c r="BQ250" s="109">
        <f>BO250*'CALCULO GERAL'!$C$11</f>
        <v>27.519176999999999</v>
      </c>
      <c r="BR250" s="186">
        <f>BN250*'CALCULO GERAL'!$C$11</f>
        <v>23.48892</v>
      </c>
      <c r="BS250" s="109">
        <f t="shared" si="151"/>
        <v>516756.24</v>
      </c>
      <c r="BT250" s="109">
        <f t="shared" si="152"/>
        <v>516756.24</v>
      </c>
      <c r="BU250" s="109">
        <f t="shared" si="153"/>
        <v>465766.00344060006</v>
      </c>
      <c r="BV250" s="109">
        <f t="shared" si="154"/>
        <v>50990.236559399928</v>
      </c>
      <c r="BW250" s="114">
        <f t="shared" si="155"/>
        <v>9.8673673605566767E-2</v>
      </c>
      <c r="BX250" s="152">
        <f t="shared" si="168"/>
        <v>0.82</v>
      </c>
      <c r="BZ250" s="55"/>
      <c r="CA250" s="113"/>
      <c r="CB250" s="113"/>
      <c r="CD250" s="152">
        <f t="shared" si="169"/>
        <v>0</v>
      </c>
      <c r="CE250" s="152">
        <f t="shared" si="170"/>
        <v>1</v>
      </c>
      <c r="CF250" s="152">
        <f t="shared" si="171"/>
        <v>1</v>
      </c>
      <c r="CG250" s="34"/>
      <c r="CI250" s="11"/>
      <c r="CJ250" s="11"/>
    </row>
    <row r="251" spans="1:88" s="152" customFormat="1" x14ac:dyDescent="0.2">
      <c r="A251" s="5" t="s">
        <v>386</v>
      </c>
      <c r="B251" s="187" t="s">
        <v>383</v>
      </c>
      <c r="C251" s="6">
        <v>0</v>
      </c>
      <c r="D251" s="8">
        <v>0</v>
      </c>
      <c r="E251" s="7">
        <v>2.1000000000000001E-2</v>
      </c>
      <c r="F251" s="7">
        <v>0.1045</v>
      </c>
      <c r="G251" s="1">
        <v>6.4999999999999997E-3</v>
      </c>
      <c r="H251" s="1">
        <v>0.03</v>
      </c>
      <c r="I251" s="1">
        <v>0.18</v>
      </c>
      <c r="J251" s="1">
        <v>0.04</v>
      </c>
      <c r="K251" s="1">
        <v>0.14000000000000001</v>
      </c>
      <c r="L251" s="1">
        <v>1.4999999999999999E-2</v>
      </c>
      <c r="M251" s="2" t="s">
        <v>175</v>
      </c>
      <c r="N251" s="105">
        <v>17000</v>
      </c>
      <c r="O251" s="119"/>
      <c r="P251" s="119"/>
      <c r="Q251" s="119"/>
      <c r="R251" s="119"/>
      <c r="S251" s="119"/>
      <c r="T251" s="119"/>
      <c r="U251" s="119"/>
      <c r="V251" s="119">
        <v>2.0499999999999998</v>
      </c>
      <c r="W251" s="119"/>
      <c r="X251" s="119">
        <f t="shared" si="160"/>
        <v>2.0499999999999998</v>
      </c>
      <c r="Y251" s="118">
        <f t="shared" si="161"/>
        <v>2.0499999999999998</v>
      </c>
      <c r="Z251" s="109">
        <f t="shared" si="172"/>
        <v>34850</v>
      </c>
      <c r="AA251" s="109">
        <f>'CALCULO GERAL'!$G$10</f>
        <v>6300</v>
      </c>
      <c r="AB251" s="109">
        <f t="shared" si="163"/>
        <v>41150</v>
      </c>
      <c r="AC251" s="109">
        <f>AB251*'CALCULO GERAL'!$C$11</f>
        <v>206531.85</v>
      </c>
      <c r="AD251" s="109">
        <f t="shared" si="164"/>
        <v>0</v>
      </c>
      <c r="AE251" s="109">
        <f t="shared" si="165"/>
        <v>0</v>
      </c>
      <c r="AF251" s="109">
        <f t="shared" si="166"/>
        <v>4337.16885</v>
      </c>
      <c r="AG251" s="109">
        <f t="shared" si="167"/>
        <v>21582.578324999999</v>
      </c>
      <c r="AH251" s="109">
        <v>154.22999999999999</v>
      </c>
      <c r="AI251" s="109">
        <f>((AA251*'CALCULO GERAL'!$C$11))*0.08+20</f>
        <v>2549.576</v>
      </c>
      <c r="AJ251" s="109">
        <v>1010</v>
      </c>
      <c r="AK251" s="109">
        <v>2500</v>
      </c>
      <c r="AL251" s="109">
        <f>(AA251*('CALCULO GERAL'!$C$11*1.02))-(AA251*'CALCULO GERAL'!$C$11)</f>
        <v>632.39400000000387</v>
      </c>
      <c r="AM251" s="109">
        <v>1800</v>
      </c>
      <c r="AN251" s="109">
        <v>2600</v>
      </c>
      <c r="AO251" s="109">
        <v>9400</v>
      </c>
      <c r="AP251" s="109">
        <v>1000</v>
      </c>
      <c r="AQ251" s="109">
        <v>0</v>
      </c>
      <c r="AR251" s="109">
        <v>0</v>
      </c>
      <c r="AS251" s="109"/>
      <c r="AT251" s="109">
        <f t="shared" si="134"/>
        <v>254097.79717500001</v>
      </c>
      <c r="AU251" s="111">
        <f t="shared" si="135"/>
        <v>14.946929245588237</v>
      </c>
      <c r="AV251" s="109">
        <f>IFERROR((BS251*'CALCULO GERAL'!$E$11)/N251,0)</f>
        <v>0.37040220000000001</v>
      </c>
      <c r="AW251" s="109">
        <f>AU251/'CALCULO GERAL'!$C$11</f>
        <v>2.9780691862100492</v>
      </c>
      <c r="AX251" s="109">
        <f>BP251-BB251-BD251*'CALCULO GERAL'!$C$11</f>
        <v>18.242308349999998</v>
      </c>
      <c r="AY251" s="109">
        <f t="shared" si="136"/>
        <v>0.11857500427499998</v>
      </c>
      <c r="AZ251" s="109">
        <f t="shared" si="137"/>
        <v>0.54726925049999997</v>
      </c>
      <c r="BA251" s="109">
        <f t="shared" si="138"/>
        <v>18.520109999999999</v>
      </c>
      <c r="BB251" s="109">
        <f t="shared" si="139"/>
        <v>0.27780164999999996</v>
      </c>
      <c r="BC251" s="109">
        <f t="shared" si="140"/>
        <v>18.520109999999999</v>
      </c>
      <c r="BD251" s="109">
        <f t="shared" si="141"/>
        <v>0</v>
      </c>
      <c r="BE251" s="109">
        <f t="shared" si="142"/>
        <v>25187.349600000001</v>
      </c>
      <c r="BF251" s="109">
        <f t="shared" si="143"/>
        <v>37781.024399999995</v>
      </c>
      <c r="BG251" s="109">
        <f t="shared" si="144"/>
        <v>0.20001718799999996</v>
      </c>
      <c r="BH251" s="109">
        <f t="shared" si="145"/>
        <v>0.22224132000000002</v>
      </c>
      <c r="BI251" s="109">
        <f t="shared" si="146"/>
        <v>0</v>
      </c>
      <c r="BJ251" s="109">
        <f t="shared" si="147"/>
        <v>1.7363066127749998</v>
      </c>
      <c r="BK251" s="109">
        <f t="shared" si="148"/>
        <v>16.683235858363236</v>
      </c>
      <c r="BL251" s="148">
        <v>0.82</v>
      </c>
      <c r="BM251" s="112">
        <f>ROUND((AW251/BL251)+((AW251*BL251)*'CALCULO GERAL'!$E$11)/BL251,2)</f>
        <v>3.69</v>
      </c>
      <c r="BN251" s="186">
        <f t="shared" si="149"/>
        <v>3.69</v>
      </c>
      <c r="BO251" s="186">
        <f t="shared" si="150"/>
        <v>4.3230000000000004</v>
      </c>
      <c r="BP251" s="109">
        <f>BM251*'CALCULO GERAL'!$C$11</f>
        <v>18.520109999999999</v>
      </c>
      <c r="BQ251" s="109">
        <f>BO251*'CALCULO GERAL'!$C$11</f>
        <v>21.697137000000001</v>
      </c>
      <c r="BR251" s="186">
        <f>BN251*'CALCULO GERAL'!$C$11</f>
        <v>18.520109999999999</v>
      </c>
      <c r="BS251" s="109">
        <f t="shared" si="151"/>
        <v>314841.87</v>
      </c>
      <c r="BT251" s="109">
        <f t="shared" si="152"/>
        <v>314841.87</v>
      </c>
      <c r="BU251" s="109">
        <f t="shared" si="153"/>
        <v>283615.00959217502</v>
      </c>
      <c r="BV251" s="109">
        <f t="shared" si="154"/>
        <v>31226.860407824977</v>
      </c>
      <c r="BW251" s="114">
        <f t="shared" si="155"/>
        <v>9.918267988887558E-2</v>
      </c>
      <c r="BX251" s="152">
        <f t="shared" si="168"/>
        <v>0.82</v>
      </c>
      <c r="BZ251" s="55"/>
      <c r="CA251" s="113"/>
      <c r="CB251" s="113"/>
      <c r="CD251" s="152">
        <f t="shared" si="169"/>
        <v>0</v>
      </c>
      <c r="CE251" s="152">
        <f t="shared" si="170"/>
        <v>1</v>
      </c>
      <c r="CF251" s="152">
        <f t="shared" si="171"/>
        <v>1</v>
      </c>
      <c r="CG251" s="34"/>
      <c r="CI251" s="11"/>
      <c r="CJ251" s="11"/>
    </row>
    <row r="252" spans="1:88" s="152" customFormat="1" x14ac:dyDescent="0.2">
      <c r="A252" s="5" t="s">
        <v>387</v>
      </c>
      <c r="B252" s="187" t="s">
        <v>383</v>
      </c>
      <c r="C252" s="8">
        <v>0.26</v>
      </c>
      <c r="D252" s="8">
        <v>0</v>
      </c>
      <c r="E252" s="7">
        <v>2.1000000000000001E-2</v>
      </c>
      <c r="F252" s="7">
        <v>0.1065</v>
      </c>
      <c r="G252" s="1">
        <v>6.4999999999999997E-3</v>
      </c>
      <c r="H252" s="1">
        <v>0.03</v>
      </c>
      <c r="I252" s="1">
        <v>0.18</v>
      </c>
      <c r="J252" s="1">
        <v>0.04</v>
      </c>
      <c r="K252" s="1">
        <v>0.14000000000000001</v>
      </c>
      <c r="L252" s="1">
        <v>1.4999999999999999E-2</v>
      </c>
      <c r="M252" s="2" t="s">
        <v>175</v>
      </c>
      <c r="N252" s="105">
        <v>20000</v>
      </c>
      <c r="O252" s="119"/>
      <c r="P252" s="119"/>
      <c r="Q252" s="119"/>
      <c r="R252" s="119"/>
      <c r="S252" s="119"/>
      <c r="T252" s="119"/>
      <c r="U252" s="119"/>
      <c r="V252" s="119">
        <v>2.66</v>
      </c>
      <c r="W252" s="119"/>
      <c r="X252" s="119">
        <f t="shared" si="160"/>
        <v>2.66</v>
      </c>
      <c r="Y252" s="118">
        <f t="shared" si="161"/>
        <v>2.66</v>
      </c>
      <c r="Z252" s="109">
        <f t="shared" si="172"/>
        <v>53200</v>
      </c>
      <c r="AA252" s="109">
        <f>'CALCULO GERAL'!$G$10</f>
        <v>6300</v>
      </c>
      <c r="AB252" s="109">
        <f t="shared" si="163"/>
        <v>59500</v>
      </c>
      <c r="AC252" s="109">
        <f>AB252*'CALCULO GERAL'!$C$11</f>
        <v>298630.5</v>
      </c>
      <c r="AD252" s="109">
        <f t="shared" si="164"/>
        <v>77643.930000000008</v>
      </c>
      <c r="AE252" s="109">
        <f t="shared" si="165"/>
        <v>0</v>
      </c>
      <c r="AF252" s="109">
        <f t="shared" si="166"/>
        <v>6271.2405000000008</v>
      </c>
      <c r="AG252" s="109">
        <f t="shared" si="167"/>
        <v>31804.148249999998</v>
      </c>
      <c r="AH252" s="109">
        <v>154.22999999999999</v>
      </c>
      <c r="AI252" s="109">
        <f>((AA252*'CALCULO GERAL'!$C$11))*0.08+20</f>
        <v>2549.576</v>
      </c>
      <c r="AJ252" s="109">
        <v>1010</v>
      </c>
      <c r="AK252" s="109">
        <v>2500</v>
      </c>
      <c r="AL252" s="109">
        <f>(AA252*('CALCULO GERAL'!$C$11*1.02))-(AA252*'CALCULO GERAL'!$C$11)</f>
        <v>632.39400000000387</v>
      </c>
      <c r="AM252" s="109">
        <v>1800</v>
      </c>
      <c r="AN252" s="109">
        <v>2600</v>
      </c>
      <c r="AO252" s="109">
        <v>9400</v>
      </c>
      <c r="AP252" s="109">
        <v>1000</v>
      </c>
      <c r="AQ252" s="109">
        <v>0</v>
      </c>
      <c r="AR252" s="109">
        <v>0</v>
      </c>
      <c r="AS252" s="109"/>
      <c r="AT252" s="109">
        <f t="shared" si="134"/>
        <v>435996.01874999999</v>
      </c>
      <c r="AU252" s="111">
        <f t="shared" si="135"/>
        <v>21.799800937499999</v>
      </c>
      <c r="AV252" s="109">
        <f>IFERROR((BS252*'CALCULO GERAL'!$E$11)/N252,0)</f>
        <v>0.5159532</v>
      </c>
      <c r="AW252" s="109">
        <f>AU252/'CALCULO GERAL'!$C$11</f>
        <v>4.3434550582785416</v>
      </c>
      <c r="AX252" s="109">
        <f>BP252-BB252-BD252*'CALCULO GERAL'!$C$11</f>
        <v>25.410695100000002</v>
      </c>
      <c r="AY252" s="109">
        <f t="shared" si="136"/>
        <v>0.16516951815</v>
      </c>
      <c r="AZ252" s="109">
        <f t="shared" si="137"/>
        <v>0.76232085300000008</v>
      </c>
      <c r="BA252" s="109">
        <f t="shared" si="138"/>
        <v>25.79766</v>
      </c>
      <c r="BB252" s="109">
        <f t="shared" si="139"/>
        <v>0.3869649</v>
      </c>
      <c r="BC252" s="109">
        <f t="shared" si="140"/>
        <v>25.79766</v>
      </c>
      <c r="BD252" s="109">
        <f t="shared" si="141"/>
        <v>0</v>
      </c>
      <c r="BE252" s="109">
        <f t="shared" si="142"/>
        <v>41276.256000000001</v>
      </c>
      <c r="BF252" s="109">
        <f t="shared" si="143"/>
        <v>61914.383999999998</v>
      </c>
      <c r="BG252" s="109">
        <f t="shared" si="144"/>
        <v>0.27861472799999998</v>
      </c>
      <c r="BH252" s="109">
        <f t="shared" si="145"/>
        <v>0.30957192</v>
      </c>
      <c r="BI252" s="109">
        <f t="shared" si="146"/>
        <v>0</v>
      </c>
      <c r="BJ252" s="109">
        <f t="shared" si="147"/>
        <v>2.4185951191499999</v>
      </c>
      <c r="BK252" s="109">
        <f t="shared" si="148"/>
        <v>24.218396056650001</v>
      </c>
      <c r="BL252" s="148">
        <v>0.86</v>
      </c>
      <c r="BM252" s="112">
        <f>ROUND((AW252/BL252)+((AW252*BL252)*'CALCULO GERAL'!$E$11)/BL252,2)</f>
        <v>5.14</v>
      </c>
      <c r="BN252" s="186">
        <f t="shared" si="149"/>
        <v>5.14</v>
      </c>
      <c r="BO252" s="186">
        <f t="shared" si="150"/>
        <v>6.0220000000000002</v>
      </c>
      <c r="BP252" s="109">
        <f>BM252*'CALCULO GERAL'!$C$11</f>
        <v>25.79766</v>
      </c>
      <c r="BQ252" s="109">
        <f>BO252*'CALCULO GERAL'!$C$11</f>
        <v>30.224418000000004</v>
      </c>
      <c r="BR252" s="186">
        <f>BN252*'CALCULO GERAL'!$C$11</f>
        <v>25.79766</v>
      </c>
      <c r="BS252" s="109">
        <f t="shared" si="151"/>
        <v>515953.2</v>
      </c>
      <c r="BT252" s="109">
        <f t="shared" si="152"/>
        <v>515953.2</v>
      </c>
      <c r="BU252" s="109">
        <f t="shared" si="153"/>
        <v>484367.921133</v>
      </c>
      <c r="BV252" s="109">
        <f t="shared" si="154"/>
        <v>31585.278867000015</v>
      </c>
      <c r="BW252" s="114">
        <f t="shared" si="155"/>
        <v>6.1217333019739029E-2</v>
      </c>
      <c r="BX252" s="152">
        <f t="shared" si="168"/>
        <v>0.86</v>
      </c>
      <c r="BZ252" s="55"/>
      <c r="CA252" s="113"/>
      <c r="CB252" s="113"/>
      <c r="CD252" s="152">
        <f t="shared" si="169"/>
        <v>0</v>
      </c>
      <c r="CE252" s="152">
        <f t="shared" si="170"/>
        <v>1</v>
      </c>
      <c r="CF252" s="152">
        <f t="shared" si="171"/>
        <v>1</v>
      </c>
      <c r="CG252" s="34"/>
      <c r="CI252" s="11"/>
      <c r="CJ252" s="11"/>
    </row>
    <row r="253" spans="1:88" s="152" customFormat="1" x14ac:dyDescent="0.2">
      <c r="A253" s="5" t="s">
        <v>388</v>
      </c>
      <c r="B253" s="187" t="s">
        <v>383</v>
      </c>
      <c r="C253" s="8">
        <v>0.26</v>
      </c>
      <c r="D253" s="8">
        <v>0</v>
      </c>
      <c r="E253" s="7">
        <v>2.1000000000000001E-2</v>
      </c>
      <c r="F253" s="7">
        <v>0.1065</v>
      </c>
      <c r="G253" s="1">
        <v>6.4999999999999997E-3</v>
      </c>
      <c r="H253" s="1">
        <v>0.03</v>
      </c>
      <c r="I253" s="1">
        <v>0.18</v>
      </c>
      <c r="J253" s="1">
        <v>0.04</v>
      </c>
      <c r="K253" s="1">
        <v>0.14000000000000001</v>
      </c>
      <c r="L253" s="1">
        <v>1.4999999999999999E-2</v>
      </c>
      <c r="M253" s="2" t="s">
        <v>175</v>
      </c>
      <c r="N253" s="105">
        <v>20000</v>
      </c>
      <c r="O253" s="119"/>
      <c r="P253" s="119"/>
      <c r="Q253" s="119"/>
      <c r="R253" s="119"/>
      <c r="S253" s="119"/>
      <c r="T253" s="119"/>
      <c r="U253" s="119"/>
      <c r="V253" s="119">
        <v>2.77</v>
      </c>
      <c r="W253" s="119"/>
      <c r="X253" s="119">
        <f t="shared" si="160"/>
        <v>2.77</v>
      </c>
      <c r="Y253" s="118">
        <f t="shared" si="161"/>
        <v>2.77</v>
      </c>
      <c r="Z253" s="109">
        <f t="shared" si="172"/>
        <v>55400</v>
      </c>
      <c r="AA253" s="109">
        <f>'CALCULO GERAL'!$G$10</f>
        <v>6300</v>
      </c>
      <c r="AB253" s="109">
        <f t="shared" si="163"/>
        <v>61700</v>
      </c>
      <c r="AC253" s="109">
        <f>AB253*'CALCULO GERAL'!$C$11</f>
        <v>309672.3</v>
      </c>
      <c r="AD253" s="109">
        <f t="shared" si="164"/>
        <v>80514.797999999995</v>
      </c>
      <c r="AE253" s="109">
        <f t="shared" si="165"/>
        <v>0</v>
      </c>
      <c r="AF253" s="109">
        <f t="shared" si="166"/>
        <v>6503.1183000000001</v>
      </c>
      <c r="AG253" s="109">
        <f t="shared" si="167"/>
        <v>32980.099949999996</v>
      </c>
      <c r="AH253" s="109">
        <v>154.22999999999999</v>
      </c>
      <c r="AI253" s="109">
        <f>((AA253*'CALCULO GERAL'!$C$11))*0.08+20</f>
        <v>2549.576</v>
      </c>
      <c r="AJ253" s="109">
        <v>1010</v>
      </c>
      <c r="AK253" s="109">
        <v>2500</v>
      </c>
      <c r="AL253" s="109">
        <f>(AA253*('CALCULO GERAL'!$C$11*1.02))-(AA253*'CALCULO GERAL'!$C$11)</f>
        <v>632.39400000000387</v>
      </c>
      <c r="AM253" s="109">
        <v>1800</v>
      </c>
      <c r="AN253" s="109">
        <v>2600</v>
      </c>
      <c r="AO253" s="109">
        <v>9400</v>
      </c>
      <c r="AP253" s="109">
        <v>1000</v>
      </c>
      <c r="AQ253" s="109">
        <v>0</v>
      </c>
      <c r="AR253" s="109">
        <v>0</v>
      </c>
      <c r="AS253" s="109"/>
      <c r="AT253" s="109">
        <f t="shared" si="134"/>
        <v>451316.51624999999</v>
      </c>
      <c r="AU253" s="111">
        <f t="shared" si="135"/>
        <v>22.565825812499998</v>
      </c>
      <c r="AV253" s="109">
        <f>IFERROR((BS253*'CALCULO GERAL'!$E$11)/N253,0)</f>
        <v>0.53402159999999999</v>
      </c>
      <c r="AW253" s="109">
        <f>AU253/'CALCULO GERAL'!$C$11</f>
        <v>4.4960800582785412</v>
      </c>
      <c r="AX253" s="109">
        <f>BP253-BB253-BD253*'CALCULO GERAL'!$C$11</f>
        <v>26.300563800000003</v>
      </c>
      <c r="AY253" s="109">
        <f t="shared" si="136"/>
        <v>0.17095366470000001</v>
      </c>
      <c r="AZ253" s="109">
        <f t="shared" si="137"/>
        <v>0.78901691400000007</v>
      </c>
      <c r="BA253" s="109">
        <f t="shared" si="138"/>
        <v>26.701080000000001</v>
      </c>
      <c r="BB253" s="109">
        <f t="shared" si="139"/>
        <v>0.40051619999999999</v>
      </c>
      <c r="BC253" s="109">
        <f t="shared" si="140"/>
        <v>26.701080000000001</v>
      </c>
      <c r="BD253" s="109">
        <f t="shared" si="141"/>
        <v>0</v>
      </c>
      <c r="BE253" s="109">
        <f t="shared" si="142"/>
        <v>42721.727999999996</v>
      </c>
      <c r="BF253" s="109">
        <f t="shared" si="143"/>
        <v>64082.591999999997</v>
      </c>
      <c r="BG253" s="109">
        <f t="shared" si="144"/>
        <v>0.28837166399999997</v>
      </c>
      <c r="BH253" s="109">
        <f t="shared" si="145"/>
        <v>0.32041295999999997</v>
      </c>
      <c r="BI253" s="109">
        <f t="shared" si="146"/>
        <v>0</v>
      </c>
      <c r="BJ253" s="109">
        <f t="shared" si="147"/>
        <v>2.5032930027</v>
      </c>
      <c r="BK253" s="109">
        <f t="shared" si="148"/>
        <v>25.0691188152</v>
      </c>
      <c r="BL253" s="148">
        <v>0.86</v>
      </c>
      <c r="BM253" s="112">
        <f>ROUND((AW253/BL253)+((AW253*BL253)*'CALCULO GERAL'!$E$11)/BL253,2)</f>
        <v>5.32</v>
      </c>
      <c r="BN253" s="186">
        <f t="shared" si="149"/>
        <v>5.32</v>
      </c>
      <c r="BO253" s="186">
        <f t="shared" si="150"/>
        <v>6.2329999999999997</v>
      </c>
      <c r="BP253" s="109">
        <f>BM253*'CALCULO GERAL'!$C$11</f>
        <v>26.701080000000001</v>
      </c>
      <c r="BQ253" s="109">
        <f>BO253*'CALCULO GERAL'!$C$11</f>
        <v>31.283427</v>
      </c>
      <c r="BR253" s="186">
        <f>BN253*'CALCULO GERAL'!$C$11</f>
        <v>26.701080000000001</v>
      </c>
      <c r="BS253" s="109">
        <f t="shared" si="151"/>
        <v>534021.6</v>
      </c>
      <c r="BT253" s="109">
        <f t="shared" si="152"/>
        <v>534021.6</v>
      </c>
      <c r="BU253" s="109">
        <f t="shared" si="153"/>
        <v>501382.37630399998</v>
      </c>
      <c r="BV253" s="109">
        <f t="shared" si="154"/>
        <v>32639.223696000001</v>
      </c>
      <c r="BW253" s="114">
        <f t="shared" si="155"/>
        <v>6.1119669496514754E-2</v>
      </c>
      <c r="BX253" s="152">
        <f t="shared" si="168"/>
        <v>0.86</v>
      </c>
      <c r="BZ253" s="55"/>
      <c r="CA253" s="113"/>
      <c r="CB253" s="113"/>
      <c r="CD253" s="152">
        <f t="shared" si="169"/>
        <v>0</v>
      </c>
      <c r="CE253" s="152">
        <f t="shared" si="170"/>
        <v>1</v>
      </c>
      <c r="CF253" s="152">
        <f t="shared" si="171"/>
        <v>1</v>
      </c>
      <c r="CG253" s="34"/>
      <c r="CI253" s="11"/>
      <c r="CJ253" s="11"/>
    </row>
    <row r="254" spans="1:88" s="152" customFormat="1" x14ac:dyDescent="0.2">
      <c r="A254" s="5" t="s">
        <v>389</v>
      </c>
      <c r="B254" s="187" t="s">
        <v>383</v>
      </c>
      <c r="C254" s="8">
        <v>0.26</v>
      </c>
      <c r="D254" s="8">
        <v>0</v>
      </c>
      <c r="E254" s="7">
        <v>2.1000000000000001E-2</v>
      </c>
      <c r="F254" s="7">
        <v>0.1065</v>
      </c>
      <c r="G254" s="1">
        <v>6.4999999999999997E-3</v>
      </c>
      <c r="H254" s="1">
        <v>0.03</v>
      </c>
      <c r="I254" s="1">
        <v>0.18</v>
      </c>
      <c r="J254" s="1">
        <v>0.04</v>
      </c>
      <c r="K254" s="1">
        <v>0.14000000000000001</v>
      </c>
      <c r="L254" s="1">
        <v>1.4999999999999999E-2</v>
      </c>
      <c r="M254" s="2" t="s">
        <v>175</v>
      </c>
      <c r="N254" s="105">
        <v>80000</v>
      </c>
      <c r="O254" s="119"/>
      <c r="P254" s="119"/>
      <c r="Q254" s="119"/>
      <c r="R254" s="119"/>
      <c r="S254" s="119"/>
      <c r="T254" s="119"/>
      <c r="U254" s="119"/>
      <c r="V254" s="119">
        <v>0.74</v>
      </c>
      <c r="W254" s="119"/>
      <c r="X254" s="119">
        <f t="shared" si="160"/>
        <v>0.74</v>
      </c>
      <c r="Y254" s="118">
        <f t="shared" si="161"/>
        <v>0.74</v>
      </c>
      <c r="Z254" s="109">
        <f t="shared" si="172"/>
        <v>59200</v>
      </c>
      <c r="AA254" s="109">
        <f>'CALCULO GERAL'!$G$10</f>
        <v>6300</v>
      </c>
      <c r="AB254" s="109">
        <f t="shared" si="163"/>
        <v>65500</v>
      </c>
      <c r="AC254" s="109">
        <f>AB254*'CALCULO GERAL'!$C$11</f>
        <v>328744.5</v>
      </c>
      <c r="AD254" s="109">
        <f t="shared" si="164"/>
        <v>85473.57</v>
      </c>
      <c r="AE254" s="109">
        <f t="shared" si="165"/>
        <v>0</v>
      </c>
      <c r="AF254" s="109">
        <f t="shared" si="166"/>
        <v>6903.6345000000001</v>
      </c>
      <c r="AG254" s="109">
        <f t="shared" si="167"/>
        <v>35011.289250000002</v>
      </c>
      <c r="AH254" s="109">
        <v>154.22999999999999</v>
      </c>
      <c r="AI254" s="109">
        <f>((AA254*'CALCULO GERAL'!$C$11))*0.08+20</f>
        <v>2549.576</v>
      </c>
      <c r="AJ254" s="109">
        <v>1010</v>
      </c>
      <c r="AK254" s="109">
        <v>2500</v>
      </c>
      <c r="AL254" s="109">
        <f>(AA254*('CALCULO GERAL'!$C$11*1.02))-(AA254*'CALCULO GERAL'!$C$11)</f>
        <v>632.39400000000387</v>
      </c>
      <c r="AM254" s="109">
        <v>1800</v>
      </c>
      <c r="AN254" s="109">
        <v>2600</v>
      </c>
      <c r="AO254" s="109">
        <v>9400</v>
      </c>
      <c r="AP254" s="109">
        <v>1000</v>
      </c>
      <c r="AQ254" s="109">
        <v>0</v>
      </c>
      <c r="AR254" s="109">
        <v>0</v>
      </c>
      <c r="AS254" s="109"/>
      <c r="AT254" s="109">
        <f t="shared" si="134"/>
        <v>477779.19375000003</v>
      </c>
      <c r="AU254" s="111">
        <f t="shared" si="135"/>
        <v>5.9722399218750004</v>
      </c>
      <c r="AV254" s="109">
        <f>IFERROR((BS254*'CALCULO GERAL'!$E$11)/N254,0)</f>
        <v>0.13952819999999999</v>
      </c>
      <c r="AW254" s="109">
        <f>AU254/'CALCULO GERAL'!$C$11</f>
        <v>1.1899262645696354</v>
      </c>
      <c r="AX254" s="109">
        <f>BP254-BB254-BD254*'CALCULO GERAL'!$C$11</f>
        <v>6.8717638499999998</v>
      </c>
      <c r="AY254" s="109">
        <f t="shared" si="136"/>
        <v>4.4666465024999998E-2</v>
      </c>
      <c r="AZ254" s="109">
        <f t="shared" si="137"/>
        <v>0.20615291549999998</v>
      </c>
      <c r="BA254" s="109">
        <f t="shared" si="138"/>
        <v>6.9764099999999996</v>
      </c>
      <c r="BB254" s="109">
        <f t="shared" si="139"/>
        <v>0.10464614999999999</v>
      </c>
      <c r="BC254" s="109">
        <f t="shared" si="140"/>
        <v>6.9764099999999996</v>
      </c>
      <c r="BD254" s="109">
        <f t="shared" si="141"/>
        <v>0</v>
      </c>
      <c r="BE254" s="109">
        <f t="shared" si="142"/>
        <v>44649.023999999998</v>
      </c>
      <c r="BF254" s="109">
        <f t="shared" si="143"/>
        <v>66973.535999999993</v>
      </c>
      <c r="BG254" s="109">
        <f t="shared" si="144"/>
        <v>7.5345227999999986E-2</v>
      </c>
      <c r="BH254" s="109">
        <f t="shared" si="145"/>
        <v>8.3716919999999986E-2</v>
      </c>
      <c r="BI254" s="109">
        <f t="shared" si="146"/>
        <v>0</v>
      </c>
      <c r="BJ254" s="109">
        <f t="shared" si="147"/>
        <v>0.65405587852499991</v>
      </c>
      <c r="BK254" s="109">
        <f t="shared" si="148"/>
        <v>6.6262958004000003</v>
      </c>
      <c r="BL254" s="148">
        <v>0.87</v>
      </c>
      <c r="BM254" s="112">
        <f>ROUND((AW254/BL254)+((AW254*BL254)*'CALCULO GERAL'!$E$11)/BL254,2)</f>
        <v>1.39</v>
      </c>
      <c r="BN254" s="186">
        <f t="shared" si="149"/>
        <v>1.39</v>
      </c>
      <c r="BO254" s="186">
        <f t="shared" si="150"/>
        <v>1.629</v>
      </c>
      <c r="BP254" s="109">
        <f>BM254*'CALCULO GERAL'!$C$11</f>
        <v>6.9764099999999996</v>
      </c>
      <c r="BQ254" s="109">
        <f>BO254*'CALCULO GERAL'!$C$11</f>
        <v>8.1759509999999995</v>
      </c>
      <c r="BR254" s="186">
        <f>BN254*'CALCULO GERAL'!$C$11</f>
        <v>6.9764099999999996</v>
      </c>
      <c r="BS254" s="109">
        <f t="shared" si="151"/>
        <v>558112.79999999993</v>
      </c>
      <c r="BT254" s="109">
        <f t="shared" si="152"/>
        <v>558112.79999999993</v>
      </c>
      <c r="BU254" s="109">
        <f t="shared" si="153"/>
        <v>530103.664032</v>
      </c>
      <c r="BV254" s="109">
        <f t="shared" si="154"/>
        <v>28009.13596799993</v>
      </c>
      <c r="BW254" s="114">
        <f t="shared" si="155"/>
        <v>5.0185439158535572E-2</v>
      </c>
      <c r="BX254" s="152">
        <f t="shared" si="168"/>
        <v>0.87</v>
      </c>
      <c r="BZ254" s="55"/>
      <c r="CA254" s="113"/>
      <c r="CB254" s="113"/>
      <c r="CD254" s="152">
        <f t="shared" si="169"/>
        <v>0</v>
      </c>
      <c r="CE254" s="152">
        <f t="shared" si="170"/>
        <v>1</v>
      </c>
      <c r="CF254" s="152">
        <f t="shared" si="171"/>
        <v>1</v>
      </c>
      <c r="CG254" s="34"/>
      <c r="CI254" s="11"/>
      <c r="CJ254" s="11"/>
    </row>
    <row r="255" spans="1:88" s="152" customFormat="1" x14ac:dyDescent="0.2">
      <c r="A255" s="5" t="s">
        <v>390</v>
      </c>
      <c r="B255" s="187" t="s">
        <v>383</v>
      </c>
      <c r="C255" s="8">
        <v>0.26</v>
      </c>
      <c r="D255" s="8">
        <v>0</v>
      </c>
      <c r="E255" s="7">
        <v>2.1000000000000001E-2</v>
      </c>
      <c r="F255" s="7">
        <v>0.1065</v>
      </c>
      <c r="G255" s="1">
        <v>6.4999999999999997E-3</v>
      </c>
      <c r="H255" s="1">
        <v>0.03</v>
      </c>
      <c r="I255" s="1">
        <v>0.18</v>
      </c>
      <c r="J255" s="1">
        <v>0.04</v>
      </c>
      <c r="K255" s="1">
        <v>0.14000000000000001</v>
      </c>
      <c r="L255" s="1">
        <v>1.4999999999999999E-2</v>
      </c>
      <c r="M255" s="2" t="s">
        <v>175</v>
      </c>
      <c r="N255" s="105">
        <v>19000</v>
      </c>
      <c r="O255" s="119"/>
      <c r="P255" s="119"/>
      <c r="Q255" s="119"/>
      <c r="R255" s="119"/>
      <c r="S255" s="119"/>
      <c r="T255" s="119"/>
      <c r="U255" s="119"/>
      <c r="V255" s="119">
        <v>2.77</v>
      </c>
      <c r="W255" s="119"/>
      <c r="X255" s="119">
        <f t="shared" si="160"/>
        <v>2.77</v>
      </c>
      <c r="Y255" s="118">
        <f t="shared" si="161"/>
        <v>2.77</v>
      </c>
      <c r="Z255" s="109">
        <f t="shared" si="172"/>
        <v>52630</v>
      </c>
      <c r="AA255" s="109">
        <f>'CALCULO GERAL'!$G$10</f>
        <v>6300</v>
      </c>
      <c r="AB255" s="109">
        <f t="shared" si="163"/>
        <v>58930</v>
      </c>
      <c r="AC255" s="109">
        <f>AB255*'CALCULO GERAL'!$C$11</f>
        <v>295769.67</v>
      </c>
      <c r="AD255" s="109">
        <f t="shared" si="164"/>
        <v>76900.114199999996</v>
      </c>
      <c r="AE255" s="109">
        <f t="shared" si="165"/>
        <v>0</v>
      </c>
      <c r="AF255" s="109">
        <f t="shared" si="166"/>
        <v>6211.1630699999996</v>
      </c>
      <c r="AG255" s="109">
        <f t="shared" si="167"/>
        <v>31499.469854999996</v>
      </c>
      <c r="AH255" s="109">
        <v>154.22999999999999</v>
      </c>
      <c r="AI255" s="109">
        <f>((AA255*'CALCULO GERAL'!$C$11))*0.08+20</f>
        <v>2549.576</v>
      </c>
      <c r="AJ255" s="109">
        <v>1010</v>
      </c>
      <c r="AK255" s="109">
        <v>2500</v>
      </c>
      <c r="AL255" s="109">
        <f>(AA255*('CALCULO GERAL'!$C$11*1.02))-(AA255*'CALCULO GERAL'!$C$11)</f>
        <v>632.39400000000387</v>
      </c>
      <c r="AM255" s="109">
        <v>1800</v>
      </c>
      <c r="AN255" s="109">
        <v>2600</v>
      </c>
      <c r="AO255" s="109">
        <v>9400</v>
      </c>
      <c r="AP255" s="109">
        <v>1000</v>
      </c>
      <c r="AQ255" s="109">
        <v>0</v>
      </c>
      <c r="AR255" s="109">
        <v>0</v>
      </c>
      <c r="AS255" s="109"/>
      <c r="AT255" s="109">
        <f t="shared" si="134"/>
        <v>432026.61712499999</v>
      </c>
      <c r="AU255" s="111">
        <f t="shared" si="135"/>
        <v>22.738243006578948</v>
      </c>
      <c r="AV255" s="109">
        <f>IFERROR((BS255*'CALCULO GERAL'!$E$11)/N255,0)</f>
        <v>0.54104820000000009</v>
      </c>
      <c r="AW255" s="109">
        <f>AU255/'CALCULO GERAL'!$C$11</f>
        <v>4.5304329560826755</v>
      </c>
      <c r="AX255" s="109">
        <f>BP255-BB255-BD255*'CALCULO GERAL'!$C$11</f>
        <v>26.646623849999997</v>
      </c>
      <c r="AY255" s="109">
        <f t="shared" si="136"/>
        <v>0.17320305502499997</v>
      </c>
      <c r="AZ255" s="109">
        <f t="shared" si="137"/>
        <v>0.79939871549999986</v>
      </c>
      <c r="BA255" s="109">
        <f t="shared" si="138"/>
        <v>27.052409999999998</v>
      </c>
      <c r="BB255" s="109">
        <f t="shared" si="139"/>
        <v>0.40578614999999996</v>
      </c>
      <c r="BC255" s="109">
        <f t="shared" si="140"/>
        <v>27.052409999999998</v>
      </c>
      <c r="BD255" s="109">
        <f t="shared" si="141"/>
        <v>0</v>
      </c>
      <c r="BE255" s="109">
        <f t="shared" si="142"/>
        <v>41119.663200000003</v>
      </c>
      <c r="BF255" s="109">
        <f t="shared" si="143"/>
        <v>61679.494799999993</v>
      </c>
      <c r="BG255" s="109">
        <f t="shared" si="144"/>
        <v>0.29216602799999997</v>
      </c>
      <c r="BH255" s="109">
        <f t="shared" si="145"/>
        <v>0.32462891999999999</v>
      </c>
      <c r="BI255" s="109">
        <f t="shared" si="146"/>
        <v>0</v>
      </c>
      <c r="BJ255" s="109">
        <f t="shared" si="147"/>
        <v>2.5362310685249998</v>
      </c>
      <c r="BK255" s="109">
        <f t="shared" si="148"/>
        <v>25.274474075103946</v>
      </c>
      <c r="BL255" s="148">
        <v>0.85499999999999998</v>
      </c>
      <c r="BM255" s="112">
        <f>ROUND((AW255/BL255)+((AW255*BL255)*'CALCULO GERAL'!$E$11)/BL255,2)</f>
        <v>5.39</v>
      </c>
      <c r="BN255" s="186">
        <f t="shared" si="149"/>
        <v>5.39</v>
      </c>
      <c r="BO255" s="186">
        <f t="shared" si="150"/>
        <v>6.3150000000000004</v>
      </c>
      <c r="BP255" s="109">
        <f>BM255*'CALCULO GERAL'!$C$11</f>
        <v>27.052409999999998</v>
      </c>
      <c r="BQ255" s="109">
        <f>BO255*'CALCULO GERAL'!$C$11</f>
        <v>31.694985000000003</v>
      </c>
      <c r="BR255" s="186">
        <f>BN255*'CALCULO GERAL'!$C$11</f>
        <v>27.052409999999998</v>
      </c>
      <c r="BS255" s="109">
        <f t="shared" si="151"/>
        <v>513995.79</v>
      </c>
      <c r="BT255" s="109">
        <f t="shared" si="152"/>
        <v>513995.79</v>
      </c>
      <c r="BU255" s="109">
        <f t="shared" si="153"/>
        <v>480215.00742697495</v>
      </c>
      <c r="BV255" s="109">
        <f t="shared" si="154"/>
        <v>33780.782573025033</v>
      </c>
      <c r="BW255" s="114">
        <f t="shared" si="155"/>
        <v>6.5721905179466619E-2</v>
      </c>
      <c r="BX255" s="152">
        <f t="shared" si="168"/>
        <v>0.86</v>
      </c>
      <c r="BZ255" s="55"/>
      <c r="CA255" s="113"/>
      <c r="CB255" s="113"/>
      <c r="CD255" s="152">
        <f t="shared" si="169"/>
        <v>0</v>
      </c>
      <c r="CE255" s="152">
        <f t="shared" si="170"/>
        <v>1</v>
      </c>
      <c r="CF255" s="152">
        <f t="shared" si="171"/>
        <v>1</v>
      </c>
      <c r="CG255" s="34"/>
      <c r="CI255" s="11"/>
      <c r="CJ255" s="11"/>
    </row>
    <row r="256" spans="1:88" s="152" customFormat="1" x14ac:dyDescent="0.2">
      <c r="A256" s="5" t="s">
        <v>391</v>
      </c>
      <c r="B256" s="187" t="s">
        <v>383</v>
      </c>
      <c r="C256" s="8">
        <v>0.26</v>
      </c>
      <c r="D256" s="8">
        <v>0</v>
      </c>
      <c r="E256" s="7">
        <v>2.1000000000000001E-2</v>
      </c>
      <c r="F256" s="7">
        <v>0.1065</v>
      </c>
      <c r="G256" s="1">
        <v>6.4999999999999997E-3</v>
      </c>
      <c r="H256" s="1">
        <v>0.03</v>
      </c>
      <c r="I256" s="1">
        <v>0.18</v>
      </c>
      <c r="J256" s="1">
        <v>0.04</v>
      </c>
      <c r="K256" s="1">
        <v>0.14000000000000001</v>
      </c>
      <c r="L256" s="1">
        <v>1.4999999999999999E-2</v>
      </c>
      <c r="M256" s="2" t="s">
        <v>175</v>
      </c>
      <c r="N256" s="105">
        <v>13000</v>
      </c>
      <c r="O256" s="119"/>
      <c r="P256" s="119"/>
      <c r="Q256" s="119"/>
      <c r="R256" s="119"/>
      <c r="S256" s="119"/>
      <c r="T256" s="119"/>
      <c r="U256" s="119">
        <v>1.9</v>
      </c>
      <c r="V256" s="119">
        <v>1.7</v>
      </c>
      <c r="W256" s="119">
        <v>1.87</v>
      </c>
      <c r="X256" s="119">
        <f t="shared" si="160"/>
        <v>1.7</v>
      </c>
      <c r="Y256" s="118">
        <f t="shared" si="161"/>
        <v>1.8233333333333333</v>
      </c>
      <c r="Z256" s="109">
        <f t="shared" si="172"/>
        <v>23703.333333333332</v>
      </c>
      <c r="AA256" s="109">
        <f>'CALCULO GERAL'!$G$10</f>
        <v>6300</v>
      </c>
      <c r="AB256" s="109">
        <f t="shared" si="163"/>
        <v>30003.333333333332</v>
      </c>
      <c r="AC256" s="109">
        <f>AB256*'CALCULO GERAL'!$C$11</f>
        <v>150586.73000000001</v>
      </c>
      <c r="AD256" s="109">
        <f t="shared" si="164"/>
        <v>39152.549800000001</v>
      </c>
      <c r="AE256" s="109">
        <f t="shared" si="165"/>
        <v>0</v>
      </c>
      <c r="AF256" s="109">
        <f t="shared" si="166"/>
        <v>3162.3213300000002</v>
      </c>
      <c r="AG256" s="109">
        <f t="shared" si="167"/>
        <v>16037.486745</v>
      </c>
      <c r="AH256" s="109">
        <v>154.22999999999999</v>
      </c>
      <c r="AI256" s="109">
        <f>((AA256*'CALCULO GERAL'!$C$11))*0.08+20</f>
        <v>2549.576</v>
      </c>
      <c r="AJ256" s="109">
        <v>1010</v>
      </c>
      <c r="AK256" s="109">
        <v>2500</v>
      </c>
      <c r="AL256" s="109">
        <f>(AA256*('CALCULO GERAL'!$C$11*1.02))-(AA256*'CALCULO GERAL'!$C$11)</f>
        <v>632.39400000000387</v>
      </c>
      <c r="AM256" s="109">
        <v>1800</v>
      </c>
      <c r="AN256" s="109">
        <v>2600</v>
      </c>
      <c r="AO256" s="109">
        <v>9400</v>
      </c>
      <c r="AP256" s="109">
        <v>1000</v>
      </c>
      <c r="AQ256" s="109">
        <v>0</v>
      </c>
      <c r="AR256" s="109">
        <v>0</v>
      </c>
      <c r="AS256" s="109"/>
      <c r="AT256" s="109">
        <f t="shared" si="134"/>
        <v>230585.28787500004</v>
      </c>
      <c r="AU256" s="111">
        <f t="shared" si="135"/>
        <v>17.737329836538464</v>
      </c>
      <c r="AV256" s="109">
        <f>IFERROR((BS256*'CALCULO GERAL'!$E$11)/N256,0)</f>
        <v>0.45070620000000006</v>
      </c>
      <c r="AW256" s="109">
        <f>AU256/'CALCULO GERAL'!$C$11</f>
        <v>3.5340366281208335</v>
      </c>
      <c r="AX256" s="109">
        <f>BP256-BB256-BD256*'CALCULO GERAL'!$C$11</f>
        <v>22.197280350000003</v>
      </c>
      <c r="AY256" s="109">
        <f t="shared" si="136"/>
        <v>0.14428232227500001</v>
      </c>
      <c r="AZ256" s="109">
        <f t="shared" si="137"/>
        <v>0.66591841050000011</v>
      </c>
      <c r="BA256" s="109">
        <f t="shared" si="138"/>
        <v>22.535310000000003</v>
      </c>
      <c r="BB256" s="109">
        <f t="shared" si="139"/>
        <v>0.33802965000000001</v>
      </c>
      <c r="BC256" s="109">
        <f t="shared" si="140"/>
        <v>22.535310000000003</v>
      </c>
      <c r="BD256" s="109">
        <f t="shared" si="141"/>
        <v>0</v>
      </c>
      <c r="BE256" s="109">
        <f t="shared" si="142"/>
        <v>23436.722400000002</v>
      </c>
      <c r="BF256" s="109">
        <f t="shared" si="143"/>
        <v>35155.083600000005</v>
      </c>
      <c r="BG256" s="109">
        <f t="shared" si="144"/>
        <v>0.24338134800000003</v>
      </c>
      <c r="BH256" s="109">
        <f t="shared" si="145"/>
        <v>0.27042372000000003</v>
      </c>
      <c r="BI256" s="109">
        <f t="shared" si="146"/>
        <v>0</v>
      </c>
      <c r="BJ256" s="109">
        <f t="shared" si="147"/>
        <v>2.1127416507750003</v>
      </c>
      <c r="BK256" s="109">
        <f t="shared" si="148"/>
        <v>19.850071487313464</v>
      </c>
      <c r="BL256" s="148">
        <v>0.8</v>
      </c>
      <c r="BM256" s="112">
        <f>ROUND((AW256/BL256)+((AW256*BL256)*'CALCULO GERAL'!$E$11)/BL256,2)</f>
        <v>4.49</v>
      </c>
      <c r="BN256" s="186">
        <f t="shared" si="149"/>
        <v>4.49</v>
      </c>
      <c r="BO256" s="186">
        <f t="shared" si="150"/>
        <v>5.2610000000000001</v>
      </c>
      <c r="BP256" s="109">
        <f>BM256*'CALCULO GERAL'!$C$11</f>
        <v>22.535310000000003</v>
      </c>
      <c r="BQ256" s="109">
        <f>BO256*'CALCULO GERAL'!$C$11</f>
        <v>26.404959000000002</v>
      </c>
      <c r="BR256" s="186">
        <f>BN256*'CALCULO GERAL'!$C$11</f>
        <v>22.535310000000003</v>
      </c>
      <c r="BS256" s="109">
        <f t="shared" si="151"/>
        <v>292959.03000000003</v>
      </c>
      <c r="BT256" s="109">
        <f t="shared" si="152"/>
        <v>292959.03000000003</v>
      </c>
      <c r="BU256" s="109">
        <f t="shared" si="153"/>
        <v>258050.92933507502</v>
      </c>
      <c r="BV256" s="109">
        <f t="shared" si="154"/>
        <v>34908.100664925005</v>
      </c>
      <c r="BW256" s="114">
        <f t="shared" si="155"/>
        <v>0.11915693694413516</v>
      </c>
      <c r="BX256" s="152">
        <f t="shared" si="168"/>
        <v>0.8</v>
      </c>
      <c r="BZ256" s="55"/>
      <c r="CA256" s="113"/>
      <c r="CB256" s="113"/>
      <c r="CD256" s="152">
        <f t="shared" si="169"/>
        <v>0</v>
      </c>
      <c r="CE256" s="152">
        <f t="shared" si="170"/>
        <v>1</v>
      </c>
      <c r="CF256" s="152">
        <f t="shared" si="171"/>
        <v>1</v>
      </c>
      <c r="CG256" s="34"/>
      <c r="CI256" s="11"/>
      <c r="CJ256" s="11"/>
    </row>
    <row r="257" spans="1:88" s="152" customFormat="1" x14ac:dyDescent="0.2">
      <c r="A257" s="5" t="s">
        <v>392</v>
      </c>
      <c r="B257" s="187" t="s">
        <v>383</v>
      </c>
      <c r="C257" s="8">
        <v>0.26</v>
      </c>
      <c r="D257" s="8">
        <v>0</v>
      </c>
      <c r="E257" s="7">
        <v>2.1000000000000001E-2</v>
      </c>
      <c r="F257" s="7">
        <v>0.1065</v>
      </c>
      <c r="G257" s="1">
        <v>6.4999999999999997E-3</v>
      </c>
      <c r="H257" s="1">
        <v>0.03</v>
      </c>
      <c r="I257" s="1">
        <v>0.18</v>
      </c>
      <c r="J257" s="1">
        <v>0.04</v>
      </c>
      <c r="K257" s="1">
        <v>0.14000000000000001</v>
      </c>
      <c r="L257" s="1">
        <v>1.4999999999999999E-2</v>
      </c>
      <c r="M257" s="2" t="s">
        <v>175</v>
      </c>
      <c r="N257" s="105">
        <v>13000</v>
      </c>
      <c r="O257" s="119"/>
      <c r="P257" s="119"/>
      <c r="Q257" s="119"/>
      <c r="R257" s="119"/>
      <c r="S257" s="119"/>
      <c r="T257" s="119"/>
      <c r="U257" s="119">
        <v>2.2999999999999998</v>
      </c>
      <c r="V257" s="119">
        <v>2.25</v>
      </c>
      <c r="W257" s="119">
        <v>2.27</v>
      </c>
      <c r="X257" s="119">
        <f t="shared" si="160"/>
        <v>2.25</v>
      </c>
      <c r="Y257" s="118">
        <f t="shared" si="161"/>
        <v>2.2733333333333334</v>
      </c>
      <c r="Z257" s="109">
        <f t="shared" si="172"/>
        <v>29553.333333333336</v>
      </c>
      <c r="AA257" s="109">
        <f>'CALCULO GERAL'!$G$10</f>
        <v>6300</v>
      </c>
      <c r="AB257" s="109">
        <f t="shared" si="163"/>
        <v>35853.333333333336</v>
      </c>
      <c r="AC257" s="109">
        <f>AB257*'CALCULO GERAL'!$C$11</f>
        <v>179947.88</v>
      </c>
      <c r="AD257" s="109">
        <f t="shared" si="164"/>
        <v>46786.448800000006</v>
      </c>
      <c r="AE257" s="109">
        <f t="shared" si="165"/>
        <v>0</v>
      </c>
      <c r="AF257" s="109">
        <f t="shared" si="166"/>
        <v>3778.9054800000004</v>
      </c>
      <c r="AG257" s="109">
        <f t="shared" si="167"/>
        <v>19164.449219999999</v>
      </c>
      <c r="AH257" s="109">
        <v>154.22999999999999</v>
      </c>
      <c r="AI257" s="109">
        <f>((AA257*'CALCULO GERAL'!$C$11))*0.08+20</f>
        <v>2549.576</v>
      </c>
      <c r="AJ257" s="109">
        <v>1010</v>
      </c>
      <c r="AK257" s="109">
        <v>2500</v>
      </c>
      <c r="AL257" s="109">
        <f>(AA257*('CALCULO GERAL'!$C$11*1.02))-(AA257*'CALCULO GERAL'!$C$11)</f>
        <v>632.39400000000387</v>
      </c>
      <c r="AM257" s="109">
        <v>1800</v>
      </c>
      <c r="AN257" s="109">
        <v>2600</v>
      </c>
      <c r="AO257" s="109">
        <v>9400</v>
      </c>
      <c r="AP257" s="109">
        <v>1000</v>
      </c>
      <c r="AQ257" s="109">
        <v>0</v>
      </c>
      <c r="AR257" s="109">
        <v>0</v>
      </c>
      <c r="AS257" s="109"/>
      <c r="AT257" s="109">
        <f t="shared" si="134"/>
        <v>271323.8835</v>
      </c>
      <c r="AU257" s="111">
        <f t="shared" si="135"/>
        <v>20.871067961538461</v>
      </c>
      <c r="AV257" s="109">
        <f>IFERROR((BS257*'CALCULO GERAL'!$E$11)/N257,0)</f>
        <v>0.516957</v>
      </c>
      <c r="AW257" s="109">
        <f>AU257/'CALCULO GERAL'!$C$11</f>
        <v>4.1584116281208328</v>
      </c>
      <c r="AX257" s="109">
        <f>BP257-BB257-BD257*'CALCULO GERAL'!$C$11</f>
        <v>25.460132250000001</v>
      </c>
      <c r="AY257" s="109">
        <f t="shared" si="136"/>
        <v>0.16549085962499999</v>
      </c>
      <c r="AZ257" s="109">
        <f t="shared" si="137"/>
        <v>0.76380396750000001</v>
      </c>
      <c r="BA257" s="109">
        <f t="shared" si="138"/>
        <v>25.847850000000001</v>
      </c>
      <c r="BB257" s="109">
        <f t="shared" si="139"/>
        <v>0.38771775000000003</v>
      </c>
      <c r="BC257" s="109">
        <f t="shared" si="140"/>
        <v>25.847850000000001</v>
      </c>
      <c r="BD257" s="109">
        <f t="shared" si="141"/>
        <v>0</v>
      </c>
      <c r="BE257" s="109">
        <f t="shared" si="142"/>
        <v>26881.763999999999</v>
      </c>
      <c r="BF257" s="109">
        <f t="shared" si="143"/>
        <v>40322.646000000001</v>
      </c>
      <c r="BG257" s="109">
        <f t="shared" si="144"/>
        <v>0.27915677999999999</v>
      </c>
      <c r="BH257" s="109">
        <f t="shared" si="145"/>
        <v>0.31017419999999996</v>
      </c>
      <c r="BI257" s="109">
        <f t="shared" si="146"/>
        <v>0</v>
      </c>
      <c r="BJ257" s="109">
        <f t="shared" si="147"/>
        <v>2.4233005571250001</v>
      </c>
      <c r="BK257" s="109">
        <f t="shared" si="148"/>
        <v>23.294368518663461</v>
      </c>
      <c r="BL257" s="148">
        <v>0.82</v>
      </c>
      <c r="BM257" s="112">
        <f>ROUND((AW257/BL257)+((AW257*BL257)*'CALCULO GERAL'!$E$11)/BL257,2)</f>
        <v>5.15</v>
      </c>
      <c r="BN257" s="186">
        <f t="shared" si="149"/>
        <v>5.15</v>
      </c>
      <c r="BO257" s="186">
        <f t="shared" si="150"/>
        <v>6.0339999999999998</v>
      </c>
      <c r="BP257" s="109">
        <f>BM257*'CALCULO GERAL'!$C$11</f>
        <v>25.847850000000001</v>
      </c>
      <c r="BQ257" s="109">
        <f>BO257*'CALCULO GERAL'!$C$11</f>
        <v>30.284645999999999</v>
      </c>
      <c r="BR257" s="186">
        <f>BN257*'CALCULO GERAL'!$C$11</f>
        <v>25.847850000000001</v>
      </c>
      <c r="BS257" s="109">
        <f t="shared" si="151"/>
        <v>336022.05</v>
      </c>
      <c r="BT257" s="109">
        <f t="shared" si="152"/>
        <v>336022.05</v>
      </c>
      <c r="BU257" s="109">
        <f t="shared" si="153"/>
        <v>302826.79074262502</v>
      </c>
      <c r="BV257" s="109">
        <f t="shared" si="154"/>
        <v>33195.259257374972</v>
      </c>
      <c r="BW257" s="114">
        <f t="shared" si="155"/>
        <v>9.8788931432847851E-2</v>
      </c>
      <c r="BX257" s="152">
        <f t="shared" si="168"/>
        <v>0.82</v>
      </c>
      <c r="BZ257" s="55"/>
      <c r="CA257" s="113"/>
      <c r="CB257" s="113"/>
      <c r="CD257" s="152">
        <f t="shared" si="169"/>
        <v>0</v>
      </c>
      <c r="CE257" s="152">
        <f t="shared" si="170"/>
        <v>1</v>
      </c>
      <c r="CF257" s="152">
        <f t="shared" si="171"/>
        <v>1</v>
      </c>
      <c r="CG257" s="34"/>
      <c r="CI257" s="11"/>
      <c r="CJ257" s="11"/>
    </row>
    <row r="258" spans="1:88" s="152" customFormat="1" x14ac:dyDescent="0.2">
      <c r="A258" s="5" t="s">
        <v>393</v>
      </c>
      <c r="B258" s="187" t="s">
        <v>383</v>
      </c>
      <c r="C258" s="8">
        <v>0.26</v>
      </c>
      <c r="D258" s="8">
        <v>0</v>
      </c>
      <c r="E258" s="7">
        <v>2.1000000000000001E-2</v>
      </c>
      <c r="F258" s="7">
        <v>0.1065</v>
      </c>
      <c r="G258" s="1">
        <v>6.4999999999999997E-3</v>
      </c>
      <c r="H258" s="1">
        <v>0.03</v>
      </c>
      <c r="I258" s="1">
        <v>0.18</v>
      </c>
      <c r="J258" s="1">
        <v>0.04</v>
      </c>
      <c r="K258" s="1">
        <v>0.14000000000000001</v>
      </c>
      <c r="L258" s="1">
        <v>1.4999999999999999E-2</v>
      </c>
      <c r="M258" s="2" t="s">
        <v>175</v>
      </c>
      <c r="N258" s="105">
        <v>14000</v>
      </c>
      <c r="O258" s="119"/>
      <c r="P258" s="119"/>
      <c r="Q258" s="119"/>
      <c r="R258" s="119"/>
      <c r="S258" s="119"/>
      <c r="T258" s="119"/>
      <c r="U258" s="119"/>
      <c r="V258" s="119">
        <v>2.35</v>
      </c>
      <c r="W258" s="119"/>
      <c r="X258" s="119">
        <f t="shared" si="160"/>
        <v>2.35</v>
      </c>
      <c r="Y258" s="118">
        <f t="shared" si="161"/>
        <v>2.35</v>
      </c>
      <c r="Z258" s="109">
        <f t="shared" si="172"/>
        <v>32900</v>
      </c>
      <c r="AA258" s="109">
        <f>'CALCULO GERAL'!$G$10</f>
        <v>6300</v>
      </c>
      <c r="AB258" s="109">
        <f t="shared" si="163"/>
        <v>39200</v>
      </c>
      <c r="AC258" s="109">
        <f>AB258*'CALCULO GERAL'!$C$11</f>
        <v>196744.80000000002</v>
      </c>
      <c r="AD258" s="109">
        <f t="shared" si="164"/>
        <v>51153.648000000008</v>
      </c>
      <c r="AE258" s="109">
        <f t="shared" si="165"/>
        <v>0</v>
      </c>
      <c r="AF258" s="109">
        <f t="shared" si="166"/>
        <v>4131.640800000001</v>
      </c>
      <c r="AG258" s="109">
        <f t="shared" si="167"/>
        <v>20953.321200000002</v>
      </c>
      <c r="AH258" s="109">
        <v>154.22999999999999</v>
      </c>
      <c r="AI258" s="109">
        <f>((AA258*'CALCULO GERAL'!$C$11))*0.08+20</f>
        <v>2549.576</v>
      </c>
      <c r="AJ258" s="109">
        <v>1010</v>
      </c>
      <c r="AK258" s="109">
        <v>2500</v>
      </c>
      <c r="AL258" s="109">
        <f>(AA258*('CALCULO GERAL'!$C$11*1.02))-(AA258*'CALCULO GERAL'!$C$11)</f>
        <v>632.39400000000387</v>
      </c>
      <c r="AM258" s="109">
        <v>1800</v>
      </c>
      <c r="AN258" s="109">
        <v>2600</v>
      </c>
      <c r="AO258" s="109">
        <v>9400</v>
      </c>
      <c r="AP258" s="109">
        <v>1000</v>
      </c>
      <c r="AQ258" s="109">
        <v>0</v>
      </c>
      <c r="AR258" s="109">
        <v>0</v>
      </c>
      <c r="AS258" s="109"/>
      <c r="AT258" s="109">
        <f t="shared" si="134"/>
        <v>294629.61000000004</v>
      </c>
      <c r="AU258" s="111">
        <f t="shared" si="135"/>
        <v>21.044972142857144</v>
      </c>
      <c r="AV258" s="109">
        <f>IFERROR((BS258*'CALCULO GERAL'!$E$11)/N258,0)</f>
        <v>0.5159532</v>
      </c>
      <c r="AW258" s="109">
        <f>AU258/'CALCULO GERAL'!$C$11</f>
        <v>4.1930607975407739</v>
      </c>
      <c r="AX258" s="109">
        <f>BP258-BB258-BD258*'CALCULO GERAL'!$C$11</f>
        <v>25.410695100000002</v>
      </c>
      <c r="AY258" s="109">
        <f t="shared" si="136"/>
        <v>0.16516951815</v>
      </c>
      <c r="AZ258" s="109">
        <f t="shared" si="137"/>
        <v>0.76232085300000008</v>
      </c>
      <c r="BA258" s="109">
        <f t="shared" si="138"/>
        <v>25.79766</v>
      </c>
      <c r="BB258" s="109">
        <f t="shared" si="139"/>
        <v>0.3869649</v>
      </c>
      <c r="BC258" s="109">
        <f t="shared" si="140"/>
        <v>25.79766</v>
      </c>
      <c r="BD258" s="109">
        <f t="shared" si="141"/>
        <v>0</v>
      </c>
      <c r="BE258" s="109">
        <f t="shared" si="142"/>
        <v>28893.379199999999</v>
      </c>
      <c r="BF258" s="109">
        <f t="shared" si="143"/>
        <v>43340.068799999994</v>
      </c>
      <c r="BG258" s="109">
        <f t="shared" si="144"/>
        <v>0.27861472799999992</v>
      </c>
      <c r="BH258" s="109">
        <f t="shared" si="145"/>
        <v>0.30957192</v>
      </c>
      <c r="BI258" s="109">
        <f t="shared" si="146"/>
        <v>0</v>
      </c>
      <c r="BJ258" s="109">
        <f t="shared" si="147"/>
        <v>2.4185951191499999</v>
      </c>
      <c r="BK258" s="109">
        <f t="shared" si="148"/>
        <v>23.463567262007146</v>
      </c>
      <c r="BL258" s="148">
        <v>0.83</v>
      </c>
      <c r="BM258" s="112">
        <f>ROUND((AW258/BL258)+((AW258*BL258)*'CALCULO GERAL'!$E$11)/BL258,2)</f>
        <v>5.14</v>
      </c>
      <c r="BN258" s="186">
        <f t="shared" si="149"/>
        <v>5.14</v>
      </c>
      <c r="BO258" s="186">
        <f t="shared" si="150"/>
        <v>6.0220000000000002</v>
      </c>
      <c r="BP258" s="109">
        <f>BM258*'CALCULO GERAL'!$C$11</f>
        <v>25.79766</v>
      </c>
      <c r="BQ258" s="109">
        <f>BO258*'CALCULO GERAL'!$C$11</f>
        <v>30.224418000000004</v>
      </c>
      <c r="BR258" s="186">
        <f>BN258*'CALCULO GERAL'!$C$11</f>
        <v>25.79766</v>
      </c>
      <c r="BS258" s="109">
        <f t="shared" si="151"/>
        <v>361167.24</v>
      </c>
      <c r="BT258" s="109">
        <f t="shared" si="152"/>
        <v>361167.24</v>
      </c>
      <c r="BU258" s="109">
        <f t="shared" si="153"/>
        <v>328489.94166810007</v>
      </c>
      <c r="BV258" s="109">
        <f t="shared" si="154"/>
        <v>32677.298331899918</v>
      </c>
      <c r="BW258" s="114">
        <f t="shared" si="155"/>
        <v>9.0476916820860939E-2</v>
      </c>
      <c r="BX258" s="152">
        <f t="shared" si="168"/>
        <v>0.83</v>
      </c>
      <c r="BZ258" s="55"/>
      <c r="CA258" s="113"/>
      <c r="CB258" s="113"/>
      <c r="CD258" s="152">
        <f t="shared" si="169"/>
        <v>0</v>
      </c>
      <c r="CE258" s="152">
        <f t="shared" si="170"/>
        <v>1</v>
      </c>
      <c r="CF258" s="152">
        <f t="shared" si="171"/>
        <v>1</v>
      </c>
      <c r="CG258" s="34"/>
      <c r="CI258" s="11"/>
      <c r="CJ258" s="11"/>
    </row>
    <row r="259" spans="1:88" s="152" customFormat="1" x14ac:dyDescent="0.2">
      <c r="A259" s="5" t="s">
        <v>394</v>
      </c>
      <c r="B259" s="187" t="s">
        <v>383</v>
      </c>
      <c r="C259" s="8">
        <v>0.26</v>
      </c>
      <c r="D259" s="8">
        <v>0</v>
      </c>
      <c r="E259" s="7">
        <v>2.1000000000000001E-2</v>
      </c>
      <c r="F259" s="7">
        <v>0.1065</v>
      </c>
      <c r="G259" s="1">
        <v>6.4999999999999997E-3</v>
      </c>
      <c r="H259" s="1">
        <v>0.03</v>
      </c>
      <c r="I259" s="1">
        <v>0.18</v>
      </c>
      <c r="J259" s="1">
        <v>0.04</v>
      </c>
      <c r="K259" s="1">
        <v>0.14000000000000001</v>
      </c>
      <c r="L259" s="1">
        <v>1.4999999999999999E-2</v>
      </c>
      <c r="M259" s="2" t="s">
        <v>175</v>
      </c>
      <c r="N259" s="105">
        <v>14000</v>
      </c>
      <c r="O259" s="119"/>
      <c r="P259" s="119"/>
      <c r="Q259" s="119"/>
      <c r="R259" s="119"/>
      <c r="S259" s="119"/>
      <c r="T259" s="119"/>
      <c r="U259" s="119"/>
      <c r="V259" s="119">
        <v>2.62</v>
      </c>
      <c r="W259" s="119"/>
      <c r="X259" s="119">
        <f t="shared" si="160"/>
        <v>2.62</v>
      </c>
      <c r="Y259" s="118">
        <f t="shared" si="161"/>
        <v>2.62</v>
      </c>
      <c r="Z259" s="109">
        <f t="shared" si="172"/>
        <v>36680</v>
      </c>
      <c r="AA259" s="109">
        <f>'CALCULO GERAL'!$G$10</f>
        <v>6300</v>
      </c>
      <c r="AB259" s="109">
        <f t="shared" si="163"/>
        <v>42980</v>
      </c>
      <c r="AC259" s="109">
        <f>AB259*'CALCULO GERAL'!$C$11</f>
        <v>215716.62</v>
      </c>
      <c r="AD259" s="109">
        <f t="shared" si="164"/>
        <v>56086.321199999998</v>
      </c>
      <c r="AE259" s="109">
        <f t="shared" si="165"/>
        <v>0</v>
      </c>
      <c r="AF259" s="109">
        <f t="shared" si="166"/>
        <v>4530.0490200000004</v>
      </c>
      <c r="AG259" s="109">
        <f t="shared" si="167"/>
        <v>22973.820029999999</v>
      </c>
      <c r="AH259" s="109">
        <v>154.22999999999999</v>
      </c>
      <c r="AI259" s="109">
        <f>((AA259*'CALCULO GERAL'!$C$11))*0.08+20</f>
        <v>2549.576</v>
      </c>
      <c r="AJ259" s="109">
        <v>1010</v>
      </c>
      <c r="AK259" s="109">
        <v>2500</v>
      </c>
      <c r="AL259" s="109">
        <f>(AA259*('CALCULO GERAL'!$C$11*1.02))-(AA259*'CALCULO GERAL'!$C$11)</f>
        <v>632.39400000000387</v>
      </c>
      <c r="AM259" s="109">
        <v>1800</v>
      </c>
      <c r="AN259" s="109">
        <v>2600</v>
      </c>
      <c r="AO259" s="109">
        <v>9400</v>
      </c>
      <c r="AP259" s="109">
        <v>1000</v>
      </c>
      <c r="AQ259" s="109">
        <v>0</v>
      </c>
      <c r="AR259" s="109">
        <v>0</v>
      </c>
      <c r="AS259" s="109"/>
      <c r="AT259" s="109">
        <f t="shared" si="134"/>
        <v>320953.01024999999</v>
      </c>
      <c r="AU259" s="111">
        <f t="shared" si="135"/>
        <v>22.925215017857141</v>
      </c>
      <c r="AV259" s="109">
        <f>IFERROR((BS259*'CALCULO GERAL'!$E$11)/N259,0)</f>
        <v>0.56112419999999996</v>
      </c>
      <c r="AW259" s="109">
        <f>AU259/'CALCULO GERAL'!$C$11</f>
        <v>4.567685797540773</v>
      </c>
      <c r="AX259" s="109">
        <f>BP259-BB259-BD259*'CALCULO GERAL'!$C$11</f>
        <v>27.63536685</v>
      </c>
      <c r="AY259" s="109">
        <f t="shared" si="136"/>
        <v>0.17962988452500001</v>
      </c>
      <c r="AZ259" s="109">
        <f t="shared" si="137"/>
        <v>0.82906100549999995</v>
      </c>
      <c r="BA259" s="109">
        <f t="shared" si="138"/>
        <v>28.05621</v>
      </c>
      <c r="BB259" s="109">
        <f t="shared" si="139"/>
        <v>0.42084315</v>
      </c>
      <c r="BC259" s="109">
        <f t="shared" si="140"/>
        <v>28.05621</v>
      </c>
      <c r="BD259" s="109">
        <f t="shared" si="141"/>
        <v>0</v>
      </c>
      <c r="BE259" s="109">
        <f t="shared" si="142"/>
        <v>31422.9552</v>
      </c>
      <c r="BF259" s="109">
        <f t="shared" si="143"/>
        <v>47134.432799999995</v>
      </c>
      <c r="BG259" s="109">
        <f t="shared" si="144"/>
        <v>0.30300706799999994</v>
      </c>
      <c r="BH259" s="109">
        <f t="shared" si="145"/>
        <v>0.33667451999999998</v>
      </c>
      <c r="BI259" s="109">
        <f t="shared" si="146"/>
        <v>0</v>
      </c>
      <c r="BJ259" s="109">
        <f t="shared" si="147"/>
        <v>2.6303398280249999</v>
      </c>
      <c r="BK259" s="109">
        <f t="shared" si="148"/>
        <v>25.555554845882142</v>
      </c>
      <c r="BL259" s="148">
        <v>0.83</v>
      </c>
      <c r="BM259" s="112">
        <f>ROUND((AW259/BL259)+((AW259*BL259)*'CALCULO GERAL'!$E$11)/BL259,2)</f>
        <v>5.59</v>
      </c>
      <c r="BN259" s="186">
        <f t="shared" si="149"/>
        <v>5.59</v>
      </c>
      <c r="BO259" s="186">
        <f t="shared" si="150"/>
        <v>6.55</v>
      </c>
      <c r="BP259" s="109">
        <f>BM259*'CALCULO GERAL'!$C$11</f>
        <v>28.05621</v>
      </c>
      <c r="BQ259" s="109">
        <f>BO259*'CALCULO GERAL'!$C$11</f>
        <v>32.874450000000003</v>
      </c>
      <c r="BR259" s="186">
        <f>BN259*'CALCULO GERAL'!$C$11</f>
        <v>28.05621</v>
      </c>
      <c r="BS259" s="109">
        <f t="shared" si="151"/>
        <v>392786.94</v>
      </c>
      <c r="BT259" s="109">
        <f t="shared" si="152"/>
        <v>392786.94</v>
      </c>
      <c r="BU259" s="109">
        <f t="shared" si="153"/>
        <v>357777.76784235</v>
      </c>
      <c r="BV259" s="109">
        <f t="shared" si="154"/>
        <v>35009.172157649999</v>
      </c>
      <c r="BW259" s="114">
        <f t="shared" si="155"/>
        <v>8.9130183803081631E-2</v>
      </c>
      <c r="BX259" s="152">
        <f t="shared" si="168"/>
        <v>0.83</v>
      </c>
      <c r="BZ259" s="55"/>
      <c r="CA259" s="113"/>
      <c r="CB259" s="113"/>
      <c r="CD259" s="152">
        <f t="shared" si="169"/>
        <v>0</v>
      </c>
      <c r="CE259" s="152">
        <f t="shared" si="170"/>
        <v>1</v>
      </c>
      <c r="CF259" s="152">
        <f t="shared" si="171"/>
        <v>1</v>
      </c>
      <c r="CG259" s="34"/>
      <c r="CI259" s="11"/>
      <c r="CJ259" s="11"/>
    </row>
    <row r="260" spans="1:88" s="152" customFormat="1" x14ac:dyDescent="0.2">
      <c r="A260" s="229" t="s">
        <v>395</v>
      </c>
      <c r="B260" s="250" t="s">
        <v>383</v>
      </c>
      <c r="C260" s="251">
        <v>0.26</v>
      </c>
      <c r="D260" s="251">
        <v>0</v>
      </c>
      <c r="E260" s="252">
        <v>2.1000000000000001E-2</v>
      </c>
      <c r="F260" s="252">
        <v>0.1065</v>
      </c>
      <c r="G260" s="253">
        <v>6.4999999999999997E-3</v>
      </c>
      <c r="H260" s="253">
        <v>0.03</v>
      </c>
      <c r="I260" s="253">
        <v>0.18</v>
      </c>
      <c r="J260" s="253">
        <v>0.04</v>
      </c>
      <c r="K260" s="253">
        <v>0.14000000000000001</v>
      </c>
      <c r="L260" s="253">
        <v>1.4999999999999999E-2</v>
      </c>
      <c r="M260" s="254" t="s">
        <v>175</v>
      </c>
      <c r="N260" s="255">
        <v>60000</v>
      </c>
      <c r="O260" s="227"/>
      <c r="P260" s="227"/>
      <c r="Q260" s="227"/>
      <c r="R260" s="227"/>
      <c r="S260" s="227">
        <v>0.88</v>
      </c>
      <c r="T260" s="227">
        <v>0.9</v>
      </c>
      <c r="U260" s="227"/>
      <c r="V260" s="227">
        <v>1.08</v>
      </c>
      <c r="W260" s="227">
        <v>0.85</v>
      </c>
      <c r="X260" s="119">
        <f t="shared" si="160"/>
        <v>0.85</v>
      </c>
      <c r="Y260" s="118">
        <f t="shared" si="161"/>
        <v>0.9275000000000001</v>
      </c>
      <c r="Z260" s="109">
        <f t="shared" si="172"/>
        <v>55650.000000000007</v>
      </c>
      <c r="AA260" s="109">
        <f>'CALCULO GERAL'!$G$10</f>
        <v>6300</v>
      </c>
      <c r="AB260" s="109">
        <f t="shared" si="163"/>
        <v>61950.000000000007</v>
      </c>
      <c r="AC260" s="109">
        <f>AB260*'CALCULO GERAL'!$C$11</f>
        <v>310927.05000000005</v>
      </c>
      <c r="AD260" s="109">
        <f t="shared" si="164"/>
        <v>80841.03300000001</v>
      </c>
      <c r="AE260" s="109">
        <f t="shared" si="165"/>
        <v>0</v>
      </c>
      <c r="AF260" s="109">
        <f t="shared" si="166"/>
        <v>6529.4680500000013</v>
      </c>
      <c r="AG260" s="109">
        <f t="shared" si="167"/>
        <v>33113.730825000006</v>
      </c>
      <c r="AH260" s="109">
        <v>154.22999999999999</v>
      </c>
      <c r="AI260" s="109">
        <f>((AA260*'CALCULO GERAL'!$C$11))*0.08+20</f>
        <v>2549.576</v>
      </c>
      <c r="AJ260" s="109">
        <v>1010</v>
      </c>
      <c r="AK260" s="109">
        <v>2500</v>
      </c>
      <c r="AL260" s="109">
        <f>(AA260*('CALCULO GERAL'!$C$11*1.02))-(AA260*'CALCULO GERAL'!$C$11)</f>
        <v>632.39400000000387</v>
      </c>
      <c r="AM260" s="109">
        <v>1800</v>
      </c>
      <c r="AN260" s="109">
        <v>2600</v>
      </c>
      <c r="AO260" s="109">
        <v>9400</v>
      </c>
      <c r="AP260" s="109">
        <v>1000</v>
      </c>
      <c r="AQ260" s="109">
        <v>0</v>
      </c>
      <c r="AR260" s="109">
        <v>0</v>
      </c>
      <c r="AS260" s="109"/>
      <c r="AT260" s="109">
        <f t="shared" si="134"/>
        <v>453057.48187500011</v>
      </c>
      <c r="AU260" s="111">
        <f t="shared" si="135"/>
        <v>7.5509580312500022</v>
      </c>
      <c r="AV260" s="109">
        <f>IFERROR((BS260*'CALCULO GERAL'!$E$11)/N260,0)</f>
        <v>0.18068400000000001</v>
      </c>
      <c r="AW260" s="109">
        <f>AU260/'CALCULO GERAL'!$C$11</f>
        <v>1.5044746027595142</v>
      </c>
      <c r="AX260" s="109">
        <f>BP260-BB260-BD260*'CALCULO GERAL'!$C$11</f>
        <v>8.8986870000000007</v>
      </c>
      <c r="AY260" s="109">
        <f t="shared" si="136"/>
        <v>5.7841465500000001E-2</v>
      </c>
      <c r="AZ260" s="109">
        <f t="shared" si="137"/>
        <v>0.26696060999999999</v>
      </c>
      <c r="BA260" s="109">
        <f t="shared" si="138"/>
        <v>9.0342000000000002</v>
      </c>
      <c r="BB260" s="109">
        <f t="shared" si="139"/>
        <v>0.13551299999999999</v>
      </c>
      <c r="BC260" s="109">
        <f t="shared" si="140"/>
        <v>9.0342000000000002</v>
      </c>
      <c r="BD260" s="109">
        <f t="shared" si="141"/>
        <v>0</v>
      </c>
      <c r="BE260" s="109">
        <f t="shared" si="142"/>
        <v>43364.160000000003</v>
      </c>
      <c r="BF260" s="109">
        <f t="shared" si="143"/>
        <v>65046.239999999998</v>
      </c>
      <c r="BG260" s="109">
        <f t="shared" si="144"/>
        <v>9.7569359999999994E-2</v>
      </c>
      <c r="BH260" s="109">
        <f t="shared" si="145"/>
        <v>0.10841040000000002</v>
      </c>
      <c r="BI260" s="109">
        <f t="shared" si="146"/>
        <v>0</v>
      </c>
      <c r="BJ260" s="109">
        <f t="shared" si="147"/>
        <v>0.84697883549999997</v>
      </c>
      <c r="BK260" s="109">
        <f t="shared" si="148"/>
        <v>8.3979368667500029</v>
      </c>
      <c r="BL260" s="148">
        <v>0.85</v>
      </c>
      <c r="BM260" s="112">
        <f>ROUND((AW260/BL260)+((AW260*BL260)*'CALCULO GERAL'!$E$11)/BL260,2)</f>
        <v>1.8</v>
      </c>
      <c r="BN260" s="186">
        <f t="shared" si="149"/>
        <v>1.8</v>
      </c>
      <c r="BO260" s="186">
        <f t="shared" si="150"/>
        <v>2.109</v>
      </c>
      <c r="BP260" s="109">
        <f>BM260*'CALCULO GERAL'!$C$11</f>
        <v>9.0342000000000002</v>
      </c>
      <c r="BQ260" s="109">
        <f>BO260*'CALCULO GERAL'!$C$11</f>
        <v>10.585071000000001</v>
      </c>
      <c r="BR260" s="186">
        <f>BN260*'CALCULO GERAL'!$C$11</f>
        <v>9.0342000000000002</v>
      </c>
      <c r="BS260" s="109">
        <f t="shared" si="151"/>
        <v>542052</v>
      </c>
      <c r="BT260" s="109">
        <f t="shared" si="152"/>
        <v>542052</v>
      </c>
      <c r="BU260" s="109">
        <f t="shared" si="153"/>
        <v>503876.21200500015</v>
      </c>
      <c r="BV260" s="109">
        <f t="shared" si="154"/>
        <v>38175.787994999846</v>
      </c>
      <c r="BW260" s="114">
        <f t="shared" si="155"/>
        <v>7.0428276244714247E-2</v>
      </c>
      <c r="BX260" s="152">
        <f t="shared" si="168"/>
        <v>0.85</v>
      </c>
      <c r="BZ260" s="55"/>
      <c r="CA260" s="113"/>
      <c r="CB260" s="113"/>
      <c r="CD260" s="152">
        <f t="shared" si="169"/>
        <v>0</v>
      </c>
      <c r="CE260" s="152">
        <f t="shared" si="170"/>
        <v>1</v>
      </c>
      <c r="CF260" s="152">
        <f t="shared" si="171"/>
        <v>1</v>
      </c>
      <c r="CG260" s="34"/>
      <c r="CI260" s="11"/>
      <c r="CJ260" s="11"/>
    </row>
    <row r="261" spans="1:88" s="152" customFormat="1" x14ac:dyDescent="0.2">
      <c r="A261" s="229" t="s">
        <v>396</v>
      </c>
      <c r="B261" s="250" t="s">
        <v>383</v>
      </c>
      <c r="C261" s="251">
        <v>0.26</v>
      </c>
      <c r="D261" s="251">
        <v>0</v>
      </c>
      <c r="E261" s="252">
        <v>2.1000000000000001E-2</v>
      </c>
      <c r="F261" s="252">
        <v>0.1065</v>
      </c>
      <c r="G261" s="253">
        <v>6.4999999999999997E-3</v>
      </c>
      <c r="H261" s="253">
        <v>0.03</v>
      </c>
      <c r="I261" s="253">
        <v>0.18</v>
      </c>
      <c r="J261" s="253">
        <v>0.04</v>
      </c>
      <c r="K261" s="253">
        <v>0.14000000000000001</v>
      </c>
      <c r="L261" s="253">
        <v>1.4999999999999999E-2</v>
      </c>
      <c r="M261" s="254" t="s">
        <v>175</v>
      </c>
      <c r="N261" s="255">
        <v>58000</v>
      </c>
      <c r="O261" s="227"/>
      <c r="P261" s="227"/>
      <c r="Q261" s="227"/>
      <c r="R261" s="227"/>
      <c r="S261" s="227">
        <v>0.95</v>
      </c>
      <c r="T261" s="227">
        <v>1.02</v>
      </c>
      <c r="U261" s="227"/>
      <c r="V261" s="227">
        <v>0.91</v>
      </c>
      <c r="W261" s="227">
        <v>0.82</v>
      </c>
      <c r="X261" s="119">
        <f t="shared" si="160"/>
        <v>0.82</v>
      </c>
      <c r="Y261" s="118">
        <f t="shared" si="161"/>
        <v>0.92499999999999993</v>
      </c>
      <c r="Z261" s="109">
        <f t="shared" si="172"/>
        <v>53649.999999999993</v>
      </c>
      <c r="AA261" s="109">
        <f>'CALCULO GERAL'!$G$10</f>
        <v>6300</v>
      </c>
      <c r="AB261" s="109">
        <f t="shared" si="163"/>
        <v>59949.999999999993</v>
      </c>
      <c r="AC261" s="109">
        <f>AB261*'CALCULO GERAL'!$C$11</f>
        <v>300889.05</v>
      </c>
      <c r="AD261" s="109">
        <f t="shared" si="164"/>
        <v>78231.153000000006</v>
      </c>
      <c r="AE261" s="109">
        <f t="shared" si="165"/>
        <v>0</v>
      </c>
      <c r="AF261" s="109">
        <f t="shared" si="166"/>
        <v>6318.6700499999997</v>
      </c>
      <c r="AG261" s="109">
        <f t="shared" si="167"/>
        <v>32044.683824999996</v>
      </c>
      <c r="AH261" s="109">
        <v>154.22999999999999</v>
      </c>
      <c r="AI261" s="109">
        <f>((AA261*'CALCULO GERAL'!$C$11))*0.08+20</f>
        <v>2549.576</v>
      </c>
      <c r="AJ261" s="109">
        <v>1010</v>
      </c>
      <c r="AK261" s="109">
        <v>2500</v>
      </c>
      <c r="AL261" s="109">
        <f>(AA261*('CALCULO GERAL'!$C$11*1.02))-(AA261*'CALCULO GERAL'!$C$11)</f>
        <v>632.39400000000387</v>
      </c>
      <c r="AM261" s="109">
        <v>1800</v>
      </c>
      <c r="AN261" s="109">
        <v>2600</v>
      </c>
      <c r="AO261" s="109">
        <v>9400</v>
      </c>
      <c r="AP261" s="109">
        <v>1000</v>
      </c>
      <c r="AQ261" s="109">
        <v>0</v>
      </c>
      <c r="AR261" s="109">
        <v>0</v>
      </c>
      <c r="AS261" s="109"/>
      <c r="AT261" s="109">
        <f t="shared" si="134"/>
        <v>439129.75687500002</v>
      </c>
      <c r="AU261" s="111">
        <f t="shared" si="135"/>
        <v>7.5712027047413795</v>
      </c>
      <c r="AV261" s="109">
        <f>IFERROR((BS261*'CALCULO GERAL'!$E$11)/N261,0)</f>
        <v>0.18068400000000001</v>
      </c>
      <c r="AW261" s="109">
        <f>AU261/'CALCULO GERAL'!$C$11</f>
        <v>1.5085082097512212</v>
      </c>
      <c r="AX261" s="109">
        <f>BP261-BB261-BD261*'CALCULO GERAL'!$C$11</f>
        <v>8.8986870000000007</v>
      </c>
      <c r="AY261" s="109">
        <f t="shared" si="136"/>
        <v>5.7841465500000001E-2</v>
      </c>
      <c r="AZ261" s="109">
        <f t="shared" si="137"/>
        <v>0.26696060999999999</v>
      </c>
      <c r="BA261" s="109">
        <f t="shared" si="138"/>
        <v>9.0342000000000002</v>
      </c>
      <c r="BB261" s="109">
        <f t="shared" si="139"/>
        <v>0.13551299999999999</v>
      </c>
      <c r="BC261" s="109">
        <f t="shared" si="140"/>
        <v>9.0342000000000002</v>
      </c>
      <c r="BD261" s="109">
        <f t="shared" si="141"/>
        <v>0</v>
      </c>
      <c r="BE261" s="109">
        <f t="shared" si="142"/>
        <v>41918.688000000002</v>
      </c>
      <c r="BF261" s="109">
        <f t="shared" si="143"/>
        <v>62878.031999999999</v>
      </c>
      <c r="BG261" s="109">
        <f t="shared" si="144"/>
        <v>9.7569359999999994E-2</v>
      </c>
      <c r="BH261" s="109">
        <f t="shared" si="145"/>
        <v>0.1084104</v>
      </c>
      <c r="BI261" s="109">
        <f t="shared" si="146"/>
        <v>0</v>
      </c>
      <c r="BJ261" s="109">
        <f t="shared" si="147"/>
        <v>0.84697883549999997</v>
      </c>
      <c r="BK261" s="109">
        <f t="shared" si="148"/>
        <v>8.4181815402413793</v>
      </c>
      <c r="BL261" s="148">
        <v>0.85</v>
      </c>
      <c r="BM261" s="112">
        <f>ROUND((AW261/BL261)+((AW261*BL261)*'CALCULO GERAL'!$E$11)/BL261,2)</f>
        <v>1.8</v>
      </c>
      <c r="BN261" s="186">
        <f t="shared" si="149"/>
        <v>1.8</v>
      </c>
      <c r="BO261" s="186">
        <f t="shared" si="150"/>
        <v>2.109</v>
      </c>
      <c r="BP261" s="109">
        <f>BM261*'CALCULO GERAL'!$C$11</f>
        <v>9.0342000000000002</v>
      </c>
      <c r="BQ261" s="109">
        <f>BO261*'CALCULO GERAL'!$C$11</f>
        <v>10.585071000000001</v>
      </c>
      <c r="BR261" s="186">
        <f>BN261*'CALCULO GERAL'!$C$11</f>
        <v>9.0342000000000002</v>
      </c>
      <c r="BS261" s="109">
        <f t="shared" si="151"/>
        <v>523983.60000000003</v>
      </c>
      <c r="BT261" s="109">
        <f t="shared" si="152"/>
        <v>523983.60000000003</v>
      </c>
      <c r="BU261" s="109">
        <f t="shared" si="153"/>
        <v>488254.52933400002</v>
      </c>
      <c r="BV261" s="109">
        <f t="shared" si="154"/>
        <v>35729.070666000014</v>
      </c>
      <c r="BW261" s="114">
        <f t="shared" si="155"/>
        <v>6.8187383471543794E-2</v>
      </c>
      <c r="BX261" s="152">
        <f t="shared" si="168"/>
        <v>0.85</v>
      </c>
      <c r="BZ261" s="55"/>
      <c r="CA261" s="113"/>
      <c r="CB261" s="113"/>
      <c r="CD261" s="152">
        <f t="shared" si="169"/>
        <v>0</v>
      </c>
      <c r="CE261" s="152">
        <f t="shared" si="170"/>
        <v>1</v>
      </c>
      <c r="CF261" s="152">
        <f t="shared" si="171"/>
        <v>1</v>
      </c>
      <c r="CG261" s="34"/>
      <c r="CI261" s="11"/>
      <c r="CJ261" s="11"/>
    </row>
    <row r="262" spans="1:88" s="152" customFormat="1" x14ac:dyDescent="0.2">
      <c r="A262" s="229" t="s">
        <v>397</v>
      </c>
      <c r="B262" s="250" t="s">
        <v>383</v>
      </c>
      <c r="C262" s="251">
        <v>0.26</v>
      </c>
      <c r="D262" s="251">
        <v>0</v>
      </c>
      <c r="E262" s="252">
        <v>2.1000000000000001E-2</v>
      </c>
      <c r="F262" s="252">
        <v>0.1065</v>
      </c>
      <c r="G262" s="253">
        <v>6.4999999999999997E-3</v>
      </c>
      <c r="H262" s="253">
        <v>0.03</v>
      </c>
      <c r="I262" s="253">
        <v>0.18</v>
      </c>
      <c r="J262" s="253">
        <v>0.04</v>
      </c>
      <c r="K262" s="253">
        <v>0.14000000000000001</v>
      </c>
      <c r="L262" s="253">
        <v>1.4999999999999999E-2</v>
      </c>
      <c r="M262" s="254" t="s">
        <v>175</v>
      </c>
      <c r="N262" s="255">
        <v>80000</v>
      </c>
      <c r="O262" s="227"/>
      <c r="P262" s="227"/>
      <c r="Q262" s="227"/>
      <c r="R262" s="227"/>
      <c r="S262" s="227">
        <v>0.74</v>
      </c>
      <c r="T262" s="227">
        <v>0.76</v>
      </c>
      <c r="U262" s="227"/>
      <c r="V262" s="227">
        <v>0.76</v>
      </c>
      <c r="W262" s="227">
        <v>0.64500000000000002</v>
      </c>
      <c r="X262" s="119">
        <f t="shared" si="160"/>
        <v>0.64500000000000002</v>
      </c>
      <c r="Y262" s="118">
        <f t="shared" si="161"/>
        <v>0.72624999999999995</v>
      </c>
      <c r="Z262" s="109">
        <f t="shared" si="172"/>
        <v>58099.999999999993</v>
      </c>
      <c r="AA262" s="109">
        <f>'CALCULO GERAL'!$G$10</f>
        <v>6300</v>
      </c>
      <c r="AB262" s="109">
        <f t="shared" si="163"/>
        <v>64399.999999999993</v>
      </c>
      <c r="AC262" s="109">
        <f>AB262*'CALCULO GERAL'!$C$11</f>
        <v>323223.59999999998</v>
      </c>
      <c r="AD262" s="109">
        <f t="shared" si="164"/>
        <v>84038.135999999999</v>
      </c>
      <c r="AE262" s="109">
        <f t="shared" si="165"/>
        <v>0</v>
      </c>
      <c r="AF262" s="109">
        <f t="shared" si="166"/>
        <v>6787.6956</v>
      </c>
      <c r="AG262" s="109">
        <f t="shared" si="167"/>
        <v>34423.313399999999</v>
      </c>
      <c r="AH262" s="109">
        <v>154.22999999999999</v>
      </c>
      <c r="AI262" s="109">
        <f>((AA262*'CALCULO GERAL'!$C$11))*0.08+20</f>
        <v>2549.576</v>
      </c>
      <c r="AJ262" s="109">
        <v>1010</v>
      </c>
      <c r="AK262" s="109">
        <v>2500</v>
      </c>
      <c r="AL262" s="109">
        <f>(AA262*('CALCULO GERAL'!$C$11*1.02))-(AA262*'CALCULO GERAL'!$C$11)</f>
        <v>632.39400000000387</v>
      </c>
      <c r="AM262" s="109">
        <v>1800</v>
      </c>
      <c r="AN262" s="109">
        <v>2600</v>
      </c>
      <c r="AO262" s="109">
        <v>9400</v>
      </c>
      <c r="AP262" s="109">
        <v>1000</v>
      </c>
      <c r="AQ262" s="109">
        <v>0</v>
      </c>
      <c r="AR262" s="109">
        <v>0</v>
      </c>
      <c r="AS262" s="109"/>
      <c r="AT262" s="109">
        <f t="shared" si="134"/>
        <v>470118.94499999995</v>
      </c>
      <c r="AU262" s="111">
        <f t="shared" si="135"/>
        <v>5.8764868124999996</v>
      </c>
      <c r="AV262" s="109">
        <f>IFERROR((BS262*'CALCULO GERAL'!$E$11)/N262,0)</f>
        <v>0.13852439999999999</v>
      </c>
      <c r="AW262" s="109">
        <f>AU262/'CALCULO GERAL'!$C$11</f>
        <v>1.1708481395696353</v>
      </c>
      <c r="AX262" s="109">
        <f>BP262-BB262-BD262*'CALCULO GERAL'!$C$11</f>
        <v>6.8223266999999996</v>
      </c>
      <c r="AY262" s="109">
        <f t="shared" si="136"/>
        <v>4.4345123549999997E-2</v>
      </c>
      <c r="AZ262" s="109">
        <f t="shared" si="137"/>
        <v>0.20466980099999998</v>
      </c>
      <c r="BA262" s="109">
        <f t="shared" si="138"/>
        <v>6.9262199999999998</v>
      </c>
      <c r="BB262" s="109">
        <f t="shared" si="139"/>
        <v>0.10389329999999999</v>
      </c>
      <c r="BC262" s="109">
        <f t="shared" si="140"/>
        <v>6.9262199999999998</v>
      </c>
      <c r="BD262" s="109">
        <f t="shared" si="141"/>
        <v>0</v>
      </c>
      <c r="BE262" s="109">
        <f t="shared" si="142"/>
        <v>44327.807999999997</v>
      </c>
      <c r="BF262" s="109">
        <f t="shared" si="143"/>
        <v>66491.712</v>
      </c>
      <c r="BG262" s="109">
        <f t="shared" si="144"/>
        <v>7.4803175999999999E-2</v>
      </c>
      <c r="BH262" s="109">
        <f t="shared" si="145"/>
        <v>8.3114640000000004E-2</v>
      </c>
      <c r="BI262" s="109">
        <f t="shared" si="146"/>
        <v>0</v>
      </c>
      <c r="BJ262" s="109">
        <f t="shared" si="147"/>
        <v>0.64935044055000002</v>
      </c>
      <c r="BK262" s="109">
        <f t="shared" si="148"/>
        <v>6.5258372530499997</v>
      </c>
      <c r="BL262" s="148">
        <v>0.86</v>
      </c>
      <c r="BM262" s="112">
        <f>ROUND((AW262/BL262)+((AW262*BL262)*'CALCULO GERAL'!$E$11)/BL262,2)</f>
        <v>1.38</v>
      </c>
      <c r="BN262" s="186">
        <f t="shared" si="149"/>
        <v>1.38</v>
      </c>
      <c r="BO262" s="186">
        <f t="shared" si="150"/>
        <v>1.617</v>
      </c>
      <c r="BP262" s="109">
        <f>BM262*'CALCULO GERAL'!$C$11</f>
        <v>6.9262199999999998</v>
      </c>
      <c r="BQ262" s="109">
        <f>BO262*'CALCULO GERAL'!$C$11</f>
        <v>8.1157230000000009</v>
      </c>
      <c r="BR262" s="186">
        <f>BN262*'CALCULO GERAL'!$C$11</f>
        <v>6.9262199999999998</v>
      </c>
      <c r="BS262" s="109">
        <f t="shared" si="151"/>
        <v>554097.6</v>
      </c>
      <c r="BT262" s="109">
        <f t="shared" si="152"/>
        <v>554097.6</v>
      </c>
      <c r="BU262" s="109">
        <f t="shared" si="153"/>
        <v>522066.98024399998</v>
      </c>
      <c r="BV262" s="109">
        <f t="shared" si="154"/>
        <v>32030.619756</v>
      </c>
      <c r="BW262" s="114">
        <f t="shared" si="155"/>
        <v>5.7806819152438127E-2</v>
      </c>
      <c r="BX262" s="152">
        <f t="shared" si="168"/>
        <v>0.86</v>
      </c>
      <c r="BZ262" s="55"/>
      <c r="CA262" s="113"/>
      <c r="CB262" s="113"/>
      <c r="CD262" s="152">
        <f t="shared" si="169"/>
        <v>0</v>
      </c>
      <c r="CE262" s="152">
        <f t="shared" si="170"/>
        <v>1</v>
      </c>
      <c r="CF262" s="152">
        <f t="shared" si="171"/>
        <v>1</v>
      </c>
      <c r="CG262" s="34"/>
      <c r="CI262" s="11"/>
      <c r="CJ262" s="11"/>
    </row>
    <row r="263" spans="1:88" s="152" customFormat="1" x14ac:dyDescent="0.2">
      <c r="A263" s="5" t="s">
        <v>398</v>
      </c>
      <c r="B263" s="187" t="s">
        <v>399</v>
      </c>
      <c r="C263" s="8">
        <v>0.26</v>
      </c>
      <c r="D263" s="8">
        <v>0</v>
      </c>
      <c r="E263" s="7">
        <v>2.1000000000000001E-2</v>
      </c>
      <c r="F263" s="7">
        <v>0.1065</v>
      </c>
      <c r="G263" s="1">
        <v>6.4999999999999997E-3</v>
      </c>
      <c r="H263" s="1">
        <v>0.03</v>
      </c>
      <c r="I263" s="1">
        <v>0.18</v>
      </c>
      <c r="J263" s="1">
        <v>0.04</v>
      </c>
      <c r="K263" s="1">
        <v>0.14000000000000001</v>
      </c>
      <c r="L263" s="1">
        <v>1.4999999999999999E-2</v>
      </c>
      <c r="M263" s="2" t="s">
        <v>175</v>
      </c>
      <c r="N263" s="105">
        <v>180000</v>
      </c>
      <c r="O263" s="119"/>
      <c r="P263" s="119"/>
      <c r="Q263" s="119"/>
      <c r="R263" s="119"/>
      <c r="S263" s="119"/>
      <c r="T263" s="119"/>
      <c r="U263" s="119">
        <v>0.505</v>
      </c>
      <c r="V263" s="119"/>
      <c r="W263" s="119"/>
      <c r="X263" s="119">
        <f t="shared" si="160"/>
        <v>0.505</v>
      </c>
      <c r="Y263" s="118">
        <f t="shared" si="161"/>
        <v>0.505</v>
      </c>
      <c r="Z263" s="109">
        <f t="shared" si="172"/>
        <v>90900</v>
      </c>
      <c r="AA263" s="109">
        <f>'CALCULO GERAL'!$G$10</f>
        <v>6300</v>
      </c>
      <c r="AB263" s="109">
        <f t="shared" si="163"/>
        <v>97200</v>
      </c>
      <c r="AC263" s="109">
        <f>AB263*'CALCULO GERAL'!$C$11</f>
        <v>487846.8</v>
      </c>
      <c r="AD263" s="109">
        <f t="shared" si="164"/>
        <v>126840.16800000001</v>
      </c>
      <c r="AE263" s="109">
        <f t="shared" si="165"/>
        <v>0</v>
      </c>
      <c r="AF263" s="109">
        <f t="shared" si="166"/>
        <v>10244.782800000001</v>
      </c>
      <c r="AG263" s="109">
        <f t="shared" si="167"/>
        <v>51955.684199999996</v>
      </c>
      <c r="AH263" s="109">
        <v>154.22999999999999</v>
      </c>
      <c r="AI263" s="109">
        <f>((AA263*'CALCULO GERAL'!$C$11))*0.08+20</f>
        <v>2549.576</v>
      </c>
      <c r="AJ263" s="109">
        <v>1010</v>
      </c>
      <c r="AK263" s="109">
        <v>2500</v>
      </c>
      <c r="AL263" s="109">
        <f>(AA263*('CALCULO GERAL'!$C$11*1.02))-(AA263*'CALCULO GERAL'!$C$11)</f>
        <v>632.39400000000387</v>
      </c>
      <c r="AM263" s="109">
        <v>1800</v>
      </c>
      <c r="AN263" s="109">
        <v>2600</v>
      </c>
      <c r="AO263" s="109">
        <v>9400</v>
      </c>
      <c r="AP263" s="109">
        <v>1000</v>
      </c>
      <c r="AQ263" s="109">
        <v>0</v>
      </c>
      <c r="AR263" s="109">
        <v>0</v>
      </c>
      <c r="AS263" s="109"/>
      <c r="AT263" s="109">
        <f t="shared" si="134"/>
        <v>698533.63500000001</v>
      </c>
      <c r="AU263" s="111">
        <f t="shared" si="135"/>
        <v>3.8807424166666666</v>
      </c>
      <c r="AV263" s="109">
        <f>IFERROR((BS263*'CALCULO GERAL'!$E$11)/N263,0)</f>
        <v>9.1345799999999991E-2</v>
      </c>
      <c r="AW263" s="109">
        <f>AU263/'CALCULO GERAL'!$C$11</f>
        <v>0.77321028425317129</v>
      </c>
      <c r="AX263" s="109">
        <f>BP263-BB263-BD263*'CALCULO GERAL'!$C$11</f>
        <v>4.4987806499999996</v>
      </c>
      <c r="AY263" s="109">
        <f t="shared" si="136"/>
        <v>2.9242074224999998E-2</v>
      </c>
      <c r="AZ263" s="109">
        <f t="shared" si="137"/>
        <v>0.13496341949999999</v>
      </c>
      <c r="BA263" s="109">
        <f t="shared" si="138"/>
        <v>4.5672899999999998</v>
      </c>
      <c r="BB263" s="109">
        <f t="shared" si="139"/>
        <v>6.8509349999999997E-2</v>
      </c>
      <c r="BC263" s="109">
        <f t="shared" si="140"/>
        <v>4.5672899999999998</v>
      </c>
      <c r="BD263" s="109">
        <f t="shared" si="141"/>
        <v>0</v>
      </c>
      <c r="BE263" s="109">
        <f t="shared" si="142"/>
        <v>65768.975999999995</v>
      </c>
      <c r="BF263" s="109">
        <f t="shared" si="143"/>
        <v>98653.463999999993</v>
      </c>
      <c r="BG263" s="109">
        <f t="shared" si="144"/>
        <v>4.9326731999999991E-2</v>
      </c>
      <c r="BH263" s="109">
        <f t="shared" si="145"/>
        <v>5.4807479999999992E-2</v>
      </c>
      <c r="BI263" s="109">
        <f t="shared" si="146"/>
        <v>-3.2049922222222209E-3</v>
      </c>
      <c r="BJ263" s="109">
        <f t="shared" si="147"/>
        <v>0.42498986350277773</v>
      </c>
      <c r="BK263" s="109">
        <f t="shared" si="148"/>
        <v>4.305732280169444</v>
      </c>
      <c r="BL263" s="148">
        <v>0.86499999999999999</v>
      </c>
      <c r="BM263" s="112">
        <f>ROUND((AW263/BL263)+((AW263*BL263)*'CALCULO GERAL'!$E$11)/BL263,2)</f>
        <v>0.91</v>
      </c>
      <c r="BN263" s="186">
        <f t="shared" si="149"/>
        <v>0.91</v>
      </c>
      <c r="BO263" s="186">
        <f t="shared" si="150"/>
        <v>1.0660000000000001</v>
      </c>
      <c r="BP263" s="109">
        <f>BM263*'CALCULO GERAL'!$C$11</f>
        <v>4.5672899999999998</v>
      </c>
      <c r="BQ263" s="109">
        <f>BO263*'CALCULO GERAL'!$C$11</f>
        <v>5.3502540000000005</v>
      </c>
      <c r="BR263" s="186">
        <f>BN263*'CALCULO GERAL'!$C$11</f>
        <v>4.5672899999999998</v>
      </c>
      <c r="BS263" s="109">
        <f t="shared" si="151"/>
        <v>822112.2</v>
      </c>
      <c r="BT263" s="109">
        <f t="shared" si="152"/>
        <v>822112.2</v>
      </c>
      <c r="BU263" s="109">
        <f t="shared" si="153"/>
        <v>775031.81043049996</v>
      </c>
      <c r="BV263" s="109">
        <f t="shared" si="154"/>
        <v>47080.389569499996</v>
      </c>
      <c r="BW263" s="114">
        <f t="shared" si="155"/>
        <v>5.7267596283694606E-2</v>
      </c>
      <c r="BX263" s="152">
        <f t="shared" si="168"/>
        <v>0.87</v>
      </c>
      <c r="BZ263" s="55"/>
      <c r="CA263" s="113"/>
      <c r="CB263" s="113"/>
      <c r="CD263" s="152">
        <f t="shared" si="169"/>
        <v>0</v>
      </c>
      <c r="CE263" s="152">
        <f t="shared" si="170"/>
        <v>1</v>
      </c>
      <c r="CF263" s="152">
        <f t="shared" si="171"/>
        <v>1</v>
      </c>
      <c r="CG263" s="34"/>
      <c r="CI263" s="11"/>
      <c r="CJ263" s="11"/>
    </row>
    <row r="264" spans="1:88" s="152" customFormat="1" x14ac:dyDescent="0.2">
      <c r="A264" s="5" t="s">
        <v>400</v>
      </c>
      <c r="B264" s="187" t="s">
        <v>399</v>
      </c>
      <c r="C264" s="8">
        <v>0.26</v>
      </c>
      <c r="D264" s="8">
        <v>0</v>
      </c>
      <c r="E264" s="7">
        <v>2.1000000000000001E-2</v>
      </c>
      <c r="F264" s="7">
        <v>0.1065</v>
      </c>
      <c r="G264" s="1">
        <v>6.4999999999999997E-3</v>
      </c>
      <c r="H264" s="1">
        <v>0.03</v>
      </c>
      <c r="I264" s="1">
        <v>0.18</v>
      </c>
      <c r="J264" s="1">
        <v>0.04</v>
      </c>
      <c r="K264" s="1">
        <v>0.14000000000000001</v>
      </c>
      <c r="L264" s="1">
        <v>1.4999999999999999E-2</v>
      </c>
      <c r="M264" s="2" t="s">
        <v>175</v>
      </c>
      <c r="N264" s="105">
        <v>180000</v>
      </c>
      <c r="O264" s="119"/>
      <c r="P264" s="119"/>
      <c r="Q264" s="119"/>
      <c r="R264" s="119"/>
      <c r="S264" s="119"/>
      <c r="T264" s="119"/>
      <c r="U264" s="119">
        <v>0.48</v>
      </c>
      <c r="V264" s="119"/>
      <c r="W264" s="119"/>
      <c r="X264" s="119">
        <f t="shared" si="160"/>
        <v>0.48</v>
      </c>
      <c r="Y264" s="118">
        <f t="shared" si="161"/>
        <v>0.48</v>
      </c>
      <c r="Z264" s="109">
        <f t="shared" si="172"/>
        <v>86400</v>
      </c>
      <c r="AA264" s="109">
        <f>'CALCULO GERAL'!$G$10</f>
        <v>6300</v>
      </c>
      <c r="AB264" s="109">
        <f t="shared" si="163"/>
        <v>92700</v>
      </c>
      <c r="AC264" s="109">
        <f>AB264*'CALCULO GERAL'!$C$11</f>
        <v>465261.3</v>
      </c>
      <c r="AD264" s="109">
        <f t="shared" si="164"/>
        <v>120967.93799999999</v>
      </c>
      <c r="AE264" s="109">
        <f t="shared" si="165"/>
        <v>0</v>
      </c>
      <c r="AF264" s="109">
        <f t="shared" si="166"/>
        <v>9770.4873000000007</v>
      </c>
      <c r="AG264" s="109">
        <f t="shared" si="167"/>
        <v>49550.328450000001</v>
      </c>
      <c r="AH264" s="109">
        <v>154.22999999999999</v>
      </c>
      <c r="AI264" s="109">
        <f>((AA264*'CALCULO GERAL'!$C$11))*0.08+20</f>
        <v>2549.576</v>
      </c>
      <c r="AJ264" s="109">
        <v>1010</v>
      </c>
      <c r="AK264" s="109">
        <v>2500</v>
      </c>
      <c r="AL264" s="109">
        <f>(AA264*('CALCULO GERAL'!$C$11*1.02))-(AA264*'CALCULO GERAL'!$C$11)</f>
        <v>632.39400000000387</v>
      </c>
      <c r="AM264" s="109">
        <v>1800</v>
      </c>
      <c r="AN264" s="109">
        <v>2600</v>
      </c>
      <c r="AO264" s="109">
        <v>9400</v>
      </c>
      <c r="AP264" s="109">
        <v>1000</v>
      </c>
      <c r="AQ264" s="109">
        <v>0</v>
      </c>
      <c r="AR264" s="109">
        <v>0</v>
      </c>
      <c r="AS264" s="109"/>
      <c r="AT264" s="109">
        <f t="shared" si="134"/>
        <v>667196.25375000003</v>
      </c>
      <c r="AU264" s="111">
        <f t="shared" si="135"/>
        <v>3.7066458541666667</v>
      </c>
      <c r="AV264" s="109">
        <f>IFERROR((BS264*'CALCULO GERAL'!$E$11)/N264,0)</f>
        <v>8.7330600000000008E-2</v>
      </c>
      <c r="AW264" s="109">
        <f>AU264/'CALCULO GERAL'!$C$11</f>
        <v>0.7385227842531713</v>
      </c>
      <c r="AX264" s="109">
        <f>BP264-BB264-BD264*'CALCULO GERAL'!$C$11</f>
        <v>4.3010320499999999</v>
      </c>
      <c r="AY264" s="109">
        <f t="shared" si="136"/>
        <v>2.7956708324999999E-2</v>
      </c>
      <c r="AZ264" s="109">
        <f t="shared" si="137"/>
        <v>0.12903096149999999</v>
      </c>
      <c r="BA264" s="109">
        <f t="shared" si="138"/>
        <v>4.36653</v>
      </c>
      <c r="BB264" s="109">
        <f t="shared" si="139"/>
        <v>6.5497949999999999E-2</v>
      </c>
      <c r="BC264" s="109">
        <f t="shared" si="140"/>
        <v>4.36653</v>
      </c>
      <c r="BD264" s="109">
        <f t="shared" si="141"/>
        <v>0</v>
      </c>
      <c r="BE264" s="109">
        <f t="shared" si="142"/>
        <v>62878.032000000007</v>
      </c>
      <c r="BF264" s="109">
        <f t="shared" si="143"/>
        <v>94317.047999999995</v>
      </c>
      <c r="BG264" s="109">
        <f t="shared" si="144"/>
        <v>4.7158523999999993E-2</v>
      </c>
      <c r="BH264" s="109">
        <f t="shared" si="145"/>
        <v>5.2398360000000005E-2</v>
      </c>
      <c r="BI264" s="109">
        <f t="shared" si="146"/>
        <v>-1.5989122222222272E-3</v>
      </c>
      <c r="BJ264" s="109">
        <f t="shared" si="147"/>
        <v>0.40777419160277767</v>
      </c>
      <c r="BK264" s="109">
        <f t="shared" si="148"/>
        <v>4.1144200457694442</v>
      </c>
      <c r="BL264" s="148">
        <v>0.86499999999999999</v>
      </c>
      <c r="BM264" s="112">
        <f>ROUND((AW264/BL264)+((AW264*BL264)*'CALCULO GERAL'!$E$11)/BL264,2)</f>
        <v>0.87</v>
      </c>
      <c r="BN264" s="186">
        <f t="shared" si="149"/>
        <v>0.87</v>
      </c>
      <c r="BO264" s="186">
        <f t="shared" si="150"/>
        <v>1.0189999999999999</v>
      </c>
      <c r="BP264" s="109">
        <f>BM264*'CALCULO GERAL'!$C$11</f>
        <v>4.36653</v>
      </c>
      <c r="BQ264" s="109">
        <f>BO264*'CALCULO GERAL'!$C$11</f>
        <v>5.1143609999999997</v>
      </c>
      <c r="BR264" s="186">
        <f>BN264*'CALCULO GERAL'!$C$11</f>
        <v>4.36653</v>
      </c>
      <c r="BS264" s="109">
        <f t="shared" si="151"/>
        <v>785975.4</v>
      </c>
      <c r="BT264" s="109">
        <f t="shared" si="152"/>
        <v>785975.4</v>
      </c>
      <c r="BU264" s="109">
        <f t="shared" si="153"/>
        <v>740595.60823849996</v>
      </c>
      <c r="BV264" s="109">
        <f t="shared" si="154"/>
        <v>45379.791761500062</v>
      </c>
      <c r="BW264" s="114">
        <f t="shared" si="155"/>
        <v>5.773691105535881E-2</v>
      </c>
      <c r="BX264" s="152">
        <f t="shared" si="168"/>
        <v>0.87</v>
      </c>
      <c r="BZ264" s="55"/>
      <c r="CA264" s="113"/>
      <c r="CB264" s="113"/>
      <c r="CD264" s="152">
        <f t="shared" si="169"/>
        <v>0</v>
      </c>
      <c r="CE264" s="152">
        <f t="shared" si="170"/>
        <v>1</v>
      </c>
      <c r="CF264" s="152">
        <f t="shared" si="171"/>
        <v>1</v>
      </c>
      <c r="CG264" s="34"/>
      <c r="CI264" s="11"/>
      <c r="CJ264" s="11"/>
    </row>
    <row r="265" spans="1:88" s="152" customFormat="1" x14ac:dyDescent="0.2">
      <c r="A265" s="5" t="s">
        <v>401</v>
      </c>
      <c r="B265" s="187" t="s">
        <v>399</v>
      </c>
      <c r="C265" s="8">
        <v>0.26</v>
      </c>
      <c r="D265" s="8">
        <v>0</v>
      </c>
      <c r="E265" s="7">
        <v>2.1000000000000001E-2</v>
      </c>
      <c r="F265" s="7">
        <v>0.1065</v>
      </c>
      <c r="G265" s="1">
        <v>6.4999999999999997E-3</v>
      </c>
      <c r="H265" s="1">
        <v>0.03</v>
      </c>
      <c r="I265" s="1">
        <v>0.18</v>
      </c>
      <c r="J265" s="1">
        <v>0.04</v>
      </c>
      <c r="K265" s="1">
        <v>0.14000000000000001</v>
      </c>
      <c r="L265" s="1">
        <v>1.4999999999999999E-2</v>
      </c>
      <c r="M265" s="2" t="s">
        <v>175</v>
      </c>
      <c r="N265" s="105">
        <v>70000</v>
      </c>
      <c r="O265" s="119"/>
      <c r="P265" s="119"/>
      <c r="Q265" s="119"/>
      <c r="R265" s="119"/>
      <c r="S265" s="119"/>
      <c r="T265" s="119"/>
      <c r="U265" s="119"/>
      <c r="V265" s="119">
        <v>0.93</v>
      </c>
      <c r="W265" s="119"/>
      <c r="X265" s="119">
        <f t="shared" si="160"/>
        <v>0.93</v>
      </c>
      <c r="Y265" s="118">
        <f t="shared" si="161"/>
        <v>0.93</v>
      </c>
      <c r="Z265" s="109">
        <f t="shared" si="172"/>
        <v>65100</v>
      </c>
      <c r="AA265" s="109">
        <f>'CALCULO GERAL'!$G$10</f>
        <v>6300</v>
      </c>
      <c r="AB265" s="109">
        <f t="shared" si="163"/>
        <v>71400</v>
      </c>
      <c r="AC265" s="109">
        <f>AB265*'CALCULO GERAL'!$C$11</f>
        <v>358356.60000000003</v>
      </c>
      <c r="AD265" s="109">
        <f t="shared" si="164"/>
        <v>93172.716000000015</v>
      </c>
      <c r="AE265" s="109">
        <f t="shared" si="165"/>
        <v>0</v>
      </c>
      <c r="AF265" s="109">
        <f t="shared" si="166"/>
        <v>7525.4886000000015</v>
      </c>
      <c r="AG265" s="109">
        <f t="shared" si="167"/>
        <v>38164.977900000005</v>
      </c>
      <c r="AH265" s="109">
        <v>154.22999999999999</v>
      </c>
      <c r="AI265" s="109">
        <f>((AA265*'CALCULO GERAL'!$C$11))*0.08+20</f>
        <v>2549.576</v>
      </c>
      <c r="AJ265" s="109">
        <v>1010</v>
      </c>
      <c r="AK265" s="109">
        <v>2500</v>
      </c>
      <c r="AL265" s="109">
        <f>(AA265*('CALCULO GERAL'!$C$11*1.02))-(AA265*'CALCULO GERAL'!$C$11)</f>
        <v>632.39400000000387</v>
      </c>
      <c r="AM265" s="109">
        <v>1800</v>
      </c>
      <c r="AN265" s="109">
        <v>2600</v>
      </c>
      <c r="AO265" s="109">
        <v>9400</v>
      </c>
      <c r="AP265" s="109">
        <v>1000</v>
      </c>
      <c r="AQ265" s="109">
        <v>0</v>
      </c>
      <c r="AR265" s="109">
        <v>0</v>
      </c>
      <c r="AS265" s="109"/>
      <c r="AT265" s="109">
        <f t="shared" si="134"/>
        <v>518865.98250000004</v>
      </c>
      <c r="AU265" s="111">
        <f t="shared" si="135"/>
        <v>7.412371178571429</v>
      </c>
      <c r="AV265" s="109">
        <f>IFERROR((BS265*'CALCULO GERAL'!$E$11)/N265,0)</f>
        <v>0.17365739999999996</v>
      </c>
      <c r="AW265" s="109">
        <f>AU265/'CALCULO GERAL'!$C$11</f>
        <v>1.4768621595081548</v>
      </c>
      <c r="AX265" s="109">
        <f>BP265-BB265-BD265*'CALCULO GERAL'!$C$11</f>
        <v>8.5526269499999987</v>
      </c>
      <c r="AY265" s="109">
        <f t="shared" si="136"/>
        <v>5.5592075174999991E-2</v>
      </c>
      <c r="AZ265" s="109">
        <f t="shared" si="137"/>
        <v>0.25657880849999998</v>
      </c>
      <c r="BA265" s="109">
        <f t="shared" si="138"/>
        <v>8.6828699999999994</v>
      </c>
      <c r="BB265" s="109">
        <f t="shared" si="139"/>
        <v>0.13024305</v>
      </c>
      <c r="BC265" s="109">
        <f t="shared" si="140"/>
        <v>8.6828699999999994</v>
      </c>
      <c r="BD265" s="109">
        <f t="shared" si="141"/>
        <v>0</v>
      </c>
      <c r="BE265" s="109">
        <f t="shared" si="142"/>
        <v>48624.071999999993</v>
      </c>
      <c r="BF265" s="109">
        <f t="shared" si="143"/>
        <v>72936.107999999993</v>
      </c>
      <c r="BG265" s="109">
        <f t="shared" si="144"/>
        <v>9.3774995999999985E-2</v>
      </c>
      <c r="BH265" s="109">
        <f t="shared" si="145"/>
        <v>0.10419443999999999</v>
      </c>
      <c r="BI265" s="109">
        <f t="shared" si="146"/>
        <v>0</v>
      </c>
      <c r="BJ265" s="109">
        <f t="shared" si="147"/>
        <v>0.81404076967499983</v>
      </c>
      <c r="BK265" s="109">
        <f t="shared" si="148"/>
        <v>8.2264119482464295</v>
      </c>
      <c r="BL265" s="148">
        <v>0.87</v>
      </c>
      <c r="BM265" s="112">
        <f>ROUND((AW265/BL265)+((AW265*BL265)*'CALCULO GERAL'!$E$11)/BL265,2)</f>
        <v>1.73</v>
      </c>
      <c r="BN265" s="186">
        <f t="shared" si="149"/>
        <v>1.73</v>
      </c>
      <c r="BO265" s="186">
        <f t="shared" si="150"/>
        <v>2.0270000000000001</v>
      </c>
      <c r="BP265" s="109">
        <f>BM265*'CALCULO GERAL'!$C$11</f>
        <v>8.6828699999999994</v>
      </c>
      <c r="BQ265" s="109">
        <f>BO265*'CALCULO GERAL'!$C$11</f>
        <v>10.173513000000002</v>
      </c>
      <c r="BR265" s="186">
        <f>BN265*'CALCULO GERAL'!$C$11</f>
        <v>8.6828699999999994</v>
      </c>
      <c r="BS265" s="109">
        <f t="shared" si="151"/>
        <v>607800.89999999991</v>
      </c>
      <c r="BT265" s="109">
        <f t="shared" si="152"/>
        <v>607800.89999999991</v>
      </c>
      <c r="BU265" s="109">
        <f t="shared" si="153"/>
        <v>575848.83637725003</v>
      </c>
      <c r="BV265" s="109">
        <f t="shared" si="154"/>
        <v>31952.063622749876</v>
      </c>
      <c r="BW265" s="114">
        <f t="shared" si="155"/>
        <v>5.2569951151355453E-2</v>
      </c>
      <c r="BX265" s="152">
        <f t="shared" si="168"/>
        <v>0.87</v>
      </c>
      <c r="BZ265" s="55"/>
      <c r="CA265" s="113"/>
      <c r="CB265" s="113"/>
      <c r="CD265" s="152">
        <f t="shared" si="169"/>
        <v>0</v>
      </c>
      <c r="CE265" s="152">
        <f t="shared" si="170"/>
        <v>1</v>
      </c>
      <c r="CF265" s="152">
        <f t="shared" si="171"/>
        <v>1</v>
      </c>
      <c r="CG265" s="34"/>
      <c r="CI265" s="11"/>
      <c r="CJ265" s="11"/>
    </row>
    <row r="266" spans="1:88" s="152" customFormat="1" x14ac:dyDescent="0.2">
      <c r="A266" s="5" t="s">
        <v>402</v>
      </c>
      <c r="B266" s="187" t="s">
        <v>399</v>
      </c>
      <c r="C266" s="8">
        <v>0.26</v>
      </c>
      <c r="D266" s="8">
        <v>0</v>
      </c>
      <c r="E266" s="7">
        <v>2.1000000000000001E-2</v>
      </c>
      <c r="F266" s="7">
        <v>0.1065</v>
      </c>
      <c r="G266" s="1">
        <v>6.4999999999999997E-3</v>
      </c>
      <c r="H266" s="1">
        <v>0.03</v>
      </c>
      <c r="I266" s="1">
        <v>0.18</v>
      </c>
      <c r="J266" s="1">
        <v>0.04</v>
      </c>
      <c r="K266" s="1">
        <v>0.14000000000000001</v>
      </c>
      <c r="L266" s="1">
        <v>1.4999999999999999E-2</v>
      </c>
      <c r="M266" s="2" t="s">
        <v>175</v>
      </c>
      <c r="N266" s="105">
        <v>70000</v>
      </c>
      <c r="O266" s="119"/>
      <c r="P266" s="119"/>
      <c r="Q266" s="119"/>
      <c r="R266" s="119"/>
      <c r="S266" s="119"/>
      <c r="T266" s="119"/>
      <c r="U266" s="119"/>
      <c r="V266" s="119">
        <v>1.02</v>
      </c>
      <c r="W266" s="119"/>
      <c r="X266" s="119">
        <f t="shared" si="160"/>
        <v>1.02</v>
      </c>
      <c r="Y266" s="118">
        <f t="shared" si="161"/>
        <v>1.02</v>
      </c>
      <c r="Z266" s="109">
        <f t="shared" si="172"/>
        <v>71400</v>
      </c>
      <c r="AA266" s="109">
        <f>'CALCULO GERAL'!$G$10</f>
        <v>6300</v>
      </c>
      <c r="AB266" s="109">
        <f t="shared" si="163"/>
        <v>77700</v>
      </c>
      <c r="AC266" s="109">
        <f>AB266*'CALCULO GERAL'!$C$11</f>
        <v>389976.3</v>
      </c>
      <c r="AD266" s="109">
        <f t="shared" si="164"/>
        <v>101393.838</v>
      </c>
      <c r="AE266" s="109">
        <f t="shared" si="165"/>
        <v>0</v>
      </c>
      <c r="AF266" s="109">
        <f t="shared" si="166"/>
        <v>8189.5023000000001</v>
      </c>
      <c r="AG266" s="109">
        <f t="shared" si="167"/>
        <v>41532.47595</v>
      </c>
      <c r="AH266" s="109">
        <v>154.22999999999999</v>
      </c>
      <c r="AI266" s="109">
        <f>((AA266*'CALCULO GERAL'!$C$11))*0.08+20</f>
        <v>2549.576</v>
      </c>
      <c r="AJ266" s="109">
        <v>1010</v>
      </c>
      <c r="AK266" s="109">
        <v>2500</v>
      </c>
      <c r="AL266" s="109">
        <f>(AA266*('CALCULO GERAL'!$C$11*1.02))-(AA266*'CALCULO GERAL'!$C$11)</f>
        <v>632.39400000000387</v>
      </c>
      <c r="AM266" s="109">
        <v>1800</v>
      </c>
      <c r="AN266" s="109">
        <v>2600</v>
      </c>
      <c r="AO266" s="109">
        <v>9400</v>
      </c>
      <c r="AP266" s="109">
        <v>1000</v>
      </c>
      <c r="AQ266" s="109">
        <v>0</v>
      </c>
      <c r="AR266" s="109">
        <v>0</v>
      </c>
      <c r="AS266" s="109"/>
      <c r="AT266" s="109">
        <f t="shared" si="134"/>
        <v>562738.31624999992</v>
      </c>
      <c r="AU266" s="111">
        <f t="shared" si="135"/>
        <v>8.0391188035714265</v>
      </c>
      <c r="AV266" s="109">
        <f>IFERROR((BS266*'CALCULO GERAL'!$E$11)/N266,0)</f>
        <v>0.18771060000000003</v>
      </c>
      <c r="AW266" s="109">
        <f>AU266/'CALCULO GERAL'!$C$11</f>
        <v>1.6017371595081542</v>
      </c>
      <c r="AX266" s="109">
        <f>BP266-BB266-BD266*'CALCULO GERAL'!$C$11</f>
        <v>9.2447470500000009</v>
      </c>
      <c r="AY266" s="109">
        <f t="shared" si="136"/>
        <v>6.0090855825000004E-2</v>
      </c>
      <c r="AZ266" s="109">
        <f t="shared" si="137"/>
        <v>0.2773424115</v>
      </c>
      <c r="BA266" s="109">
        <f t="shared" si="138"/>
        <v>9.385530000000001</v>
      </c>
      <c r="BB266" s="109">
        <f t="shared" si="139"/>
        <v>0.14078295000000002</v>
      </c>
      <c r="BC266" s="109">
        <f t="shared" si="140"/>
        <v>9.385530000000001</v>
      </c>
      <c r="BD266" s="109">
        <f t="shared" si="141"/>
        <v>0</v>
      </c>
      <c r="BE266" s="109">
        <f t="shared" si="142"/>
        <v>52558.968000000008</v>
      </c>
      <c r="BF266" s="109">
        <f t="shared" si="143"/>
        <v>78838.452000000005</v>
      </c>
      <c r="BG266" s="109">
        <f t="shared" si="144"/>
        <v>0.101363724</v>
      </c>
      <c r="BH266" s="109">
        <f t="shared" si="145"/>
        <v>0.11262636000000001</v>
      </c>
      <c r="BI266" s="109">
        <f t="shared" si="146"/>
        <v>0</v>
      </c>
      <c r="BJ266" s="109">
        <f t="shared" si="147"/>
        <v>0.87991690132500011</v>
      </c>
      <c r="BK266" s="109">
        <f t="shared" si="148"/>
        <v>8.9190357048964266</v>
      </c>
      <c r="BL266" s="148">
        <v>0.87</v>
      </c>
      <c r="BM266" s="112">
        <f>ROUND((AW266/BL266)+((AW266*BL266)*'CALCULO GERAL'!$E$11)/BL266,2)</f>
        <v>1.87</v>
      </c>
      <c r="BN266" s="186">
        <f t="shared" si="149"/>
        <v>1.87</v>
      </c>
      <c r="BO266" s="186">
        <f t="shared" si="150"/>
        <v>2.1909999999999998</v>
      </c>
      <c r="BP266" s="109">
        <f>BM266*'CALCULO GERAL'!$C$11</f>
        <v>9.385530000000001</v>
      </c>
      <c r="BQ266" s="109">
        <f>BO266*'CALCULO GERAL'!$C$11</f>
        <v>10.996628999999999</v>
      </c>
      <c r="BR266" s="186">
        <f>BN266*'CALCULO GERAL'!$C$11</f>
        <v>9.385530000000001</v>
      </c>
      <c r="BS266" s="109">
        <f t="shared" si="151"/>
        <v>656987.10000000009</v>
      </c>
      <c r="BT266" s="109">
        <f t="shared" si="152"/>
        <v>656987.10000000009</v>
      </c>
      <c r="BU266" s="109">
        <f t="shared" si="153"/>
        <v>624332.49934274983</v>
      </c>
      <c r="BV266" s="109">
        <f t="shared" si="154"/>
        <v>32654.600657250267</v>
      </c>
      <c r="BW266" s="114">
        <f t="shared" si="155"/>
        <v>4.9703564434142256E-2</v>
      </c>
      <c r="BX266" s="152">
        <f t="shared" si="168"/>
        <v>0.87</v>
      </c>
      <c r="BZ266" s="55"/>
      <c r="CA266" s="113"/>
      <c r="CB266" s="113"/>
      <c r="CD266" s="152">
        <f t="shared" si="169"/>
        <v>0</v>
      </c>
      <c r="CE266" s="152">
        <f t="shared" si="170"/>
        <v>1</v>
      </c>
      <c r="CF266" s="152">
        <f t="shared" si="171"/>
        <v>1</v>
      </c>
      <c r="CG266" s="34"/>
      <c r="CI266" s="11"/>
      <c r="CJ266" s="11"/>
    </row>
    <row r="267" spans="1:88" s="152" customFormat="1" x14ac:dyDescent="0.2">
      <c r="A267" s="5" t="s">
        <v>403</v>
      </c>
      <c r="B267" s="187" t="s">
        <v>297</v>
      </c>
      <c r="C267" s="8">
        <v>0.26</v>
      </c>
      <c r="D267" s="8">
        <v>0</v>
      </c>
      <c r="E267" s="7">
        <v>2.1000000000000001E-2</v>
      </c>
      <c r="F267" s="7">
        <v>0.1065</v>
      </c>
      <c r="G267" s="1">
        <v>6.4999999999999997E-3</v>
      </c>
      <c r="H267" s="1">
        <v>0.03</v>
      </c>
      <c r="I267" s="1">
        <v>0.18</v>
      </c>
      <c r="J267" s="1">
        <v>0.04</v>
      </c>
      <c r="K267" s="1">
        <v>0.14000000000000001</v>
      </c>
      <c r="L267" s="1">
        <v>1.4999999999999999E-2</v>
      </c>
      <c r="M267" s="2" t="s">
        <v>175</v>
      </c>
      <c r="N267" s="105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>
        <f t="shared" si="160"/>
        <v>0</v>
      </c>
      <c r="Y267" s="118" t="e">
        <f t="shared" si="161"/>
        <v>#DIV/0!</v>
      </c>
      <c r="Z267" s="109" t="e">
        <f t="shared" si="172"/>
        <v>#DIV/0!</v>
      </c>
      <c r="AA267" s="109">
        <f>'CALCULO GERAL'!$G$10</f>
        <v>6300</v>
      </c>
      <c r="AB267" s="109" t="e">
        <f t="shared" si="163"/>
        <v>#DIV/0!</v>
      </c>
      <c r="AC267" s="109" t="e">
        <f>AB267*'CALCULO GERAL'!$C$11</f>
        <v>#DIV/0!</v>
      </c>
      <c r="AD267" s="109" t="e">
        <f t="shared" si="164"/>
        <v>#DIV/0!</v>
      </c>
      <c r="AE267" s="109" t="e">
        <f t="shared" si="165"/>
        <v>#DIV/0!</v>
      </c>
      <c r="AF267" s="109" t="e">
        <f t="shared" si="166"/>
        <v>#DIV/0!</v>
      </c>
      <c r="AG267" s="109" t="e">
        <f t="shared" si="167"/>
        <v>#DIV/0!</v>
      </c>
      <c r="AH267" s="109">
        <v>154.22999999999999</v>
      </c>
      <c r="AI267" s="109">
        <f>((AA267*'CALCULO GERAL'!$C$11))*0.08+20</f>
        <v>2549.576</v>
      </c>
      <c r="AJ267" s="109">
        <v>1010</v>
      </c>
      <c r="AK267" s="109">
        <v>2500</v>
      </c>
      <c r="AL267" s="109">
        <f>(AA267*('CALCULO GERAL'!$C$11*1.02))-(AA267*'CALCULO GERAL'!$C$11)</f>
        <v>632.39400000000387</v>
      </c>
      <c r="AM267" s="109">
        <v>1800</v>
      </c>
      <c r="AN267" s="109">
        <v>2600</v>
      </c>
      <c r="AO267" s="109">
        <v>9400</v>
      </c>
      <c r="AP267" s="109">
        <v>1000</v>
      </c>
      <c r="AQ267" s="109">
        <v>0</v>
      </c>
      <c r="AR267" s="109">
        <v>0</v>
      </c>
      <c r="AS267" s="109"/>
      <c r="AT267" s="109" t="e">
        <f t="shared" si="134"/>
        <v>#DIV/0!</v>
      </c>
      <c r="AU267" s="111">
        <f t="shared" si="135"/>
        <v>0</v>
      </c>
      <c r="AV267" s="109">
        <f>IFERROR((BS267*'CALCULO GERAL'!$E$11)/N267,0)</f>
        <v>0</v>
      </c>
      <c r="AW267" s="109">
        <f>AU267/'CALCULO GERAL'!$C$11</f>
        <v>0</v>
      </c>
      <c r="AX267" s="109" t="e">
        <f>BP267-BB267-BD267*'CALCULO GERAL'!$C$11</f>
        <v>#DIV/0!</v>
      </c>
      <c r="AY267" s="109" t="e">
        <f t="shared" si="136"/>
        <v>#DIV/0!</v>
      </c>
      <c r="AZ267" s="109" t="e">
        <f t="shared" si="137"/>
        <v>#DIV/0!</v>
      </c>
      <c r="BA267" s="109" t="e">
        <f t="shared" si="138"/>
        <v>#DIV/0!</v>
      </c>
      <c r="BB267" s="109" t="e">
        <f t="shared" si="139"/>
        <v>#DIV/0!</v>
      </c>
      <c r="BC267" s="109" t="e">
        <f t="shared" si="140"/>
        <v>#DIV/0!</v>
      </c>
      <c r="BD267" s="109" t="e">
        <f t="shared" si="141"/>
        <v>#DIV/0!</v>
      </c>
      <c r="BE267" s="109" t="e">
        <f t="shared" si="142"/>
        <v>#DIV/0!</v>
      </c>
      <c r="BF267" s="109" t="e">
        <f t="shared" si="143"/>
        <v>#DIV/0!</v>
      </c>
      <c r="BG267" s="109" t="e">
        <f t="shared" si="144"/>
        <v>#DIV/0!</v>
      </c>
      <c r="BH267" s="109" t="e">
        <f t="shared" si="145"/>
        <v>#DIV/0!</v>
      </c>
      <c r="BI267" s="109" t="e">
        <f t="shared" si="146"/>
        <v>#DIV/0!</v>
      </c>
      <c r="BJ267" s="109" t="e">
        <f t="shared" si="147"/>
        <v>#DIV/0!</v>
      </c>
      <c r="BK267" s="109" t="e">
        <f t="shared" si="148"/>
        <v>#DIV/0!</v>
      </c>
      <c r="BL267" s="148" t="e">
        <v>#DIV/0!</v>
      </c>
      <c r="BM267" s="112" t="e">
        <f>ROUND((AW267/BL267)+((AW267*BL267)*'CALCULO GERAL'!$E$11)/BL267,2)</f>
        <v>#DIV/0!</v>
      </c>
      <c r="BN267" s="186" t="e">
        <f t="shared" si="149"/>
        <v>#DIV/0!</v>
      </c>
      <c r="BO267" s="186" t="e">
        <f t="shared" si="150"/>
        <v>#DIV/0!</v>
      </c>
      <c r="BP267" s="109" t="e">
        <f>BM267*'CALCULO GERAL'!$C$11</f>
        <v>#DIV/0!</v>
      </c>
      <c r="BQ267" s="109" t="e">
        <f>BO267*'CALCULO GERAL'!$C$11</f>
        <v>#DIV/0!</v>
      </c>
      <c r="BR267" s="186" t="e">
        <f>BN267*'CALCULO GERAL'!$C$11</f>
        <v>#DIV/0!</v>
      </c>
      <c r="BS267" s="109" t="e">
        <f t="shared" si="151"/>
        <v>#DIV/0!</v>
      </c>
      <c r="BT267" s="109" t="e">
        <f t="shared" si="152"/>
        <v>#DIV/0!</v>
      </c>
      <c r="BU267" s="109" t="e">
        <f t="shared" si="153"/>
        <v>#DIV/0!</v>
      </c>
      <c r="BV267" s="109" t="e">
        <f t="shared" si="154"/>
        <v>#DIV/0!</v>
      </c>
      <c r="BW267" s="114" t="e">
        <f t="shared" si="155"/>
        <v>#DIV/0!</v>
      </c>
      <c r="BX267" s="152" t="e">
        <f t="shared" si="168"/>
        <v>#DIV/0!</v>
      </c>
      <c r="BZ267" s="55"/>
      <c r="CA267" s="113"/>
      <c r="CB267" s="113"/>
      <c r="CD267" s="152" t="e">
        <f t="shared" si="169"/>
        <v>#DIV/0!</v>
      </c>
      <c r="CE267" s="152" t="e">
        <f t="shared" si="170"/>
        <v>#DIV/0!</v>
      </c>
      <c r="CF267" s="152" t="e">
        <f t="shared" si="171"/>
        <v>#DIV/0!</v>
      </c>
      <c r="CG267" s="34"/>
      <c r="CI267" s="11"/>
      <c r="CJ267" s="11"/>
    </row>
    <row r="268" spans="1:88" s="152" customFormat="1" x14ac:dyDescent="0.2">
      <c r="A268" s="5" t="s">
        <v>404</v>
      </c>
      <c r="B268" s="187" t="s">
        <v>405</v>
      </c>
      <c r="C268" s="8">
        <v>0.26</v>
      </c>
      <c r="D268" s="8">
        <v>0</v>
      </c>
      <c r="E268" s="7">
        <v>2.1000000000000001E-2</v>
      </c>
      <c r="F268" s="7">
        <v>0.1065</v>
      </c>
      <c r="G268" s="1">
        <v>6.4999999999999997E-3</v>
      </c>
      <c r="H268" s="1">
        <v>0.03</v>
      </c>
      <c r="I268" s="1">
        <v>0.18</v>
      </c>
      <c r="J268" s="1">
        <v>0.04</v>
      </c>
      <c r="K268" s="1">
        <v>0.14000000000000001</v>
      </c>
      <c r="L268" s="1">
        <v>1.4999999999999999E-2</v>
      </c>
      <c r="M268" s="2" t="s">
        <v>175</v>
      </c>
      <c r="N268" s="105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>
        <f t="shared" si="160"/>
        <v>0</v>
      </c>
      <c r="Y268" s="118" t="e">
        <f t="shared" si="161"/>
        <v>#DIV/0!</v>
      </c>
      <c r="Z268" s="109" t="e">
        <f t="shared" si="172"/>
        <v>#DIV/0!</v>
      </c>
      <c r="AA268" s="109">
        <f>'CALCULO GERAL'!$G$10</f>
        <v>6300</v>
      </c>
      <c r="AB268" s="109" t="e">
        <f t="shared" si="163"/>
        <v>#DIV/0!</v>
      </c>
      <c r="AC268" s="109" t="e">
        <f>AB268*'CALCULO GERAL'!$C$11</f>
        <v>#DIV/0!</v>
      </c>
      <c r="AD268" s="109" t="e">
        <f t="shared" si="164"/>
        <v>#DIV/0!</v>
      </c>
      <c r="AE268" s="109" t="e">
        <f t="shared" si="165"/>
        <v>#DIV/0!</v>
      </c>
      <c r="AF268" s="109" t="e">
        <f t="shared" si="166"/>
        <v>#DIV/0!</v>
      </c>
      <c r="AG268" s="109" t="e">
        <f t="shared" si="167"/>
        <v>#DIV/0!</v>
      </c>
      <c r="AH268" s="109">
        <v>154.22999999999999</v>
      </c>
      <c r="AI268" s="109">
        <f>((AA268*'CALCULO GERAL'!$C$11))*0.08+20</f>
        <v>2549.576</v>
      </c>
      <c r="AJ268" s="109">
        <v>1010</v>
      </c>
      <c r="AK268" s="109">
        <v>2500</v>
      </c>
      <c r="AL268" s="109">
        <f>(AA268*('CALCULO GERAL'!$C$11*1.02))-(AA268*'CALCULO GERAL'!$C$11)</f>
        <v>632.39400000000387</v>
      </c>
      <c r="AM268" s="109">
        <v>1800</v>
      </c>
      <c r="AN268" s="109">
        <v>2600</v>
      </c>
      <c r="AO268" s="109">
        <v>9400</v>
      </c>
      <c r="AP268" s="109">
        <v>1000</v>
      </c>
      <c r="AQ268" s="109">
        <v>0</v>
      </c>
      <c r="AR268" s="109">
        <v>0</v>
      </c>
      <c r="AS268" s="109"/>
      <c r="AT268" s="109" t="e">
        <f t="shared" si="134"/>
        <v>#DIV/0!</v>
      </c>
      <c r="AU268" s="111">
        <f t="shared" si="135"/>
        <v>0</v>
      </c>
      <c r="AV268" s="109">
        <f>IFERROR((BS268*'CALCULO GERAL'!$E$11)/N268,0)</f>
        <v>0</v>
      </c>
      <c r="AW268" s="109">
        <f>AU268/'CALCULO GERAL'!$C$11</f>
        <v>0</v>
      </c>
      <c r="AX268" s="109" t="e">
        <f>BP268-BB268-BD268*'CALCULO GERAL'!$C$11</f>
        <v>#DIV/0!</v>
      </c>
      <c r="AY268" s="109" t="e">
        <f t="shared" si="136"/>
        <v>#DIV/0!</v>
      </c>
      <c r="AZ268" s="109" t="e">
        <f t="shared" si="137"/>
        <v>#DIV/0!</v>
      </c>
      <c r="BA268" s="109" t="e">
        <f t="shared" si="138"/>
        <v>#DIV/0!</v>
      </c>
      <c r="BB268" s="109" t="e">
        <f t="shared" si="139"/>
        <v>#DIV/0!</v>
      </c>
      <c r="BC268" s="109" t="e">
        <f t="shared" si="140"/>
        <v>#DIV/0!</v>
      </c>
      <c r="BD268" s="109" t="e">
        <f t="shared" si="141"/>
        <v>#DIV/0!</v>
      </c>
      <c r="BE268" s="109" t="e">
        <f t="shared" si="142"/>
        <v>#DIV/0!</v>
      </c>
      <c r="BF268" s="109" t="e">
        <f t="shared" si="143"/>
        <v>#DIV/0!</v>
      </c>
      <c r="BG268" s="109" t="e">
        <f t="shared" si="144"/>
        <v>#DIV/0!</v>
      </c>
      <c r="BH268" s="109" t="e">
        <f t="shared" si="145"/>
        <v>#DIV/0!</v>
      </c>
      <c r="BI268" s="109" t="e">
        <f t="shared" si="146"/>
        <v>#DIV/0!</v>
      </c>
      <c r="BJ268" s="109" t="e">
        <f t="shared" si="147"/>
        <v>#DIV/0!</v>
      </c>
      <c r="BK268" s="109" t="e">
        <f t="shared" si="148"/>
        <v>#DIV/0!</v>
      </c>
      <c r="BL268" s="148" t="e">
        <v>#DIV/0!</v>
      </c>
      <c r="BM268" s="112" t="e">
        <f>ROUND((AW268/BL268)+((AW268*BL268)*'CALCULO GERAL'!$E$11)/BL268,2)</f>
        <v>#DIV/0!</v>
      </c>
      <c r="BN268" s="186" t="e">
        <f t="shared" si="149"/>
        <v>#DIV/0!</v>
      </c>
      <c r="BO268" s="186" t="e">
        <f t="shared" si="150"/>
        <v>#DIV/0!</v>
      </c>
      <c r="BP268" s="109" t="e">
        <f>BM268*'CALCULO GERAL'!$C$11</f>
        <v>#DIV/0!</v>
      </c>
      <c r="BQ268" s="109" t="e">
        <f>BO268*'CALCULO GERAL'!$C$11</f>
        <v>#DIV/0!</v>
      </c>
      <c r="BR268" s="186" t="e">
        <f>BN268*'CALCULO GERAL'!$C$11</f>
        <v>#DIV/0!</v>
      </c>
      <c r="BS268" s="109" t="e">
        <f t="shared" si="151"/>
        <v>#DIV/0!</v>
      </c>
      <c r="BT268" s="109" t="e">
        <f t="shared" si="152"/>
        <v>#DIV/0!</v>
      </c>
      <c r="BU268" s="109" t="e">
        <f t="shared" si="153"/>
        <v>#DIV/0!</v>
      </c>
      <c r="BV268" s="109" t="e">
        <f t="shared" si="154"/>
        <v>#DIV/0!</v>
      </c>
      <c r="BW268" s="114" t="e">
        <f t="shared" si="155"/>
        <v>#DIV/0!</v>
      </c>
      <c r="BX268" s="152" t="e">
        <f t="shared" si="168"/>
        <v>#DIV/0!</v>
      </c>
      <c r="BZ268" s="55"/>
      <c r="CA268" s="113"/>
      <c r="CB268" s="113"/>
      <c r="CD268" s="152" t="e">
        <f t="shared" si="169"/>
        <v>#DIV/0!</v>
      </c>
      <c r="CE268" s="152" t="e">
        <f t="shared" si="170"/>
        <v>#DIV/0!</v>
      </c>
      <c r="CF268" s="152" t="e">
        <f t="shared" si="171"/>
        <v>#DIV/0!</v>
      </c>
      <c r="CG268" s="34"/>
      <c r="CI268" s="11"/>
      <c r="CJ268" s="11"/>
    </row>
    <row r="269" spans="1:88" s="152" customFormat="1" x14ac:dyDescent="0.2">
      <c r="A269" s="499" t="s">
        <v>609</v>
      </c>
      <c r="B269" s="500" t="s">
        <v>260</v>
      </c>
      <c r="C269" s="501">
        <v>0.25</v>
      </c>
      <c r="D269" s="502">
        <v>0</v>
      </c>
      <c r="E269" s="503">
        <v>2.1000000000000001E-2</v>
      </c>
      <c r="F269" s="503">
        <v>9.6500000000000002E-2</v>
      </c>
      <c r="G269" s="504">
        <v>6.4999999999999997E-3</v>
      </c>
      <c r="H269" s="504">
        <v>0.03</v>
      </c>
      <c r="I269" s="504">
        <v>0.18</v>
      </c>
      <c r="J269" s="504">
        <v>0.04</v>
      </c>
      <c r="K269" s="504">
        <v>0.14000000000000001</v>
      </c>
      <c r="L269" s="504">
        <v>1.4999999999999999E-2</v>
      </c>
      <c r="M269" s="505" t="s">
        <v>175</v>
      </c>
      <c r="N269" s="506">
        <v>2000</v>
      </c>
      <c r="O269" s="119"/>
      <c r="P269" s="119"/>
      <c r="Q269" s="119"/>
      <c r="R269" s="119"/>
      <c r="S269" s="119"/>
      <c r="T269" s="119"/>
      <c r="U269" s="119"/>
      <c r="V269" s="119">
        <v>13.1</v>
      </c>
      <c r="W269" s="119"/>
      <c r="X269" s="119">
        <f t="shared" si="103"/>
        <v>13.1</v>
      </c>
      <c r="Y269" s="118">
        <f t="shared" si="104"/>
        <v>13.1</v>
      </c>
      <c r="Z269" s="109">
        <f t="shared" si="102"/>
        <v>26200</v>
      </c>
      <c r="AA269" s="109">
        <f>'CALCULO GERAL'!$G$10</f>
        <v>6300</v>
      </c>
      <c r="AB269" s="109">
        <f t="shared" si="105"/>
        <v>32500</v>
      </c>
      <c r="AC269" s="109">
        <f>AB269*'CALCULO GERAL'!$C$11</f>
        <v>163117.5</v>
      </c>
      <c r="AD269" s="109">
        <f t="shared" si="106"/>
        <v>40779.375</v>
      </c>
      <c r="AE269" s="109">
        <f t="shared" si="107"/>
        <v>0</v>
      </c>
      <c r="AF269" s="109">
        <f t="shared" si="108"/>
        <v>3425.4675000000002</v>
      </c>
      <c r="AG269" s="109">
        <f t="shared" si="109"/>
        <v>15740.838750000001</v>
      </c>
      <c r="AH269" s="109">
        <v>154.22999999999999</v>
      </c>
      <c r="AI269" s="109">
        <f>((AA269*'CALCULO GERAL'!$C$11))*0.08+20</f>
        <v>2549.576</v>
      </c>
      <c r="AJ269" s="109">
        <v>1010</v>
      </c>
      <c r="AK269" s="109">
        <v>2500</v>
      </c>
      <c r="AL269" s="109">
        <f>(AA269*('CALCULO GERAL'!$C$11*1.02))-(AA269*'CALCULO GERAL'!$C$11)</f>
        <v>632.39400000000387</v>
      </c>
      <c r="AM269" s="109">
        <v>1800</v>
      </c>
      <c r="AN269" s="109">
        <v>2600</v>
      </c>
      <c r="AO269" s="109">
        <v>9400</v>
      </c>
      <c r="AP269" s="109">
        <v>1000</v>
      </c>
      <c r="AQ269" s="109">
        <v>0</v>
      </c>
      <c r="AR269" s="109">
        <v>0</v>
      </c>
      <c r="AS269" s="109"/>
      <c r="AT269" s="109">
        <f t="shared" si="93"/>
        <v>244709.38125000001</v>
      </c>
      <c r="AU269" s="111">
        <f t="shared" si="110"/>
        <v>122.354690625</v>
      </c>
      <c r="AV269" s="109">
        <f>IFERROR((BS269*'CALCULO GERAL'!$E$11)/N269,0)</f>
        <v>2.8939553999999998</v>
      </c>
      <c r="AW269" s="109">
        <f>AU269/'CALCULO GERAL'!$C$11</f>
        <v>24.378300582785414</v>
      </c>
      <c r="AX269" s="109">
        <f>BP269-BB269-BD269*'CALCULO GERAL'!$C$11</f>
        <v>142.52730345000001</v>
      </c>
      <c r="AY269" s="109">
        <f t="shared" si="111"/>
        <v>0.92642747242500001</v>
      </c>
      <c r="AZ269" s="109">
        <f t="shared" si="112"/>
        <v>4.2758191034999999</v>
      </c>
      <c r="BA269" s="109">
        <f t="shared" si="113"/>
        <v>144.69776999999999</v>
      </c>
      <c r="BB269" s="109">
        <f t="shared" si="114"/>
        <v>2.17046655</v>
      </c>
      <c r="BC269" s="109">
        <f t="shared" si="115"/>
        <v>144.69776999999999</v>
      </c>
      <c r="BD269" s="109">
        <f t="shared" si="116"/>
        <v>0</v>
      </c>
      <c r="BE269" s="109">
        <f t="shared" si="117"/>
        <v>23151.643199999999</v>
      </c>
      <c r="BF269" s="109">
        <f t="shared" si="118"/>
        <v>34727.464799999994</v>
      </c>
      <c r="BG269" s="109">
        <f t="shared" si="119"/>
        <v>1.5627359159999996</v>
      </c>
      <c r="BH269" s="109">
        <f t="shared" si="120"/>
        <v>1.7363732399999998</v>
      </c>
      <c r="BI269" s="109">
        <f t="shared" si="121"/>
        <v>0</v>
      </c>
      <c r="BJ269" s="109">
        <f t="shared" si="122"/>
        <v>13.565777681924999</v>
      </c>
      <c r="BK269" s="109">
        <f t="shared" si="123"/>
        <v>135.92046830692499</v>
      </c>
      <c r="BL269" s="148">
        <v>0.86</v>
      </c>
      <c r="BM269" s="112">
        <f>ROUND((AW269/BL269)+((AW269*BL269)*'CALCULO GERAL'!$E$11)/BL269,2)</f>
        <v>28.83</v>
      </c>
      <c r="BN269" s="186">
        <f t="shared" si="94"/>
        <v>28.83</v>
      </c>
      <c r="BO269" s="186">
        <f t="shared" si="95"/>
        <v>33.779000000000003</v>
      </c>
      <c r="BP269" s="109">
        <f>BM269*'CALCULO GERAL'!$C$11</f>
        <v>144.69776999999999</v>
      </c>
      <c r="BQ269" s="109">
        <f>BO269*'CALCULO GERAL'!$C$11</f>
        <v>169.53680100000003</v>
      </c>
      <c r="BR269" s="186">
        <f>BN269*'CALCULO GERAL'!$C$11</f>
        <v>144.69776999999999</v>
      </c>
      <c r="BS269" s="109">
        <f t="shared" si="124"/>
        <v>289395.53999999998</v>
      </c>
      <c r="BT269" s="109">
        <f t="shared" si="125"/>
        <v>289395.53999999998</v>
      </c>
      <c r="BU269" s="109">
        <f t="shared" si="99"/>
        <v>271840.93661385</v>
      </c>
      <c r="BV269" s="109">
        <f t="shared" si="96"/>
        <v>17554.603386149975</v>
      </c>
      <c r="BW269" s="114">
        <f t="shared" si="126"/>
        <v>6.0659550545077427E-2</v>
      </c>
      <c r="BX269" s="152">
        <f t="shared" si="100"/>
        <v>0.86</v>
      </c>
      <c r="BZ269" s="55"/>
      <c r="CA269" s="113"/>
      <c r="CB269" s="113"/>
      <c r="CD269" s="152">
        <f t="shared" si="101"/>
        <v>0</v>
      </c>
      <c r="CE269" s="152">
        <f t="shared" si="97"/>
        <v>1</v>
      </c>
      <c r="CF269" s="152">
        <f t="shared" si="98"/>
        <v>1</v>
      </c>
      <c r="CG269" s="34"/>
      <c r="CI269" s="11"/>
      <c r="CJ269" s="11"/>
    </row>
    <row r="270" spans="1:88" s="152" customFormat="1" x14ac:dyDescent="0.2">
      <c r="A270" s="507" t="s">
        <v>610</v>
      </c>
      <c r="B270" s="508" t="s">
        <v>260</v>
      </c>
      <c r="C270" s="509">
        <v>0.25</v>
      </c>
      <c r="D270" s="510">
        <v>0</v>
      </c>
      <c r="E270" s="511">
        <v>2.1000000000000001E-2</v>
      </c>
      <c r="F270" s="511">
        <v>9.6500000000000002E-2</v>
      </c>
      <c r="G270" s="512">
        <v>6.4999999999999997E-3</v>
      </c>
      <c r="H270" s="512">
        <v>0.03</v>
      </c>
      <c r="I270" s="512">
        <v>0.18</v>
      </c>
      <c r="J270" s="512">
        <v>0.04</v>
      </c>
      <c r="K270" s="512">
        <v>0.14000000000000001</v>
      </c>
      <c r="L270" s="512">
        <v>1.4999999999999999E-2</v>
      </c>
      <c r="M270" s="513" t="s">
        <v>175</v>
      </c>
      <c r="N270" s="514">
        <v>1250</v>
      </c>
      <c r="O270" s="119"/>
      <c r="P270" s="119"/>
      <c r="Q270" s="119"/>
      <c r="R270" s="119"/>
      <c r="S270" s="119"/>
      <c r="T270" s="119"/>
      <c r="U270" s="119"/>
      <c r="V270" s="119">
        <v>39</v>
      </c>
      <c r="W270" s="119"/>
      <c r="X270" s="119">
        <f t="shared" si="103"/>
        <v>39</v>
      </c>
      <c r="Y270" s="118">
        <f t="shared" si="104"/>
        <v>39</v>
      </c>
      <c r="Z270" s="109">
        <f t="shared" si="102"/>
        <v>48750</v>
      </c>
      <c r="AA270" s="109">
        <f>'CALCULO GERAL'!$G$10</f>
        <v>6300</v>
      </c>
      <c r="AB270" s="109">
        <f t="shared" si="105"/>
        <v>55050</v>
      </c>
      <c r="AC270" s="109">
        <f>AB270*'CALCULO GERAL'!$C$11</f>
        <v>276295.95</v>
      </c>
      <c r="AD270" s="109">
        <f t="shared" si="106"/>
        <v>69073.987500000003</v>
      </c>
      <c r="AE270" s="109">
        <f t="shared" si="107"/>
        <v>0</v>
      </c>
      <c r="AF270" s="109">
        <f t="shared" si="108"/>
        <v>5802.2149500000005</v>
      </c>
      <c r="AG270" s="109">
        <f t="shared" si="109"/>
        <v>26662.559175000002</v>
      </c>
      <c r="AH270" s="109">
        <v>154.22999999999999</v>
      </c>
      <c r="AI270" s="109">
        <f>((AA270*'CALCULO GERAL'!$C$11))*0.08+20</f>
        <v>2549.576</v>
      </c>
      <c r="AJ270" s="109">
        <v>1010</v>
      </c>
      <c r="AK270" s="109">
        <v>2500</v>
      </c>
      <c r="AL270" s="109">
        <f>(AA270*('CALCULO GERAL'!$C$11*1.02))-(AA270*'CALCULO GERAL'!$C$11)</f>
        <v>632.39400000000387</v>
      </c>
      <c r="AM270" s="109">
        <v>1800</v>
      </c>
      <c r="AN270" s="109">
        <v>2600</v>
      </c>
      <c r="AO270" s="109">
        <v>9400</v>
      </c>
      <c r="AP270" s="109">
        <v>1000</v>
      </c>
      <c r="AQ270" s="109">
        <v>0</v>
      </c>
      <c r="AR270" s="109">
        <v>0</v>
      </c>
      <c r="AS270" s="109"/>
      <c r="AT270" s="109">
        <f t="shared" si="93"/>
        <v>399480.91162500001</v>
      </c>
      <c r="AU270" s="111">
        <f t="shared" si="110"/>
        <v>319.58472929999999</v>
      </c>
      <c r="AV270" s="109">
        <f>IFERROR((BS270*'CALCULO GERAL'!$E$11)/N270,0)</f>
        <v>7.5596178000000016</v>
      </c>
      <c r="AW270" s="109">
        <f>AU270/'CALCULO GERAL'!$C$11</f>
        <v>63.674980932456663</v>
      </c>
      <c r="AX270" s="109">
        <f>BP270-BB270-BD270*'CALCULO GERAL'!$C$11</f>
        <v>372.31117665000005</v>
      </c>
      <c r="AY270" s="109">
        <f t="shared" si="111"/>
        <v>2.4200226482250002</v>
      </c>
      <c r="AZ270" s="109">
        <f t="shared" si="112"/>
        <v>11.169335299500002</v>
      </c>
      <c r="BA270" s="109">
        <f t="shared" si="113"/>
        <v>377.98089000000004</v>
      </c>
      <c r="BB270" s="109">
        <f t="shared" si="114"/>
        <v>5.6697133500000003</v>
      </c>
      <c r="BC270" s="109">
        <f t="shared" si="115"/>
        <v>377.98089000000004</v>
      </c>
      <c r="BD270" s="109">
        <f t="shared" si="116"/>
        <v>0</v>
      </c>
      <c r="BE270" s="109">
        <f t="shared" si="117"/>
        <v>37798.089000000007</v>
      </c>
      <c r="BF270" s="109">
        <f t="shared" si="118"/>
        <v>56697.133500000004</v>
      </c>
      <c r="BG270" s="109">
        <f t="shared" si="119"/>
        <v>4.0821936120000002</v>
      </c>
      <c r="BH270" s="109">
        <f t="shared" si="120"/>
        <v>4.5357706800000006</v>
      </c>
      <c r="BI270" s="109">
        <f t="shared" si="121"/>
        <v>0</v>
      </c>
      <c r="BJ270" s="109">
        <f t="shared" si="122"/>
        <v>35.436653389725002</v>
      </c>
      <c r="BK270" s="109">
        <f t="shared" si="123"/>
        <v>355.02138268972499</v>
      </c>
      <c r="BL270" s="148">
        <v>0.86</v>
      </c>
      <c r="BM270" s="112">
        <f>ROUND((AW270/BL270)+((AW270*BL270)*'CALCULO GERAL'!$E$11)/BL270,2)</f>
        <v>75.31</v>
      </c>
      <c r="BN270" s="186">
        <f t="shared" si="94"/>
        <v>75.31</v>
      </c>
      <c r="BO270" s="186">
        <f t="shared" si="95"/>
        <v>88.238</v>
      </c>
      <c r="BP270" s="109">
        <f>BM270*'CALCULO GERAL'!$C$11</f>
        <v>377.98089000000004</v>
      </c>
      <c r="BQ270" s="109">
        <f>BO270*'CALCULO GERAL'!$C$11</f>
        <v>442.86652200000003</v>
      </c>
      <c r="BR270" s="186">
        <f>BN270*'CALCULO GERAL'!$C$11</f>
        <v>377.98089000000004</v>
      </c>
      <c r="BS270" s="109">
        <f t="shared" si="124"/>
        <v>472476.11250000005</v>
      </c>
      <c r="BT270" s="109">
        <f t="shared" si="125"/>
        <v>472476.11250000005</v>
      </c>
      <c r="BU270" s="109">
        <f t="shared" si="99"/>
        <v>443776.72836215625</v>
      </c>
      <c r="BV270" s="109">
        <f t="shared" si="96"/>
        <v>28699.384137843794</v>
      </c>
      <c r="BW270" s="114">
        <f t="shared" si="126"/>
        <v>6.0742508200017815E-2</v>
      </c>
      <c r="BX270" s="152">
        <f t="shared" si="100"/>
        <v>0.86</v>
      </c>
      <c r="BZ270" s="55"/>
      <c r="CA270" s="113"/>
      <c r="CB270" s="113"/>
      <c r="CD270" s="152">
        <f t="shared" si="101"/>
        <v>0</v>
      </c>
      <c r="CE270" s="152">
        <f t="shared" si="97"/>
        <v>1</v>
      </c>
      <c r="CF270" s="152">
        <f t="shared" si="98"/>
        <v>1</v>
      </c>
      <c r="CG270" s="34"/>
      <c r="CI270" s="11"/>
      <c r="CJ270" s="11"/>
    </row>
    <row r="271" spans="1:88" s="152" customFormat="1" x14ac:dyDescent="0.2">
      <c r="A271" s="507" t="s">
        <v>611</v>
      </c>
      <c r="B271" s="508" t="s">
        <v>612</v>
      </c>
      <c r="C271" s="509">
        <v>0.13</v>
      </c>
      <c r="D271" s="510">
        <v>0.1</v>
      </c>
      <c r="E271" s="511">
        <v>2.1000000000000001E-2</v>
      </c>
      <c r="F271" s="511">
        <v>9.6500000000000002E-2</v>
      </c>
      <c r="G271" s="512">
        <v>6.4999999999999997E-3</v>
      </c>
      <c r="H271" s="512">
        <v>0.03</v>
      </c>
      <c r="I271" s="512">
        <v>0.18</v>
      </c>
      <c r="J271" s="512">
        <v>0.04</v>
      </c>
      <c r="K271" s="512">
        <v>0.14000000000000001</v>
      </c>
      <c r="L271" s="512">
        <v>1.4999999999999999E-2</v>
      </c>
      <c r="M271" s="513" t="s">
        <v>175</v>
      </c>
      <c r="N271" s="514">
        <v>3650</v>
      </c>
      <c r="O271" s="119"/>
      <c r="P271" s="119"/>
      <c r="Q271" s="119"/>
      <c r="R271" s="119"/>
      <c r="S271" s="119"/>
      <c r="T271" s="119"/>
      <c r="U271" s="119"/>
      <c r="V271" s="119">
        <v>7.5</v>
      </c>
      <c r="W271" s="119"/>
      <c r="X271" s="119">
        <f t="shared" si="103"/>
        <v>7.5</v>
      </c>
      <c r="Y271" s="118">
        <f t="shared" si="104"/>
        <v>7.5</v>
      </c>
      <c r="Z271" s="109">
        <f t="shared" si="102"/>
        <v>27375</v>
      </c>
      <c r="AA271" s="109">
        <f>'CALCULO GERAL'!$G$10</f>
        <v>6300</v>
      </c>
      <c r="AB271" s="109">
        <f t="shared" si="105"/>
        <v>33675</v>
      </c>
      <c r="AC271" s="109">
        <f>AB271*'CALCULO GERAL'!$C$11</f>
        <v>169014.82500000001</v>
      </c>
      <c r="AD271" s="109">
        <f t="shared" si="106"/>
        <v>21971.927250000001</v>
      </c>
      <c r="AE271" s="109">
        <f t="shared" si="107"/>
        <v>19098.675225000003</v>
      </c>
      <c r="AF271" s="109">
        <f t="shared" si="108"/>
        <v>3549.3113250000006</v>
      </c>
      <c r="AG271" s="109">
        <f t="shared" si="109"/>
        <v>16309.930612500002</v>
      </c>
      <c r="AH271" s="109">
        <v>154.22999999999999</v>
      </c>
      <c r="AI271" s="109">
        <f>((AA271*'CALCULO GERAL'!$C$11))*0.08+20</f>
        <v>2549.576</v>
      </c>
      <c r="AJ271" s="109">
        <v>1010</v>
      </c>
      <c r="AK271" s="109">
        <v>2500</v>
      </c>
      <c r="AL271" s="109">
        <f>(AA271*('CALCULO GERAL'!$C$11*1.02))-(AA271*'CALCULO GERAL'!$C$11)</f>
        <v>632.39400000000387</v>
      </c>
      <c r="AM271" s="109">
        <v>1800</v>
      </c>
      <c r="AN271" s="109">
        <v>2600</v>
      </c>
      <c r="AO271" s="109">
        <v>9400</v>
      </c>
      <c r="AP271" s="109">
        <v>1000</v>
      </c>
      <c r="AQ271" s="109">
        <v>0</v>
      </c>
      <c r="AR271" s="109">
        <v>0</v>
      </c>
      <c r="AS271" s="109"/>
      <c r="AT271" s="109">
        <f t="shared" si="93"/>
        <v>251590.86941250003</v>
      </c>
      <c r="AU271" s="111">
        <f t="shared" si="110"/>
        <v>68.929005318493154</v>
      </c>
      <c r="AV271" s="109">
        <f>IFERROR((BS271*'CALCULO GERAL'!$E$11)/N271,0)</f>
        <v>1.6121027999999997</v>
      </c>
      <c r="AW271" s="109">
        <f>AU271/'CALCULO GERAL'!$C$11</f>
        <v>13.733613333033105</v>
      </c>
      <c r="AX271" s="109">
        <f>BP271-BB271-BD271*'CALCULO GERAL'!$C$11</f>
        <v>42.72805194</v>
      </c>
      <c r="AY271" s="109">
        <f t="shared" si="111"/>
        <v>0.27773233760999999</v>
      </c>
      <c r="AZ271" s="109">
        <f t="shared" si="112"/>
        <v>1.2818415582</v>
      </c>
      <c r="BA271" s="109">
        <f t="shared" si="113"/>
        <v>73.2774</v>
      </c>
      <c r="BB271" s="109">
        <f t="shared" si="114"/>
        <v>1.0991610000000001</v>
      </c>
      <c r="BC271" s="109">
        <f t="shared" si="115"/>
        <v>73.277399999999986</v>
      </c>
      <c r="BD271" s="109">
        <f t="shared" si="116"/>
        <v>7.3277399999999986</v>
      </c>
      <c r="BE271" s="109">
        <f t="shared" si="117"/>
        <v>23536.700879999997</v>
      </c>
      <c r="BF271" s="109">
        <f t="shared" si="118"/>
        <v>35305.051319999991</v>
      </c>
      <c r="BG271" s="109">
        <f t="shared" si="119"/>
        <v>0.87053551199999968</v>
      </c>
      <c r="BH271" s="109">
        <f t="shared" si="120"/>
        <v>0.96726167999999979</v>
      </c>
      <c r="BI271" s="109">
        <f t="shared" si="121"/>
        <v>0</v>
      </c>
      <c r="BJ271" s="109">
        <f t="shared" si="122"/>
        <v>13.436374887809999</v>
      </c>
      <c r="BK271" s="109">
        <f t="shared" si="123"/>
        <v>82.365380206303158</v>
      </c>
      <c r="BL271" s="148">
        <v>0.87</v>
      </c>
      <c r="BM271" s="112">
        <f>ROUND((AW271/BL271)+((AW271*BL271)*'CALCULO GERAL'!$E$11)/BL271,2)</f>
        <v>16.059999999999999</v>
      </c>
      <c r="BN271" s="186">
        <f t="shared" si="94"/>
        <v>16.059999999999999</v>
      </c>
      <c r="BO271" s="186">
        <f t="shared" si="95"/>
        <v>18.817</v>
      </c>
      <c r="BP271" s="109">
        <f>BM271*'CALCULO GERAL'!$C$11</f>
        <v>80.605139999999992</v>
      </c>
      <c r="BQ271" s="109">
        <f>BO271*'CALCULO GERAL'!$C$11</f>
        <v>94.442523000000008</v>
      </c>
      <c r="BR271" s="186">
        <f>BN271*'CALCULO GERAL'!$C$11</f>
        <v>80.605139999999992</v>
      </c>
      <c r="BS271" s="109">
        <f t="shared" si="124"/>
        <v>294208.76099999994</v>
      </c>
      <c r="BT271" s="109">
        <f t="shared" si="125"/>
        <v>294208.76099999994</v>
      </c>
      <c r="BU271" s="109">
        <f t="shared" si="99"/>
        <v>300633.63775300654</v>
      </c>
      <c r="BV271" s="109">
        <f t="shared" si="96"/>
        <v>-6424.8767530065961</v>
      </c>
      <c r="BW271" s="114">
        <f t="shared" si="126"/>
        <v>-2.183781588001928E-2</v>
      </c>
      <c r="BX271" s="152">
        <f t="shared" si="100"/>
        <v>0.87</v>
      </c>
      <c r="BZ271" s="55"/>
      <c r="CA271" s="113"/>
      <c r="CB271" s="113"/>
      <c r="CD271" s="152">
        <f t="shared" si="101"/>
        <v>0</v>
      </c>
      <c r="CE271" s="152">
        <f t="shared" si="97"/>
        <v>1</v>
      </c>
      <c r="CF271" s="152">
        <f t="shared" si="98"/>
        <v>1</v>
      </c>
      <c r="CG271" s="34"/>
      <c r="CI271" s="11"/>
      <c r="CJ271" s="11"/>
    </row>
    <row r="272" spans="1:88" s="152" customFormat="1" x14ac:dyDescent="0.2">
      <c r="A272" s="507" t="s">
        <v>613</v>
      </c>
      <c r="B272" s="508" t="s">
        <v>612</v>
      </c>
      <c r="C272" s="509">
        <v>0.13</v>
      </c>
      <c r="D272" s="510">
        <v>0.1</v>
      </c>
      <c r="E272" s="511">
        <v>2.1000000000000001E-2</v>
      </c>
      <c r="F272" s="511">
        <v>9.6500000000000002E-2</v>
      </c>
      <c r="G272" s="512">
        <v>6.4999999999999997E-3</v>
      </c>
      <c r="H272" s="512">
        <v>0.03</v>
      </c>
      <c r="I272" s="512">
        <v>0.18</v>
      </c>
      <c r="J272" s="512">
        <v>0.04</v>
      </c>
      <c r="K272" s="512">
        <v>0.14000000000000001</v>
      </c>
      <c r="L272" s="512">
        <v>1.4999999999999999E-2</v>
      </c>
      <c r="M272" s="513" t="s">
        <v>175</v>
      </c>
      <c r="N272" s="514">
        <v>3650</v>
      </c>
      <c r="O272" s="119"/>
      <c r="P272" s="119"/>
      <c r="Q272" s="119"/>
      <c r="R272" s="119"/>
      <c r="S272" s="119"/>
      <c r="T272" s="119"/>
      <c r="U272" s="119"/>
      <c r="V272" s="119">
        <v>7.25</v>
      </c>
      <c r="W272" s="119">
        <f>V272*1.01</f>
        <v>7.3224999999999998</v>
      </c>
      <c r="X272" s="119">
        <f t="shared" si="103"/>
        <v>7.25</v>
      </c>
      <c r="Y272" s="118">
        <f t="shared" si="104"/>
        <v>7.2862499999999999</v>
      </c>
      <c r="Z272" s="109">
        <f t="shared" si="102"/>
        <v>26462.5</v>
      </c>
      <c r="AA272" s="109">
        <f>'CALCULO GERAL'!$G$10</f>
        <v>6300</v>
      </c>
      <c r="AB272" s="109">
        <f t="shared" si="105"/>
        <v>32762.5</v>
      </c>
      <c r="AC272" s="109">
        <f>AB272*'CALCULO GERAL'!$C$11</f>
        <v>164434.98750000002</v>
      </c>
      <c r="AD272" s="109">
        <f t="shared" si="106"/>
        <v>21376.548375000002</v>
      </c>
      <c r="AE272" s="109">
        <f t="shared" si="107"/>
        <v>18581.153587500005</v>
      </c>
      <c r="AF272" s="109">
        <f t="shared" si="108"/>
        <v>3453.1347375000005</v>
      </c>
      <c r="AG272" s="109">
        <f t="shared" si="109"/>
        <v>15867.976293750002</v>
      </c>
      <c r="AH272" s="109">
        <v>154.22999999999999</v>
      </c>
      <c r="AI272" s="109">
        <f>((AA272*'CALCULO GERAL'!$C$11))*0.08+20</f>
        <v>2549.576</v>
      </c>
      <c r="AJ272" s="109">
        <v>1010</v>
      </c>
      <c r="AK272" s="109">
        <v>2500</v>
      </c>
      <c r="AL272" s="109">
        <f>(AA272*('CALCULO GERAL'!$C$11*1.02))-(AA272*'CALCULO GERAL'!$C$11)</f>
        <v>632.39400000000387</v>
      </c>
      <c r="AM272" s="109">
        <v>1800</v>
      </c>
      <c r="AN272" s="109">
        <v>2600</v>
      </c>
      <c r="AO272" s="109">
        <v>9400</v>
      </c>
      <c r="AP272" s="109">
        <v>1000</v>
      </c>
      <c r="AQ272" s="109">
        <v>0</v>
      </c>
      <c r="AR272" s="109">
        <v>0</v>
      </c>
      <c r="AS272" s="109"/>
      <c r="AT272" s="109">
        <f t="shared" si="93"/>
        <v>245360.00049375003</v>
      </c>
      <c r="AU272" s="111">
        <f t="shared" si="110"/>
        <v>67.221917943493153</v>
      </c>
      <c r="AV272" s="109">
        <f>IFERROR((BS272*'CALCULO GERAL'!$E$11)/N272,0)</f>
        <v>1.5719508</v>
      </c>
      <c r="AW272" s="109">
        <f>AU272/'CALCULO GERAL'!$C$11</f>
        <v>13.393488333033105</v>
      </c>
      <c r="AX272" s="109">
        <f>BP272-BB272-BD272*'CALCULO GERAL'!$C$11</f>
        <v>41.663841430909102</v>
      </c>
      <c r="AY272" s="109">
        <f t="shared" si="111"/>
        <v>0.27081496930090915</v>
      </c>
      <c r="AZ272" s="109">
        <f t="shared" si="112"/>
        <v>1.2499152429272731</v>
      </c>
      <c r="BA272" s="109">
        <f t="shared" si="113"/>
        <v>71.452309090909097</v>
      </c>
      <c r="BB272" s="109">
        <f t="shared" si="114"/>
        <v>1.0717846363636365</v>
      </c>
      <c r="BC272" s="109">
        <f t="shared" si="115"/>
        <v>71.452309090909097</v>
      </c>
      <c r="BD272" s="109">
        <f t="shared" si="116"/>
        <v>7.1452309090909099</v>
      </c>
      <c r="BE272" s="109">
        <f t="shared" si="117"/>
        <v>22950.481680000001</v>
      </c>
      <c r="BF272" s="109">
        <f t="shared" si="118"/>
        <v>34425.722520000003</v>
      </c>
      <c r="BG272" s="109">
        <f t="shared" si="119"/>
        <v>0.84885343199999996</v>
      </c>
      <c r="BH272" s="109">
        <f t="shared" si="120"/>
        <v>0.94317048000000003</v>
      </c>
      <c r="BI272" s="109">
        <f t="shared" si="121"/>
        <v>0</v>
      </c>
      <c r="BJ272" s="109">
        <f t="shared" si="122"/>
        <v>13.101720469682729</v>
      </c>
      <c r="BK272" s="109">
        <f t="shared" si="123"/>
        <v>80.323638413175885</v>
      </c>
      <c r="BL272" s="148">
        <v>0.87</v>
      </c>
      <c r="BM272" s="112">
        <f>ROUND((AW272/BL272)+((AW272*BL272)*'CALCULO GERAL'!$E$11)/BL272,2)</f>
        <v>15.66</v>
      </c>
      <c r="BN272" s="186">
        <f t="shared" si="94"/>
        <v>15.66</v>
      </c>
      <c r="BO272" s="186">
        <f t="shared" si="95"/>
        <v>18.347999999999999</v>
      </c>
      <c r="BP272" s="109">
        <f>BM272*'CALCULO GERAL'!$C$11</f>
        <v>78.597540000000009</v>
      </c>
      <c r="BQ272" s="109">
        <f>BO272*'CALCULO GERAL'!$C$11</f>
        <v>92.088611999999998</v>
      </c>
      <c r="BR272" s="186">
        <f>BN272*'CALCULO GERAL'!$C$11</f>
        <v>78.597540000000009</v>
      </c>
      <c r="BS272" s="109">
        <f t="shared" si="124"/>
        <v>286881.02100000001</v>
      </c>
      <c r="BT272" s="109">
        <f t="shared" si="125"/>
        <v>286881.02100000001</v>
      </c>
      <c r="BU272" s="109">
        <f t="shared" si="99"/>
        <v>293181.28020809201</v>
      </c>
      <c r="BV272" s="109">
        <f t="shared" si="96"/>
        <v>-6300.2592080920003</v>
      </c>
      <c r="BW272" s="114">
        <f t="shared" si="126"/>
        <v>-2.1961226943946217E-2</v>
      </c>
      <c r="BX272" s="152">
        <f t="shared" si="100"/>
        <v>0.87</v>
      </c>
      <c r="BZ272" s="55"/>
      <c r="CA272" s="113"/>
      <c r="CB272" s="113"/>
      <c r="CD272" s="152">
        <f t="shared" si="101"/>
        <v>0</v>
      </c>
      <c r="CE272" s="152">
        <f t="shared" si="97"/>
        <v>1</v>
      </c>
      <c r="CF272" s="152">
        <f t="shared" si="98"/>
        <v>1</v>
      </c>
      <c r="CG272" s="34"/>
      <c r="CI272" s="11"/>
      <c r="CJ272" s="11"/>
    </row>
    <row r="273" spans="1:88" s="152" customFormat="1" x14ac:dyDescent="0.2">
      <c r="A273" s="507" t="s">
        <v>614</v>
      </c>
      <c r="B273" s="508" t="s">
        <v>612</v>
      </c>
      <c r="C273" s="509">
        <v>0.13</v>
      </c>
      <c r="D273" s="510">
        <v>0.1</v>
      </c>
      <c r="E273" s="511">
        <v>2.1000000000000001E-2</v>
      </c>
      <c r="F273" s="511">
        <v>9.6500000000000002E-2</v>
      </c>
      <c r="G273" s="512">
        <v>6.4999999999999997E-3</v>
      </c>
      <c r="H273" s="512">
        <v>0.03</v>
      </c>
      <c r="I273" s="512">
        <v>0.18</v>
      </c>
      <c r="J273" s="512">
        <v>0.04</v>
      </c>
      <c r="K273" s="512">
        <v>0.14000000000000001</v>
      </c>
      <c r="L273" s="512">
        <v>1.4999999999999999E-2</v>
      </c>
      <c r="M273" s="513" t="s">
        <v>175</v>
      </c>
      <c r="N273" s="514">
        <v>3650</v>
      </c>
      <c r="O273" s="119"/>
      <c r="P273" s="119"/>
      <c r="Q273" s="119"/>
      <c r="R273" s="119"/>
      <c r="S273" s="119"/>
      <c r="T273" s="119"/>
      <c r="U273" s="119"/>
      <c r="V273" s="119">
        <v>7.28</v>
      </c>
      <c r="W273" s="119">
        <f>V273*1.01</f>
        <v>7.3528000000000002</v>
      </c>
      <c r="X273" s="119">
        <f t="shared" si="103"/>
        <v>7.28</v>
      </c>
      <c r="Y273" s="118">
        <f t="shared" si="104"/>
        <v>7.3163999999999998</v>
      </c>
      <c r="Z273" s="109">
        <f t="shared" si="102"/>
        <v>26572</v>
      </c>
      <c r="AA273" s="109">
        <f>'CALCULO GERAL'!$G$10</f>
        <v>6300</v>
      </c>
      <c r="AB273" s="109">
        <f t="shared" si="105"/>
        <v>32872</v>
      </c>
      <c r="AC273" s="109">
        <f>AB273*'CALCULO GERAL'!$C$11</f>
        <v>164984.568</v>
      </c>
      <c r="AD273" s="109">
        <f t="shared" si="106"/>
        <v>21447.993839999999</v>
      </c>
      <c r="AE273" s="109">
        <f t="shared" si="107"/>
        <v>18643.256184000002</v>
      </c>
      <c r="AF273" s="109">
        <f t="shared" si="108"/>
        <v>3464.6759280000001</v>
      </c>
      <c r="AG273" s="109">
        <f t="shared" si="109"/>
        <v>15921.010812</v>
      </c>
      <c r="AH273" s="109">
        <v>154.22999999999999</v>
      </c>
      <c r="AI273" s="109">
        <f>((AA273*'CALCULO GERAL'!$C$11))*0.08+20</f>
        <v>2549.576</v>
      </c>
      <c r="AJ273" s="109">
        <v>1010</v>
      </c>
      <c r="AK273" s="109">
        <v>2500</v>
      </c>
      <c r="AL273" s="109">
        <f>(AA273*('CALCULO GERAL'!$C$11*1.02))-(AA273*'CALCULO GERAL'!$C$11)</f>
        <v>632.39400000000387</v>
      </c>
      <c r="AM273" s="109">
        <v>1800</v>
      </c>
      <c r="AN273" s="109">
        <v>2600</v>
      </c>
      <c r="AO273" s="109">
        <v>9400</v>
      </c>
      <c r="AP273" s="109">
        <v>1000</v>
      </c>
      <c r="AQ273" s="109">
        <v>0</v>
      </c>
      <c r="AR273" s="109">
        <v>0</v>
      </c>
      <c r="AS273" s="109"/>
      <c r="AT273" s="109">
        <f t="shared" si="93"/>
        <v>246107.70476400002</v>
      </c>
      <c r="AU273" s="111">
        <f t="shared" si="110"/>
        <v>67.426768428493162</v>
      </c>
      <c r="AV273" s="109">
        <f>IFERROR((BS273*'CALCULO GERAL'!$E$11)/N273,0)</f>
        <v>1.5950382000000003</v>
      </c>
      <c r="AW273" s="109">
        <f>AU273/'CALCULO GERAL'!$C$11</f>
        <v>13.434303333033107</v>
      </c>
      <c r="AX273" s="109">
        <f>BP273-BB273-BD273*'CALCULO GERAL'!$C$11</f>
        <v>42.275762473636362</v>
      </c>
      <c r="AY273" s="109">
        <f t="shared" si="111"/>
        <v>0.27479245607863634</v>
      </c>
      <c r="AZ273" s="109">
        <f t="shared" si="112"/>
        <v>1.2682728742090907</v>
      </c>
      <c r="BA273" s="109">
        <f t="shared" si="113"/>
        <v>72.501736363636368</v>
      </c>
      <c r="BB273" s="109">
        <f t="shared" si="114"/>
        <v>1.0875260454545455</v>
      </c>
      <c r="BC273" s="109">
        <f t="shared" si="115"/>
        <v>72.501736363636368</v>
      </c>
      <c r="BD273" s="109">
        <f t="shared" si="116"/>
        <v>7.2501736363636375</v>
      </c>
      <c r="BE273" s="109">
        <f t="shared" si="117"/>
        <v>23287.557720000004</v>
      </c>
      <c r="BF273" s="109">
        <f t="shared" si="118"/>
        <v>34931.336580000003</v>
      </c>
      <c r="BG273" s="109">
        <f t="shared" si="119"/>
        <v>0.86132062799999998</v>
      </c>
      <c r="BH273" s="109">
        <f t="shared" si="120"/>
        <v>0.95702292000000022</v>
      </c>
      <c r="BI273" s="109">
        <f t="shared" si="121"/>
        <v>0</v>
      </c>
      <c r="BJ273" s="109">
        <f t="shared" si="122"/>
        <v>13.29414676010591</v>
      </c>
      <c r="BK273" s="109">
        <f t="shared" si="123"/>
        <v>80.720915188599065</v>
      </c>
      <c r="BL273" s="148">
        <v>0.86</v>
      </c>
      <c r="BM273" s="112">
        <f>ROUND((AW273/BL273)+((AW273*BL273)*'CALCULO GERAL'!$E$11)/BL273,2)</f>
        <v>15.89</v>
      </c>
      <c r="BN273" s="186">
        <f t="shared" si="94"/>
        <v>15.89</v>
      </c>
      <c r="BO273" s="186">
        <f t="shared" si="95"/>
        <v>18.617999999999999</v>
      </c>
      <c r="BP273" s="109">
        <f>BM273*'CALCULO GERAL'!$C$11</f>
        <v>79.751910000000009</v>
      </c>
      <c r="BQ273" s="109">
        <f>BO273*'CALCULO GERAL'!$C$11</f>
        <v>93.443742</v>
      </c>
      <c r="BR273" s="186">
        <f>BN273*'CALCULO GERAL'!$C$11</f>
        <v>79.751910000000009</v>
      </c>
      <c r="BS273" s="109">
        <f t="shared" si="124"/>
        <v>291094.47150000004</v>
      </c>
      <c r="BT273" s="109">
        <f t="shared" si="125"/>
        <v>291094.47150000004</v>
      </c>
      <c r="BU273" s="109">
        <f t="shared" si="99"/>
        <v>294631.3404383866</v>
      </c>
      <c r="BV273" s="109">
        <f t="shared" si="96"/>
        <v>-3536.8689383865567</v>
      </c>
      <c r="BW273" s="114">
        <f t="shared" si="126"/>
        <v>-1.2150244283792784E-2</v>
      </c>
      <c r="BX273" s="152">
        <f t="shared" si="100"/>
        <v>0.86</v>
      </c>
      <c r="BZ273" s="55"/>
      <c r="CA273" s="113"/>
      <c r="CB273" s="113"/>
      <c r="CD273" s="152">
        <f t="shared" si="101"/>
        <v>0</v>
      </c>
      <c r="CE273" s="152">
        <f t="shared" si="97"/>
        <v>1</v>
      </c>
      <c r="CF273" s="152">
        <f t="shared" si="98"/>
        <v>1</v>
      </c>
      <c r="CG273" s="34"/>
      <c r="CI273" s="11"/>
      <c r="CJ273" s="11"/>
    </row>
    <row r="274" spans="1:88" s="152" customFormat="1" x14ac:dyDescent="0.2">
      <c r="A274" s="507" t="s">
        <v>615</v>
      </c>
      <c r="B274" s="508" t="s">
        <v>266</v>
      </c>
      <c r="C274" s="509">
        <v>0.13</v>
      </c>
      <c r="D274" s="510">
        <v>0.04</v>
      </c>
      <c r="E274" s="511">
        <v>2.1000000000000001E-2</v>
      </c>
      <c r="F274" s="511">
        <v>9.6500000000000002E-2</v>
      </c>
      <c r="G274" s="512">
        <v>6.4999999999999997E-3</v>
      </c>
      <c r="H274" s="512">
        <v>0.03</v>
      </c>
      <c r="I274" s="512">
        <v>0.18</v>
      </c>
      <c r="J274" s="512">
        <v>0.04</v>
      </c>
      <c r="K274" s="512">
        <v>0.14000000000000001</v>
      </c>
      <c r="L274" s="512">
        <v>1.4999999999999999E-2</v>
      </c>
      <c r="M274" s="513" t="s">
        <v>175</v>
      </c>
      <c r="N274" s="514">
        <v>25000</v>
      </c>
      <c r="O274" s="119"/>
      <c r="P274" s="119"/>
      <c r="Q274" s="119"/>
      <c r="R274" s="119"/>
      <c r="S274" s="119"/>
      <c r="T274" s="119"/>
      <c r="U274" s="119"/>
      <c r="V274" s="119">
        <v>7.35</v>
      </c>
      <c r="W274" s="119">
        <f>V274*1.01</f>
        <v>7.4234999999999998</v>
      </c>
      <c r="X274" s="119">
        <f t="shared" si="103"/>
        <v>7.35</v>
      </c>
      <c r="Y274" s="118">
        <f t="shared" si="104"/>
        <v>7.3867499999999993</v>
      </c>
      <c r="Z274" s="109">
        <f t="shared" si="102"/>
        <v>183750</v>
      </c>
      <c r="AA274" s="109">
        <f>'CALCULO GERAL'!$G$10</f>
        <v>6300</v>
      </c>
      <c r="AB274" s="109">
        <f t="shared" si="105"/>
        <v>190050</v>
      </c>
      <c r="AC274" s="109">
        <f>AB274*'CALCULO GERAL'!$C$11</f>
        <v>953860.95000000007</v>
      </c>
      <c r="AD274" s="109">
        <f t="shared" si="106"/>
        <v>124001.92350000002</v>
      </c>
      <c r="AE274" s="109">
        <f t="shared" si="107"/>
        <v>43114.514940000001</v>
      </c>
      <c r="AF274" s="109">
        <f t="shared" si="108"/>
        <v>20031.079950000003</v>
      </c>
      <c r="AG274" s="109">
        <f t="shared" si="109"/>
        <v>92047.581675000009</v>
      </c>
      <c r="AH274" s="109">
        <v>154.22999999999999</v>
      </c>
      <c r="AI274" s="109">
        <f>((AA274*'CALCULO GERAL'!$C$11))*0.08+20</f>
        <v>2549.576</v>
      </c>
      <c r="AJ274" s="109">
        <v>1010</v>
      </c>
      <c r="AK274" s="109">
        <v>2500</v>
      </c>
      <c r="AL274" s="109">
        <f>(AA274*('CALCULO GERAL'!$C$11*1.02))-(AA274*'CALCULO GERAL'!$C$11)</f>
        <v>632.39400000000387</v>
      </c>
      <c r="AM274" s="109">
        <v>1800</v>
      </c>
      <c r="AN274" s="109">
        <v>2600</v>
      </c>
      <c r="AO274" s="109">
        <v>9400</v>
      </c>
      <c r="AP274" s="109">
        <v>1000</v>
      </c>
      <c r="AQ274" s="109">
        <v>0</v>
      </c>
      <c r="AR274" s="109">
        <v>0</v>
      </c>
      <c r="AS274" s="109"/>
      <c r="AT274" s="109">
        <f t="shared" si="93"/>
        <v>1254702.2500649998</v>
      </c>
      <c r="AU274" s="111">
        <f t="shared" si="110"/>
        <v>50.188090002599992</v>
      </c>
      <c r="AV274" s="109">
        <f>IFERROR((BS274*'CALCULO GERAL'!$E$11)/N274,0)</f>
        <v>1.1874954000000002</v>
      </c>
      <c r="AW274" s="109">
        <f>AU274/'CALCULO GERAL'!$C$11</f>
        <v>9.9996194466228321</v>
      </c>
      <c r="AX274" s="109">
        <f>BP274-BB274-BD274*'CALCULO GERAL'!$C$11</f>
        <v>47.056788870000005</v>
      </c>
      <c r="AY274" s="109">
        <f t="shared" si="111"/>
        <v>0.30586912765500002</v>
      </c>
      <c r="AZ274" s="109">
        <f t="shared" si="112"/>
        <v>1.4117036661000002</v>
      </c>
      <c r="BA274" s="109">
        <f t="shared" si="113"/>
        <v>57.091125000000005</v>
      </c>
      <c r="BB274" s="109">
        <f t="shared" si="114"/>
        <v>0.85636687500000008</v>
      </c>
      <c r="BC274" s="109">
        <f t="shared" si="115"/>
        <v>57.091125000000005</v>
      </c>
      <c r="BD274" s="109">
        <f t="shared" si="116"/>
        <v>2.2836450000000004</v>
      </c>
      <c r="BE274" s="109">
        <f t="shared" si="117"/>
        <v>118749.54000000002</v>
      </c>
      <c r="BF274" s="109">
        <f t="shared" si="118"/>
        <v>178124.31000000003</v>
      </c>
      <c r="BG274" s="109">
        <f t="shared" si="119"/>
        <v>0.64124751600000007</v>
      </c>
      <c r="BH274" s="109">
        <f t="shared" si="120"/>
        <v>0.71249724000000014</v>
      </c>
      <c r="BI274" s="109">
        <f t="shared" si="121"/>
        <v>-0.2349982000000001</v>
      </c>
      <c r="BJ274" s="109">
        <f t="shared" si="122"/>
        <v>7.1638266247550009</v>
      </c>
      <c r="BK274" s="109">
        <f t="shared" si="123"/>
        <v>57.351916627354996</v>
      </c>
      <c r="BL274" s="148">
        <v>0.86</v>
      </c>
      <c r="BM274" s="112">
        <f>ROUND((AW274/BL274)+((AW274*BL274)*'CALCULO GERAL'!$E$11)/BL274,2)</f>
        <v>11.83</v>
      </c>
      <c r="BN274" s="186">
        <f t="shared" si="94"/>
        <v>11.83</v>
      </c>
      <c r="BO274" s="186">
        <f t="shared" si="95"/>
        <v>13.861000000000001</v>
      </c>
      <c r="BP274" s="109">
        <f>BM274*'CALCULO GERAL'!$C$11</f>
        <v>59.374770000000005</v>
      </c>
      <c r="BQ274" s="109">
        <f>BO274*'CALCULO GERAL'!$C$11</f>
        <v>69.568359000000001</v>
      </c>
      <c r="BR274" s="186">
        <f>BN274*'CALCULO GERAL'!$C$11</f>
        <v>59.374770000000005</v>
      </c>
      <c r="BS274" s="109">
        <f t="shared" si="124"/>
        <v>1484369.2500000002</v>
      </c>
      <c r="BT274" s="109">
        <f t="shared" si="125"/>
        <v>1484369.2500000002</v>
      </c>
      <c r="BU274" s="109">
        <f t="shared" si="99"/>
        <v>1433797.9156838749</v>
      </c>
      <c r="BV274" s="109">
        <f t="shared" si="96"/>
        <v>50571.334316125372</v>
      </c>
      <c r="BW274" s="114">
        <f t="shared" si="126"/>
        <v>3.4069241407503802E-2</v>
      </c>
      <c r="BX274" s="152">
        <f t="shared" si="100"/>
        <v>0.86</v>
      </c>
      <c r="BZ274" s="55"/>
      <c r="CA274" s="113"/>
      <c r="CB274" s="113"/>
      <c r="CD274" s="152">
        <f t="shared" si="101"/>
        <v>0</v>
      </c>
      <c r="CE274" s="152">
        <f t="shared" si="97"/>
        <v>1</v>
      </c>
      <c r="CF274" s="152">
        <f t="shared" si="98"/>
        <v>1</v>
      </c>
      <c r="CG274" s="34"/>
      <c r="CI274" s="11"/>
      <c r="CJ274" s="11"/>
    </row>
    <row r="275" spans="1:88" s="152" customFormat="1" x14ac:dyDescent="0.2">
      <c r="A275" s="507" t="s">
        <v>616</v>
      </c>
      <c r="B275" s="508" t="s">
        <v>266</v>
      </c>
      <c r="C275" s="509">
        <v>0.13</v>
      </c>
      <c r="D275" s="510">
        <v>0.04</v>
      </c>
      <c r="E275" s="511">
        <v>2.1000000000000001E-2</v>
      </c>
      <c r="F275" s="511">
        <v>9.6500000000000002E-2</v>
      </c>
      <c r="G275" s="512">
        <v>6.4999999999999997E-3</v>
      </c>
      <c r="H275" s="512">
        <v>0.03</v>
      </c>
      <c r="I275" s="512">
        <v>0.18</v>
      </c>
      <c r="J275" s="512">
        <v>0.04</v>
      </c>
      <c r="K275" s="512">
        <v>0.14000000000000001</v>
      </c>
      <c r="L275" s="512">
        <v>1.4999999999999999E-2</v>
      </c>
      <c r="M275" s="513" t="s">
        <v>175</v>
      </c>
      <c r="N275" s="514">
        <v>25000</v>
      </c>
      <c r="O275" s="119"/>
      <c r="P275" s="119"/>
      <c r="Q275" s="119"/>
      <c r="R275" s="119"/>
      <c r="S275" s="119"/>
      <c r="T275" s="119"/>
      <c r="U275" s="119"/>
      <c r="V275" s="119">
        <v>0.69599999999999995</v>
      </c>
      <c r="W275" s="119"/>
      <c r="X275" s="119">
        <f t="shared" si="103"/>
        <v>0.69599999999999995</v>
      </c>
      <c r="Y275" s="118">
        <f t="shared" si="104"/>
        <v>0.69599999999999995</v>
      </c>
      <c r="Z275" s="109">
        <f t="shared" si="102"/>
        <v>17400</v>
      </c>
      <c r="AA275" s="109">
        <f>'CALCULO GERAL'!$G$10</f>
        <v>6300</v>
      </c>
      <c r="AB275" s="109">
        <f t="shared" si="105"/>
        <v>23700</v>
      </c>
      <c r="AC275" s="109">
        <f>AB275*'CALCULO GERAL'!$C$11</f>
        <v>118950.3</v>
      </c>
      <c r="AD275" s="109">
        <f t="shared" si="106"/>
        <v>15463.539000000001</v>
      </c>
      <c r="AE275" s="109">
        <f t="shared" si="107"/>
        <v>5376.5535600000003</v>
      </c>
      <c r="AF275" s="109">
        <f t="shared" si="108"/>
        <v>2497.9563000000003</v>
      </c>
      <c r="AG275" s="109">
        <f t="shared" si="109"/>
        <v>11478.703950000001</v>
      </c>
      <c r="AH275" s="109">
        <v>154.22999999999999</v>
      </c>
      <c r="AI275" s="109">
        <f>((AA275*'CALCULO GERAL'!$C$11))*0.08+20</f>
        <v>2549.576</v>
      </c>
      <c r="AJ275" s="109">
        <v>1010</v>
      </c>
      <c r="AK275" s="109">
        <v>2500</v>
      </c>
      <c r="AL275" s="109">
        <f>(AA275*('CALCULO GERAL'!$C$11*1.02))-(AA275*'CALCULO GERAL'!$C$11)</f>
        <v>632.39400000000387</v>
      </c>
      <c r="AM275" s="109">
        <v>1800</v>
      </c>
      <c r="AN275" s="109">
        <v>2600</v>
      </c>
      <c r="AO275" s="109">
        <v>9400</v>
      </c>
      <c r="AP275" s="109">
        <v>1000</v>
      </c>
      <c r="AQ275" s="109">
        <v>0</v>
      </c>
      <c r="AR275" s="109">
        <v>0</v>
      </c>
      <c r="AS275" s="109"/>
      <c r="AT275" s="109">
        <f t="shared" si="93"/>
        <v>175413.25281000001</v>
      </c>
      <c r="AU275" s="111">
        <f t="shared" si="110"/>
        <v>7.0165301123999999</v>
      </c>
      <c r="AV275" s="109">
        <f>IFERROR((BS275*'CALCULO GERAL'!$E$11)/N275,0)</f>
        <v>0.165627</v>
      </c>
      <c r="AW275" s="109">
        <f>AU275/'CALCULO GERAL'!$C$11</f>
        <v>1.3979936466228331</v>
      </c>
      <c r="AX275" s="109">
        <f>BP275-BB275-BD275*'CALCULO GERAL'!$C$11</f>
        <v>6.5632883884615376</v>
      </c>
      <c r="AY275" s="109">
        <f t="shared" si="111"/>
        <v>4.266137452499999E-2</v>
      </c>
      <c r="AZ275" s="109">
        <f t="shared" si="112"/>
        <v>0.19689865165384612</v>
      </c>
      <c r="BA275" s="109">
        <f t="shared" si="113"/>
        <v>7.9628365384615378</v>
      </c>
      <c r="BB275" s="109">
        <f t="shared" si="114"/>
        <v>0.11944254807692306</v>
      </c>
      <c r="BC275" s="109">
        <f t="shared" si="115"/>
        <v>7.9628365384615378</v>
      </c>
      <c r="BD275" s="109">
        <f t="shared" si="116"/>
        <v>0.3185134615384615</v>
      </c>
      <c r="BE275" s="109">
        <f t="shared" si="117"/>
        <v>16562.7</v>
      </c>
      <c r="BF275" s="109">
        <f t="shared" si="118"/>
        <v>24844.05</v>
      </c>
      <c r="BG275" s="109">
        <f t="shared" si="119"/>
        <v>8.9438580000000004E-2</v>
      </c>
      <c r="BH275" s="109">
        <f t="shared" si="120"/>
        <v>9.9376200000000012E-2</v>
      </c>
      <c r="BI275" s="109">
        <f t="shared" si="121"/>
        <v>0</v>
      </c>
      <c r="BJ275" s="109">
        <f t="shared" si="122"/>
        <v>1.0319578157942306</v>
      </c>
      <c r="BK275" s="109">
        <f t="shared" si="123"/>
        <v>8.0484879281942305</v>
      </c>
      <c r="BL275" s="148">
        <v>0.86</v>
      </c>
      <c r="BM275" s="112">
        <f>ROUND((AW275/BL275)+((AW275*BL275)*'CALCULO GERAL'!$E$11)/BL275,2)</f>
        <v>1.65</v>
      </c>
      <c r="BN275" s="186">
        <f t="shared" si="94"/>
        <v>1.65</v>
      </c>
      <c r="BO275" s="186">
        <f t="shared" si="95"/>
        <v>1.9330000000000001</v>
      </c>
      <c r="BP275" s="109">
        <f>BM275*'CALCULO GERAL'!$C$11</f>
        <v>8.2813499999999998</v>
      </c>
      <c r="BQ275" s="109">
        <f>BO275*'CALCULO GERAL'!$C$11</f>
        <v>9.701727</v>
      </c>
      <c r="BR275" s="186">
        <f>BN275*'CALCULO GERAL'!$C$11</f>
        <v>8.2813499999999998</v>
      </c>
      <c r="BS275" s="109">
        <f t="shared" si="124"/>
        <v>207033.75</v>
      </c>
      <c r="BT275" s="109">
        <f t="shared" si="125"/>
        <v>207033.75</v>
      </c>
      <c r="BU275" s="109">
        <f t="shared" si="99"/>
        <v>201212.19820485575</v>
      </c>
      <c r="BV275" s="109">
        <f t="shared" si="96"/>
        <v>5821.5517951442453</v>
      </c>
      <c r="BW275" s="114">
        <f t="shared" si="126"/>
        <v>2.811885402811979E-2</v>
      </c>
      <c r="BX275" s="152">
        <f t="shared" si="100"/>
        <v>0.86</v>
      </c>
      <c r="BZ275" s="55"/>
      <c r="CA275" s="113"/>
      <c r="CB275" s="113"/>
      <c r="CD275" s="152">
        <f t="shared" si="101"/>
        <v>0</v>
      </c>
      <c r="CE275" s="152">
        <f t="shared" si="97"/>
        <v>1</v>
      </c>
      <c r="CF275" s="152">
        <f t="shared" si="98"/>
        <v>1</v>
      </c>
      <c r="CG275" s="34"/>
      <c r="CI275" s="11"/>
      <c r="CJ275" s="11"/>
    </row>
    <row r="276" spans="1:88" s="152" customFormat="1" x14ac:dyDescent="0.2">
      <c r="A276" s="507" t="s">
        <v>617</v>
      </c>
      <c r="B276" s="508" t="s">
        <v>266</v>
      </c>
      <c r="C276" s="509">
        <v>0.13</v>
      </c>
      <c r="D276" s="510">
        <v>0.04</v>
      </c>
      <c r="E276" s="511">
        <v>2.1000000000000001E-2</v>
      </c>
      <c r="F276" s="511">
        <v>9.6500000000000002E-2</v>
      </c>
      <c r="G276" s="512">
        <v>6.4999999999999997E-3</v>
      </c>
      <c r="H276" s="512">
        <v>0.03</v>
      </c>
      <c r="I276" s="512">
        <v>0.18</v>
      </c>
      <c r="J276" s="512">
        <v>0.04</v>
      </c>
      <c r="K276" s="512">
        <v>0.14000000000000001</v>
      </c>
      <c r="L276" s="512">
        <v>1.4999999999999999E-2</v>
      </c>
      <c r="M276" s="513" t="s">
        <v>175</v>
      </c>
      <c r="N276" s="514">
        <v>25000</v>
      </c>
      <c r="O276" s="119"/>
      <c r="P276" s="119"/>
      <c r="Q276" s="119"/>
      <c r="R276" s="119"/>
      <c r="S276" s="119"/>
      <c r="T276" s="119"/>
      <c r="U276" s="119"/>
      <c r="V276" s="119">
        <v>0.68500000000000005</v>
      </c>
      <c r="W276" s="119"/>
      <c r="X276" s="119">
        <f t="shared" si="103"/>
        <v>0.68500000000000005</v>
      </c>
      <c r="Y276" s="118">
        <f t="shared" si="104"/>
        <v>0.68500000000000005</v>
      </c>
      <c r="Z276" s="109">
        <f t="shared" si="102"/>
        <v>17125</v>
      </c>
      <c r="AA276" s="109">
        <f>'CALCULO GERAL'!$G$10</f>
        <v>6300</v>
      </c>
      <c r="AB276" s="109">
        <f t="shared" si="105"/>
        <v>23425</v>
      </c>
      <c r="AC276" s="109">
        <f>AB276*'CALCULO GERAL'!$C$11</f>
        <v>117570.075</v>
      </c>
      <c r="AD276" s="109">
        <f t="shared" si="106"/>
        <v>15284.10975</v>
      </c>
      <c r="AE276" s="109">
        <f t="shared" si="107"/>
        <v>5314.1673899999996</v>
      </c>
      <c r="AF276" s="109">
        <f t="shared" si="108"/>
        <v>2468.971575</v>
      </c>
      <c r="AG276" s="109">
        <f t="shared" si="109"/>
        <v>11345.512237499999</v>
      </c>
      <c r="AH276" s="109">
        <v>154.22999999999999</v>
      </c>
      <c r="AI276" s="109">
        <f>((AA276*'CALCULO GERAL'!$C$11))*0.08+20</f>
        <v>2549.576</v>
      </c>
      <c r="AJ276" s="109">
        <v>1010</v>
      </c>
      <c r="AK276" s="109">
        <v>2500</v>
      </c>
      <c r="AL276" s="109">
        <f>(AA276*('CALCULO GERAL'!$C$11*1.02))-(AA276*'CALCULO GERAL'!$C$11)</f>
        <v>632.39400000000387</v>
      </c>
      <c r="AM276" s="109">
        <v>1800</v>
      </c>
      <c r="AN276" s="109">
        <v>2600</v>
      </c>
      <c r="AO276" s="109">
        <v>9400</v>
      </c>
      <c r="AP276" s="109">
        <v>1000</v>
      </c>
      <c r="AQ276" s="109">
        <v>0</v>
      </c>
      <c r="AR276" s="109">
        <v>0</v>
      </c>
      <c r="AS276" s="109"/>
      <c r="AT276" s="109">
        <f t="shared" si="93"/>
        <v>173629.03595249998</v>
      </c>
      <c r="AU276" s="111">
        <f t="shared" si="110"/>
        <v>6.9451614380999995</v>
      </c>
      <c r="AV276" s="109">
        <f>IFERROR((BS276*'CALCULO GERAL'!$E$11)/N276,0)</f>
        <v>0.16261560000000003</v>
      </c>
      <c r="AW276" s="109">
        <f>AU276/'CALCULO GERAL'!$C$11</f>
        <v>1.3837739466228332</v>
      </c>
      <c r="AX276" s="109">
        <f>BP276-BB276-BD276*'CALCULO GERAL'!$C$11</f>
        <v>6.4439558723076935</v>
      </c>
      <c r="AY276" s="109">
        <f t="shared" si="111"/>
        <v>4.1885713170000005E-2</v>
      </c>
      <c r="AZ276" s="109">
        <f t="shared" si="112"/>
        <v>0.19331867616923079</v>
      </c>
      <c r="BA276" s="109">
        <f t="shared" si="113"/>
        <v>7.8180576923076934</v>
      </c>
      <c r="BB276" s="109">
        <f t="shared" si="114"/>
        <v>0.1172708653846154</v>
      </c>
      <c r="BC276" s="109">
        <f t="shared" si="115"/>
        <v>7.8180576923076934</v>
      </c>
      <c r="BD276" s="109">
        <f t="shared" si="116"/>
        <v>0.31272230769230774</v>
      </c>
      <c r="BE276" s="109">
        <f t="shared" si="117"/>
        <v>16261.560000000003</v>
      </c>
      <c r="BF276" s="109">
        <f t="shared" si="118"/>
        <v>24392.340000000004</v>
      </c>
      <c r="BG276" s="109">
        <f t="shared" si="119"/>
        <v>8.7812424000000014E-2</v>
      </c>
      <c r="BH276" s="109">
        <f t="shared" si="120"/>
        <v>9.7569360000000022E-2</v>
      </c>
      <c r="BI276" s="109">
        <f t="shared" si="121"/>
        <v>0</v>
      </c>
      <c r="BJ276" s="109">
        <f t="shared" si="122"/>
        <v>1.013194946416154</v>
      </c>
      <c r="BK276" s="109">
        <f t="shared" si="123"/>
        <v>7.9583563845161533</v>
      </c>
      <c r="BL276" s="148">
        <v>0.87</v>
      </c>
      <c r="BM276" s="112">
        <f>ROUND((AW276/BL276)+((AW276*BL276)*'CALCULO GERAL'!$E$11)/BL276,2)</f>
        <v>1.62</v>
      </c>
      <c r="BN276" s="186">
        <f t="shared" si="94"/>
        <v>1.62</v>
      </c>
      <c r="BO276" s="186">
        <f t="shared" si="95"/>
        <v>1.8979999999999999</v>
      </c>
      <c r="BP276" s="109">
        <f>BM276*'CALCULO GERAL'!$C$11</f>
        <v>8.1307800000000015</v>
      </c>
      <c r="BQ276" s="109">
        <f>BO276*'CALCULO GERAL'!$C$11</f>
        <v>9.5260619999999996</v>
      </c>
      <c r="BR276" s="186">
        <f>BN276*'CALCULO GERAL'!$C$11</f>
        <v>8.1307800000000015</v>
      </c>
      <c r="BS276" s="109">
        <f t="shared" si="124"/>
        <v>203269.50000000003</v>
      </c>
      <c r="BT276" s="109">
        <f t="shared" si="125"/>
        <v>203269.50000000003</v>
      </c>
      <c r="BU276" s="109">
        <f t="shared" si="99"/>
        <v>198958.90961290384</v>
      </c>
      <c r="BV276" s="109">
        <f t="shared" si="96"/>
        <v>4310.590387096192</v>
      </c>
      <c r="BW276" s="114">
        <f t="shared" si="126"/>
        <v>2.1206282236617847E-2</v>
      </c>
      <c r="BX276" s="152">
        <f t="shared" si="100"/>
        <v>0.87</v>
      </c>
      <c r="BZ276" s="55"/>
      <c r="CA276" s="113"/>
      <c r="CB276" s="113"/>
      <c r="CD276" s="152">
        <f t="shared" si="101"/>
        <v>0</v>
      </c>
      <c r="CE276" s="152">
        <f t="shared" si="97"/>
        <v>1</v>
      </c>
      <c r="CF276" s="152">
        <f t="shared" si="98"/>
        <v>1</v>
      </c>
      <c r="CG276" s="34"/>
      <c r="CI276" s="11"/>
      <c r="CJ276" s="11"/>
    </row>
    <row r="277" spans="1:88" s="152" customFormat="1" x14ac:dyDescent="0.2">
      <c r="A277" s="507" t="s">
        <v>618</v>
      </c>
      <c r="B277" s="508" t="s">
        <v>266</v>
      </c>
      <c r="C277" s="509">
        <v>0.13</v>
      </c>
      <c r="D277" s="510">
        <v>0.04</v>
      </c>
      <c r="E277" s="511">
        <v>2.1000000000000001E-2</v>
      </c>
      <c r="F277" s="511">
        <v>9.6500000000000002E-2</v>
      </c>
      <c r="G277" s="512">
        <v>6.4999999999999997E-3</v>
      </c>
      <c r="H277" s="512">
        <v>0.03</v>
      </c>
      <c r="I277" s="512">
        <v>0.18</v>
      </c>
      <c r="J277" s="512">
        <v>0.04</v>
      </c>
      <c r="K277" s="512">
        <v>0.14000000000000001</v>
      </c>
      <c r="L277" s="512">
        <v>1.4999999999999999E-2</v>
      </c>
      <c r="M277" s="513" t="s">
        <v>175</v>
      </c>
      <c r="N277" s="514">
        <v>25000</v>
      </c>
      <c r="O277" s="119"/>
      <c r="P277" s="119"/>
      <c r="Q277" s="119"/>
      <c r="R277" s="119"/>
      <c r="S277" s="119"/>
      <c r="T277" s="119"/>
      <c r="U277" s="119"/>
      <c r="V277" s="119">
        <v>0.68500000000000005</v>
      </c>
      <c r="W277" s="119"/>
      <c r="X277" s="119">
        <f t="shared" si="103"/>
        <v>0.68500000000000005</v>
      </c>
      <c r="Y277" s="118">
        <f t="shared" si="104"/>
        <v>0.68500000000000005</v>
      </c>
      <c r="Z277" s="109">
        <f t="shared" si="102"/>
        <v>17125</v>
      </c>
      <c r="AA277" s="109">
        <f>'CALCULO GERAL'!$G$10</f>
        <v>6300</v>
      </c>
      <c r="AB277" s="109">
        <f t="shared" si="105"/>
        <v>23425</v>
      </c>
      <c r="AC277" s="109">
        <f>AB277*'CALCULO GERAL'!$C$11</f>
        <v>117570.075</v>
      </c>
      <c r="AD277" s="109">
        <f t="shared" si="106"/>
        <v>15284.10975</v>
      </c>
      <c r="AE277" s="109">
        <f t="shared" si="107"/>
        <v>5314.1673899999996</v>
      </c>
      <c r="AF277" s="109">
        <f t="shared" si="108"/>
        <v>2468.971575</v>
      </c>
      <c r="AG277" s="109">
        <f t="shared" si="109"/>
        <v>11345.512237499999</v>
      </c>
      <c r="AH277" s="109">
        <v>154.22999999999999</v>
      </c>
      <c r="AI277" s="109">
        <f>((AA277*'CALCULO GERAL'!$C$11))*0.08+20</f>
        <v>2549.576</v>
      </c>
      <c r="AJ277" s="109">
        <v>1010</v>
      </c>
      <c r="AK277" s="109">
        <v>2500</v>
      </c>
      <c r="AL277" s="109">
        <f>(AA277*('CALCULO GERAL'!$C$11*1.02))-(AA277*'CALCULO GERAL'!$C$11)</f>
        <v>632.39400000000387</v>
      </c>
      <c r="AM277" s="109">
        <v>1800</v>
      </c>
      <c r="AN277" s="109">
        <v>2600</v>
      </c>
      <c r="AO277" s="109">
        <v>9400</v>
      </c>
      <c r="AP277" s="109">
        <v>1000</v>
      </c>
      <c r="AQ277" s="109">
        <v>0</v>
      </c>
      <c r="AR277" s="109">
        <v>0</v>
      </c>
      <c r="AS277" s="109"/>
      <c r="AT277" s="109">
        <f t="shared" si="93"/>
        <v>173629.03595249998</v>
      </c>
      <c r="AU277" s="111">
        <f t="shared" si="110"/>
        <v>6.9451614380999995</v>
      </c>
      <c r="AV277" s="109">
        <f>IFERROR((BS277*'CALCULO GERAL'!$E$11)/N277,0)</f>
        <v>0.1646232</v>
      </c>
      <c r="AW277" s="109">
        <f>AU277/'CALCULO GERAL'!$C$11</f>
        <v>1.3837739466228332</v>
      </c>
      <c r="AX277" s="109">
        <f>BP277-BB277-BD277*'CALCULO GERAL'!$C$11</f>
        <v>6.5235108830769226</v>
      </c>
      <c r="AY277" s="109">
        <f t="shared" si="111"/>
        <v>4.2402820739999993E-2</v>
      </c>
      <c r="AZ277" s="109">
        <f t="shared" si="112"/>
        <v>0.19570532649230768</v>
      </c>
      <c r="BA277" s="109">
        <f t="shared" si="113"/>
        <v>7.9145769230769218</v>
      </c>
      <c r="BB277" s="109">
        <f t="shared" si="114"/>
        <v>0.11871865384615382</v>
      </c>
      <c r="BC277" s="109">
        <f t="shared" si="115"/>
        <v>7.9145769230769218</v>
      </c>
      <c r="BD277" s="109">
        <f t="shared" si="116"/>
        <v>0.31658307692307686</v>
      </c>
      <c r="BE277" s="109">
        <f t="shared" si="117"/>
        <v>16462.32</v>
      </c>
      <c r="BF277" s="109">
        <f t="shared" si="118"/>
        <v>24693.479999999996</v>
      </c>
      <c r="BG277" s="109">
        <f t="shared" si="119"/>
        <v>8.8896527999999975E-2</v>
      </c>
      <c r="BH277" s="109">
        <f t="shared" si="120"/>
        <v>9.8773920000000001E-2</v>
      </c>
      <c r="BI277" s="109">
        <f t="shared" si="121"/>
        <v>0</v>
      </c>
      <c r="BJ277" s="109">
        <f t="shared" si="122"/>
        <v>1.0257035260015384</v>
      </c>
      <c r="BK277" s="109">
        <f t="shared" si="123"/>
        <v>7.9708649641015379</v>
      </c>
      <c r="BL277" s="148">
        <v>0.86</v>
      </c>
      <c r="BM277" s="112">
        <f>ROUND((AW277/BL277)+((AW277*BL277)*'CALCULO GERAL'!$E$11)/BL277,2)</f>
        <v>1.64</v>
      </c>
      <c r="BN277" s="186">
        <f t="shared" si="94"/>
        <v>1.64</v>
      </c>
      <c r="BO277" s="186">
        <f t="shared" si="95"/>
        <v>1.9219999999999999</v>
      </c>
      <c r="BP277" s="109">
        <f>BM277*'CALCULO GERAL'!$C$11</f>
        <v>8.2311599999999991</v>
      </c>
      <c r="BQ277" s="109">
        <f>BO277*'CALCULO GERAL'!$C$11</f>
        <v>9.6465180000000004</v>
      </c>
      <c r="BR277" s="186">
        <f>BN277*'CALCULO GERAL'!$C$11</f>
        <v>8.2311599999999991</v>
      </c>
      <c r="BS277" s="109">
        <f t="shared" si="124"/>
        <v>205778.99999999997</v>
      </c>
      <c r="BT277" s="109">
        <f t="shared" si="125"/>
        <v>205778.99999999997</v>
      </c>
      <c r="BU277" s="109">
        <f t="shared" si="99"/>
        <v>199271.62410253845</v>
      </c>
      <c r="BV277" s="109">
        <f t="shared" si="96"/>
        <v>6507.3758974615193</v>
      </c>
      <c r="BW277" s="114">
        <f t="shared" si="126"/>
        <v>3.1623129169942123E-2</v>
      </c>
      <c r="BX277" s="152">
        <f t="shared" si="100"/>
        <v>0.86</v>
      </c>
      <c r="BZ277" s="55"/>
      <c r="CA277" s="113"/>
      <c r="CB277" s="113"/>
      <c r="CD277" s="152">
        <f t="shared" si="101"/>
        <v>0</v>
      </c>
      <c r="CE277" s="152">
        <f t="shared" si="97"/>
        <v>1</v>
      </c>
      <c r="CF277" s="152">
        <f t="shared" si="98"/>
        <v>1</v>
      </c>
      <c r="CG277" s="34"/>
      <c r="CI277" s="11"/>
      <c r="CJ277" s="11"/>
    </row>
    <row r="278" spans="1:88" s="152" customFormat="1" x14ac:dyDescent="0.2">
      <c r="A278" s="507" t="s">
        <v>619</v>
      </c>
      <c r="B278" s="508" t="s">
        <v>266</v>
      </c>
      <c r="C278" s="509">
        <v>0.13</v>
      </c>
      <c r="D278" s="510">
        <v>0.04</v>
      </c>
      <c r="E278" s="511">
        <v>2.1000000000000001E-2</v>
      </c>
      <c r="F278" s="511">
        <v>9.6500000000000002E-2</v>
      </c>
      <c r="G278" s="512">
        <v>6.4999999999999997E-3</v>
      </c>
      <c r="H278" s="512">
        <v>0.03</v>
      </c>
      <c r="I278" s="512">
        <v>0.18</v>
      </c>
      <c r="J278" s="512">
        <v>0.04</v>
      </c>
      <c r="K278" s="512">
        <v>0.14000000000000001</v>
      </c>
      <c r="L278" s="512">
        <v>1.4999999999999999E-2</v>
      </c>
      <c r="M278" s="513" t="s">
        <v>175</v>
      </c>
      <c r="N278" s="514">
        <v>25000</v>
      </c>
      <c r="O278" s="119"/>
      <c r="P278" s="119"/>
      <c r="Q278" s="119"/>
      <c r="R278" s="119"/>
      <c r="S278" s="119"/>
      <c r="T278" s="119"/>
      <c r="U278" s="119"/>
      <c r="V278" s="119">
        <v>0.68200000000000005</v>
      </c>
      <c r="W278" s="119"/>
      <c r="X278" s="119">
        <f t="shared" si="103"/>
        <v>0.68200000000000005</v>
      </c>
      <c r="Y278" s="118">
        <f t="shared" si="104"/>
        <v>0.68200000000000005</v>
      </c>
      <c r="Z278" s="109">
        <f t="shared" si="102"/>
        <v>17050</v>
      </c>
      <c r="AA278" s="109">
        <f>'CALCULO GERAL'!$G$10</f>
        <v>6300</v>
      </c>
      <c r="AB278" s="109">
        <f t="shared" si="105"/>
        <v>23350</v>
      </c>
      <c r="AC278" s="109">
        <f>AB278*'CALCULO GERAL'!$C$11</f>
        <v>117193.65000000001</v>
      </c>
      <c r="AD278" s="109">
        <f t="shared" si="106"/>
        <v>15235.174500000001</v>
      </c>
      <c r="AE278" s="109">
        <f t="shared" si="107"/>
        <v>5297.1529800000008</v>
      </c>
      <c r="AF278" s="109">
        <f t="shared" si="108"/>
        <v>2461.0666500000002</v>
      </c>
      <c r="AG278" s="109">
        <f t="shared" si="109"/>
        <v>11309.187225000001</v>
      </c>
      <c r="AH278" s="109">
        <v>154.22999999999999</v>
      </c>
      <c r="AI278" s="109">
        <f>((AA278*'CALCULO GERAL'!$C$11))*0.08+20</f>
        <v>2549.576</v>
      </c>
      <c r="AJ278" s="109">
        <v>1010</v>
      </c>
      <c r="AK278" s="109">
        <v>2500</v>
      </c>
      <c r="AL278" s="109">
        <f>(AA278*('CALCULO GERAL'!$C$11*1.02))-(AA278*'CALCULO GERAL'!$C$11)</f>
        <v>632.39400000000387</v>
      </c>
      <c r="AM278" s="109">
        <v>1800</v>
      </c>
      <c r="AN278" s="109">
        <v>2600</v>
      </c>
      <c r="AO278" s="109">
        <v>9400</v>
      </c>
      <c r="AP278" s="109">
        <v>1000</v>
      </c>
      <c r="AQ278" s="109">
        <v>0</v>
      </c>
      <c r="AR278" s="109">
        <v>0</v>
      </c>
      <c r="AS278" s="109"/>
      <c r="AT278" s="109">
        <f t="shared" si="93"/>
        <v>173142.43135500004</v>
      </c>
      <c r="AU278" s="111">
        <f t="shared" si="110"/>
        <v>6.925697254200001</v>
      </c>
      <c r="AV278" s="109">
        <f>IFERROR((BS278*'CALCULO GERAL'!$E$11)/N278,0)</f>
        <v>0.1636194</v>
      </c>
      <c r="AW278" s="109">
        <f>AU278/'CALCULO GERAL'!$C$11</f>
        <v>1.3798958466228335</v>
      </c>
      <c r="AX278" s="109">
        <f>BP278-BB278-BD278*'CALCULO GERAL'!$C$11</f>
        <v>6.4837333776923067</v>
      </c>
      <c r="AY278" s="109">
        <f t="shared" si="111"/>
        <v>4.2144266954999988E-2</v>
      </c>
      <c r="AZ278" s="109">
        <f t="shared" si="112"/>
        <v>0.19451200133076921</v>
      </c>
      <c r="BA278" s="109">
        <f t="shared" si="113"/>
        <v>7.8663173076923076</v>
      </c>
      <c r="BB278" s="109">
        <f t="shared" si="114"/>
        <v>0.11799475961538461</v>
      </c>
      <c r="BC278" s="109">
        <f t="shared" si="115"/>
        <v>7.8663173076923076</v>
      </c>
      <c r="BD278" s="109">
        <f t="shared" si="116"/>
        <v>0.31465269230769233</v>
      </c>
      <c r="BE278" s="109">
        <f t="shared" si="117"/>
        <v>16361.94</v>
      </c>
      <c r="BF278" s="109">
        <f t="shared" si="118"/>
        <v>24542.91</v>
      </c>
      <c r="BG278" s="109">
        <f t="shared" si="119"/>
        <v>8.8354476000000001E-2</v>
      </c>
      <c r="BH278" s="109">
        <f t="shared" si="120"/>
        <v>9.8171640000000004E-2</v>
      </c>
      <c r="BI278" s="109">
        <f t="shared" si="121"/>
        <v>0</v>
      </c>
      <c r="BJ278" s="109">
        <f t="shared" si="122"/>
        <v>1.0194492362088461</v>
      </c>
      <c r="BK278" s="109">
        <f t="shared" si="123"/>
        <v>7.9451464904088471</v>
      </c>
      <c r="BL278" s="148">
        <v>0.86</v>
      </c>
      <c r="BM278" s="112">
        <f>ROUND((AW278/BL278)+((AW278*BL278)*'CALCULO GERAL'!$E$11)/BL278,2)</f>
        <v>1.63</v>
      </c>
      <c r="BN278" s="186">
        <f t="shared" si="94"/>
        <v>1.63</v>
      </c>
      <c r="BO278" s="186">
        <f t="shared" si="95"/>
        <v>1.91</v>
      </c>
      <c r="BP278" s="109">
        <f>BM278*'CALCULO GERAL'!$C$11</f>
        <v>8.1809700000000003</v>
      </c>
      <c r="BQ278" s="109">
        <f>BO278*'CALCULO GERAL'!$C$11</f>
        <v>9.58629</v>
      </c>
      <c r="BR278" s="186">
        <f>BN278*'CALCULO GERAL'!$C$11</f>
        <v>8.1809700000000003</v>
      </c>
      <c r="BS278" s="109">
        <f t="shared" si="124"/>
        <v>204524.25</v>
      </c>
      <c r="BT278" s="109">
        <f t="shared" si="125"/>
        <v>204524.25</v>
      </c>
      <c r="BU278" s="109">
        <f t="shared" si="99"/>
        <v>198628.66226022117</v>
      </c>
      <c r="BV278" s="109">
        <f t="shared" si="96"/>
        <v>5895.5877397788281</v>
      </c>
      <c r="BW278" s="114">
        <f t="shared" si="126"/>
        <v>2.8825861675467961E-2</v>
      </c>
      <c r="BX278" s="152">
        <f t="shared" si="100"/>
        <v>0.86</v>
      </c>
      <c r="BZ278" s="55"/>
      <c r="CA278" s="113"/>
      <c r="CB278" s="113"/>
      <c r="CD278" s="152">
        <f t="shared" si="101"/>
        <v>0</v>
      </c>
      <c r="CE278" s="152">
        <f t="shared" si="97"/>
        <v>1</v>
      </c>
      <c r="CF278" s="152">
        <f t="shared" si="98"/>
        <v>1</v>
      </c>
      <c r="CG278" s="34"/>
      <c r="CI278" s="11"/>
      <c r="CJ278" s="11"/>
    </row>
    <row r="279" spans="1:88" s="152" customFormat="1" x14ac:dyDescent="0.2">
      <c r="A279" s="507" t="s">
        <v>620</v>
      </c>
      <c r="B279" s="508" t="s">
        <v>266</v>
      </c>
      <c r="C279" s="509">
        <v>0.13</v>
      </c>
      <c r="D279" s="510">
        <v>0.04</v>
      </c>
      <c r="E279" s="511">
        <v>2.1000000000000001E-2</v>
      </c>
      <c r="F279" s="511">
        <v>9.6500000000000002E-2</v>
      </c>
      <c r="G279" s="512">
        <v>6.4999999999999997E-3</v>
      </c>
      <c r="H279" s="512">
        <v>0.03</v>
      </c>
      <c r="I279" s="512">
        <v>0.18</v>
      </c>
      <c r="J279" s="512">
        <v>0.04</v>
      </c>
      <c r="K279" s="512">
        <v>0.14000000000000001</v>
      </c>
      <c r="L279" s="512">
        <v>1.4999999999999999E-2</v>
      </c>
      <c r="M279" s="513" t="s">
        <v>175</v>
      </c>
      <c r="N279" s="514">
        <v>25000</v>
      </c>
      <c r="O279" s="119"/>
      <c r="P279" s="119"/>
      <c r="Q279" s="119"/>
      <c r="R279" s="119"/>
      <c r="S279" s="119"/>
      <c r="T279" s="119"/>
      <c r="U279" s="119"/>
      <c r="V279" s="119">
        <v>0.622</v>
      </c>
      <c r="W279" s="119"/>
      <c r="X279" s="119">
        <f t="shared" si="103"/>
        <v>0.622</v>
      </c>
      <c r="Y279" s="118">
        <f t="shared" si="104"/>
        <v>0.622</v>
      </c>
      <c r="Z279" s="109">
        <f t="shared" si="102"/>
        <v>15550</v>
      </c>
      <c r="AA279" s="109">
        <f>'CALCULO GERAL'!$G$10</f>
        <v>6300</v>
      </c>
      <c r="AB279" s="109">
        <f t="shared" si="105"/>
        <v>21850</v>
      </c>
      <c r="AC279" s="109">
        <f>AB279*'CALCULO GERAL'!$C$11</f>
        <v>109665.15000000001</v>
      </c>
      <c r="AD279" s="109">
        <f t="shared" si="106"/>
        <v>14256.469500000001</v>
      </c>
      <c r="AE279" s="109">
        <f t="shared" si="107"/>
        <v>4956.8647800000008</v>
      </c>
      <c r="AF279" s="109">
        <f t="shared" si="108"/>
        <v>2302.9681500000002</v>
      </c>
      <c r="AG279" s="109">
        <f t="shared" si="109"/>
        <v>10582.686975000001</v>
      </c>
      <c r="AH279" s="109">
        <v>154.22999999999999</v>
      </c>
      <c r="AI279" s="109">
        <f>((AA279*'CALCULO GERAL'!$C$11))*0.08+20</f>
        <v>2549.576</v>
      </c>
      <c r="AJ279" s="109">
        <v>1010</v>
      </c>
      <c r="AK279" s="109">
        <v>2500</v>
      </c>
      <c r="AL279" s="109">
        <f>(AA279*('CALCULO GERAL'!$C$11*1.02))-(AA279*'CALCULO GERAL'!$C$11)</f>
        <v>632.39400000000387</v>
      </c>
      <c r="AM279" s="109">
        <v>1800</v>
      </c>
      <c r="AN279" s="109">
        <v>2600</v>
      </c>
      <c r="AO279" s="109">
        <v>9400</v>
      </c>
      <c r="AP279" s="109">
        <v>1000</v>
      </c>
      <c r="AQ279" s="109">
        <v>0</v>
      </c>
      <c r="AR279" s="109">
        <v>0</v>
      </c>
      <c r="AS279" s="109"/>
      <c r="AT279" s="109">
        <f t="shared" si="93"/>
        <v>163410.33940500001</v>
      </c>
      <c r="AU279" s="111">
        <f t="shared" si="110"/>
        <v>6.5364135762000002</v>
      </c>
      <c r="AV279" s="109">
        <f>IFERROR((BS279*'CALCULO GERAL'!$E$11)/N279,0)</f>
        <v>0.15257760000000001</v>
      </c>
      <c r="AW279" s="109">
        <f>AU279/'CALCULO GERAL'!$C$11</f>
        <v>1.3023338466228331</v>
      </c>
      <c r="AX279" s="109">
        <f>BP279-BB279-BD279*'CALCULO GERAL'!$C$11</f>
        <v>6.0461808184615391</v>
      </c>
      <c r="AY279" s="109">
        <f t="shared" si="111"/>
        <v>3.9300175320000005E-2</v>
      </c>
      <c r="AZ279" s="109">
        <f t="shared" si="112"/>
        <v>0.18138542455384615</v>
      </c>
      <c r="BA279" s="109">
        <f t="shared" si="113"/>
        <v>7.3354615384615389</v>
      </c>
      <c r="BB279" s="109">
        <f t="shared" si="114"/>
        <v>0.11003192307692308</v>
      </c>
      <c r="BC279" s="109">
        <f t="shared" si="115"/>
        <v>7.3354615384615389</v>
      </c>
      <c r="BD279" s="109">
        <f t="shared" si="116"/>
        <v>0.29341846153846157</v>
      </c>
      <c r="BE279" s="109">
        <f t="shared" si="117"/>
        <v>15257.76</v>
      </c>
      <c r="BF279" s="109">
        <f t="shared" si="118"/>
        <v>22886.639999999999</v>
      </c>
      <c r="BG279" s="109">
        <f t="shared" si="119"/>
        <v>8.2391904000000002E-2</v>
      </c>
      <c r="BH279" s="109">
        <f t="shared" si="120"/>
        <v>9.1546559999999985E-2</v>
      </c>
      <c r="BI279" s="109">
        <f t="shared" si="121"/>
        <v>0</v>
      </c>
      <c r="BJ279" s="109">
        <f t="shared" si="122"/>
        <v>0.95065204848923068</v>
      </c>
      <c r="BK279" s="109">
        <f t="shared" si="123"/>
        <v>7.4870656246892313</v>
      </c>
      <c r="BL279" s="148">
        <v>0.87</v>
      </c>
      <c r="BM279" s="112">
        <f>ROUND((AW279/BL279)+((AW279*BL279)*'CALCULO GERAL'!$E$11)/BL279,2)</f>
        <v>1.52</v>
      </c>
      <c r="BN279" s="186">
        <f t="shared" si="94"/>
        <v>1.52</v>
      </c>
      <c r="BO279" s="186">
        <f t="shared" si="95"/>
        <v>1.7809999999999999</v>
      </c>
      <c r="BP279" s="109">
        <f>BM279*'CALCULO GERAL'!$C$11</f>
        <v>7.6288800000000005</v>
      </c>
      <c r="BQ279" s="109">
        <f>BO279*'CALCULO GERAL'!$C$11</f>
        <v>8.9388389999999998</v>
      </c>
      <c r="BR279" s="186">
        <f>BN279*'CALCULO GERAL'!$C$11</f>
        <v>7.6288800000000005</v>
      </c>
      <c r="BS279" s="109">
        <f t="shared" si="124"/>
        <v>190722</v>
      </c>
      <c r="BT279" s="109">
        <f t="shared" si="125"/>
        <v>190722</v>
      </c>
      <c r="BU279" s="109">
        <f t="shared" si="99"/>
        <v>187176.64061723079</v>
      </c>
      <c r="BV279" s="109">
        <f t="shared" si="96"/>
        <v>3545.3593827692093</v>
      </c>
      <c r="BW279" s="114">
        <f t="shared" si="126"/>
        <v>1.8589147464735108E-2</v>
      </c>
      <c r="BX279" s="152">
        <f t="shared" si="100"/>
        <v>0.87</v>
      </c>
      <c r="BZ279" s="55"/>
      <c r="CA279" s="113"/>
      <c r="CB279" s="113"/>
      <c r="CD279" s="152">
        <f t="shared" si="101"/>
        <v>0</v>
      </c>
      <c r="CE279" s="152">
        <f t="shared" si="97"/>
        <v>1</v>
      </c>
      <c r="CF279" s="152">
        <f t="shared" si="98"/>
        <v>1</v>
      </c>
      <c r="CG279" s="34"/>
      <c r="CI279" s="11"/>
      <c r="CJ279" s="11"/>
    </row>
    <row r="280" spans="1:88" s="152" customFormat="1" x14ac:dyDescent="0.2">
      <c r="A280" s="507" t="s">
        <v>621</v>
      </c>
      <c r="B280" s="508" t="s">
        <v>266</v>
      </c>
      <c r="C280" s="509">
        <v>0.13</v>
      </c>
      <c r="D280" s="510">
        <v>0.04</v>
      </c>
      <c r="E280" s="511">
        <v>2.1000000000000001E-2</v>
      </c>
      <c r="F280" s="511">
        <v>9.6500000000000002E-2</v>
      </c>
      <c r="G280" s="512">
        <v>6.4999999999999997E-3</v>
      </c>
      <c r="H280" s="512">
        <v>0.03</v>
      </c>
      <c r="I280" s="512">
        <v>0.18</v>
      </c>
      <c r="J280" s="512">
        <v>0.04</v>
      </c>
      <c r="K280" s="512">
        <v>0.14000000000000001</v>
      </c>
      <c r="L280" s="512">
        <v>1.4999999999999999E-2</v>
      </c>
      <c r="M280" s="513" t="s">
        <v>175</v>
      </c>
      <c r="N280" s="514">
        <v>25000</v>
      </c>
      <c r="O280" s="119"/>
      <c r="P280" s="119"/>
      <c r="Q280" s="119"/>
      <c r="R280" s="119"/>
      <c r="S280" s="119"/>
      <c r="T280" s="119"/>
      <c r="U280" s="119"/>
      <c r="V280" s="119">
        <v>0.61499999999999999</v>
      </c>
      <c r="W280" s="119"/>
      <c r="X280" s="119">
        <f t="shared" si="103"/>
        <v>0.61499999999999999</v>
      </c>
      <c r="Y280" s="118">
        <f t="shared" si="104"/>
        <v>0.61499999999999999</v>
      </c>
      <c r="Z280" s="109">
        <f t="shared" si="102"/>
        <v>15375</v>
      </c>
      <c r="AA280" s="109">
        <f>'CALCULO GERAL'!$G$10</f>
        <v>6300</v>
      </c>
      <c r="AB280" s="109">
        <f t="shared" si="105"/>
        <v>21675</v>
      </c>
      <c r="AC280" s="109">
        <f>AB280*'CALCULO GERAL'!$C$11</f>
        <v>108786.825</v>
      </c>
      <c r="AD280" s="109">
        <f t="shared" si="106"/>
        <v>14142.287249999999</v>
      </c>
      <c r="AE280" s="109">
        <f t="shared" si="107"/>
        <v>4917.1644900000001</v>
      </c>
      <c r="AF280" s="109">
        <f t="shared" si="108"/>
        <v>2284.5233250000001</v>
      </c>
      <c r="AG280" s="109">
        <f t="shared" si="109"/>
        <v>10497.9286125</v>
      </c>
      <c r="AH280" s="109">
        <v>154.22999999999999</v>
      </c>
      <c r="AI280" s="109">
        <f>((AA280*'CALCULO GERAL'!$C$11))*0.08+20</f>
        <v>2549.576</v>
      </c>
      <c r="AJ280" s="109">
        <v>1010</v>
      </c>
      <c r="AK280" s="109">
        <v>2500</v>
      </c>
      <c r="AL280" s="109">
        <f>(AA280*('CALCULO GERAL'!$C$11*1.02))-(AA280*'CALCULO GERAL'!$C$11)</f>
        <v>632.39400000000387</v>
      </c>
      <c r="AM280" s="109">
        <v>1800</v>
      </c>
      <c r="AN280" s="109">
        <v>2600</v>
      </c>
      <c r="AO280" s="109">
        <v>9400</v>
      </c>
      <c r="AP280" s="109">
        <v>1000</v>
      </c>
      <c r="AQ280" s="109">
        <v>0</v>
      </c>
      <c r="AR280" s="109">
        <v>0</v>
      </c>
      <c r="AS280" s="109"/>
      <c r="AT280" s="109">
        <f t="shared" si="93"/>
        <v>162274.92867749999</v>
      </c>
      <c r="AU280" s="111">
        <f t="shared" si="110"/>
        <v>6.4909971470999999</v>
      </c>
      <c r="AV280" s="109">
        <f>IFERROR((BS280*'CALCULO GERAL'!$E$11)/N280,0)</f>
        <v>0.15358140000000001</v>
      </c>
      <c r="AW280" s="109">
        <f>AU280/'CALCULO GERAL'!$C$11</f>
        <v>1.2932849466228331</v>
      </c>
      <c r="AX280" s="109">
        <f>BP280-BB280-BD280*'CALCULO GERAL'!$C$11</f>
        <v>6.085958323846155</v>
      </c>
      <c r="AY280" s="109">
        <f t="shared" si="111"/>
        <v>3.9558729105000003E-2</v>
      </c>
      <c r="AZ280" s="109">
        <f t="shared" si="112"/>
        <v>0.18257874971538465</v>
      </c>
      <c r="BA280" s="109">
        <f t="shared" si="113"/>
        <v>7.383721153846154</v>
      </c>
      <c r="BB280" s="109">
        <f t="shared" si="114"/>
        <v>0.11075581730769231</v>
      </c>
      <c r="BC280" s="109">
        <f t="shared" si="115"/>
        <v>7.383721153846154</v>
      </c>
      <c r="BD280" s="109">
        <f t="shared" si="116"/>
        <v>0.29534884615384616</v>
      </c>
      <c r="BE280" s="109">
        <f t="shared" si="117"/>
        <v>15358.14</v>
      </c>
      <c r="BF280" s="109">
        <f t="shared" si="118"/>
        <v>23037.21</v>
      </c>
      <c r="BG280" s="109">
        <f t="shared" si="119"/>
        <v>8.2933956000000003E-2</v>
      </c>
      <c r="BH280" s="109">
        <f t="shared" si="120"/>
        <v>9.2148839999999996E-2</v>
      </c>
      <c r="BI280" s="109">
        <f t="shared" si="121"/>
        <v>0</v>
      </c>
      <c r="BJ280" s="109">
        <f t="shared" si="122"/>
        <v>0.95690633828192306</v>
      </c>
      <c r="BK280" s="109">
        <f t="shared" si="123"/>
        <v>7.4479034853819233</v>
      </c>
      <c r="BL280" s="148">
        <v>0.86</v>
      </c>
      <c r="BM280" s="112">
        <f>ROUND((AW280/BL280)+((AW280*BL280)*'CALCULO GERAL'!$E$11)/BL280,2)</f>
        <v>1.53</v>
      </c>
      <c r="BN280" s="186">
        <f t="shared" si="94"/>
        <v>1.53</v>
      </c>
      <c r="BO280" s="186">
        <f t="shared" si="95"/>
        <v>1.7929999999999999</v>
      </c>
      <c r="BP280" s="109">
        <f>BM280*'CALCULO GERAL'!$C$11</f>
        <v>7.6790700000000003</v>
      </c>
      <c r="BQ280" s="109">
        <f>BO280*'CALCULO GERAL'!$C$11</f>
        <v>8.9990670000000001</v>
      </c>
      <c r="BR280" s="186">
        <f>BN280*'CALCULO GERAL'!$C$11</f>
        <v>7.6790700000000003</v>
      </c>
      <c r="BS280" s="109">
        <f t="shared" si="124"/>
        <v>191976.75</v>
      </c>
      <c r="BT280" s="109">
        <f t="shared" si="125"/>
        <v>191976.75</v>
      </c>
      <c r="BU280" s="109">
        <f t="shared" si="99"/>
        <v>186197.58713454808</v>
      </c>
      <c r="BV280" s="109">
        <f t="shared" si="96"/>
        <v>5779.1628654519154</v>
      </c>
      <c r="BW280" s="114">
        <f t="shared" si="126"/>
        <v>3.0103451930777635E-2</v>
      </c>
      <c r="BX280" s="152">
        <f t="shared" si="100"/>
        <v>0.86</v>
      </c>
      <c r="BZ280" s="55"/>
      <c r="CA280" s="113"/>
      <c r="CB280" s="113"/>
      <c r="CD280" s="152">
        <f t="shared" si="101"/>
        <v>0</v>
      </c>
      <c r="CE280" s="152">
        <f t="shared" si="97"/>
        <v>1</v>
      </c>
      <c r="CF280" s="152">
        <f t="shared" si="98"/>
        <v>1</v>
      </c>
      <c r="CG280" s="34"/>
      <c r="CI280" s="11"/>
      <c r="CJ280" s="11"/>
    </row>
    <row r="281" spans="1:88" s="152" customFormat="1" x14ac:dyDescent="0.2">
      <c r="A281" s="507" t="s">
        <v>622</v>
      </c>
      <c r="B281" s="508" t="s">
        <v>266</v>
      </c>
      <c r="C281" s="509">
        <v>0.13</v>
      </c>
      <c r="D281" s="510">
        <v>0.04</v>
      </c>
      <c r="E281" s="511">
        <v>2.1000000000000001E-2</v>
      </c>
      <c r="F281" s="511">
        <v>9.6500000000000002E-2</v>
      </c>
      <c r="G281" s="512">
        <v>6.4999999999999997E-3</v>
      </c>
      <c r="H281" s="512">
        <v>0.03</v>
      </c>
      <c r="I281" s="512">
        <v>0.18</v>
      </c>
      <c r="J281" s="512">
        <v>0.04</v>
      </c>
      <c r="K281" s="512">
        <v>0.14000000000000001</v>
      </c>
      <c r="L281" s="512">
        <v>1.4999999999999999E-2</v>
      </c>
      <c r="M281" s="513" t="s">
        <v>175</v>
      </c>
      <c r="N281" s="514">
        <v>25000</v>
      </c>
      <c r="O281" s="119"/>
      <c r="P281" s="119"/>
      <c r="Q281" s="119"/>
      <c r="R281" s="119"/>
      <c r="S281" s="119"/>
      <c r="T281" s="119"/>
      <c r="U281" s="119"/>
      <c r="V281" s="119">
        <v>0.61199999999999999</v>
      </c>
      <c r="W281" s="119"/>
      <c r="X281" s="119">
        <f t="shared" si="103"/>
        <v>0.61199999999999999</v>
      </c>
      <c r="Y281" s="118">
        <f t="shared" si="104"/>
        <v>0.61199999999999999</v>
      </c>
      <c r="Z281" s="109">
        <f t="shared" si="102"/>
        <v>15300</v>
      </c>
      <c r="AA281" s="109">
        <f>'CALCULO GERAL'!$G$10</f>
        <v>6300</v>
      </c>
      <c r="AB281" s="109">
        <f t="shared" si="105"/>
        <v>21600</v>
      </c>
      <c r="AC281" s="109">
        <f>AB281*'CALCULO GERAL'!$C$11</f>
        <v>108410.40000000001</v>
      </c>
      <c r="AD281" s="109">
        <f t="shared" si="106"/>
        <v>14093.352000000001</v>
      </c>
      <c r="AE281" s="109">
        <f t="shared" si="107"/>
        <v>4900.1500800000003</v>
      </c>
      <c r="AF281" s="109">
        <f t="shared" si="108"/>
        <v>2276.6184000000003</v>
      </c>
      <c r="AG281" s="109">
        <f t="shared" si="109"/>
        <v>10461.6036</v>
      </c>
      <c r="AH281" s="109">
        <v>154.22999999999999</v>
      </c>
      <c r="AI281" s="109">
        <f>((AA281*'CALCULO GERAL'!$C$11))*0.08+20</f>
        <v>2549.576</v>
      </c>
      <c r="AJ281" s="109">
        <v>1010</v>
      </c>
      <c r="AK281" s="109">
        <v>2500</v>
      </c>
      <c r="AL281" s="109">
        <f>(AA281*('CALCULO GERAL'!$C$11*1.02))-(AA281*'CALCULO GERAL'!$C$11)</f>
        <v>632.39400000000387</v>
      </c>
      <c r="AM281" s="109">
        <v>1800</v>
      </c>
      <c r="AN281" s="109">
        <v>2600</v>
      </c>
      <c r="AO281" s="109">
        <v>9400</v>
      </c>
      <c r="AP281" s="109">
        <v>1000</v>
      </c>
      <c r="AQ281" s="109">
        <v>0</v>
      </c>
      <c r="AR281" s="109">
        <v>0</v>
      </c>
      <c r="AS281" s="109"/>
      <c r="AT281" s="109">
        <f t="shared" ref="AT281:AT328" si="173">SUM(AC281:AS281)</f>
        <v>161788.32408000002</v>
      </c>
      <c r="AU281" s="111">
        <f t="shared" si="110"/>
        <v>6.4715329632000005</v>
      </c>
      <c r="AV281" s="109">
        <f>IFERROR((BS281*'CALCULO GERAL'!$E$11)/N281,0)</f>
        <v>0.15358140000000001</v>
      </c>
      <c r="AW281" s="109">
        <f>AU281/'CALCULO GERAL'!$C$11</f>
        <v>1.2894068466228332</v>
      </c>
      <c r="AX281" s="109">
        <f>BP281-BB281-BD281*'CALCULO GERAL'!$C$11</f>
        <v>6.085958323846155</v>
      </c>
      <c r="AY281" s="109">
        <f t="shared" si="111"/>
        <v>3.9558729105000003E-2</v>
      </c>
      <c r="AZ281" s="109">
        <f t="shared" si="112"/>
        <v>0.18257874971538465</v>
      </c>
      <c r="BA281" s="109">
        <f t="shared" si="113"/>
        <v>7.383721153846154</v>
      </c>
      <c r="BB281" s="109">
        <f t="shared" si="114"/>
        <v>0.11075581730769231</v>
      </c>
      <c r="BC281" s="109">
        <f t="shared" si="115"/>
        <v>7.383721153846154</v>
      </c>
      <c r="BD281" s="109">
        <f t="shared" si="116"/>
        <v>0.29534884615384616</v>
      </c>
      <c r="BE281" s="109">
        <f t="shared" si="117"/>
        <v>15358.14</v>
      </c>
      <c r="BF281" s="109">
        <f t="shared" si="118"/>
        <v>23037.21</v>
      </c>
      <c r="BG281" s="109">
        <f t="shared" si="119"/>
        <v>8.2933956000000003E-2</v>
      </c>
      <c r="BH281" s="109">
        <f t="shared" si="120"/>
        <v>9.2148839999999996E-2</v>
      </c>
      <c r="BI281" s="109">
        <f t="shared" si="121"/>
        <v>0</v>
      </c>
      <c r="BJ281" s="109">
        <f t="shared" si="122"/>
        <v>0.95690633828192306</v>
      </c>
      <c r="BK281" s="109">
        <f t="shared" si="123"/>
        <v>7.4284393014819239</v>
      </c>
      <c r="BL281" s="148">
        <v>0.86</v>
      </c>
      <c r="BM281" s="112">
        <f>ROUND((AW281/BL281)+((AW281*BL281)*'CALCULO GERAL'!$E$11)/BL281,2)</f>
        <v>1.53</v>
      </c>
      <c r="BN281" s="186">
        <f t="shared" ref="BN281:BN328" si="174">BM281</f>
        <v>1.53</v>
      </c>
      <c r="BO281" s="186">
        <f t="shared" ref="BO281:BO328" si="175">ROUND(FV(0.02,8,,BN281)*-1,3)</f>
        <v>1.7929999999999999</v>
      </c>
      <c r="BP281" s="109">
        <f>BM281*'CALCULO GERAL'!$C$11</f>
        <v>7.6790700000000003</v>
      </c>
      <c r="BQ281" s="109">
        <f>BO281*'CALCULO GERAL'!$C$11</f>
        <v>8.9990670000000001</v>
      </c>
      <c r="BR281" s="186">
        <f>BN281*'CALCULO GERAL'!$C$11</f>
        <v>7.6790700000000003</v>
      </c>
      <c r="BS281" s="109">
        <f t="shared" si="124"/>
        <v>191976.75</v>
      </c>
      <c r="BT281" s="109">
        <f t="shared" si="125"/>
        <v>191976.75</v>
      </c>
      <c r="BU281" s="109">
        <f t="shared" si="99"/>
        <v>185710.98253704808</v>
      </c>
      <c r="BV281" s="109">
        <f t="shared" ref="BV281:BV328" si="176">BS281-BU281</f>
        <v>6265.767462951917</v>
      </c>
      <c r="BW281" s="114">
        <f t="shared" si="126"/>
        <v>3.2638157813130585E-2</v>
      </c>
      <c r="BX281" s="152">
        <f t="shared" si="100"/>
        <v>0.86</v>
      </c>
      <c r="BZ281" s="55"/>
      <c r="CA281" s="113"/>
      <c r="CB281" s="113"/>
      <c r="CD281" s="152">
        <f t="shared" si="101"/>
        <v>0</v>
      </c>
      <c r="CE281" s="152">
        <f t="shared" ref="CE281:CE328" si="177">100%-CD281</f>
        <v>1</v>
      </c>
      <c r="CF281" s="152">
        <f t="shared" ref="CF281:CF328" si="178">AVERAGE(CE281,CC281)</f>
        <v>1</v>
      </c>
      <c r="CG281" s="34"/>
      <c r="CI281" s="11"/>
      <c r="CJ281" s="11"/>
    </row>
    <row r="282" spans="1:88" s="152" customFormat="1" x14ac:dyDescent="0.2">
      <c r="A282" s="507" t="s">
        <v>623</v>
      </c>
      <c r="B282" s="508" t="s">
        <v>266</v>
      </c>
      <c r="C282" s="509">
        <v>0.13</v>
      </c>
      <c r="D282" s="510">
        <v>0.04</v>
      </c>
      <c r="E282" s="511">
        <v>2.1000000000000001E-2</v>
      </c>
      <c r="F282" s="511">
        <v>9.6500000000000002E-2</v>
      </c>
      <c r="G282" s="512">
        <v>6.4999999999999997E-3</v>
      </c>
      <c r="H282" s="512">
        <v>0.03</v>
      </c>
      <c r="I282" s="512">
        <v>0.18</v>
      </c>
      <c r="J282" s="512">
        <v>0.04</v>
      </c>
      <c r="K282" s="512">
        <v>0.14000000000000001</v>
      </c>
      <c r="L282" s="512">
        <v>1.4999999999999999E-2</v>
      </c>
      <c r="M282" s="513" t="s">
        <v>175</v>
      </c>
      <c r="N282" s="514">
        <v>25000</v>
      </c>
      <c r="O282" s="119"/>
      <c r="P282" s="119"/>
      <c r="Q282" s="119"/>
      <c r="R282" s="119"/>
      <c r="S282" s="119"/>
      <c r="T282" s="119"/>
      <c r="U282" s="119"/>
      <c r="V282" s="119">
        <v>0.69399999999999995</v>
      </c>
      <c r="W282" s="119"/>
      <c r="X282" s="119">
        <f t="shared" si="103"/>
        <v>0.69399999999999995</v>
      </c>
      <c r="Y282" s="118">
        <f t="shared" si="104"/>
        <v>0.69399999999999995</v>
      </c>
      <c r="Z282" s="109">
        <f t="shared" si="102"/>
        <v>17350</v>
      </c>
      <c r="AA282" s="109">
        <f>'CALCULO GERAL'!$G$10</f>
        <v>6300</v>
      </c>
      <c r="AB282" s="109">
        <f t="shared" si="105"/>
        <v>23650</v>
      </c>
      <c r="AC282" s="109">
        <f>AB282*'CALCULO GERAL'!$C$11</f>
        <v>118699.35</v>
      </c>
      <c r="AD282" s="109">
        <f t="shared" si="106"/>
        <v>15430.915500000001</v>
      </c>
      <c r="AE282" s="109">
        <f t="shared" si="107"/>
        <v>5365.2106200000007</v>
      </c>
      <c r="AF282" s="109">
        <f t="shared" si="108"/>
        <v>2492.6863500000004</v>
      </c>
      <c r="AG282" s="109">
        <f t="shared" si="109"/>
        <v>11454.487275000001</v>
      </c>
      <c r="AH282" s="109">
        <v>154.22999999999999</v>
      </c>
      <c r="AI282" s="109">
        <f>((AA282*'CALCULO GERAL'!$C$11))*0.08+20</f>
        <v>2549.576</v>
      </c>
      <c r="AJ282" s="109">
        <v>1010</v>
      </c>
      <c r="AK282" s="109">
        <v>2500</v>
      </c>
      <c r="AL282" s="109">
        <f>(AA282*('CALCULO GERAL'!$C$11*1.02))-(AA282*'CALCULO GERAL'!$C$11)</f>
        <v>632.39400000000387</v>
      </c>
      <c r="AM282" s="109">
        <v>1800</v>
      </c>
      <c r="AN282" s="109">
        <v>2600</v>
      </c>
      <c r="AO282" s="109">
        <v>9400</v>
      </c>
      <c r="AP282" s="109">
        <v>1000</v>
      </c>
      <c r="AQ282" s="109">
        <v>0</v>
      </c>
      <c r="AR282" s="109">
        <v>0</v>
      </c>
      <c r="AS282" s="109"/>
      <c r="AT282" s="109">
        <f t="shared" si="173"/>
        <v>175088.84974500001</v>
      </c>
      <c r="AU282" s="111">
        <f t="shared" si="110"/>
        <v>7.0035539898000003</v>
      </c>
      <c r="AV282" s="109">
        <f>IFERROR((BS282*'CALCULO GERAL'!$E$11)/N282,0)</f>
        <v>0.1636194</v>
      </c>
      <c r="AW282" s="109">
        <f>AU282/'CALCULO GERAL'!$C$11</f>
        <v>1.3954082466228332</v>
      </c>
      <c r="AX282" s="109">
        <f>BP282-BB282-BD282*'CALCULO GERAL'!$C$11</f>
        <v>6.4837333776923067</v>
      </c>
      <c r="AY282" s="109">
        <f t="shared" si="111"/>
        <v>4.2144266954999988E-2</v>
      </c>
      <c r="AZ282" s="109">
        <f t="shared" si="112"/>
        <v>0.19451200133076921</v>
      </c>
      <c r="BA282" s="109">
        <f t="shared" si="113"/>
        <v>7.8663173076923076</v>
      </c>
      <c r="BB282" s="109">
        <f t="shared" si="114"/>
        <v>0.11799475961538461</v>
      </c>
      <c r="BC282" s="109">
        <f t="shared" si="115"/>
        <v>7.8663173076923076</v>
      </c>
      <c r="BD282" s="109">
        <f t="shared" si="116"/>
        <v>0.31465269230769233</v>
      </c>
      <c r="BE282" s="109">
        <f t="shared" si="117"/>
        <v>16361.94</v>
      </c>
      <c r="BF282" s="109">
        <f t="shared" si="118"/>
        <v>24542.91</v>
      </c>
      <c r="BG282" s="109">
        <f t="shared" si="119"/>
        <v>8.8354476000000001E-2</v>
      </c>
      <c r="BH282" s="109">
        <f t="shared" si="120"/>
        <v>9.8171640000000004E-2</v>
      </c>
      <c r="BI282" s="109">
        <f t="shared" si="121"/>
        <v>0</v>
      </c>
      <c r="BJ282" s="109">
        <f t="shared" si="122"/>
        <v>1.0194492362088461</v>
      </c>
      <c r="BK282" s="109">
        <f t="shared" si="123"/>
        <v>8.0230032260088464</v>
      </c>
      <c r="BL282" s="148">
        <v>0.87</v>
      </c>
      <c r="BM282" s="112">
        <f>ROUND((AW282/BL282)+((AW282*BL282)*'CALCULO GERAL'!$E$11)/BL282,2)</f>
        <v>1.63</v>
      </c>
      <c r="BN282" s="186">
        <f t="shared" si="174"/>
        <v>1.63</v>
      </c>
      <c r="BO282" s="186">
        <f t="shared" si="175"/>
        <v>1.91</v>
      </c>
      <c r="BP282" s="109">
        <f>BM282*'CALCULO GERAL'!$C$11</f>
        <v>8.1809700000000003</v>
      </c>
      <c r="BQ282" s="109">
        <f>BO282*'CALCULO GERAL'!$C$11</f>
        <v>9.58629</v>
      </c>
      <c r="BR282" s="186">
        <f>BN282*'CALCULO GERAL'!$C$11</f>
        <v>8.1809700000000003</v>
      </c>
      <c r="BS282" s="109">
        <f t="shared" si="124"/>
        <v>204524.25</v>
      </c>
      <c r="BT282" s="109">
        <f t="shared" si="125"/>
        <v>204524.25</v>
      </c>
      <c r="BU282" s="109">
        <f t="shared" ref="BU282:BU328" si="179">BK282*N282</f>
        <v>200575.08065022115</v>
      </c>
      <c r="BV282" s="109">
        <f t="shared" si="176"/>
        <v>3949.169349778851</v>
      </c>
      <c r="BW282" s="114">
        <f t="shared" si="126"/>
        <v>1.9309051859517153E-2</v>
      </c>
      <c r="BX282" s="152">
        <f t="shared" si="100"/>
        <v>0.87</v>
      </c>
      <c r="BZ282" s="55"/>
      <c r="CA282" s="113"/>
      <c r="CB282" s="113"/>
      <c r="CD282" s="152">
        <f t="shared" si="101"/>
        <v>0</v>
      </c>
      <c r="CE282" s="152">
        <f t="shared" si="177"/>
        <v>1</v>
      </c>
      <c r="CF282" s="152">
        <f t="shared" si="178"/>
        <v>1</v>
      </c>
      <c r="CG282" s="34"/>
      <c r="CI282" s="11"/>
      <c r="CJ282" s="11"/>
    </row>
    <row r="283" spans="1:88" s="152" customFormat="1" x14ac:dyDescent="0.2">
      <c r="A283" s="507" t="s">
        <v>624</v>
      </c>
      <c r="B283" s="508" t="s">
        <v>266</v>
      </c>
      <c r="C283" s="509">
        <v>0.13</v>
      </c>
      <c r="D283" s="510">
        <v>0.04</v>
      </c>
      <c r="E283" s="511">
        <v>2.1000000000000001E-2</v>
      </c>
      <c r="F283" s="511">
        <v>9.6500000000000002E-2</v>
      </c>
      <c r="G283" s="512">
        <v>6.4999999999999997E-3</v>
      </c>
      <c r="H283" s="512">
        <v>0.03</v>
      </c>
      <c r="I283" s="512">
        <v>0.18</v>
      </c>
      <c r="J283" s="512">
        <v>0.04</v>
      </c>
      <c r="K283" s="512">
        <v>0.14000000000000001</v>
      </c>
      <c r="L283" s="512">
        <v>1.4999999999999999E-2</v>
      </c>
      <c r="M283" s="513" t="s">
        <v>175</v>
      </c>
      <c r="N283" s="514">
        <v>25000</v>
      </c>
      <c r="O283" s="119"/>
      <c r="P283" s="119"/>
      <c r="Q283" s="119"/>
      <c r="R283" s="119"/>
      <c r="S283" s="119"/>
      <c r="T283" s="119"/>
      <c r="U283" s="119"/>
      <c r="V283" s="119">
        <v>0.67300000000000004</v>
      </c>
      <c r="W283" s="119"/>
      <c r="X283" s="119">
        <f>MIN(O283:W283)</f>
        <v>0.67300000000000004</v>
      </c>
      <c r="Y283" s="118">
        <f>AVERAGE(O283:W283)</f>
        <v>0.67300000000000004</v>
      </c>
      <c r="Z283" s="109">
        <f>X283*N283</f>
        <v>16825</v>
      </c>
      <c r="AA283" s="109">
        <f>'CALCULO GERAL'!$G$10</f>
        <v>6300</v>
      </c>
      <c r="AB283" s="109">
        <f>Z283+AA283</f>
        <v>23125</v>
      </c>
      <c r="AC283" s="109">
        <f>AB283*'CALCULO GERAL'!$C$11</f>
        <v>116064.375</v>
      </c>
      <c r="AD283" s="109">
        <f>AC283*C283</f>
        <v>15088.36875</v>
      </c>
      <c r="AE283" s="109">
        <f>(AC283+AD283)*D283</f>
        <v>5246.1097499999996</v>
      </c>
      <c r="AF283" s="109">
        <f>AC283*E283</f>
        <v>2437.3518750000003</v>
      </c>
      <c r="AG283" s="109">
        <f>AC283*F283</f>
        <v>11200.212187500001</v>
      </c>
      <c r="AH283" s="109">
        <v>154.22999999999999</v>
      </c>
      <c r="AI283" s="109">
        <f>((AA283*'CALCULO GERAL'!$C$11))*0.08+20</f>
        <v>2549.576</v>
      </c>
      <c r="AJ283" s="109">
        <v>1010</v>
      </c>
      <c r="AK283" s="109">
        <v>2500</v>
      </c>
      <c r="AL283" s="109">
        <f>(AA283*('CALCULO GERAL'!$C$11*1.02))-(AA283*'CALCULO GERAL'!$C$11)</f>
        <v>632.39400000000387</v>
      </c>
      <c r="AM283" s="109">
        <v>1800</v>
      </c>
      <c r="AN283" s="109">
        <v>2600</v>
      </c>
      <c r="AO283" s="109">
        <v>9400</v>
      </c>
      <c r="AP283" s="109">
        <v>1000</v>
      </c>
      <c r="AQ283" s="109">
        <v>0</v>
      </c>
      <c r="AR283" s="109">
        <v>0</v>
      </c>
      <c r="AS283" s="109"/>
      <c r="AT283" s="109">
        <f>SUM(AC283:AS283)</f>
        <v>171682.6175625</v>
      </c>
      <c r="AU283" s="111">
        <f>IFERROR((AT283/N283),0)</f>
        <v>6.8673047025000002</v>
      </c>
      <c r="AV283" s="109">
        <f>IFERROR((BS283*'CALCULO GERAL'!$E$11)/N283,0)</f>
        <v>0.160608</v>
      </c>
      <c r="AW283" s="109">
        <f>AU283/'CALCULO GERAL'!$C$11</f>
        <v>1.3682615466228332</v>
      </c>
      <c r="AX283" s="109">
        <f>BP283-BB283-BD283*'CALCULO GERAL'!$C$11</f>
        <v>6.3644008615384617</v>
      </c>
      <c r="AY283" s="109">
        <f>AX283*G283</f>
        <v>4.1368605599999997E-2</v>
      </c>
      <c r="AZ283" s="109">
        <f>AX283*H283</f>
        <v>0.19093202584615385</v>
      </c>
      <c r="BA283" s="109">
        <f>BP283-BD283</f>
        <v>7.7215384615384615</v>
      </c>
      <c r="BB283" s="109">
        <f>BA283*L283</f>
        <v>0.11582307692307692</v>
      </c>
      <c r="BC283" s="109">
        <f>BP283/(1+D283)</f>
        <v>7.7215384615384615</v>
      </c>
      <c r="BD283" s="109">
        <f>BC283*D283</f>
        <v>0.30886153846153847</v>
      </c>
      <c r="BE283" s="109">
        <f>BT283*0.08</f>
        <v>16060.800000000001</v>
      </c>
      <c r="BF283" s="109">
        <f>BT283*0.12</f>
        <v>24091.200000000001</v>
      </c>
      <c r="BG283" s="109">
        <f>(BF283*0.09)/N283</f>
        <v>8.6728319999999998E-2</v>
      </c>
      <c r="BH283" s="109">
        <f>(BE283*0.15)/N283</f>
        <v>9.63648E-2</v>
      </c>
      <c r="BI283" s="109">
        <f>IF(BE283&gt;=$BX$1,($BX$1-BE283)*0.1,IF(BE283&lt;=$BX$1,($BX$1*0)))/N283</f>
        <v>0</v>
      </c>
      <c r="BJ283" s="109">
        <f>(AY283+AZ283+BB283+AV283+BD283+BG283+BH283+BI283)</f>
        <v>1.0006863668307691</v>
      </c>
      <c r="BK283" s="109">
        <f>BJ283+AU283</f>
        <v>7.8679910693307695</v>
      </c>
      <c r="BL283" s="148">
        <v>0.87</v>
      </c>
      <c r="BM283" s="112">
        <f>ROUND((AW283/BL283)+((AW283*BL283)*'CALCULO GERAL'!$E$11)/BL283,2)</f>
        <v>1.6</v>
      </c>
      <c r="BN283" s="186">
        <f>BM283</f>
        <v>1.6</v>
      </c>
      <c r="BO283" s="186">
        <f>ROUND(FV(0.02,8,,BN283)*-1,3)</f>
        <v>1.875</v>
      </c>
      <c r="BP283" s="109">
        <f>BM283*'CALCULO GERAL'!$C$11</f>
        <v>8.0304000000000002</v>
      </c>
      <c r="BQ283" s="109">
        <f>BO283*'CALCULO GERAL'!$C$11</f>
        <v>9.4106249999999996</v>
      </c>
      <c r="BR283" s="186">
        <f>BN283*'CALCULO GERAL'!$C$11</f>
        <v>8.0304000000000002</v>
      </c>
      <c r="BS283" s="109">
        <f>BP283*N283</f>
        <v>200760</v>
      </c>
      <c r="BT283" s="109">
        <f>BR283*N283</f>
        <v>200760</v>
      </c>
      <c r="BU283" s="109">
        <f>BK283*N283</f>
        <v>196699.77673326925</v>
      </c>
      <c r="BV283" s="109">
        <f>BS283-BU283</f>
        <v>4060.2232667307544</v>
      </c>
      <c r="BW283" s="114">
        <f>(((BK283*N283)-BS283)/BS283*-1)</f>
        <v>2.0224264129959924E-2</v>
      </c>
      <c r="BX283" s="152">
        <f>ROUND(BL283,2)</f>
        <v>0.87</v>
      </c>
      <c r="BZ283" s="55"/>
      <c r="CA283" s="113"/>
      <c r="CB283" s="113"/>
      <c r="CD283" s="152">
        <f>CB283/BX283</f>
        <v>0</v>
      </c>
      <c r="CE283" s="152">
        <f>100%-CD283</f>
        <v>1</v>
      </c>
      <c r="CF283" s="152">
        <f>AVERAGE(CE283,CC283)</f>
        <v>1</v>
      </c>
      <c r="CG283" s="34"/>
      <c r="CI283" s="11"/>
      <c r="CJ283" s="11"/>
    </row>
    <row r="284" spans="1:88" s="152" customFormat="1" x14ac:dyDescent="0.2">
      <c r="A284" s="507" t="s">
        <v>625</v>
      </c>
      <c r="B284" s="508" t="s">
        <v>266</v>
      </c>
      <c r="C284" s="509">
        <v>0.13</v>
      </c>
      <c r="D284" s="510">
        <v>0.04</v>
      </c>
      <c r="E284" s="511">
        <v>2.1000000000000001E-2</v>
      </c>
      <c r="F284" s="511">
        <v>9.6500000000000002E-2</v>
      </c>
      <c r="G284" s="512">
        <v>6.4999999999999997E-3</v>
      </c>
      <c r="H284" s="512">
        <v>0.03</v>
      </c>
      <c r="I284" s="512">
        <v>0.18</v>
      </c>
      <c r="J284" s="512">
        <v>0.04</v>
      </c>
      <c r="K284" s="512">
        <v>0.14000000000000001</v>
      </c>
      <c r="L284" s="512">
        <v>1.4999999999999999E-2</v>
      </c>
      <c r="M284" s="513" t="s">
        <v>175</v>
      </c>
      <c r="N284" s="514">
        <v>25000</v>
      </c>
      <c r="O284" s="119"/>
      <c r="P284" s="119"/>
      <c r="Q284" s="119"/>
      <c r="R284" s="119"/>
      <c r="S284" s="119"/>
      <c r="T284" s="119"/>
      <c r="U284" s="119"/>
      <c r="V284" s="119">
        <v>0.67300000000000004</v>
      </c>
      <c r="W284" s="119"/>
      <c r="X284" s="119">
        <f>MIN(O284:W284)</f>
        <v>0.67300000000000004</v>
      </c>
      <c r="Y284" s="118">
        <f t="shared" si="104"/>
        <v>0.67300000000000004</v>
      </c>
      <c r="Z284" s="109">
        <f t="shared" si="102"/>
        <v>16825</v>
      </c>
      <c r="AA284" s="109">
        <f>'CALCULO GERAL'!$G$10</f>
        <v>6300</v>
      </c>
      <c r="AB284" s="109">
        <f t="shared" si="105"/>
        <v>23125</v>
      </c>
      <c r="AC284" s="109">
        <f>AB284*'CALCULO GERAL'!$C$11</f>
        <v>116064.375</v>
      </c>
      <c r="AD284" s="109">
        <f t="shared" si="106"/>
        <v>15088.36875</v>
      </c>
      <c r="AE284" s="109">
        <f t="shared" si="107"/>
        <v>5246.1097499999996</v>
      </c>
      <c r="AF284" s="109">
        <f t="shared" si="108"/>
        <v>2437.3518750000003</v>
      </c>
      <c r="AG284" s="109">
        <f t="shared" si="109"/>
        <v>11200.212187500001</v>
      </c>
      <c r="AH284" s="109">
        <v>154.22999999999999</v>
      </c>
      <c r="AI284" s="109">
        <f>((AA284*'CALCULO GERAL'!$C$11))*0.08+20</f>
        <v>2549.576</v>
      </c>
      <c r="AJ284" s="109">
        <v>1010</v>
      </c>
      <c r="AK284" s="109">
        <v>2500</v>
      </c>
      <c r="AL284" s="109">
        <f>(AA284*('CALCULO GERAL'!$C$11*1.02))-(AA284*'CALCULO GERAL'!$C$11)</f>
        <v>632.39400000000387</v>
      </c>
      <c r="AM284" s="109">
        <v>1800</v>
      </c>
      <c r="AN284" s="109">
        <v>2600</v>
      </c>
      <c r="AO284" s="109">
        <v>9400</v>
      </c>
      <c r="AP284" s="109">
        <v>1000</v>
      </c>
      <c r="AQ284" s="109">
        <v>0</v>
      </c>
      <c r="AR284" s="109">
        <v>0</v>
      </c>
      <c r="AS284" s="109"/>
      <c r="AT284" s="109">
        <f t="shared" si="173"/>
        <v>171682.6175625</v>
      </c>
      <c r="AU284" s="111">
        <f t="shared" si="110"/>
        <v>6.8673047025000002</v>
      </c>
      <c r="AV284" s="109">
        <f>IFERROR((BS284*'CALCULO GERAL'!$E$11)/N284,0)</f>
        <v>0.160608</v>
      </c>
      <c r="AW284" s="109">
        <f>AU284/'CALCULO GERAL'!$C$11</f>
        <v>1.3682615466228332</v>
      </c>
      <c r="AX284" s="109">
        <f>BP284-BB284-BD284*'CALCULO GERAL'!$C$11</f>
        <v>6.3644008615384617</v>
      </c>
      <c r="AY284" s="109">
        <f t="shared" si="111"/>
        <v>4.1368605599999997E-2</v>
      </c>
      <c r="AZ284" s="109">
        <f t="shared" si="112"/>
        <v>0.19093202584615385</v>
      </c>
      <c r="BA284" s="109">
        <f t="shared" si="113"/>
        <v>7.7215384615384615</v>
      </c>
      <c r="BB284" s="109">
        <f t="shared" si="114"/>
        <v>0.11582307692307692</v>
      </c>
      <c r="BC284" s="109">
        <f t="shared" si="115"/>
        <v>7.7215384615384615</v>
      </c>
      <c r="BD284" s="109">
        <f t="shared" si="116"/>
        <v>0.30886153846153847</v>
      </c>
      <c r="BE284" s="109">
        <f t="shared" si="117"/>
        <v>16060.800000000001</v>
      </c>
      <c r="BF284" s="109">
        <f t="shared" si="118"/>
        <v>24091.200000000001</v>
      </c>
      <c r="BG284" s="109">
        <f t="shared" si="119"/>
        <v>8.6728319999999998E-2</v>
      </c>
      <c r="BH284" s="109">
        <f t="shared" si="120"/>
        <v>9.63648E-2</v>
      </c>
      <c r="BI284" s="109">
        <f t="shared" si="121"/>
        <v>0</v>
      </c>
      <c r="BJ284" s="109">
        <f t="shared" si="122"/>
        <v>1.0006863668307691</v>
      </c>
      <c r="BK284" s="109">
        <f t="shared" si="123"/>
        <v>7.8679910693307695</v>
      </c>
      <c r="BL284" s="148">
        <v>0.87</v>
      </c>
      <c r="BM284" s="112">
        <f>ROUND((AW284/BL284)+((AW284*BL284)*'CALCULO GERAL'!$E$11)/BL284,2)</f>
        <v>1.6</v>
      </c>
      <c r="BN284" s="186">
        <f t="shared" si="174"/>
        <v>1.6</v>
      </c>
      <c r="BO284" s="186">
        <f t="shared" si="175"/>
        <v>1.875</v>
      </c>
      <c r="BP284" s="109">
        <f>BM284*'CALCULO GERAL'!$C$11</f>
        <v>8.0304000000000002</v>
      </c>
      <c r="BQ284" s="109">
        <f>BO284*'CALCULO GERAL'!$C$11</f>
        <v>9.4106249999999996</v>
      </c>
      <c r="BR284" s="186">
        <f>BN284*'CALCULO GERAL'!$C$11</f>
        <v>8.0304000000000002</v>
      </c>
      <c r="BS284" s="109">
        <f t="shared" si="124"/>
        <v>200760</v>
      </c>
      <c r="BT284" s="109">
        <f t="shared" si="125"/>
        <v>200760</v>
      </c>
      <c r="BU284" s="109">
        <f t="shared" si="179"/>
        <v>196699.77673326925</v>
      </c>
      <c r="BV284" s="109">
        <f t="shared" si="176"/>
        <v>4060.2232667307544</v>
      </c>
      <c r="BW284" s="114">
        <f t="shared" si="126"/>
        <v>2.0224264129959924E-2</v>
      </c>
      <c r="BX284" s="152">
        <f t="shared" si="100"/>
        <v>0.87</v>
      </c>
      <c r="BZ284" s="55"/>
      <c r="CA284" s="113"/>
      <c r="CB284" s="113"/>
      <c r="CD284" s="152">
        <f t="shared" si="101"/>
        <v>0</v>
      </c>
      <c r="CE284" s="152">
        <f t="shared" si="177"/>
        <v>1</v>
      </c>
      <c r="CF284" s="152">
        <f t="shared" si="178"/>
        <v>1</v>
      </c>
      <c r="CG284" s="34"/>
      <c r="CI284" s="11"/>
      <c r="CJ284" s="11"/>
    </row>
    <row r="285" spans="1:88" s="152" customFormat="1" x14ac:dyDescent="0.2">
      <c r="A285" s="507" t="s">
        <v>626</v>
      </c>
      <c r="B285" s="508" t="s">
        <v>266</v>
      </c>
      <c r="C285" s="509">
        <v>0.13</v>
      </c>
      <c r="D285" s="510">
        <v>0.04</v>
      </c>
      <c r="E285" s="511">
        <v>2.1000000000000001E-2</v>
      </c>
      <c r="F285" s="511">
        <v>9.6500000000000002E-2</v>
      </c>
      <c r="G285" s="512">
        <v>6.4999999999999997E-3</v>
      </c>
      <c r="H285" s="512">
        <v>0.03</v>
      </c>
      <c r="I285" s="512">
        <v>0.18</v>
      </c>
      <c r="J285" s="512">
        <v>0.04</v>
      </c>
      <c r="K285" s="512">
        <v>0.14000000000000001</v>
      </c>
      <c r="L285" s="512">
        <v>1.4999999999999999E-2</v>
      </c>
      <c r="M285" s="513" t="s">
        <v>175</v>
      </c>
      <c r="N285" s="514">
        <v>25000</v>
      </c>
      <c r="O285" s="119"/>
      <c r="P285" s="119"/>
      <c r="Q285" s="119"/>
      <c r="R285" s="119"/>
      <c r="S285" s="119"/>
      <c r="T285" s="119"/>
      <c r="U285" s="119"/>
      <c r="V285" s="119">
        <v>0.879</v>
      </c>
      <c r="W285" s="119"/>
      <c r="X285" s="119">
        <f t="shared" si="103"/>
        <v>0.879</v>
      </c>
      <c r="Y285" s="118">
        <f t="shared" si="104"/>
        <v>0.879</v>
      </c>
      <c r="Z285" s="109">
        <f t="shared" si="102"/>
        <v>21975</v>
      </c>
      <c r="AA285" s="109">
        <f>'CALCULO GERAL'!$G$10</f>
        <v>6300</v>
      </c>
      <c r="AB285" s="109">
        <f t="shared" si="105"/>
        <v>28275</v>
      </c>
      <c r="AC285" s="109">
        <f>AB285*'CALCULO GERAL'!$C$11</f>
        <v>141912.22500000001</v>
      </c>
      <c r="AD285" s="109">
        <f t="shared" si="106"/>
        <v>18448.589250000001</v>
      </c>
      <c r="AE285" s="109">
        <f t="shared" si="107"/>
        <v>6414.4325699999999</v>
      </c>
      <c r="AF285" s="109">
        <f t="shared" si="108"/>
        <v>2980.1567250000003</v>
      </c>
      <c r="AG285" s="109">
        <f t="shared" si="109"/>
        <v>13694.529712500002</v>
      </c>
      <c r="AH285" s="109">
        <v>154.22999999999999</v>
      </c>
      <c r="AI285" s="109">
        <f>((AA285*'CALCULO GERAL'!$C$11))*0.08+20</f>
        <v>2549.576</v>
      </c>
      <c r="AJ285" s="109">
        <v>1010</v>
      </c>
      <c r="AK285" s="109">
        <v>2500</v>
      </c>
      <c r="AL285" s="109">
        <f>(AA285*('CALCULO GERAL'!$C$11*1.02))-(AA285*'CALCULO GERAL'!$C$11)</f>
        <v>632.39400000000387</v>
      </c>
      <c r="AM285" s="109">
        <v>1800</v>
      </c>
      <c r="AN285" s="109">
        <v>2600</v>
      </c>
      <c r="AO285" s="109">
        <v>9400</v>
      </c>
      <c r="AP285" s="109">
        <v>1000</v>
      </c>
      <c r="AQ285" s="109">
        <v>0</v>
      </c>
      <c r="AR285" s="109">
        <v>0</v>
      </c>
      <c r="AS285" s="109"/>
      <c r="AT285" s="109">
        <f t="shared" si="173"/>
        <v>205096.13325750001</v>
      </c>
      <c r="AU285" s="111">
        <f t="shared" si="110"/>
        <v>8.2038453303000001</v>
      </c>
      <c r="AV285" s="109">
        <f>IFERROR((BS285*'CALCULO GERAL'!$E$11)/N285,0)</f>
        <v>0.19172580000000003</v>
      </c>
      <c r="AW285" s="109">
        <f>AU285/'CALCULO GERAL'!$C$11</f>
        <v>1.6345577466228332</v>
      </c>
      <c r="AX285" s="109">
        <f>BP285-BB285-BD285*'CALCULO GERAL'!$C$11</f>
        <v>7.5975035284615373</v>
      </c>
      <c r="AY285" s="109">
        <f t="shared" si="111"/>
        <v>4.9383772934999993E-2</v>
      </c>
      <c r="AZ285" s="109">
        <f t="shared" si="112"/>
        <v>0.22792510585384612</v>
      </c>
      <c r="BA285" s="109">
        <f t="shared" si="113"/>
        <v>9.2175865384615392</v>
      </c>
      <c r="BB285" s="109">
        <f t="shared" si="114"/>
        <v>0.13826379807692307</v>
      </c>
      <c r="BC285" s="109">
        <f t="shared" si="115"/>
        <v>9.2175865384615374</v>
      </c>
      <c r="BD285" s="109">
        <f t="shared" si="116"/>
        <v>0.36870346153846151</v>
      </c>
      <c r="BE285" s="109">
        <f t="shared" si="117"/>
        <v>19172.580000000002</v>
      </c>
      <c r="BF285" s="109">
        <f t="shared" si="118"/>
        <v>28758.87</v>
      </c>
      <c r="BG285" s="109">
        <f t="shared" si="119"/>
        <v>0.10353193199999999</v>
      </c>
      <c r="BH285" s="109">
        <f t="shared" si="120"/>
        <v>0.11503548000000001</v>
      </c>
      <c r="BI285" s="109">
        <f t="shared" si="121"/>
        <v>0</v>
      </c>
      <c r="BJ285" s="109">
        <f t="shared" si="122"/>
        <v>1.1945693504042305</v>
      </c>
      <c r="BK285" s="109">
        <f t="shared" si="123"/>
        <v>9.3984146807042315</v>
      </c>
      <c r="BL285" s="148">
        <v>0.87</v>
      </c>
      <c r="BM285" s="112">
        <f>ROUND((AW285/BL285)+((AW285*BL285)*'CALCULO GERAL'!$E$11)/BL285,2)</f>
        <v>1.91</v>
      </c>
      <c r="BN285" s="186">
        <f t="shared" si="174"/>
        <v>1.91</v>
      </c>
      <c r="BO285" s="186">
        <f t="shared" si="175"/>
        <v>2.238</v>
      </c>
      <c r="BP285" s="109">
        <f>BM285*'CALCULO GERAL'!$C$11</f>
        <v>9.58629</v>
      </c>
      <c r="BQ285" s="109">
        <f>BO285*'CALCULO GERAL'!$C$11</f>
        <v>11.232521999999999</v>
      </c>
      <c r="BR285" s="186">
        <f>BN285*'CALCULO GERAL'!$C$11</f>
        <v>9.58629</v>
      </c>
      <c r="BS285" s="109">
        <f t="shared" si="124"/>
        <v>239657.25</v>
      </c>
      <c r="BT285" s="109">
        <f t="shared" si="125"/>
        <v>239657.25</v>
      </c>
      <c r="BU285" s="109">
        <f t="shared" si="179"/>
        <v>234960.36701760578</v>
      </c>
      <c r="BV285" s="109">
        <f t="shared" si="176"/>
        <v>4696.8829823942215</v>
      </c>
      <c r="BW285" s="114">
        <f t="shared" si="126"/>
        <v>1.9598334631621708E-2</v>
      </c>
      <c r="BX285" s="152">
        <f t="shared" si="100"/>
        <v>0.87</v>
      </c>
      <c r="BZ285" s="55"/>
      <c r="CA285" s="113"/>
      <c r="CB285" s="113"/>
      <c r="CD285" s="152">
        <f t="shared" si="101"/>
        <v>0</v>
      </c>
      <c r="CE285" s="152">
        <f t="shared" si="177"/>
        <v>1</v>
      </c>
      <c r="CF285" s="152">
        <f t="shared" si="178"/>
        <v>1</v>
      </c>
      <c r="CG285" s="34"/>
      <c r="CI285" s="11"/>
      <c r="CJ285" s="11"/>
    </row>
    <row r="286" spans="1:88" s="152" customFormat="1" x14ac:dyDescent="0.2">
      <c r="A286" s="507" t="s">
        <v>627</v>
      </c>
      <c r="B286" s="508" t="s">
        <v>266</v>
      </c>
      <c r="C286" s="509">
        <v>0.13</v>
      </c>
      <c r="D286" s="510">
        <v>0.04</v>
      </c>
      <c r="E286" s="511">
        <v>2.1000000000000001E-2</v>
      </c>
      <c r="F286" s="511">
        <v>9.6500000000000002E-2</v>
      </c>
      <c r="G286" s="512">
        <v>6.4999999999999997E-3</v>
      </c>
      <c r="H286" s="512">
        <v>0.03</v>
      </c>
      <c r="I286" s="512">
        <v>0.18</v>
      </c>
      <c r="J286" s="512">
        <v>0.04</v>
      </c>
      <c r="K286" s="512">
        <v>0.14000000000000001</v>
      </c>
      <c r="L286" s="512">
        <v>1.4999999999999999E-2</v>
      </c>
      <c r="M286" s="513" t="s">
        <v>175</v>
      </c>
      <c r="N286" s="514">
        <v>25000</v>
      </c>
      <c r="O286" s="119"/>
      <c r="P286" s="119"/>
      <c r="Q286" s="119"/>
      <c r="R286" s="119"/>
      <c r="S286" s="119"/>
      <c r="T286" s="119"/>
      <c r="U286" s="119"/>
      <c r="V286" s="119">
        <v>0.77100000000000002</v>
      </c>
      <c r="W286" s="119"/>
      <c r="X286" s="119">
        <f t="shared" si="103"/>
        <v>0.77100000000000002</v>
      </c>
      <c r="Y286" s="118">
        <f t="shared" si="104"/>
        <v>0.77100000000000002</v>
      </c>
      <c r="Z286" s="109">
        <f t="shared" si="102"/>
        <v>19275</v>
      </c>
      <c r="AA286" s="109">
        <f>'CALCULO GERAL'!$G$10</f>
        <v>6300</v>
      </c>
      <c r="AB286" s="109">
        <f t="shared" si="105"/>
        <v>25575</v>
      </c>
      <c r="AC286" s="109">
        <f>AB286*'CALCULO GERAL'!$C$11</f>
        <v>128360.925</v>
      </c>
      <c r="AD286" s="109">
        <f t="shared" si="106"/>
        <v>16686.920249999999</v>
      </c>
      <c r="AE286" s="109">
        <f t="shared" si="107"/>
        <v>5801.9138100000009</v>
      </c>
      <c r="AF286" s="109">
        <f t="shared" si="108"/>
        <v>2695.5794250000004</v>
      </c>
      <c r="AG286" s="109">
        <f t="shared" si="109"/>
        <v>12386.829262500001</v>
      </c>
      <c r="AH286" s="109">
        <v>154.22999999999999</v>
      </c>
      <c r="AI286" s="109">
        <f>((AA286*'CALCULO GERAL'!$C$11))*0.08+20</f>
        <v>2549.576</v>
      </c>
      <c r="AJ286" s="109">
        <v>1010</v>
      </c>
      <c r="AK286" s="109">
        <v>2500</v>
      </c>
      <c r="AL286" s="109">
        <f>(AA286*('CALCULO GERAL'!$C$11*1.02))-(AA286*'CALCULO GERAL'!$C$11)</f>
        <v>632.39400000000387</v>
      </c>
      <c r="AM286" s="109">
        <v>1800</v>
      </c>
      <c r="AN286" s="109">
        <v>2600</v>
      </c>
      <c r="AO286" s="109">
        <v>9400</v>
      </c>
      <c r="AP286" s="109">
        <v>1000</v>
      </c>
      <c r="AQ286" s="109">
        <v>0</v>
      </c>
      <c r="AR286" s="109">
        <v>0</v>
      </c>
      <c r="AS286" s="109"/>
      <c r="AT286" s="109">
        <f t="shared" si="173"/>
        <v>187578.36774750001</v>
      </c>
      <c r="AU286" s="111">
        <f t="shared" si="110"/>
        <v>7.5031347099000003</v>
      </c>
      <c r="AV286" s="109">
        <f>IFERROR((BS286*'CALCULO GERAL'!$E$11)/N286,0)</f>
        <v>0.17566500000000004</v>
      </c>
      <c r="AW286" s="109">
        <f>AU286/'CALCULO GERAL'!$C$11</f>
        <v>1.4949461466228333</v>
      </c>
      <c r="AX286" s="109">
        <f>BP286-BB286-BD286*'CALCULO GERAL'!$C$11</f>
        <v>6.961063442307692</v>
      </c>
      <c r="AY286" s="109">
        <f t="shared" si="111"/>
        <v>4.5246912374999997E-2</v>
      </c>
      <c r="AZ286" s="109">
        <f t="shared" si="112"/>
        <v>0.20883190326923076</v>
      </c>
      <c r="BA286" s="109">
        <f t="shared" si="113"/>
        <v>8.4454326923076923</v>
      </c>
      <c r="BB286" s="109">
        <f t="shared" si="114"/>
        <v>0.12668149038461538</v>
      </c>
      <c r="BC286" s="109">
        <f t="shared" si="115"/>
        <v>8.4454326923076923</v>
      </c>
      <c r="BD286" s="109">
        <f t="shared" si="116"/>
        <v>0.33781730769230772</v>
      </c>
      <c r="BE286" s="109">
        <f t="shared" si="117"/>
        <v>17566.500000000004</v>
      </c>
      <c r="BF286" s="109">
        <f t="shared" si="118"/>
        <v>26349.750000000004</v>
      </c>
      <c r="BG286" s="109">
        <f t="shared" si="119"/>
        <v>9.4859100000000016E-2</v>
      </c>
      <c r="BH286" s="109">
        <f t="shared" si="120"/>
        <v>0.10539900000000002</v>
      </c>
      <c r="BI286" s="109">
        <f t="shared" si="121"/>
        <v>0</v>
      </c>
      <c r="BJ286" s="109">
        <f t="shared" si="122"/>
        <v>1.0945007137211538</v>
      </c>
      <c r="BK286" s="109">
        <f t="shared" si="123"/>
        <v>8.5976354236211545</v>
      </c>
      <c r="BL286" s="148">
        <v>0.87</v>
      </c>
      <c r="BM286" s="112">
        <f>ROUND((AW286/BL286)+((AW286*BL286)*'CALCULO GERAL'!$E$11)/BL286,2)</f>
        <v>1.75</v>
      </c>
      <c r="BN286" s="186">
        <f t="shared" si="174"/>
        <v>1.75</v>
      </c>
      <c r="BO286" s="186">
        <f t="shared" si="175"/>
        <v>2.0499999999999998</v>
      </c>
      <c r="BP286" s="109">
        <f>BM286*'CALCULO GERAL'!$C$11</f>
        <v>8.7832500000000007</v>
      </c>
      <c r="BQ286" s="109">
        <f>BO286*'CALCULO GERAL'!$C$11</f>
        <v>10.28895</v>
      </c>
      <c r="BR286" s="186">
        <f>BN286*'CALCULO GERAL'!$C$11</f>
        <v>8.7832500000000007</v>
      </c>
      <c r="BS286" s="109">
        <f t="shared" si="124"/>
        <v>219581.25000000003</v>
      </c>
      <c r="BT286" s="109">
        <f t="shared" si="125"/>
        <v>219581.25000000003</v>
      </c>
      <c r="BU286" s="109">
        <f t="shared" si="179"/>
        <v>214940.88559052887</v>
      </c>
      <c r="BV286" s="109">
        <f t="shared" si="176"/>
        <v>4640.3644094711635</v>
      </c>
      <c r="BW286" s="114">
        <f t="shared" si="126"/>
        <v>2.1132789841897533E-2</v>
      </c>
      <c r="BX286" s="152">
        <f t="shared" si="100"/>
        <v>0.87</v>
      </c>
      <c r="BZ286" s="55"/>
      <c r="CA286" s="113"/>
      <c r="CB286" s="113"/>
      <c r="CD286" s="152">
        <f t="shared" si="101"/>
        <v>0</v>
      </c>
      <c r="CE286" s="152">
        <f t="shared" si="177"/>
        <v>1</v>
      </c>
      <c r="CF286" s="152">
        <f t="shared" si="178"/>
        <v>1</v>
      </c>
      <c r="CG286" s="34"/>
      <c r="CI286" s="11"/>
      <c r="CJ286" s="11"/>
    </row>
    <row r="287" spans="1:88" s="152" customFormat="1" x14ac:dyDescent="0.2">
      <c r="A287" s="507" t="s">
        <v>628</v>
      </c>
      <c r="B287" s="508" t="s">
        <v>266</v>
      </c>
      <c r="C287" s="509">
        <v>0.13</v>
      </c>
      <c r="D287" s="510">
        <v>0.04</v>
      </c>
      <c r="E287" s="511">
        <v>2.1000000000000001E-2</v>
      </c>
      <c r="F287" s="511">
        <v>9.6500000000000002E-2</v>
      </c>
      <c r="G287" s="512">
        <v>6.4999999999999997E-3</v>
      </c>
      <c r="H287" s="512">
        <v>0.03</v>
      </c>
      <c r="I287" s="512">
        <v>0.18</v>
      </c>
      <c r="J287" s="512">
        <v>0.04</v>
      </c>
      <c r="K287" s="512">
        <v>0.14000000000000001</v>
      </c>
      <c r="L287" s="512">
        <v>1.4999999999999999E-2</v>
      </c>
      <c r="M287" s="513" t="s">
        <v>175</v>
      </c>
      <c r="N287" s="514">
        <v>25000</v>
      </c>
      <c r="O287" s="119"/>
      <c r="P287" s="119"/>
      <c r="Q287" s="119"/>
      <c r="R287" s="119"/>
      <c r="S287" s="119"/>
      <c r="T287" s="119"/>
      <c r="U287" s="119"/>
      <c r="V287" s="119">
        <v>0.745</v>
      </c>
      <c r="W287" s="119"/>
      <c r="X287" s="119">
        <f t="shared" si="103"/>
        <v>0.745</v>
      </c>
      <c r="Y287" s="118">
        <f t="shared" si="104"/>
        <v>0.745</v>
      </c>
      <c r="Z287" s="109">
        <f t="shared" si="102"/>
        <v>18625</v>
      </c>
      <c r="AA287" s="109">
        <f>'CALCULO GERAL'!$G$10</f>
        <v>6300</v>
      </c>
      <c r="AB287" s="109">
        <f t="shared" si="105"/>
        <v>24925</v>
      </c>
      <c r="AC287" s="109">
        <f>AB287*'CALCULO GERAL'!$C$11</f>
        <v>125098.575</v>
      </c>
      <c r="AD287" s="109">
        <f t="shared" si="106"/>
        <v>16262.81475</v>
      </c>
      <c r="AE287" s="109">
        <f t="shared" si="107"/>
        <v>5654.4555900000005</v>
      </c>
      <c r="AF287" s="109">
        <f t="shared" si="108"/>
        <v>2627.0700750000001</v>
      </c>
      <c r="AG287" s="109">
        <f t="shared" si="109"/>
        <v>12072.0124875</v>
      </c>
      <c r="AH287" s="109">
        <v>154.22999999999999</v>
      </c>
      <c r="AI287" s="109">
        <f>((AA287*'CALCULO GERAL'!$C$11))*0.08+20</f>
        <v>2549.576</v>
      </c>
      <c r="AJ287" s="109">
        <v>1010</v>
      </c>
      <c r="AK287" s="109">
        <v>2500</v>
      </c>
      <c r="AL287" s="109">
        <f>(AA287*('CALCULO GERAL'!$C$11*1.02))-(AA287*'CALCULO GERAL'!$C$11)</f>
        <v>632.39400000000387</v>
      </c>
      <c r="AM287" s="109">
        <v>1800</v>
      </c>
      <c r="AN287" s="109">
        <v>2600</v>
      </c>
      <c r="AO287" s="109">
        <v>9400</v>
      </c>
      <c r="AP287" s="109">
        <v>1000</v>
      </c>
      <c r="AQ287" s="109">
        <v>0</v>
      </c>
      <c r="AR287" s="109">
        <v>0</v>
      </c>
      <c r="AS287" s="109"/>
      <c r="AT287" s="109">
        <f t="shared" si="173"/>
        <v>183361.12790250001</v>
      </c>
      <c r="AU287" s="111">
        <f t="shared" si="110"/>
        <v>7.3344451161000004</v>
      </c>
      <c r="AV287" s="109">
        <f>IFERROR((BS287*'CALCULO GERAL'!$E$11)/N287,0)</f>
        <v>0.17365740000000002</v>
      </c>
      <c r="AW287" s="109">
        <f>AU287/'CALCULO GERAL'!$C$11</f>
        <v>1.4613359466228333</v>
      </c>
      <c r="AX287" s="109">
        <f>BP287-BB287-BD287*'CALCULO GERAL'!$C$11</f>
        <v>6.8815084315384603</v>
      </c>
      <c r="AY287" s="109">
        <f t="shared" si="111"/>
        <v>4.4729804804999988E-2</v>
      </c>
      <c r="AZ287" s="109">
        <f t="shared" si="112"/>
        <v>0.20644525294615379</v>
      </c>
      <c r="BA287" s="109">
        <f t="shared" si="113"/>
        <v>8.3489134615384604</v>
      </c>
      <c r="BB287" s="109">
        <f t="shared" si="114"/>
        <v>0.1252337019230769</v>
      </c>
      <c r="BC287" s="109">
        <f t="shared" si="115"/>
        <v>8.3489134615384604</v>
      </c>
      <c r="BD287" s="109">
        <f t="shared" si="116"/>
        <v>0.33395653846153844</v>
      </c>
      <c r="BE287" s="109">
        <f t="shared" si="117"/>
        <v>17365.740000000002</v>
      </c>
      <c r="BF287" s="109">
        <f t="shared" si="118"/>
        <v>26048.61</v>
      </c>
      <c r="BG287" s="109">
        <f t="shared" si="119"/>
        <v>9.3774995999999985E-2</v>
      </c>
      <c r="BH287" s="109">
        <f t="shared" si="120"/>
        <v>0.10419444000000001</v>
      </c>
      <c r="BI287" s="109">
        <f t="shared" si="121"/>
        <v>0</v>
      </c>
      <c r="BJ287" s="109">
        <f t="shared" si="122"/>
        <v>1.081992134135769</v>
      </c>
      <c r="BK287" s="109">
        <f t="shared" si="123"/>
        <v>8.4164372502357701</v>
      </c>
      <c r="BL287" s="148">
        <v>0.86</v>
      </c>
      <c r="BM287" s="112">
        <f>ROUND((AW287/BL287)+((AW287*BL287)*'CALCULO GERAL'!$E$11)/BL287,2)</f>
        <v>1.73</v>
      </c>
      <c r="BN287" s="186">
        <f t="shared" si="174"/>
        <v>1.73</v>
      </c>
      <c r="BO287" s="186">
        <f t="shared" si="175"/>
        <v>2.0270000000000001</v>
      </c>
      <c r="BP287" s="109">
        <f>BM287*'CALCULO GERAL'!$C$11</f>
        <v>8.6828699999999994</v>
      </c>
      <c r="BQ287" s="109">
        <f>BO287*'CALCULO GERAL'!$C$11</f>
        <v>10.173513000000002</v>
      </c>
      <c r="BR287" s="186">
        <f>BN287*'CALCULO GERAL'!$C$11</f>
        <v>8.6828699999999994</v>
      </c>
      <c r="BS287" s="109">
        <f t="shared" si="124"/>
        <v>217071.75</v>
      </c>
      <c r="BT287" s="109">
        <f t="shared" si="125"/>
        <v>217071.75</v>
      </c>
      <c r="BU287" s="109">
        <f t="shared" si="179"/>
        <v>210410.93125589425</v>
      </c>
      <c r="BV287" s="109">
        <f t="shared" si="176"/>
        <v>6660.8187441057526</v>
      </c>
      <c r="BW287" s="114">
        <f t="shared" si="126"/>
        <v>3.0684871449673908E-2</v>
      </c>
      <c r="BX287" s="152">
        <f t="shared" si="100"/>
        <v>0.86</v>
      </c>
      <c r="BZ287" s="55"/>
      <c r="CA287" s="113"/>
      <c r="CB287" s="113"/>
      <c r="CD287" s="152">
        <f t="shared" si="101"/>
        <v>0</v>
      </c>
      <c r="CE287" s="152">
        <f t="shared" si="177"/>
        <v>1</v>
      </c>
      <c r="CF287" s="152">
        <f t="shared" si="178"/>
        <v>1</v>
      </c>
      <c r="CG287" s="34"/>
      <c r="CI287" s="11"/>
      <c r="CJ287" s="11"/>
    </row>
    <row r="288" spans="1:88" s="152" customFormat="1" x14ac:dyDescent="0.2">
      <c r="A288" s="507" t="s">
        <v>629</v>
      </c>
      <c r="B288" s="508" t="s">
        <v>266</v>
      </c>
      <c r="C288" s="509">
        <v>0.13</v>
      </c>
      <c r="D288" s="510">
        <v>0.04</v>
      </c>
      <c r="E288" s="511">
        <v>2.1000000000000001E-2</v>
      </c>
      <c r="F288" s="511">
        <v>9.6500000000000002E-2</v>
      </c>
      <c r="G288" s="512">
        <v>6.4999999999999997E-3</v>
      </c>
      <c r="H288" s="512">
        <v>0.03</v>
      </c>
      <c r="I288" s="512">
        <v>0.18</v>
      </c>
      <c r="J288" s="512">
        <v>0.04</v>
      </c>
      <c r="K288" s="512">
        <v>0.14000000000000001</v>
      </c>
      <c r="L288" s="512">
        <v>1.4999999999999999E-2</v>
      </c>
      <c r="M288" s="513" t="s">
        <v>175</v>
      </c>
      <c r="N288" s="514">
        <v>25000</v>
      </c>
      <c r="O288" s="119"/>
      <c r="P288" s="119"/>
      <c r="Q288" s="119"/>
      <c r="R288" s="119"/>
      <c r="S288" s="119"/>
      <c r="T288" s="119"/>
      <c r="U288" s="119"/>
      <c r="V288" s="119">
        <v>1.095</v>
      </c>
      <c r="W288" s="119"/>
      <c r="X288" s="119">
        <f t="shared" si="103"/>
        <v>1.095</v>
      </c>
      <c r="Y288" s="118">
        <f t="shared" si="104"/>
        <v>1.095</v>
      </c>
      <c r="Z288" s="109">
        <f t="shared" si="102"/>
        <v>27375</v>
      </c>
      <c r="AA288" s="109">
        <f>'CALCULO GERAL'!$G$10</f>
        <v>6300</v>
      </c>
      <c r="AB288" s="109">
        <f t="shared" si="105"/>
        <v>33675</v>
      </c>
      <c r="AC288" s="109">
        <f>AB288*'CALCULO GERAL'!$C$11</f>
        <v>169014.82500000001</v>
      </c>
      <c r="AD288" s="109">
        <f t="shared" si="106"/>
        <v>21971.927250000001</v>
      </c>
      <c r="AE288" s="109">
        <f t="shared" si="107"/>
        <v>7639.4700900000007</v>
      </c>
      <c r="AF288" s="109">
        <f t="shared" si="108"/>
        <v>3549.3113250000006</v>
      </c>
      <c r="AG288" s="109">
        <f t="shared" si="109"/>
        <v>16309.930612500002</v>
      </c>
      <c r="AH288" s="109">
        <v>154.22999999999999</v>
      </c>
      <c r="AI288" s="109">
        <f>((AA288*'CALCULO GERAL'!$C$11))*0.08+20</f>
        <v>2549.576</v>
      </c>
      <c r="AJ288" s="109">
        <v>1010</v>
      </c>
      <c r="AK288" s="109">
        <v>2500</v>
      </c>
      <c r="AL288" s="109">
        <f>(AA288*('CALCULO GERAL'!$C$11*1.02))-(AA288*'CALCULO GERAL'!$C$11)</f>
        <v>632.39400000000387</v>
      </c>
      <c r="AM288" s="109">
        <v>1800</v>
      </c>
      <c r="AN288" s="109">
        <v>2600</v>
      </c>
      <c r="AO288" s="109">
        <v>9400</v>
      </c>
      <c r="AP288" s="109">
        <v>1000</v>
      </c>
      <c r="AQ288" s="109">
        <v>0</v>
      </c>
      <c r="AR288" s="109">
        <v>0</v>
      </c>
      <c r="AS288" s="109"/>
      <c r="AT288" s="109">
        <f t="shared" si="173"/>
        <v>240131.66427750001</v>
      </c>
      <c r="AU288" s="111">
        <f t="shared" si="110"/>
        <v>9.6052665710999996</v>
      </c>
      <c r="AV288" s="109">
        <f>IFERROR((BS288*'CALCULO GERAL'!$E$11)/N288,0)</f>
        <v>0.2248512</v>
      </c>
      <c r="AW288" s="109">
        <f>AU288/'CALCULO GERAL'!$C$11</f>
        <v>1.913780946622833</v>
      </c>
      <c r="AX288" s="109">
        <f>BP288-BB288-BD288*'CALCULO GERAL'!$C$11</f>
        <v>8.9101612061538464</v>
      </c>
      <c r="AY288" s="109">
        <f t="shared" si="111"/>
        <v>5.7916047839999998E-2</v>
      </c>
      <c r="AZ288" s="109">
        <f t="shared" si="112"/>
        <v>0.26730483618461537</v>
      </c>
      <c r="BA288" s="109">
        <f t="shared" si="113"/>
        <v>10.810153846153847</v>
      </c>
      <c r="BB288" s="109">
        <f t="shared" si="114"/>
        <v>0.16215230769230771</v>
      </c>
      <c r="BC288" s="109">
        <f t="shared" si="115"/>
        <v>10.810153846153847</v>
      </c>
      <c r="BD288" s="109">
        <f t="shared" si="116"/>
        <v>0.43240615384615388</v>
      </c>
      <c r="BE288" s="109">
        <f t="shared" si="117"/>
        <v>22485.119999999999</v>
      </c>
      <c r="BF288" s="109">
        <f t="shared" si="118"/>
        <v>33727.68</v>
      </c>
      <c r="BG288" s="109">
        <f t="shared" si="119"/>
        <v>0.12141964799999999</v>
      </c>
      <c r="BH288" s="109">
        <f t="shared" si="120"/>
        <v>0.13491071999999998</v>
      </c>
      <c r="BI288" s="109">
        <f t="shared" si="121"/>
        <v>0</v>
      </c>
      <c r="BJ288" s="109">
        <f t="shared" si="122"/>
        <v>1.4009609135630769</v>
      </c>
      <c r="BK288" s="109">
        <f t="shared" si="123"/>
        <v>11.006227484663077</v>
      </c>
      <c r="BL288" s="148">
        <v>0.87</v>
      </c>
      <c r="BM288" s="112">
        <f>ROUND((AW288/BL288)+((AW288*BL288)*'CALCULO GERAL'!$E$11)/BL288,2)</f>
        <v>2.2400000000000002</v>
      </c>
      <c r="BN288" s="186">
        <f t="shared" si="174"/>
        <v>2.2400000000000002</v>
      </c>
      <c r="BO288" s="186">
        <f t="shared" si="175"/>
        <v>2.625</v>
      </c>
      <c r="BP288" s="109">
        <f>BM288*'CALCULO GERAL'!$C$11</f>
        <v>11.242560000000001</v>
      </c>
      <c r="BQ288" s="109">
        <f>BO288*'CALCULO GERAL'!$C$11</f>
        <v>13.174875</v>
      </c>
      <c r="BR288" s="186">
        <f>BN288*'CALCULO GERAL'!$C$11</f>
        <v>11.242560000000001</v>
      </c>
      <c r="BS288" s="109">
        <f t="shared" si="124"/>
        <v>281064</v>
      </c>
      <c r="BT288" s="109">
        <f t="shared" si="125"/>
        <v>281064</v>
      </c>
      <c r="BU288" s="109">
        <f t="shared" si="179"/>
        <v>275155.68711657694</v>
      </c>
      <c r="BV288" s="109">
        <f t="shared" si="176"/>
        <v>5908.3128834230592</v>
      </c>
      <c r="BW288" s="114">
        <f t="shared" si="126"/>
        <v>2.1021236741180154E-2</v>
      </c>
      <c r="BX288" s="152">
        <f t="shared" si="100"/>
        <v>0.87</v>
      </c>
      <c r="BZ288" s="55"/>
      <c r="CA288" s="113"/>
      <c r="CB288" s="113"/>
      <c r="CD288" s="152">
        <f t="shared" si="101"/>
        <v>0</v>
      </c>
      <c r="CE288" s="152">
        <f t="shared" si="177"/>
        <v>1</v>
      </c>
      <c r="CF288" s="152">
        <f t="shared" si="178"/>
        <v>1</v>
      </c>
      <c r="CG288" s="34"/>
      <c r="CI288" s="11"/>
      <c r="CJ288" s="11"/>
    </row>
    <row r="289" spans="1:88" s="152" customFormat="1" x14ac:dyDescent="0.2">
      <c r="A289" s="507" t="s">
        <v>630</v>
      </c>
      <c r="B289" s="508" t="s">
        <v>266</v>
      </c>
      <c r="C289" s="509">
        <v>0.13</v>
      </c>
      <c r="D289" s="510">
        <v>0.04</v>
      </c>
      <c r="E289" s="511">
        <v>2.1000000000000001E-2</v>
      </c>
      <c r="F289" s="511">
        <v>9.6500000000000002E-2</v>
      </c>
      <c r="G289" s="512">
        <v>6.4999999999999997E-3</v>
      </c>
      <c r="H289" s="512">
        <v>0.03</v>
      </c>
      <c r="I289" s="512">
        <v>0.18</v>
      </c>
      <c r="J289" s="512">
        <v>0.04</v>
      </c>
      <c r="K289" s="512">
        <v>0.14000000000000001</v>
      </c>
      <c r="L289" s="512">
        <v>1.4999999999999999E-2</v>
      </c>
      <c r="M289" s="513" t="s">
        <v>175</v>
      </c>
      <c r="N289" s="514">
        <v>25000</v>
      </c>
      <c r="O289" s="119"/>
      <c r="P289" s="119"/>
      <c r="Q289" s="119"/>
      <c r="R289" s="119"/>
      <c r="S289" s="119"/>
      <c r="T289" s="119"/>
      <c r="U289" s="119"/>
      <c r="V289" s="119">
        <v>1.038</v>
      </c>
      <c r="W289" s="119"/>
      <c r="X289" s="119">
        <f t="shared" si="103"/>
        <v>1.038</v>
      </c>
      <c r="Y289" s="118">
        <f t="shared" si="104"/>
        <v>1.038</v>
      </c>
      <c r="Z289" s="109">
        <f t="shared" si="102"/>
        <v>25950</v>
      </c>
      <c r="AA289" s="109">
        <f>'CALCULO GERAL'!$G$10</f>
        <v>6300</v>
      </c>
      <c r="AB289" s="109">
        <f t="shared" si="105"/>
        <v>32250</v>
      </c>
      <c r="AC289" s="109">
        <f>AB289*'CALCULO GERAL'!$C$11</f>
        <v>161862.75</v>
      </c>
      <c r="AD289" s="109">
        <f t="shared" si="106"/>
        <v>21042.157500000001</v>
      </c>
      <c r="AE289" s="109">
        <f t="shared" si="107"/>
        <v>7316.1963000000005</v>
      </c>
      <c r="AF289" s="109">
        <f t="shared" si="108"/>
        <v>3399.1177500000003</v>
      </c>
      <c r="AG289" s="109">
        <f t="shared" si="109"/>
        <v>15619.755375000001</v>
      </c>
      <c r="AH289" s="109">
        <v>154.22999999999999</v>
      </c>
      <c r="AI289" s="109">
        <f>((AA289*'CALCULO GERAL'!$C$11))*0.08+20</f>
        <v>2549.576</v>
      </c>
      <c r="AJ289" s="109">
        <v>1010</v>
      </c>
      <c r="AK289" s="109">
        <v>2500</v>
      </c>
      <c r="AL289" s="109">
        <f>(AA289*('CALCULO GERAL'!$C$11*1.02))-(AA289*'CALCULO GERAL'!$C$11)</f>
        <v>632.39400000000387</v>
      </c>
      <c r="AM289" s="109">
        <v>1800</v>
      </c>
      <c r="AN289" s="109">
        <v>2600</v>
      </c>
      <c r="AO289" s="109">
        <v>9400</v>
      </c>
      <c r="AP289" s="109">
        <v>1000</v>
      </c>
      <c r="AQ289" s="109">
        <v>0</v>
      </c>
      <c r="AR289" s="109">
        <v>0</v>
      </c>
      <c r="AS289" s="109"/>
      <c r="AT289" s="109">
        <f t="shared" si="173"/>
        <v>230886.17692500004</v>
      </c>
      <c r="AU289" s="111">
        <f t="shared" si="110"/>
        <v>9.2354470770000017</v>
      </c>
      <c r="AV289" s="109">
        <f>IFERROR((BS289*'CALCULO GERAL'!$E$11)/N289,0)</f>
        <v>0.21882840000000001</v>
      </c>
      <c r="AW289" s="109">
        <f>AU289/'CALCULO GERAL'!$C$11</f>
        <v>1.8400970466228335</v>
      </c>
      <c r="AX289" s="109">
        <f>BP289-BB289-BD289*'CALCULO GERAL'!$C$11</f>
        <v>8.6714961738461547</v>
      </c>
      <c r="AY289" s="109">
        <f t="shared" si="111"/>
        <v>5.6364725130000001E-2</v>
      </c>
      <c r="AZ289" s="109">
        <f t="shared" si="112"/>
        <v>0.26014488521538465</v>
      </c>
      <c r="BA289" s="109">
        <f t="shared" si="113"/>
        <v>10.520596153846155</v>
      </c>
      <c r="BB289" s="109">
        <f t="shared" si="114"/>
        <v>0.15780894230769232</v>
      </c>
      <c r="BC289" s="109">
        <f t="shared" si="115"/>
        <v>10.520596153846155</v>
      </c>
      <c r="BD289" s="109">
        <f t="shared" si="116"/>
        <v>0.42082384615384621</v>
      </c>
      <c r="BE289" s="109">
        <f t="shared" si="117"/>
        <v>21882.84</v>
      </c>
      <c r="BF289" s="109">
        <f t="shared" si="118"/>
        <v>32824.26</v>
      </c>
      <c r="BG289" s="109">
        <f t="shared" si="119"/>
        <v>0.118167336</v>
      </c>
      <c r="BH289" s="109">
        <f t="shared" si="120"/>
        <v>0.13129704</v>
      </c>
      <c r="BI289" s="109">
        <f t="shared" si="121"/>
        <v>0</v>
      </c>
      <c r="BJ289" s="109">
        <f t="shared" si="122"/>
        <v>1.3634351748069231</v>
      </c>
      <c r="BK289" s="109">
        <f t="shared" si="123"/>
        <v>10.598882251806925</v>
      </c>
      <c r="BL289" s="148">
        <v>0.86</v>
      </c>
      <c r="BM289" s="112">
        <f>ROUND((AW289/BL289)+((AW289*BL289)*'CALCULO GERAL'!$E$11)/BL289,2)</f>
        <v>2.1800000000000002</v>
      </c>
      <c r="BN289" s="186">
        <f t="shared" si="174"/>
        <v>2.1800000000000002</v>
      </c>
      <c r="BO289" s="186">
        <f t="shared" si="175"/>
        <v>2.5539999999999998</v>
      </c>
      <c r="BP289" s="109">
        <f>BM289*'CALCULO GERAL'!$C$11</f>
        <v>10.941420000000001</v>
      </c>
      <c r="BQ289" s="109">
        <f>BO289*'CALCULO GERAL'!$C$11</f>
        <v>12.818526</v>
      </c>
      <c r="BR289" s="186">
        <f>BN289*'CALCULO GERAL'!$C$11</f>
        <v>10.941420000000001</v>
      </c>
      <c r="BS289" s="109">
        <f t="shared" si="124"/>
        <v>273535.5</v>
      </c>
      <c r="BT289" s="109">
        <f t="shared" si="125"/>
        <v>273535.5</v>
      </c>
      <c r="BU289" s="109">
        <f t="shared" si="179"/>
        <v>264972.05629517313</v>
      </c>
      <c r="BV289" s="109">
        <f t="shared" si="176"/>
        <v>8563.4437048268737</v>
      </c>
      <c r="BW289" s="114">
        <f t="shared" si="126"/>
        <v>3.1306516722059384E-2</v>
      </c>
      <c r="BX289" s="152">
        <f t="shared" si="100"/>
        <v>0.86</v>
      </c>
      <c r="BZ289" s="55"/>
      <c r="CA289" s="113"/>
      <c r="CB289" s="113"/>
      <c r="CD289" s="152">
        <f t="shared" si="101"/>
        <v>0</v>
      </c>
      <c r="CE289" s="152">
        <f t="shared" si="177"/>
        <v>1</v>
      </c>
      <c r="CF289" s="152">
        <f t="shared" si="178"/>
        <v>1</v>
      </c>
      <c r="CG289" s="34"/>
      <c r="CI289" s="11"/>
      <c r="CJ289" s="11"/>
    </row>
    <row r="290" spans="1:88" s="152" customFormat="1" x14ac:dyDescent="0.2">
      <c r="A290" s="507" t="s">
        <v>631</v>
      </c>
      <c r="B290" s="508" t="s">
        <v>266</v>
      </c>
      <c r="C290" s="509">
        <v>0.13</v>
      </c>
      <c r="D290" s="510">
        <v>0.04</v>
      </c>
      <c r="E290" s="511">
        <v>2.1000000000000001E-2</v>
      </c>
      <c r="F290" s="511">
        <v>9.6500000000000002E-2</v>
      </c>
      <c r="G290" s="512">
        <v>6.4999999999999997E-3</v>
      </c>
      <c r="H290" s="512">
        <v>0.03</v>
      </c>
      <c r="I290" s="512">
        <v>0.18</v>
      </c>
      <c r="J290" s="512">
        <v>0.04</v>
      </c>
      <c r="K290" s="512">
        <v>0.14000000000000001</v>
      </c>
      <c r="L290" s="512">
        <v>1.4999999999999999E-2</v>
      </c>
      <c r="M290" s="513" t="s">
        <v>175</v>
      </c>
      <c r="N290" s="514">
        <v>25000</v>
      </c>
      <c r="O290" s="119"/>
      <c r="P290" s="119"/>
      <c r="Q290" s="119"/>
      <c r="R290" s="119"/>
      <c r="S290" s="119"/>
      <c r="T290" s="119"/>
      <c r="U290" s="119"/>
      <c r="V290" s="119">
        <v>0.998</v>
      </c>
      <c r="W290" s="119"/>
      <c r="X290" s="119">
        <f t="shared" si="103"/>
        <v>0.998</v>
      </c>
      <c r="Y290" s="118">
        <f t="shared" si="104"/>
        <v>0.998</v>
      </c>
      <c r="Z290" s="109">
        <f t="shared" si="102"/>
        <v>24950</v>
      </c>
      <c r="AA290" s="109">
        <f>'CALCULO GERAL'!$G$10</f>
        <v>6300</v>
      </c>
      <c r="AB290" s="109">
        <f t="shared" si="105"/>
        <v>31250</v>
      </c>
      <c r="AC290" s="109">
        <f>AB290*'CALCULO GERAL'!$C$11</f>
        <v>156843.75</v>
      </c>
      <c r="AD290" s="109">
        <f t="shared" si="106"/>
        <v>20389.6875</v>
      </c>
      <c r="AE290" s="109">
        <f t="shared" si="107"/>
        <v>7089.3375000000005</v>
      </c>
      <c r="AF290" s="109">
        <f t="shared" si="108"/>
        <v>3293.71875</v>
      </c>
      <c r="AG290" s="109">
        <f t="shared" si="109"/>
        <v>15135.421875</v>
      </c>
      <c r="AH290" s="109">
        <v>154.22999999999999</v>
      </c>
      <c r="AI290" s="109">
        <f>((AA290*'CALCULO GERAL'!$C$11))*0.08+20</f>
        <v>2549.576</v>
      </c>
      <c r="AJ290" s="109">
        <v>1010</v>
      </c>
      <c r="AK290" s="109">
        <v>2500</v>
      </c>
      <c r="AL290" s="109">
        <f>(AA290*('CALCULO GERAL'!$C$11*1.02))-(AA290*'CALCULO GERAL'!$C$11)</f>
        <v>632.39400000000387</v>
      </c>
      <c r="AM290" s="109">
        <v>1800</v>
      </c>
      <c r="AN290" s="109">
        <v>2600</v>
      </c>
      <c r="AO290" s="109">
        <v>9400</v>
      </c>
      <c r="AP290" s="109">
        <v>1000</v>
      </c>
      <c r="AQ290" s="109">
        <v>0</v>
      </c>
      <c r="AR290" s="109">
        <v>0</v>
      </c>
      <c r="AS290" s="109"/>
      <c r="AT290" s="109">
        <f t="shared" si="173"/>
        <v>224398.11562500001</v>
      </c>
      <c r="AU290" s="111">
        <f t="shared" si="110"/>
        <v>8.9759246250000011</v>
      </c>
      <c r="AV290" s="109">
        <f>IFERROR((BS290*'CALCULO GERAL'!$E$11)/N290,0)</f>
        <v>0.20979419999999996</v>
      </c>
      <c r="AW290" s="109">
        <f>AU290/'CALCULO GERAL'!$C$11</f>
        <v>1.7883890466228334</v>
      </c>
      <c r="AX290" s="109">
        <f>BP290-BB290-BD290*'CALCULO GERAL'!$C$11</f>
        <v>8.3134986253846144</v>
      </c>
      <c r="AY290" s="109">
        <f t="shared" si="111"/>
        <v>5.4037741064999992E-2</v>
      </c>
      <c r="AZ290" s="109">
        <f t="shared" si="112"/>
        <v>0.24940495876153843</v>
      </c>
      <c r="BA290" s="109">
        <f t="shared" si="113"/>
        <v>10.086259615384614</v>
      </c>
      <c r="BB290" s="109">
        <f t="shared" si="114"/>
        <v>0.15129389423076922</v>
      </c>
      <c r="BC290" s="109">
        <f t="shared" si="115"/>
        <v>10.086259615384614</v>
      </c>
      <c r="BD290" s="109">
        <f t="shared" si="116"/>
        <v>0.40345038461538457</v>
      </c>
      <c r="BE290" s="109">
        <f t="shared" si="117"/>
        <v>20979.419999999995</v>
      </c>
      <c r="BF290" s="109">
        <f t="shared" si="118"/>
        <v>31469.12999999999</v>
      </c>
      <c r="BG290" s="109">
        <f t="shared" si="119"/>
        <v>0.11328886799999996</v>
      </c>
      <c r="BH290" s="109">
        <f t="shared" si="120"/>
        <v>0.12587651999999996</v>
      </c>
      <c r="BI290" s="109">
        <f t="shared" si="121"/>
        <v>0</v>
      </c>
      <c r="BJ290" s="109">
        <f t="shared" si="122"/>
        <v>1.3071465666726922</v>
      </c>
      <c r="BK290" s="109">
        <f t="shared" si="123"/>
        <v>10.283071191672693</v>
      </c>
      <c r="BL290" s="148">
        <v>0.87</v>
      </c>
      <c r="BM290" s="112">
        <f>ROUND((AW290/BL290)+((AW290*BL290)*'CALCULO GERAL'!$E$11)/BL290,2)</f>
        <v>2.09</v>
      </c>
      <c r="BN290" s="186">
        <f t="shared" si="174"/>
        <v>2.09</v>
      </c>
      <c r="BO290" s="186">
        <f t="shared" si="175"/>
        <v>2.4489999999999998</v>
      </c>
      <c r="BP290" s="109">
        <f>BM290*'CALCULO GERAL'!$C$11</f>
        <v>10.489709999999999</v>
      </c>
      <c r="BQ290" s="109">
        <f>BO290*'CALCULO GERAL'!$C$11</f>
        <v>12.291530999999999</v>
      </c>
      <c r="BR290" s="186">
        <f>BN290*'CALCULO GERAL'!$C$11</f>
        <v>10.489709999999999</v>
      </c>
      <c r="BS290" s="109">
        <f t="shared" si="124"/>
        <v>262242.74999999994</v>
      </c>
      <c r="BT290" s="109">
        <f t="shared" si="125"/>
        <v>262242.74999999994</v>
      </c>
      <c r="BU290" s="109">
        <f t="shared" si="179"/>
        <v>257076.77979181733</v>
      </c>
      <c r="BV290" s="109">
        <f t="shared" si="176"/>
        <v>5165.9702081826108</v>
      </c>
      <c r="BW290" s="114">
        <f t="shared" si="126"/>
        <v>1.9699191715243269E-2</v>
      </c>
      <c r="BX290" s="152">
        <f t="shared" ref="BX290:BX328" si="180">ROUND(BL290,2)</f>
        <v>0.87</v>
      </c>
      <c r="BZ290" s="55"/>
      <c r="CA290" s="113"/>
      <c r="CB290" s="113"/>
      <c r="CD290" s="152">
        <f t="shared" ref="CD290:CD328" si="181">CB290/BX290</f>
        <v>0</v>
      </c>
      <c r="CE290" s="152">
        <f t="shared" si="177"/>
        <v>1</v>
      </c>
      <c r="CF290" s="152">
        <f t="shared" si="178"/>
        <v>1</v>
      </c>
      <c r="CG290" s="34"/>
      <c r="CI290" s="11"/>
      <c r="CJ290" s="11"/>
    </row>
    <row r="291" spans="1:88" s="152" customFormat="1" x14ac:dyDescent="0.2">
      <c r="A291" s="507" t="s">
        <v>632</v>
      </c>
      <c r="B291" s="508" t="s">
        <v>266</v>
      </c>
      <c r="C291" s="509">
        <v>0.13</v>
      </c>
      <c r="D291" s="510">
        <v>0.04</v>
      </c>
      <c r="E291" s="511">
        <v>2.1000000000000001E-2</v>
      </c>
      <c r="F291" s="511">
        <v>9.6500000000000002E-2</v>
      </c>
      <c r="G291" s="512">
        <v>6.4999999999999997E-3</v>
      </c>
      <c r="H291" s="512">
        <v>0.03</v>
      </c>
      <c r="I291" s="512">
        <v>0.18</v>
      </c>
      <c r="J291" s="512">
        <v>0.04</v>
      </c>
      <c r="K291" s="512">
        <v>0.14000000000000001</v>
      </c>
      <c r="L291" s="512">
        <v>1.4999999999999999E-2</v>
      </c>
      <c r="M291" s="513" t="s">
        <v>175</v>
      </c>
      <c r="N291" s="514">
        <v>25000</v>
      </c>
      <c r="O291" s="119"/>
      <c r="P291" s="119"/>
      <c r="Q291" s="119"/>
      <c r="R291" s="119"/>
      <c r="S291" s="119"/>
      <c r="T291" s="119"/>
      <c r="U291" s="119"/>
      <c r="V291" s="119">
        <v>1.1040000000000001</v>
      </c>
      <c r="W291" s="119"/>
      <c r="X291" s="119">
        <f t="shared" si="103"/>
        <v>1.1040000000000001</v>
      </c>
      <c r="Y291" s="118">
        <f t="shared" si="104"/>
        <v>1.1040000000000001</v>
      </c>
      <c r="Z291" s="109">
        <f t="shared" si="102"/>
        <v>27600.000000000004</v>
      </c>
      <c r="AA291" s="109">
        <f>'CALCULO GERAL'!$G$10</f>
        <v>6300</v>
      </c>
      <c r="AB291" s="109">
        <f t="shared" si="105"/>
        <v>33900</v>
      </c>
      <c r="AC291" s="109">
        <f>AB291*'CALCULO GERAL'!$C$11</f>
        <v>170144.1</v>
      </c>
      <c r="AD291" s="109">
        <f t="shared" si="106"/>
        <v>22118.733</v>
      </c>
      <c r="AE291" s="109">
        <f t="shared" si="107"/>
        <v>7690.5133200000009</v>
      </c>
      <c r="AF291" s="109">
        <f t="shared" si="108"/>
        <v>3573.0261000000005</v>
      </c>
      <c r="AG291" s="109">
        <f t="shared" si="109"/>
        <v>16418.905650000001</v>
      </c>
      <c r="AH291" s="109">
        <v>154.22999999999999</v>
      </c>
      <c r="AI291" s="109">
        <f>((AA291*'CALCULO GERAL'!$C$11))*0.08+20</f>
        <v>2549.576</v>
      </c>
      <c r="AJ291" s="109">
        <v>1010</v>
      </c>
      <c r="AK291" s="109">
        <v>2500</v>
      </c>
      <c r="AL291" s="109">
        <f>(AA291*('CALCULO GERAL'!$C$11*1.02))-(AA291*'CALCULO GERAL'!$C$11)</f>
        <v>632.39400000000387</v>
      </c>
      <c r="AM291" s="109">
        <v>1800</v>
      </c>
      <c r="AN291" s="109">
        <v>2600</v>
      </c>
      <c r="AO291" s="109">
        <v>9400</v>
      </c>
      <c r="AP291" s="109">
        <v>1000</v>
      </c>
      <c r="AQ291" s="109">
        <v>0</v>
      </c>
      <c r="AR291" s="109">
        <v>0</v>
      </c>
      <c r="AS291" s="109"/>
      <c r="AT291" s="109">
        <f t="shared" si="173"/>
        <v>241591.47807000001</v>
      </c>
      <c r="AU291" s="111">
        <f t="shared" si="110"/>
        <v>9.6636591228000004</v>
      </c>
      <c r="AV291" s="109">
        <f>IFERROR((BS291*'CALCULO GERAL'!$E$11)/N291,0)</f>
        <v>0.2288664</v>
      </c>
      <c r="AW291" s="109">
        <f>AU291/'CALCULO GERAL'!$C$11</f>
        <v>1.9254152466228334</v>
      </c>
      <c r="AX291" s="109">
        <f>BP291-BB291-BD291*'CALCULO GERAL'!$C$11</f>
        <v>9.0692712276923082</v>
      </c>
      <c r="AY291" s="109">
        <f t="shared" si="111"/>
        <v>5.8950262980000001E-2</v>
      </c>
      <c r="AZ291" s="109">
        <f t="shared" si="112"/>
        <v>0.27207813683076926</v>
      </c>
      <c r="BA291" s="109">
        <f t="shared" si="113"/>
        <v>11.003192307692307</v>
      </c>
      <c r="BB291" s="109">
        <f t="shared" si="114"/>
        <v>0.16504788461538461</v>
      </c>
      <c r="BC291" s="109">
        <f t="shared" si="115"/>
        <v>11.003192307692307</v>
      </c>
      <c r="BD291" s="109">
        <f t="shared" si="116"/>
        <v>0.44012769230769233</v>
      </c>
      <c r="BE291" s="109">
        <f t="shared" si="117"/>
        <v>22886.639999999999</v>
      </c>
      <c r="BF291" s="109">
        <f t="shared" si="118"/>
        <v>34329.96</v>
      </c>
      <c r="BG291" s="109">
        <f t="shared" si="119"/>
        <v>0.123587856</v>
      </c>
      <c r="BH291" s="109">
        <f t="shared" si="120"/>
        <v>0.13731984</v>
      </c>
      <c r="BI291" s="109">
        <f t="shared" si="121"/>
        <v>0</v>
      </c>
      <c r="BJ291" s="109">
        <f t="shared" si="122"/>
        <v>1.4259780727338462</v>
      </c>
      <c r="BK291" s="109">
        <f t="shared" si="123"/>
        <v>11.089637195533847</v>
      </c>
      <c r="BL291" s="148">
        <v>0.86</v>
      </c>
      <c r="BM291" s="112">
        <f>ROUND((AW291/BL291)+((AW291*BL291)*'CALCULO GERAL'!$E$11)/BL291,2)</f>
        <v>2.2799999999999998</v>
      </c>
      <c r="BN291" s="186">
        <f t="shared" si="174"/>
        <v>2.2799999999999998</v>
      </c>
      <c r="BO291" s="186">
        <f t="shared" si="175"/>
        <v>2.6709999999999998</v>
      </c>
      <c r="BP291" s="109">
        <f>BM291*'CALCULO GERAL'!$C$11</f>
        <v>11.44332</v>
      </c>
      <c r="BQ291" s="109">
        <f>BO291*'CALCULO GERAL'!$C$11</f>
        <v>13.405749</v>
      </c>
      <c r="BR291" s="186">
        <f>BN291*'CALCULO GERAL'!$C$11</f>
        <v>11.44332</v>
      </c>
      <c r="BS291" s="109">
        <f t="shared" si="124"/>
        <v>286083</v>
      </c>
      <c r="BT291" s="109">
        <f t="shared" si="125"/>
        <v>286083</v>
      </c>
      <c r="BU291" s="109">
        <f t="shared" si="179"/>
        <v>277240.92988834617</v>
      </c>
      <c r="BV291" s="109">
        <f t="shared" si="176"/>
        <v>8842.0701116538257</v>
      </c>
      <c r="BW291" s="114">
        <f t="shared" si="126"/>
        <v>3.0907359443426648E-2</v>
      </c>
      <c r="BX291" s="152">
        <f t="shared" si="180"/>
        <v>0.86</v>
      </c>
      <c r="BZ291" s="55"/>
      <c r="CA291" s="113"/>
      <c r="CB291" s="113"/>
      <c r="CD291" s="152">
        <f t="shared" si="181"/>
        <v>0</v>
      </c>
      <c r="CE291" s="152">
        <f t="shared" si="177"/>
        <v>1</v>
      </c>
      <c r="CF291" s="152">
        <f t="shared" si="178"/>
        <v>1</v>
      </c>
      <c r="CG291" s="34"/>
      <c r="CI291" s="11"/>
      <c r="CJ291" s="11"/>
    </row>
    <row r="292" spans="1:88" s="152" customFormat="1" x14ac:dyDescent="0.2">
      <c r="A292" s="507" t="s">
        <v>633</v>
      </c>
      <c r="B292" s="508" t="s">
        <v>634</v>
      </c>
      <c r="C292" s="509">
        <v>0.14000000000000001</v>
      </c>
      <c r="D292" s="510">
        <v>0.03</v>
      </c>
      <c r="E292" s="511">
        <v>2.1000000000000001E-2</v>
      </c>
      <c r="F292" s="511">
        <v>9.6500000000000002E-2</v>
      </c>
      <c r="G292" s="512">
        <v>6.4999999999999997E-3</v>
      </c>
      <c r="H292" s="512">
        <v>0.03</v>
      </c>
      <c r="I292" s="512">
        <v>0.18</v>
      </c>
      <c r="J292" s="512">
        <v>0.04</v>
      </c>
      <c r="K292" s="512">
        <v>0.14000000000000001</v>
      </c>
      <c r="L292" s="512">
        <v>1.4999999999999999E-2</v>
      </c>
      <c r="M292" s="513" t="s">
        <v>175</v>
      </c>
      <c r="N292" s="514">
        <v>7000</v>
      </c>
      <c r="O292" s="119"/>
      <c r="P292" s="119"/>
      <c r="Q292" s="119"/>
      <c r="R292" s="119"/>
      <c r="S292" s="119"/>
      <c r="T292" s="119"/>
      <c r="U292" s="119"/>
      <c r="V292" s="119">
        <v>1.07</v>
      </c>
      <c r="W292" s="119"/>
      <c r="X292" s="119">
        <f t="shared" si="103"/>
        <v>1.07</v>
      </c>
      <c r="Y292" s="118">
        <f t="shared" si="104"/>
        <v>1.07</v>
      </c>
      <c r="Z292" s="109">
        <f t="shared" si="102"/>
        <v>7490</v>
      </c>
      <c r="AA292" s="109">
        <f>'CALCULO GERAL'!$G$10</f>
        <v>6300</v>
      </c>
      <c r="AB292" s="109">
        <f t="shared" si="105"/>
        <v>13790</v>
      </c>
      <c r="AC292" s="109">
        <f>AB292*'CALCULO GERAL'!$C$11</f>
        <v>69212.009999999995</v>
      </c>
      <c r="AD292" s="109">
        <f t="shared" si="106"/>
        <v>9689.6813999999995</v>
      </c>
      <c r="AE292" s="109">
        <f t="shared" si="107"/>
        <v>2367.0507419999999</v>
      </c>
      <c r="AF292" s="109">
        <f t="shared" si="108"/>
        <v>1453.4522099999999</v>
      </c>
      <c r="AG292" s="109">
        <f t="shared" si="109"/>
        <v>6678.9589649999998</v>
      </c>
      <c r="AH292" s="109">
        <v>154.22999999999999</v>
      </c>
      <c r="AI292" s="109">
        <f>((AA292*'CALCULO GERAL'!$C$11))*0.08+20</f>
        <v>2549.576</v>
      </c>
      <c r="AJ292" s="109">
        <v>1010</v>
      </c>
      <c r="AK292" s="109">
        <v>2500</v>
      </c>
      <c r="AL292" s="109">
        <f>(AA292*('CALCULO GERAL'!$C$11*1.02))-(AA292*'CALCULO GERAL'!$C$11)</f>
        <v>632.39400000000387</v>
      </c>
      <c r="AM292" s="109">
        <v>1800</v>
      </c>
      <c r="AN292" s="109">
        <v>2600</v>
      </c>
      <c r="AO292" s="109">
        <v>9400</v>
      </c>
      <c r="AP292" s="109">
        <v>1000</v>
      </c>
      <c r="AQ292" s="109">
        <v>0</v>
      </c>
      <c r="AR292" s="109">
        <v>0</v>
      </c>
      <c r="AS292" s="109"/>
      <c r="AT292" s="109">
        <f t="shared" si="173"/>
        <v>111047.353317</v>
      </c>
      <c r="AU292" s="111">
        <f t="shared" si="110"/>
        <v>15.863907616714286</v>
      </c>
      <c r="AV292" s="109">
        <f>IFERROR((BS292*'CALCULO GERAL'!$E$11)/N292,0)</f>
        <v>0.37542120000000001</v>
      </c>
      <c r="AW292" s="109">
        <f>AU292/'CALCULO GERAL'!$C$11</f>
        <v>3.1607705950815475</v>
      </c>
      <c r="AX292" s="109">
        <f>BP292-BB292-BD292*'CALCULO GERAL'!$C$11</f>
        <v>15.753657665825243</v>
      </c>
      <c r="AY292" s="109">
        <f t="shared" si="111"/>
        <v>0.10239877482786407</v>
      </c>
      <c r="AZ292" s="109">
        <f t="shared" si="112"/>
        <v>0.47260972997475725</v>
      </c>
      <c r="BA292" s="109">
        <f t="shared" si="113"/>
        <v>18.224330097087382</v>
      </c>
      <c r="BB292" s="109">
        <f t="shared" si="114"/>
        <v>0.27336495145631073</v>
      </c>
      <c r="BC292" s="109">
        <f t="shared" si="115"/>
        <v>18.224330097087382</v>
      </c>
      <c r="BD292" s="109">
        <f t="shared" si="116"/>
        <v>0.54672990291262147</v>
      </c>
      <c r="BE292" s="109">
        <f t="shared" si="117"/>
        <v>10511.793600000001</v>
      </c>
      <c r="BF292" s="109">
        <f t="shared" si="118"/>
        <v>15767.690400000001</v>
      </c>
      <c r="BG292" s="109">
        <f t="shared" si="119"/>
        <v>0.202727448</v>
      </c>
      <c r="BH292" s="109">
        <f t="shared" si="120"/>
        <v>0.22525272000000002</v>
      </c>
      <c r="BI292" s="109">
        <f t="shared" si="121"/>
        <v>0</v>
      </c>
      <c r="BJ292" s="109">
        <f t="shared" si="122"/>
        <v>2.1985047271715534</v>
      </c>
      <c r="BK292" s="109">
        <f t="shared" si="123"/>
        <v>18.062412343885839</v>
      </c>
      <c r="BL292" s="148">
        <v>0.86</v>
      </c>
      <c r="BM292" s="112">
        <f>ROUND((AW292/BL292)+((AW292*BL292)*'CALCULO GERAL'!$E$11)/BL292,2)</f>
        <v>3.74</v>
      </c>
      <c r="BN292" s="186">
        <f t="shared" si="174"/>
        <v>3.74</v>
      </c>
      <c r="BO292" s="186">
        <f t="shared" si="175"/>
        <v>4.3819999999999997</v>
      </c>
      <c r="BP292" s="109">
        <f>BM292*'CALCULO GERAL'!$C$11</f>
        <v>18.771060000000002</v>
      </c>
      <c r="BQ292" s="109">
        <f>BO292*'CALCULO GERAL'!$C$11</f>
        <v>21.993257999999997</v>
      </c>
      <c r="BR292" s="186">
        <f>BN292*'CALCULO GERAL'!$C$11</f>
        <v>18.771060000000002</v>
      </c>
      <c r="BS292" s="109">
        <f t="shared" si="124"/>
        <v>131397.42000000001</v>
      </c>
      <c r="BT292" s="109">
        <f t="shared" si="125"/>
        <v>131397.42000000001</v>
      </c>
      <c r="BU292" s="109">
        <f t="shared" si="179"/>
        <v>126436.88640720087</v>
      </c>
      <c r="BV292" s="109">
        <f t="shared" si="176"/>
        <v>4960.53359279914</v>
      </c>
      <c r="BW292" s="114">
        <f t="shared" si="126"/>
        <v>3.7752138457506544E-2</v>
      </c>
      <c r="BX292" s="152">
        <f t="shared" si="180"/>
        <v>0.86</v>
      </c>
      <c r="BZ292" s="55"/>
      <c r="CA292" s="113"/>
      <c r="CB292" s="113"/>
      <c r="CD292" s="152">
        <f t="shared" si="181"/>
        <v>0</v>
      </c>
      <c r="CE292" s="152">
        <f t="shared" si="177"/>
        <v>1</v>
      </c>
      <c r="CF292" s="152">
        <f t="shared" si="178"/>
        <v>1</v>
      </c>
      <c r="CG292" s="34"/>
      <c r="CI292" s="11"/>
      <c r="CJ292" s="11"/>
    </row>
    <row r="293" spans="1:88" s="152" customFormat="1" x14ac:dyDescent="0.2">
      <c r="A293" s="507" t="s">
        <v>635</v>
      </c>
      <c r="B293" s="508" t="s">
        <v>634</v>
      </c>
      <c r="C293" s="509">
        <v>0.14000000000000001</v>
      </c>
      <c r="D293" s="510">
        <v>0.03</v>
      </c>
      <c r="E293" s="511">
        <v>2.1000000000000001E-2</v>
      </c>
      <c r="F293" s="511">
        <v>9.6500000000000002E-2</v>
      </c>
      <c r="G293" s="512">
        <v>6.4999999999999997E-3</v>
      </c>
      <c r="H293" s="512">
        <v>0.03</v>
      </c>
      <c r="I293" s="512">
        <v>0.18</v>
      </c>
      <c r="J293" s="512">
        <v>0.04</v>
      </c>
      <c r="K293" s="512">
        <v>0.14000000000000001</v>
      </c>
      <c r="L293" s="512">
        <v>1.4999999999999999E-2</v>
      </c>
      <c r="M293" s="513" t="s">
        <v>175</v>
      </c>
      <c r="N293" s="514">
        <v>7000</v>
      </c>
      <c r="O293" s="119"/>
      <c r="P293" s="119"/>
      <c r="Q293" s="119"/>
      <c r="R293" s="119"/>
      <c r="S293" s="119"/>
      <c r="T293" s="119"/>
      <c r="U293" s="119"/>
      <c r="V293" s="119">
        <v>2.88</v>
      </c>
      <c r="W293" s="119"/>
      <c r="X293" s="119">
        <f t="shared" si="103"/>
        <v>2.88</v>
      </c>
      <c r="Y293" s="118">
        <f>AVERAGE(O293:W293)</f>
        <v>2.88</v>
      </c>
      <c r="Z293" s="109">
        <f>X293*N293</f>
        <v>20160</v>
      </c>
      <c r="AA293" s="109">
        <f>'CALCULO GERAL'!$G$10</f>
        <v>6300</v>
      </c>
      <c r="AB293" s="109">
        <f>Z293+AA293</f>
        <v>26460</v>
      </c>
      <c r="AC293" s="109">
        <f>AB293*'CALCULO GERAL'!$C$11</f>
        <v>132802.74</v>
      </c>
      <c r="AD293" s="109">
        <f>AC293*C293</f>
        <v>18592.383600000001</v>
      </c>
      <c r="AE293" s="109">
        <f>(AC293+AD293)*D293</f>
        <v>4541.8537079999996</v>
      </c>
      <c r="AF293" s="109">
        <f>AC293*E293</f>
        <v>2788.85754</v>
      </c>
      <c r="AG293" s="109">
        <f>AC293*F293</f>
        <v>12815.464409999999</v>
      </c>
      <c r="AH293" s="109">
        <v>154.22999999999999</v>
      </c>
      <c r="AI293" s="109">
        <f>((AA293*'CALCULO GERAL'!$C$11))*0.08+20</f>
        <v>2549.576</v>
      </c>
      <c r="AJ293" s="109">
        <v>1010</v>
      </c>
      <c r="AK293" s="109">
        <v>2500</v>
      </c>
      <c r="AL293" s="109">
        <f>(AA293*('CALCULO GERAL'!$C$11*1.02))-(AA293*'CALCULO GERAL'!$C$11)</f>
        <v>632.39400000000387</v>
      </c>
      <c r="AM293" s="109">
        <v>1800</v>
      </c>
      <c r="AN293" s="109">
        <v>2600</v>
      </c>
      <c r="AO293" s="109">
        <v>9400</v>
      </c>
      <c r="AP293" s="109">
        <v>1000</v>
      </c>
      <c r="AQ293" s="109">
        <v>0</v>
      </c>
      <c r="AR293" s="109">
        <v>0</v>
      </c>
      <c r="AS293" s="109"/>
      <c r="AT293" s="109">
        <f t="shared" si="173"/>
        <v>193187.499258</v>
      </c>
      <c r="AU293" s="111">
        <f t="shared" si="110"/>
        <v>27.598214179714287</v>
      </c>
      <c r="AV293" s="109">
        <f>IFERROR((BS293*'CALCULO GERAL'!$E$11)/N293,0)</f>
        <v>0.65246999999999999</v>
      </c>
      <c r="AW293" s="109">
        <f>AU293/'CALCULO GERAL'!$C$11</f>
        <v>5.4987475950815474</v>
      </c>
      <c r="AX293" s="109">
        <f>BP293-BB293-BD293*'CALCULO GERAL'!$C$11</f>
        <v>27.379351558252431</v>
      </c>
      <c r="AY293" s="109">
        <f t="shared" si="111"/>
        <v>0.17796578512864078</v>
      </c>
      <c r="AZ293" s="109">
        <f t="shared" si="112"/>
        <v>0.82138054674757288</v>
      </c>
      <c r="BA293" s="109">
        <f t="shared" si="113"/>
        <v>31.673300970873786</v>
      </c>
      <c r="BB293" s="109">
        <f t="shared" si="114"/>
        <v>0.47509951456310678</v>
      </c>
      <c r="BC293" s="109">
        <f t="shared" si="115"/>
        <v>31.673300970873786</v>
      </c>
      <c r="BD293" s="109">
        <f t="shared" si="116"/>
        <v>0.95019902912621357</v>
      </c>
      <c r="BE293" s="109">
        <f t="shared" si="117"/>
        <v>18269.16</v>
      </c>
      <c r="BF293" s="109">
        <f t="shared" si="118"/>
        <v>27403.739999999998</v>
      </c>
      <c r="BG293" s="109">
        <f t="shared" si="119"/>
        <v>0.35233379999999997</v>
      </c>
      <c r="BH293" s="109">
        <f t="shared" si="120"/>
        <v>0.391482</v>
      </c>
      <c r="BI293" s="109">
        <f t="shared" si="121"/>
        <v>0</v>
      </c>
      <c r="BJ293" s="109">
        <f t="shared" si="122"/>
        <v>3.8209306755655335</v>
      </c>
      <c r="BK293" s="109">
        <f t="shared" si="123"/>
        <v>31.419144855279821</v>
      </c>
      <c r="BL293" s="148">
        <v>0.86</v>
      </c>
      <c r="BM293" s="112">
        <f>ROUND((AW293/BL293)+((AW293*BL293)*'CALCULO GERAL'!$E$11)/BL293,2)</f>
        <v>6.5</v>
      </c>
      <c r="BN293" s="186">
        <f t="shared" si="174"/>
        <v>6.5</v>
      </c>
      <c r="BO293" s="186">
        <f t="shared" si="175"/>
        <v>7.6159999999999997</v>
      </c>
      <c r="BP293" s="109">
        <f>BM293*'CALCULO GERAL'!$C$11</f>
        <v>32.6235</v>
      </c>
      <c r="BQ293" s="109">
        <f>BO293*'CALCULO GERAL'!$C$11</f>
        <v>38.224704000000003</v>
      </c>
      <c r="BR293" s="186">
        <f>BN293*'CALCULO GERAL'!$C$11</f>
        <v>32.6235</v>
      </c>
      <c r="BS293" s="109">
        <f t="shared" si="124"/>
        <v>228364.5</v>
      </c>
      <c r="BT293" s="109">
        <f t="shared" si="125"/>
        <v>228364.5</v>
      </c>
      <c r="BU293" s="109">
        <f t="shared" si="179"/>
        <v>219934.01398695874</v>
      </c>
      <c r="BV293" s="109">
        <f t="shared" si="176"/>
        <v>8430.4860130412562</v>
      </c>
      <c r="BW293" s="114">
        <f t="shared" si="126"/>
        <v>3.6916797545333259E-2</v>
      </c>
      <c r="BX293" s="152">
        <f>ROUND(BL293,2)</f>
        <v>0.86</v>
      </c>
      <c r="BZ293" s="55"/>
      <c r="CA293" s="113"/>
      <c r="CB293" s="113"/>
      <c r="CD293" s="152">
        <f>CB293/BX293</f>
        <v>0</v>
      </c>
      <c r="CE293" s="152">
        <f>100%-CD293</f>
        <v>1</v>
      </c>
      <c r="CF293" s="152">
        <f>AVERAGE(CE293,CC293)</f>
        <v>1</v>
      </c>
      <c r="CG293" s="34"/>
      <c r="CI293" s="11"/>
      <c r="CJ293" s="11"/>
    </row>
    <row r="294" spans="1:88" s="152" customFormat="1" x14ac:dyDescent="0.2">
      <c r="A294" s="507" t="s">
        <v>636</v>
      </c>
      <c r="B294" s="508" t="s">
        <v>634</v>
      </c>
      <c r="C294" s="509">
        <v>0.14000000000000001</v>
      </c>
      <c r="D294" s="510">
        <v>0.03</v>
      </c>
      <c r="E294" s="511">
        <v>2.1000000000000001E-2</v>
      </c>
      <c r="F294" s="511">
        <v>9.6500000000000002E-2</v>
      </c>
      <c r="G294" s="512">
        <v>6.4999999999999997E-3</v>
      </c>
      <c r="H294" s="512">
        <v>0.03</v>
      </c>
      <c r="I294" s="512">
        <v>0.18</v>
      </c>
      <c r="J294" s="512">
        <v>0.04</v>
      </c>
      <c r="K294" s="512">
        <v>0.14000000000000001</v>
      </c>
      <c r="L294" s="512">
        <v>1.4999999999999999E-2</v>
      </c>
      <c r="M294" s="513" t="s">
        <v>175</v>
      </c>
      <c r="N294" s="514">
        <v>7000</v>
      </c>
      <c r="O294" s="119"/>
      <c r="P294" s="119"/>
      <c r="Q294" s="119"/>
      <c r="R294" s="119"/>
      <c r="S294" s="119"/>
      <c r="T294" s="119"/>
      <c r="U294" s="119"/>
      <c r="V294" s="119">
        <v>2.66</v>
      </c>
      <c r="W294" s="119"/>
      <c r="X294" s="119">
        <f t="shared" si="103"/>
        <v>2.66</v>
      </c>
      <c r="Y294" s="118">
        <f>AVERAGE(O294:W294)</f>
        <v>2.66</v>
      </c>
      <c r="Z294" s="109">
        <f>X294*N294</f>
        <v>18620</v>
      </c>
      <c r="AA294" s="109">
        <f>'CALCULO GERAL'!$G$10</f>
        <v>6300</v>
      </c>
      <c r="AB294" s="109">
        <f>Z294+AA294</f>
        <v>24920</v>
      </c>
      <c r="AC294" s="109">
        <f>AB294*'CALCULO GERAL'!$C$11</f>
        <v>125073.48</v>
      </c>
      <c r="AD294" s="109">
        <f>AC294*C294</f>
        <v>17510.287200000002</v>
      </c>
      <c r="AE294" s="109">
        <f>(AC294+AD294)*D294</f>
        <v>4277.5130159999999</v>
      </c>
      <c r="AF294" s="109">
        <f>AC294*E294</f>
        <v>2626.5430799999999</v>
      </c>
      <c r="AG294" s="109">
        <f>AC294*F294</f>
        <v>12069.590819999999</v>
      </c>
      <c r="AH294" s="109">
        <v>154.22999999999999</v>
      </c>
      <c r="AI294" s="109">
        <f>((AA294*'CALCULO GERAL'!$C$11))*0.08+20</f>
        <v>2549.576</v>
      </c>
      <c r="AJ294" s="109">
        <v>1010</v>
      </c>
      <c r="AK294" s="109">
        <v>2500</v>
      </c>
      <c r="AL294" s="109">
        <f>(AA294*('CALCULO GERAL'!$C$11*1.02))-(AA294*'CALCULO GERAL'!$C$11)</f>
        <v>632.39400000000387</v>
      </c>
      <c r="AM294" s="109">
        <v>1800</v>
      </c>
      <c r="AN294" s="109">
        <v>2600</v>
      </c>
      <c r="AO294" s="109">
        <v>9400</v>
      </c>
      <c r="AP294" s="109">
        <v>1000</v>
      </c>
      <c r="AQ294" s="109">
        <v>0</v>
      </c>
      <c r="AR294" s="109">
        <v>0</v>
      </c>
      <c r="AS294" s="109"/>
      <c r="AT294" s="109">
        <f t="shared" si="173"/>
        <v>183203.61411600004</v>
      </c>
      <c r="AU294" s="111">
        <f t="shared" si="110"/>
        <v>26.171944873714292</v>
      </c>
      <c r="AV294" s="109">
        <f>IFERROR((BS294*'CALCULO GERAL'!$E$11)/N294,0)</f>
        <v>0.61934460000000013</v>
      </c>
      <c r="AW294" s="109">
        <f>AU294/'CALCULO GERAL'!$C$11</f>
        <v>5.2145735950815482</v>
      </c>
      <c r="AX294" s="109">
        <f>BP294-BB294-BD294*'CALCULO GERAL'!$C$11</f>
        <v>25.989322940679614</v>
      </c>
      <c r="AY294" s="109">
        <f t="shared" si="111"/>
        <v>0.16893059911441749</v>
      </c>
      <c r="AZ294" s="109">
        <f t="shared" si="112"/>
        <v>0.77967968822038836</v>
      </c>
      <c r="BA294" s="109">
        <f t="shared" si="113"/>
        <v>30.065271844660195</v>
      </c>
      <c r="BB294" s="109">
        <f t="shared" si="114"/>
        <v>0.45097907766990292</v>
      </c>
      <c r="BC294" s="109">
        <f t="shared" si="115"/>
        <v>30.065271844660195</v>
      </c>
      <c r="BD294" s="109">
        <f t="shared" si="116"/>
        <v>0.90195815533980583</v>
      </c>
      <c r="BE294" s="109">
        <f t="shared" si="117"/>
        <v>17341.648800000003</v>
      </c>
      <c r="BF294" s="109">
        <f t="shared" si="118"/>
        <v>26012.4732</v>
      </c>
      <c r="BG294" s="109">
        <f t="shared" si="119"/>
        <v>0.33444608399999998</v>
      </c>
      <c r="BH294" s="109">
        <f t="shared" si="120"/>
        <v>0.37160676000000004</v>
      </c>
      <c r="BI294" s="109">
        <f t="shared" si="121"/>
        <v>0</v>
      </c>
      <c r="BJ294" s="109">
        <f t="shared" si="122"/>
        <v>3.6269449643445153</v>
      </c>
      <c r="BK294" s="109">
        <f t="shared" si="123"/>
        <v>29.798889838058805</v>
      </c>
      <c r="BL294" s="148">
        <v>0.86</v>
      </c>
      <c r="BM294" s="112">
        <f>ROUND((AW294/BL294)+((AW294*BL294)*'CALCULO GERAL'!$E$11)/BL294,2)</f>
        <v>6.17</v>
      </c>
      <c r="BN294" s="186">
        <f t="shared" si="174"/>
        <v>6.17</v>
      </c>
      <c r="BO294" s="186">
        <f t="shared" si="175"/>
        <v>7.2290000000000001</v>
      </c>
      <c r="BP294" s="109">
        <f>BM294*'CALCULO GERAL'!$C$11</f>
        <v>30.967230000000001</v>
      </c>
      <c r="BQ294" s="109">
        <f>BO294*'CALCULO GERAL'!$C$11</f>
        <v>36.282350999999998</v>
      </c>
      <c r="BR294" s="186">
        <f>BN294*'CALCULO GERAL'!$C$11</f>
        <v>30.967230000000001</v>
      </c>
      <c r="BS294" s="109">
        <f t="shared" si="124"/>
        <v>216770.61000000002</v>
      </c>
      <c r="BT294" s="109">
        <f t="shared" si="125"/>
        <v>216770.61000000002</v>
      </c>
      <c r="BU294" s="109">
        <f t="shared" si="179"/>
        <v>208592.22886641163</v>
      </c>
      <c r="BV294" s="109">
        <f t="shared" si="176"/>
        <v>8178.3811335883802</v>
      </c>
      <c r="BW294" s="114">
        <f t="shared" si="126"/>
        <v>3.7728274758226585E-2</v>
      </c>
      <c r="BX294" s="152">
        <f>ROUND(BL294,2)</f>
        <v>0.86</v>
      </c>
      <c r="BZ294" s="55"/>
      <c r="CA294" s="113"/>
      <c r="CB294" s="113"/>
      <c r="CD294" s="152">
        <f>CB294/BX294</f>
        <v>0</v>
      </c>
      <c r="CE294" s="152">
        <f>100%-CD294</f>
        <v>1</v>
      </c>
      <c r="CF294" s="152">
        <f>AVERAGE(CE294,CC294)</f>
        <v>1</v>
      </c>
      <c r="CG294" s="34"/>
      <c r="CI294" s="11"/>
      <c r="CJ294" s="11"/>
    </row>
    <row r="295" spans="1:88" s="152" customFormat="1" x14ac:dyDescent="0.2">
      <c r="A295" s="507" t="s">
        <v>637</v>
      </c>
      <c r="B295" s="508" t="s">
        <v>634</v>
      </c>
      <c r="C295" s="509">
        <v>0.14000000000000001</v>
      </c>
      <c r="D295" s="510">
        <v>0.03</v>
      </c>
      <c r="E295" s="511">
        <v>2.1000000000000001E-2</v>
      </c>
      <c r="F295" s="511">
        <v>9.6500000000000002E-2</v>
      </c>
      <c r="G295" s="512">
        <v>6.4999999999999997E-3</v>
      </c>
      <c r="H295" s="512">
        <v>0.03</v>
      </c>
      <c r="I295" s="512">
        <v>0.18</v>
      </c>
      <c r="J295" s="512">
        <v>0.04</v>
      </c>
      <c r="K295" s="512">
        <v>0.14000000000000001</v>
      </c>
      <c r="L295" s="512">
        <v>1.4999999999999999E-2</v>
      </c>
      <c r="M295" s="513" t="s">
        <v>175</v>
      </c>
      <c r="N295" s="514">
        <v>7000</v>
      </c>
      <c r="O295" s="119"/>
      <c r="P295" s="119"/>
      <c r="Q295" s="119"/>
      <c r="R295" s="119"/>
      <c r="S295" s="119"/>
      <c r="T295" s="119"/>
      <c r="U295" s="119"/>
      <c r="V295" s="119">
        <v>2.68</v>
      </c>
      <c r="W295" s="119"/>
      <c r="X295" s="119">
        <f t="shared" si="103"/>
        <v>2.68</v>
      </c>
      <c r="Y295" s="118">
        <f>AVERAGE(O295:W295)</f>
        <v>2.68</v>
      </c>
      <c r="Z295" s="109">
        <f>X295*N295</f>
        <v>18760</v>
      </c>
      <c r="AA295" s="109">
        <f>'CALCULO GERAL'!$G$10</f>
        <v>6300</v>
      </c>
      <c r="AB295" s="109">
        <f>Z295+AA295</f>
        <v>25060</v>
      </c>
      <c r="AC295" s="109">
        <f>AB295*'CALCULO GERAL'!$C$11</f>
        <v>125776.14</v>
      </c>
      <c r="AD295" s="109">
        <f>AC295*C295</f>
        <v>17608.659600000003</v>
      </c>
      <c r="AE295" s="109">
        <f>(AC295+AD295)*D295</f>
        <v>4301.5439879999994</v>
      </c>
      <c r="AF295" s="109">
        <f>AC295*E295</f>
        <v>2641.2989400000001</v>
      </c>
      <c r="AG295" s="109">
        <f>AC295*F295</f>
        <v>12137.397510000001</v>
      </c>
      <c r="AH295" s="109">
        <v>154.22999999999999</v>
      </c>
      <c r="AI295" s="109">
        <f>((AA295*'CALCULO GERAL'!$C$11))*0.08+20</f>
        <v>2549.576</v>
      </c>
      <c r="AJ295" s="109">
        <v>1010</v>
      </c>
      <c r="AK295" s="109">
        <v>2500</v>
      </c>
      <c r="AL295" s="109">
        <f>(AA295*('CALCULO GERAL'!$C$11*1.02))-(AA295*'CALCULO GERAL'!$C$11)</f>
        <v>632.39400000000387</v>
      </c>
      <c r="AM295" s="109">
        <v>1800</v>
      </c>
      <c r="AN295" s="109">
        <v>2600</v>
      </c>
      <c r="AO295" s="109">
        <v>9400</v>
      </c>
      <c r="AP295" s="109">
        <v>1000</v>
      </c>
      <c r="AQ295" s="109">
        <v>0</v>
      </c>
      <c r="AR295" s="109">
        <v>0</v>
      </c>
      <c r="AS295" s="109"/>
      <c r="AT295" s="109">
        <f t="shared" si="173"/>
        <v>184111.24003800002</v>
      </c>
      <c r="AU295" s="111">
        <f t="shared" si="110"/>
        <v>26.301605719714289</v>
      </c>
      <c r="AV295" s="109">
        <f>IFERROR((BS295*'CALCULO GERAL'!$E$11)/N295,0)</f>
        <v>0.62235600000000002</v>
      </c>
      <c r="AW295" s="109">
        <f>AU295/'CALCULO GERAL'!$C$11</f>
        <v>5.2404075950815479</v>
      </c>
      <c r="AX295" s="109">
        <f>BP295-BB295-BD295*'CALCULO GERAL'!$C$11</f>
        <v>26.115689178640778</v>
      </c>
      <c r="AY295" s="109">
        <f t="shared" si="111"/>
        <v>0.16975197966116506</v>
      </c>
      <c r="AZ295" s="109">
        <f t="shared" si="112"/>
        <v>0.78347067535922332</v>
      </c>
      <c r="BA295" s="109">
        <f t="shared" si="113"/>
        <v>30.211456310679615</v>
      </c>
      <c r="BB295" s="109">
        <f t="shared" si="114"/>
        <v>0.45317184466019422</v>
      </c>
      <c r="BC295" s="109">
        <f t="shared" si="115"/>
        <v>30.211456310679612</v>
      </c>
      <c r="BD295" s="109">
        <f t="shared" si="116"/>
        <v>0.90634368932038833</v>
      </c>
      <c r="BE295" s="109">
        <f t="shared" si="117"/>
        <v>17425.968000000001</v>
      </c>
      <c r="BF295" s="109">
        <f t="shared" si="118"/>
        <v>26138.952000000001</v>
      </c>
      <c r="BG295" s="109">
        <f t="shared" si="119"/>
        <v>0.33607224000000002</v>
      </c>
      <c r="BH295" s="109">
        <f t="shared" si="120"/>
        <v>0.37341360000000001</v>
      </c>
      <c r="BI295" s="109">
        <f t="shared" si="121"/>
        <v>0</v>
      </c>
      <c r="BJ295" s="109">
        <f t="shared" si="122"/>
        <v>3.6445800290009713</v>
      </c>
      <c r="BK295" s="109">
        <f t="shared" si="123"/>
        <v>29.946185748715259</v>
      </c>
      <c r="BL295" s="148">
        <v>0.86</v>
      </c>
      <c r="BM295" s="112">
        <f>ROUND((AW295/BL295)+((AW295*BL295)*'CALCULO GERAL'!$E$11)/BL295,2)</f>
        <v>6.2</v>
      </c>
      <c r="BN295" s="186">
        <f t="shared" si="174"/>
        <v>6.2</v>
      </c>
      <c r="BO295" s="186">
        <f t="shared" si="175"/>
        <v>7.2640000000000002</v>
      </c>
      <c r="BP295" s="109">
        <f>BM295*'CALCULO GERAL'!$C$11</f>
        <v>31.117800000000003</v>
      </c>
      <c r="BQ295" s="109">
        <f>BO295*'CALCULO GERAL'!$C$11</f>
        <v>36.458016000000001</v>
      </c>
      <c r="BR295" s="186">
        <f>BN295*'CALCULO GERAL'!$C$11</f>
        <v>31.117800000000003</v>
      </c>
      <c r="BS295" s="109">
        <f t="shared" si="124"/>
        <v>217824.6</v>
      </c>
      <c r="BT295" s="109">
        <f t="shared" si="125"/>
        <v>217824.6</v>
      </c>
      <c r="BU295" s="109">
        <f t="shared" si="179"/>
        <v>209623.3002410068</v>
      </c>
      <c r="BV295" s="109">
        <f t="shared" si="176"/>
        <v>8201.2997589932056</v>
      </c>
      <c r="BW295" s="114">
        <f t="shared" si="126"/>
        <v>3.7650934554651794E-2</v>
      </c>
      <c r="BX295" s="152">
        <f>ROUND(BL295,2)</f>
        <v>0.86</v>
      </c>
      <c r="BZ295" s="55"/>
      <c r="CA295" s="113"/>
      <c r="CB295" s="113"/>
      <c r="CD295" s="152">
        <f>CB295/BX295</f>
        <v>0</v>
      </c>
      <c r="CE295" s="152">
        <f>100%-CD295</f>
        <v>1</v>
      </c>
      <c r="CF295" s="152">
        <f>AVERAGE(CE295,CC295)</f>
        <v>1</v>
      </c>
      <c r="CG295" s="34"/>
      <c r="CI295" s="11"/>
      <c r="CJ295" s="11"/>
    </row>
    <row r="296" spans="1:88" s="152" customFormat="1" x14ac:dyDescent="0.2">
      <c r="A296" s="507" t="s">
        <v>638</v>
      </c>
      <c r="B296" s="508" t="s">
        <v>639</v>
      </c>
      <c r="C296" s="509">
        <v>0.16</v>
      </c>
      <c r="D296" s="510">
        <v>0.04</v>
      </c>
      <c r="E296" s="511">
        <v>2.1000000000000001E-2</v>
      </c>
      <c r="F296" s="511">
        <v>9.6500000000000002E-2</v>
      </c>
      <c r="G296" s="512">
        <v>6.4999999999999997E-3</v>
      </c>
      <c r="H296" s="512">
        <v>0.03</v>
      </c>
      <c r="I296" s="512">
        <v>0.18</v>
      </c>
      <c r="J296" s="512">
        <v>0.04</v>
      </c>
      <c r="K296" s="512">
        <v>0.14000000000000001</v>
      </c>
      <c r="L296" s="512">
        <v>1.4999999999999999E-2</v>
      </c>
      <c r="M296" s="513" t="s">
        <v>175</v>
      </c>
      <c r="N296" s="514">
        <v>56000</v>
      </c>
      <c r="O296" s="119"/>
      <c r="P296" s="119"/>
      <c r="Q296" s="119"/>
      <c r="R296" s="119"/>
      <c r="S296" s="119"/>
      <c r="T296" s="119"/>
      <c r="U296" s="119"/>
      <c r="V296" s="119">
        <v>3.68</v>
      </c>
      <c r="W296" s="119"/>
      <c r="X296" s="119">
        <f t="shared" si="103"/>
        <v>3.68</v>
      </c>
      <c r="Y296" s="118">
        <f>AVERAGE(O296:W296)</f>
        <v>3.68</v>
      </c>
      <c r="Z296" s="109">
        <f>X296*N296</f>
        <v>206080</v>
      </c>
      <c r="AA296" s="109">
        <f>'CALCULO GERAL'!$G$10</f>
        <v>6300</v>
      </c>
      <c r="AB296" s="109">
        <f>Z296+AA296</f>
        <v>212380</v>
      </c>
      <c r="AC296" s="109">
        <f>AB296*'CALCULO GERAL'!$C$11</f>
        <v>1065935.22</v>
      </c>
      <c r="AD296" s="109">
        <f>AC296*C296</f>
        <v>170549.63519999999</v>
      </c>
      <c r="AE296" s="109">
        <f>(AC296+AD296)*D296</f>
        <v>49459.394207999998</v>
      </c>
      <c r="AF296" s="109">
        <f>AC296*E296</f>
        <v>22384.639620000002</v>
      </c>
      <c r="AG296" s="109">
        <f>AC296*F296</f>
        <v>102862.74873000001</v>
      </c>
      <c r="AH296" s="109">
        <v>154.22999999999999</v>
      </c>
      <c r="AI296" s="109">
        <f>((AA296*'CALCULO GERAL'!$C$11))*0.08+20</f>
        <v>2549.576</v>
      </c>
      <c r="AJ296" s="109">
        <v>1010</v>
      </c>
      <c r="AK296" s="109">
        <v>2500</v>
      </c>
      <c r="AL296" s="109">
        <f>(AA296*('CALCULO GERAL'!$C$11*1.02))-(AA296*'CALCULO GERAL'!$C$11)</f>
        <v>632.39400000000387</v>
      </c>
      <c r="AM296" s="109">
        <v>1800</v>
      </c>
      <c r="AN296" s="109">
        <v>2600</v>
      </c>
      <c r="AO296" s="109">
        <v>9400</v>
      </c>
      <c r="AP296" s="109">
        <v>1000</v>
      </c>
      <c r="AQ296" s="109">
        <v>0</v>
      </c>
      <c r="AR296" s="109">
        <v>0</v>
      </c>
      <c r="AS296" s="109"/>
      <c r="AT296" s="109">
        <f t="shared" si="173"/>
        <v>1432837.837758</v>
      </c>
      <c r="AU296" s="111">
        <f t="shared" si="110"/>
        <v>25.586389959964286</v>
      </c>
      <c r="AV296" s="109">
        <f>IFERROR((BS296*'CALCULO GERAL'!$E$11)/N296,0)</f>
        <v>0.60529140000000003</v>
      </c>
      <c r="AW296" s="109">
        <f>AU296/'CALCULO GERAL'!$C$11</f>
        <v>5.0979059493851935</v>
      </c>
      <c r="AX296" s="109">
        <f>BP296-BB296-BD296*'CALCULO GERAL'!$C$11</f>
        <v>23.98583574692308</v>
      </c>
      <c r="AY296" s="109">
        <f t="shared" si="111"/>
        <v>0.155907932355</v>
      </c>
      <c r="AZ296" s="109">
        <f t="shared" si="112"/>
        <v>0.71957507240769236</v>
      </c>
      <c r="BA296" s="109">
        <f t="shared" si="113"/>
        <v>29.100548076923079</v>
      </c>
      <c r="BB296" s="109">
        <f t="shared" si="114"/>
        <v>0.43650822115384619</v>
      </c>
      <c r="BC296" s="109">
        <f t="shared" si="115"/>
        <v>29.100548076923079</v>
      </c>
      <c r="BD296" s="109">
        <f t="shared" si="116"/>
        <v>1.1640219230769231</v>
      </c>
      <c r="BE296" s="109">
        <f t="shared" si="117"/>
        <v>135585.27360000001</v>
      </c>
      <c r="BF296" s="109">
        <f t="shared" si="118"/>
        <v>203377.91040000002</v>
      </c>
      <c r="BG296" s="109">
        <f t="shared" si="119"/>
        <v>0.32685735600000004</v>
      </c>
      <c r="BH296" s="109">
        <f t="shared" si="120"/>
        <v>0.36317484</v>
      </c>
      <c r="BI296" s="109">
        <f t="shared" si="121"/>
        <v>-0.13497372071428576</v>
      </c>
      <c r="BJ296" s="109">
        <f t="shared" si="122"/>
        <v>3.6363630242791762</v>
      </c>
      <c r="BK296" s="109">
        <f t="shared" si="123"/>
        <v>29.222752984243463</v>
      </c>
      <c r="BL296" s="148">
        <v>0.86</v>
      </c>
      <c r="BM296" s="112">
        <f>ROUND((AW296/BL296)+((AW296*BL296)*'CALCULO GERAL'!$E$11)/BL296,2)</f>
        <v>6.03</v>
      </c>
      <c r="BN296" s="186">
        <f t="shared" si="174"/>
        <v>6.03</v>
      </c>
      <c r="BO296" s="186">
        <f t="shared" si="175"/>
        <v>7.0650000000000004</v>
      </c>
      <c r="BP296" s="109">
        <f>BM296*'CALCULO GERAL'!$C$11</f>
        <v>30.264570000000003</v>
      </c>
      <c r="BQ296" s="109">
        <f>BO296*'CALCULO GERAL'!$C$11</f>
        <v>35.459235</v>
      </c>
      <c r="BR296" s="186">
        <f>BN296*'CALCULO GERAL'!$C$11</f>
        <v>30.264570000000003</v>
      </c>
      <c r="BS296" s="109">
        <f t="shared" si="124"/>
        <v>1694815.9200000002</v>
      </c>
      <c r="BT296" s="109">
        <f t="shared" si="125"/>
        <v>1694815.9200000002</v>
      </c>
      <c r="BU296" s="109">
        <f t="shared" si="179"/>
        <v>1636474.1671176339</v>
      </c>
      <c r="BV296" s="109">
        <f t="shared" si="176"/>
        <v>58341.752882366301</v>
      </c>
      <c r="BW296" s="114">
        <f t="shared" si="126"/>
        <v>3.4423651674434529E-2</v>
      </c>
      <c r="BX296" s="152">
        <f>ROUND(BL296,2)</f>
        <v>0.86</v>
      </c>
      <c r="BZ296" s="55"/>
      <c r="CA296" s="113"/>
      <c r="CB296" s="113"/>
      <c r="CD296" s="152">
        <f>CB296/BX296</f>
        <v>0</v>
      </c>
      <c r="CE296" s="152">
        <f>100%-CD296</f>
        <v>1</v>
      </c>
      <c r="CF296" s="152">
        <f>AVERAGE(CE296,CC296)</f>
        <v>1</v>
      </c>
      <c r="CG296" s="34"/>
      <c r="CI296" s="11"/>
      <c r="CJ296" s="11"/>
    </row>
    <row r="297" spans="1:88" s="152" customFormat="1" x14ac:dyDescent="0.2">
      <c r="A297" s="507" t="s">
        <v>640</v>
      </c>
      <c r="B297" s="508" t="s">
        <v>634</v>
      </c>
      <c r="C297" s="509">
        <v>0.14000000000000001</v>
      </c>
      <c r="D297" s="510">
        <v>0.03</v>
      </c>
      <c r="E297" s="511">
        <v>2.1000000000000001E-2</v>
      </c>
      <c r="F297" s="511">
        <v>9.6500000000000002E-2</v>
      </c>
      <c r="G297" s="512">
        <v>6.4999999999999997E-3</v>
      </c>
      <c r="H297" s="512">
        <v>0.03</v>
      </c>
      <c r="I297" s="512">
        <v>0.18</v>
      </c>
      <c r="J297" s="512">
        <v>0.04</v>
      </c>
      <c r="K297" s="512">
        <v>0.14000000000000001</v>
      </c>
      <c r="L297" s="512">
        <v>1.4999999999999999E-2</v>
      </c>
      <c r="M297" s="513" t="s">
        <v>175</v>
      </c>
      <c r="N297" s="514">
        <v>12000</v>
      </c>
      <c r="O297" s="119"/>
      <c r="P297" s="119"/>
      <c r="Q297" s="119"/>
      <c r="R297" s="119"/>
      <c r="S297" s="119"/>
      <c r="T297" s="119"/>
      <c r="U297" s="119"/>
      <c r="V297" s="119">
        <v>0.61</v>
      </c>
      <c r="W297" s="119"/>
      <c r="X297" s="119">
        <f t="shared" si="103"/>
        <v>0.61</v>
      </c>
      <c r="Y297" s="118">
        <f>AVERAGE(O297:W297)</f>
        <v>0.61</v>
      </c>
      <c r="Z297" s="109">
        <f>X297*N293</f>
        <v>4270</v>
      </c>
      <c r="AA297" s="109">
        <f>'CALCULO GERAL'!$G$10</f>
        <v>6300</v>
      </c>
      <c r="AB297" s="109">
        <f>Z297+AA297</f>
        <v>10570</v>
      </c>
      <c r="AC297" s="109">
        <f>AB297*'CALCULO GERAL'!$C$11</f>
        <v>53050.83</v>
      </c>
      <c r="AD297" s="109">
        <f>AC297*C297</f>
        <v>7427.1162000000013</v>
      </c>
      <c r="AE297" s="109">
        <f>(AC297+AD297)*D297</f>
        <v>1814.3383860000001</v>
      </c>
      <c r="AF297" s="109">
        <f>AC297*E297</f>
        <v>1114.0674300000001</v>
      </c>
      <c r="AG297" s="109">
        <f>AC297*F297</f>
        <v>5119.4050950000001</v>
      </c>
      <c r="AH297" s="109">
        <v>154.22999999999999</v>
      </c>
      <c r="AI297" s="109">
        <f>((AA297*'CALCULO GERAL'!$C$11))*0.08+20</f>
        <v>2549.576</v>
      </c>
      <c r="AJ297" s="109">
        <v>1010</v>
      </c>
      <c r="AK297" s="109">
        <v>2500</v>
      </c>
      <c r="AL297" s="109">
        <f>(AA297*('CALCULO GERAL'!$C$11*1.02))-(AA297*'CALCULO GERAL'!$C$11)</f>
        <v>632.39400000000387</v>
      </c>
      <c r="AM297" s="109">
        <v>1800</v>
      </c>
      <c r="AN297" s="109">
        <v>2600</v>
      </c>
      <c r="AO297" s="109">
        <v>9400</v>
      </c>
      <c r="AP297" s="109">
        <v>1000</v>
      </c>
      <c r="AQ297" s="109">
        <v>0</v>
      </c>
      <c r="AR297" s="109">
        <v>0</v>
      </c>
      <c r="AS297" s="109"/>
      <c r="AT297" s="109">
        <f t="shared" si="173"/>
        <v>90171.957111000011</v>
      </c>
      <c r="AU297" s="111">
        <f t="shared" si="110"/>
        <v>7.5143297592500007</v>
      </c>
      <c r="AV297" s="109">
        <f>IFERROR((BS297*'CALCULO GERAL'!$E$11)/N297,0)</f>
        <v>0.17767259999999999</v>
      </c>
      <c r="AW297" s="109">
        <f>AU297/'CALCULO GERAL'!$C$11</f>
        <v>1.4971766804642359</v>
      </c>
      <c r="AX297" s="109">
        <f>BP297-BB297-BD297*'CALCULO GERAL'!$C$11</f>
        <v>7.4556080397087383</v>
      </c>
      <c r="AY297" s="109">
        <f t="shared" si="111"/>
        <v>4.8461452258106795E-2</v>
      </c>
      <c r="AZ297" s="109">
        <f t="shared" si="112"/>
        <v>0.22366824119126213</v>
      </c>
      <c r="BA297" s="109">
        <f t="shared" si="113"/>
        <v>8.6248834951456317</v>
      </c>
      <c r="BB297" s="109">
        <f t="shared" si="114"/>
        <v>0.12937325242718448</v>
      </c>
      <c r="BC297" s="109">
        <f t="shared" si="115"/>
        <v>8.6248834951456317</v>
      </c>
      <c r="BD297" s="109">
        <f t="shared" si="116"/>
        <v>0.25874650485436895</v>
      </c>
      <c r="BE297" s="109">
        <f t="shared" si="117"/>
        <v>8528.2847999999994</v>
      </c>
      <c r="BF297" s="109">
        <f t="shared" si="118"/>
        <v>12792.4272</v>
      </c>
      <c r="BG297" s="109">
        <f t="shared" si="119"/>
        <v>9.5943204000000004E-2</v>
      </c>
      <c r="BH297" s="109">
        <f t="shared" si="120"/>
        <v>0.10660356</v>
      </c>
      <c r="BI297" s="109">
        <f t="shared" si="121"/>
        <v>0</v>
      </c>
      <c r="BJ297" s="109">
        <f t="shared" si="122"/>
        <v>1.0404688147309225</v>
      </c>
      <c r="BK297" s="109">
        <f t="shared" si="123"/>
        <v>8.5547985739809231</v>
      </c>
      <c r="BL297" s="148">
        <v>0.86</v>
      </c>
      <c r="BM297" s="112">
        <f>ROUND((AW297/BL297)+((AW297*BL297)*'CALCULO GERAL'!$E$11)/BL297,2)</f>
        <v>1.77</v>
      </c>
      <c r="BN297" s="186">
        <f t="shared" si="174"/>
        <v>1.77</v>
      </c>
      <c r="BO297" s="186">
        <f t="shared" si="175"/>
        <v>2.0739999999999998</v>
      </c>
      <c r="BP297" s="109">
        <f>BM297*'CALCULO GERAL'!$C$11</f>
        <v>8.8836300000000001</v>
      </c>
      <c r="BQ297" s="109">
        <f>BO297*'CALCULO GERAL'!$C$11</f>
        <v>10.409405999999999</v>
      </c>
      <c r="BR297" s="186">
        <f>BN297*'CALCULO GERAL'!$C$11</f>
        <v>8.8836300000000001</v>
      </c>
      <c r="BS297" s="109">
        <f t="shared" si="124"/>
        <v>106603.56</v>
      </c>
      <c r="BT297" s="109">
        <f t="shared" si="125"/>
        <v>106603.56</v>
      </c>
      <c r="BU297" s="109">
        <f t="shared" si="179"/>
        <v>102657.58288777107</v>
      </c>
      <c r="BV297" s="109">
        <f t="shared" si="176"/>
        <v>3945.9771122289239</v>
      </c>
      <c r="BW297" s="114">
        <f t="shared" si="126"/>
        <v>3.7015434683690902E-2</v>
      </c>
      <c r="BX297" s="152">
        <f>ROUND(BL297,2)</f>
        <v>0.86</v>
      </c>
      <c r="BZ297" s="55"/>
      <c r="CA297" s="113"/>
      <c r="CB297" s="113"/>
      <c r="CD297" s="152">
        <f>CB297/BX297</f>
        <v>0</v>
      </c>
      <c r="CE297" s="152">
        <f>100%-CD297</f>
        <v>1</v>
      </c>
      <c r="CF297" s="152">
        <f>AVERAGE(CE297,CC297)</f>
        <v>1</v>
      </c>
      <c r="CG297" s="34"/>
      <c r="CI297" s="11"/>
      <c r="CJ297" s="11"/>
    </row>
    <row r="298" spans="1:88" s="152" customFormat="1" x14ac:dyDescent="0.2">
      <c r="A298" s="507" t="s">
        <v>641</v>
      </c>
      <c r="B298" s="508" t="s">
        <v>268</v>
      </c>
      <c r="C298" s="509">
        <v>0.13</v>
      </c>
      <c r="D298" s="510">
        <v>0</v>
      </c>
      <c r="E298" s="511">
        <v>2.1000000000000001E-2</v>
      </c>
      <c r="F298" s="511">
        <v>0.1065</v>
      </c>
      <c r="G298" s="512">
        <v>6.4999999999999997E-3</v>
      </c>
      <c r="H298" s="512">
        <v>0.03</v>
      </c>
      <c r="I298" s="512">
        <v>8.7999999999999995E-2</v>
      </c>
      <c r="J298" s="512">
        <v>0.04</v>
      </c>
      <c r="K298" s="512">
        <v>0.14000000000000001</v>
      </c>
      <c r="L298" s="512">
        <v>1.4999999999999999E-2</v>
      </c>
      <c r="M298" s="513" t="s">
        <v>175</v>
      </c>
      <c r="N298" s="514">
        <v>1</v>
      </c>
      <c r="O298" s="119"/>
      <c r="P298" s="119"/>
      <c r="Q298" s="119"/>
      <c r="R298" s="119"/>
      <c r="S298" s="119"/>
      <c r="T298" s="119"/>
      <c r="U298" s="119"/>
      <c r="V298" s="119">
        <v>0.8</v>
      </c>
      <c r="W298" s="119"/>
      <c r="X298" s="119">
        <f t="shared" si="103"/>
        <v>0.8</v>
      </c>
      <c r="Y298" s="118">
        <f t="shared" si="104"/>
        <v>0.8</v>
      </c>
      <c r="Z298" s="109">
        <f t="shared" si="102"/>
        <v>0.8</v>
      </c>
      <c r="AA298" s="109">
        <f>'CALCULO GERAL'!$G$10</f>
        <v>6300</v>
      </c>
      <c r="AB298" s="109">
        <f t="shared" si="105"/>
        <v>6300.8</v>
      </c>
      <c r="AC298" s="109">
        <f>AB298*'CALCULO GERAL'!$C$11</f>
        <v>31623.715200000002</v>
      </c>
      <c r="AD298" s="109">
        <f t="shared" si="106"/>
        <v>4111.0829760000006</v>
      </c>
      <c r="AE298" s="109">
        <f t="shared" si="107"/>
        <v>0</v>
      </c>
      <c r="AF298" s="109">
        <f t="shared" si="108"/>
        <v>664.09801920000007</v>
      </c>
      <c r="AG298" s="109">
        <f t="shared" si="109"/>
        <v>3367.9256688</v>
      </c>
      <c r="AH298" s="109">
        <v>154.22999999999999</v>
      </c>
      <c r="AI298" s="109">
        <f>((AA298*'CALCULO GERAL'!$C$11))*0.08+20</f>
        <v>2549.576</v>
      </c>
      <c r="AJ298" s="109">
        <v>1010</v>
      </c>
      <c r="AK298" s="109">
        <v>2500</v>
      </c>
      <c r="AL298" s="109">
        <f>(AA298*('CALCULO GERAL'!$C$11*1.02))-(AA298*'CALCULO GERAL'!$C$11)</f>
        <v>632.39400000000387</v>
      </c>
      <c r="AM298" s="109">
        <v>1800</v>
      </c>
      <c r="AN298" s="109">
        <v>2600</v>
      </c>
      <c r="AO298" s="109">
        <v>9400</v>
      </c>
      <c r="AP298" s="109">
        <v>1000</v>
      </c>
      <c r="AQ298" s="109">
        <v>0</v>
      </c>
      <c r="AR298" s="109">
        <v>0</v>
      </c>
      <c r="AS298" s="109"/>
      <c r="AT298" s="109">
        <f t="shared" si="173"/>
        <v>61413.021864000009</v>
      </c>
      <c r="AU298" s="111">
        <f t="shared" si="110"/>
        <v>61413.021864000009</v>
      </c>
      <c r="AV298" s="109">
        <f>IFERROR((BS298*'CALCULO GERAL'!$E$11)/N298,0)</f>
        <v>1452.774645</v>
      </c>
      <c r="AW298" s="109">
        <f>AU298/'CALCULO GERAL'!$C$11</f>
        <v>12236.107165570833</v>
      </c>
      <c r="AX298" s="109">
        <f>BP298-BB298-BD298*'CALCULO GERAL'!$C$11</f>
        <v>71549.151266250003</v>
      </c>
      <c r="AY298" s="109">
        <f t="shared" si="111"/>
        <v>465.069483230625</v>
      </c>
      <c r="AZ298" s="109">
        <f t="shared" si="112"/>
        <v>2146.4745379874998</v>
      </c>
      <c r="BA298" s="109">
        <f t="shared" si="113"/>
        <v>72638.732250000001</v>
      </c>
      <c r="BB298" s="109">
        <f t="shared" si="114"/>
        <v>1089.5809837500001</v>
      </c>
      <c r="BC298" s="109">
        <f t="shared" si="115"/>
        <v>72638.732250000001</v>
      </c>
      <c r="BD298" s="109">
        <f t="shared" si="116"/>
        <v>0</v>
      </c>
      <c r="BE298" s="109">
        <f t="shared" si="117"/>
        <v>5811.0985799999999</v>
      </c>
      <c r="BF298" s="109">
        <f t="shared" si="118"/>
        <v>8716.6478700000007</v>
      </c>
      <c r="BG298" s="109">
        <f t="shared" si="119"/>
        <v>784.49830830000008</v>
      </c>
      <c r="BH298" s="109">
        <f t="shared" si="120"/>
        <v>871.66478699999993</v>
      </c>
      <c r="BI298" s="109">
        <f t="shared" si="121"/>
        <v>0</v>
      </c>
      <c r="BJ298" s="109">
        <f t="shared" si="122"/>
        <v>6810.0627452681247</v>
      </c>
      <c r="BK298" s="109">
        <f t="shared" si="123"/>
        <v>68223.084609268131</v>
      </c>
      <c r="BL298" s="148">
        <v>0.86</v>
      </c>
      <c r="BM298" s="112">
        <f>ROUND((AW298/BL298)+((AW298*BL298)*'CALCULO GERAL'!$E$11)/BL298,2)</f>
        <v>14472.75</v>
      </c>
      <c r="BN298" s="186">
        <f t="shared" si="174"/>
        <v>14472.75</v>
      </c>
      <c r="BO298" s="186">
        <f t="shared" si="175"/>
        <v>16957.133000000002</v>
      </c>
      <c r="BP298" s="109">
        <f>BM298*'CALCULO GERAL'!$C$11</f>
        <v>72638.732250000001</v>
      </c>
      <c r="BQ298" s="109">
        <f>BO298*'CALCULO GERAL'!$C$11</f>
        <v>85107.850527000017</v>
      </c>
      <c r="BR298" s="186">
        <f>BN298*'CALCULO GERAL'!$C$11</f>
        <v>72638.732250000001</v>
      </c>
      <c r="BS298" s="109">
        <f t="shared" si="124"/>
        <v>72638.732250000001</v>
      </c>
      <c r="BT298" s="109">
        <f t="shared" si="125"/>
        <v>72638.732250000001</v>
      </c>
      <c r="BU298" s="109">
        <f t="shared" si="179"/>
        <v>68223.084609268131</v>
      </c>
      <c r="BV298" s="109">
        <f t="shared" si="176"/>
        <v>4415.6476407318696</v>
      </c>
      <c r="BW298" s="114">
        <f t="shared" si="126"/>
        <v>6.0789161704179792E-2</v>
      </c>
      <c r="BX298" s="152">
        <f t="shared" si="180"/>
        <v>0.86</v>
      </c>
      <c r="BZ298" s="55"/>
      <c r="CA298" s="113"/>
      <c r="CB298" s="113"/>
      <c r="CD298" s="152">
        <f t="shared" si="181"/>
        <v>0</v>
      </c>
      <c r="CE298" s="152">
        <f t="shared" si="177"/>
        <v>1</v>
      </c>
      <c r="CF298" s="152">
        <f t="shared" si="178"/>
        <v>1</v>
      </c>
      <c r="CG298" s="34"/>
      <c r="CI298" s="11"/>
      <c r="CJ298" s="11"/>
    </row>
    <row r="299" spans="1:88" s="152" customFormat="1" x14ac:dyDescent="0.2">
      <c r="A299" s="507" t="s">
        <v>642</v>
      </c>
      <c r="B299" s="508" t="s">
        <v>270</v>
      </c>
      <c r="C299" s="509">
        <v>0.11</v>
      </c>
      <c r="D299" s="510">
        <v>0</v>
      </c>
      <c r="E299" s="511">
        <v>2.1000000000000001E-2</v>
      </c>
      <c r="F299" s="511">
        <v>0.1065</v>
      </c>
      <c r="G299" s="512">
        <v>6.4999999999999997E-3</v>
      </c>
      <c r="H299" s="512">
        <v>0.03</v>
      </c>
      <c r="I299" s="512">
        <v>0.18</v>
      </c>
      <c r="J299" s="512">
        <v>0.04</v>
      </c>
      <c r="K299" s="512">
        <v>0.14000000000000001</v>
      </c>
      <c r="L299" s="512">
        <v>1.4999999999999999E-2</v>
      </c>
      <c r="M299" s="513" t="s">
        <v>175</v>
      </c>
      <c r="N299" s="514">
        <v>1</v>
      </c>
      <c r="O299" s="119"/>
      <c r="P299" s="119"/>
      <c r="Q299" s="119"/>
      <c r="R299" s="119"/>
      <c r="S299" s="119"/>
      <c r="T299" s="119"/>
      <c r="U299" s="119"/>
      <c r="V299" s="119">
        <v>87000</v>
      </c>
      <c r="W299" s="119"/>
      <c r="X299" s="119">
        <f t="shared" si="103"/>
        <v>87000</v>
      </c>
      <c r="Y299" s="118">
        <f t="shared" si="104"/>
        <v>87000</v>
      </c>
      <c r="Z299" s="109">
        <f t="shared" si="102"/>
        <v>87000</v>
      </c>
      <c r="AA299" s="109">
        <f>'CALCULO GERAL'!$G$10</f>
        <v>6300</v>
      </c>
      <c r="AB299" s="109">
        <f t="shared" si="105"/>
        <v>93300</v>
      </c>
      <c r="AC299" s="109">
        <f>AB299*'CALCULO GERAL'!$C$11</f>
        <v>468272.7</v>
      </c>
      <c r="AD299" s="109">
        <f t="shared" si="106"/>
        <v>51509.997000000003</v>
      </c>
      <c r="AE299" s="109">
        <f t="shared" si="107"/>
        <v>0</v>
      </c>
      <c r="AF299" s="109">
        <f t="shared" si="108"/>
        <v>9833.7267000000011</v>
      </c>
      <c r="AG299" s="109">
        <f t="shared" si="109"/>
        <v>49871.042549999998</v>
      </c>
      <c r="AH299" s="109">
        <v>154.22999999999999</v>
      </c>
      <c r="AI299" s="109">
        <f>((AA299*'CALCULO GERAL'!$C$11))*0.08+20</f>
        <v>2549.576</v>
      </c>
      <c r="AJ299" s="109">
        <v>1010</v>
      </c>
      <c r="AK299" s="109">
        <v>2500</v>
      </c>
      <c r="AL299" s="109">
        <f>(AA299*('CALCULO GERAL'!$C$11*1.02))-(AA299*'CALCULO GERAL'!$C$11)</f>
        <v>632.39400000000387</v>
      </c>
      <c r="AM299" s="109">
        <v>1800</v>
      </c>
      <c r="AN299" s="109">
        <v>2600</v>
      </c>
      <c r="AO299" s="109">
        <v>9400</v>
      </c>
      <c r="AP299" s="109">
        <v>1000</v>
      </c>
      <c r="AQ299" s="109">
        <v>0</v>
      </c>
      <c r="AR299" s="109">
        <v>0</v>
      </c>
      <c r="AS299" s="109"/>
      <c r="AT299" s="109">
        <f t="shared" si="173"/>
        <v>601133.66625000001</v>
      </c>
      <c r="AU299" s="111">
        <f t="shared" si="110"/>
        <v>601133.66625000001</v>
      </c>
      <c r="AV299" s="109">
        <f>IFERROR((BS299*'CALCULO GERAL'!$E$11)/N299,0)</f>
        <v>14220.3066012</v>
      </c>
      <c r="AW299" s="109">
        <f>AU299/'CALCULO GERAL'!$C$11</f>
        <v>119771.60116557083</v>
      </c>
      <c r="AX299" s="109">
        <f>BP299-BB299-BD299*'CALCULO GERAL'!$C$11</f>
        <v>700350.10010909999</v>
      </c>
      <c r="AY299" s="109">
        <f t="shared" si="111"/>
        <v>4552.2756507091499</v>
      </c>
      <c r="AZ299" s="109">
        <f t="shared" si="112"/>
        <v>21010.503003272999</v>
      </c>
      <c r="BA299" s="109">
        <f t="shared" si="113"/>
        <v>711015.33005999995</v>
      </c>
      <c r="BB299" s="109">
        <f t="shared" si="114"/>
        <v>10665.229950899999</v>
      </c>
      <c r="BC299" s="109">
        <f t="shared" si="115"/>
        <v>711015.33005999995</v>
      </c>
      <c r="BD299" s="109">
        <f t="shared" si="116"/>
        <v>0</v>
      </c>
      <c r="BE299" s="109">
        <f t="shared" si="117"/>
        <v>56881.2264048</v>
      </c>
      <c r="BF299" s="109">
        <f t="shared" si="118"/>
        <v>85321.839607199989</v>
      </c>
      <c r="BG299" s="109">
        <f t="shared" si="119"/>
        <v>7678.9655646479987</v>
      </c>
      <c r="BH299" s="109">
        <f t="shared" si="120"/>
        <v>8532.18396072</v>
      </c>
      <c r="BI299" s="109">
        <f t="shared" si="121"/>
        <v>0</v>
      </c>
      <c r="BJ299" s="109">
        <f t="shared" si="122"/>
        <v>66659.464731450134</v>
      </c>
      <c r="BK299" s="109">
        <f t="shared" si="123"/>
        <v>667793.1309814502</v>
      </c>
      <c r="BL299" s="148">
        <v>0.86</v>
      </c>
      <c r="BM299" s="112">
        <f>ROUND((AW299/BL299)+((AW299*BL299)*'CALCULO GERAL'!$E$11)/BL299,2)</f>
        <v>141664.74</v>
      </c>
      <c r="BN299" s="186">
        <f t="shared" si="174"/>
        <v>141664.74</v>
      </c>
      <c r="BO299" s="186">
        <f t="shared" si="175"/>
        <v>165982.82199999999</v>
      </c>
      <c r="BP299" s="109">
        <f>BM299*'CALCULO GERAL'!$C$11</f>
        <v>711015.33005999995</v>
      </c>
      <c r="BQ299" s="109">
        <f>BO299*'CALCULO GERAL'!$C$11</f>
        <v>833067.78361799999</v>
      </c>
      <c r="BR299" s="186">
        <f>BN299*'CALCULO GERAL'!$C$11</f>
        <v>711015.33005999995</v>
      </c>
      <c r="BS299" s="109">
        <f t="shared" si="124"/>
        <v>711015.33005999995</v>
      </c>
      <c r="BT299" s="109">
        <f t="shared" si="125"/>
        <v>711015.33005999995</v>
      </c>
      <c r="BU299" s="109">
        <f t="shared" si="179"/>
        <v>667793.1309814502</v>
      </c>
      <c r="BV299" s="109">
        <f t="shared" si="176"/>
        <v>43222.199078549747</v>
      </c>
      <c r="BW299" s="114">
        <f t="shared" si="126"/>
        <v>6.0789405307059112E-2</v>
      </c>
      <c r="BX299" s="152">
        <f t="shared" si="180"/>
        <v>0.86</v>
      </c>
      <c r="BZ299" s="55"/>
      <c r="CA299" s="113"/>
      <c r="CB299" s="113"/>
      <c r="CD299" s="152">
        <f t="shared" si="181"/>
        <v>0</v>
      </c>
      <c r="CE299" s="152">
        <f t="shared" si="177"/>
        <v>1</v>
      </c>
      <c r="CF299" s="152">
        <f t="shared" si="178"/>
        <v>1</v>
      </c>
      <c r="CG299" s="34"/>
      <c r="CI299" s="11"/>
      <c r="CJ299" s="11"/>
    </row>
    <row r="300" spans="1:88" s="152" customFormat="1" x14ac:dyDescent="0.2">
      <c r="A300" s="507" t="s">
        <v>272</v>
      </c>
      <c r="B300" s="508" t="s">
        <v>271</v>
      </c>
      <c r="C300" s="509">
        <v>0.11</v>
      </c>
      <c r="D300" s="510">
        <v>7.0000000000000007E-2</v>
      </c>
      <c r="E300" s="511">
        <v>2.1000000000000001E-2</v>
      </c>
      <c r="F300" s="511">
        <v>9.6500000000000002E-2</v>
      </c>
      <c r="G300" s="512">
        <v>6.4999999999999997E-3</v>
      </c>
      <c r="H300" s="512">
        <v>0.03</v>
      </c>
      <c r="I300" s="512">
        <v>0.18</v>
      </c>
      <c r="J300" s="512">
        <v>0.04</v>
      </c>
      <c r="K300" s="512">
        <v>0.14000000000000001</v>
      </c>
      <c r="L300" s="512">
        <v>1.4999999999999999E-2</v>
      </c>
      <c r="M300" s="513" t="s">
        <v>175</v>
      </c>
      <c r="N300" s="514">
        <v>25000</v>
      </c>
      <c r="O300" s="119"/>
      <c r="P300" s="119"/>
      <c r="Q300" s="119"/>
      <c r="R300" s="119"/>
      <c r="S300" s="119"/>
      <c r="T300" s="119"/>
      <c r="U300" s="119"/>
      <c r="V300" s="119">
        <v>19500</v>
      </c>
      <c r="W300" s="119"/>
      <c r="X300" s="119">
        <f t="shared" si="103"/>
        <v>19500</v>
      </c>
      <c r="Y300" s="118">
        <f t="shared" si="104"/>
        <v>19500</v>
      </c>
      <c r="Z300" s="109">
        <f t="shared" si="102"/>
        <v>487500000</v>
      </c>
      <c r="AA300" s="109">
        <f>'CALCULO GERAL'!$G$10</f>
        <v>6300</v>
      </c>
      <c r="AB300" s="109">
        <f t="shared" si="105"/>
        <v>487506300</v>
      </c>
      <c r="AC300" s="109">
        <f>AB300*'CALCULO GERAL'!$C$11</f>
        <v>2446794119.7000003</v>
      </c>
      <c r="AD300" s="109">
        <f t="shared" si="106"/>
        <v>269147353.16700006</v>
      </c>
      <c r="AE300" s="109">
        <f t="shared" si="107"/>
        <v>190115903.10069007</v>
      </c>
      <c r="AF300" s="109">
        <f t="shared" si="108"/>
        <v>51382676.513700008</v>
      </c>
      <c r="AG300" s="109">
        <f t="shared" si="109"/>
        <v>236115632.55105004</v>
      </c>
      <c r="AH300" s="109">
        <v>154.22999999999999</v>
      </c>
      <c r="AI300" s="109">
        <f>((AA300*'CALCULO GERAL'!$C$11))*0.08+20</f>
        <v>2549.576</v>
      </c>
      <c r="AJ300" s="109">
        <v>1010</v>
      </c>
      <c r="AK300" s="109">
        <v>2500</v>
      </c>
      <c r="AL300" s="109">
        <f>(AA300*('CALCULO GERAL'!$C$11*1.02))-(AA300*'CALCULO GERAL'!$C$11)</f>
        <v>632.39400000000387</v>
      </c>
      <c r="AM300" s="109">
        <v>1800</v>
      </c>
      <c r="AN300" s="109">
        <v>2600</v>
      </c>
      <c r="AO300" s="109">
        <v>9400</v>
      </c>
      <c r="AP300" s="109">
        <v>1000</v>
      </c>
      <c r="AQ300" s="109">
        <v>0</v>
      </c>
      <c r="AR300" s="109">
        <v>0</v>
      </c>
      <c r="AS300" s="109"/>
      <c r="AT300" s="109">
        <f t="shared" si="173"/>
        <v>3193577331.2324409</v>
      </c>
      <c r="AU300" s="111">
        <f t="shared" si="110"/>
        <v>127743.09324929764</v>
      </c>
      <c r="AV300" s="109">
        <f>IFERROR((BS300*'CALCULO GERAL'!$E$11)/N300,0)</f>
        <v>3056.8169310000003</v>
      </c>
      <c r="AW300" s="109">
        <f>AU300/'CALCULO GERAL'!$C$11</f>
        <v>25451.901424446631</v>
      </c>
      <c r="AX300" s="109">
        <f>BP300-BB300-BD300*'CALCULO GERAL'!$C$11</f>
        <v>100513.56868396123</v>
      </c>
      <c r="AY300" s="109">
        <f t="shared" si="111"/>
        <v>653.33819644574794</v>
      </c>
      <c r="AZ300" s="109">
        <f t="shared" si="112"/>
        <v>3015.4070605188367</v>
      </c>
      <c r="BA300" s="109">
        <f t="shared" si="113"/>
        <v>142841.91266355143</v>
      </c>
      <c r="BB300" s="109">
        <f t="shared" si="114"/>
        <v>2142.6286899532715</v>
      </c>
      <c r="BC300" s="109">
        <f t="shared" si="115"/>
        <v>142841.9126635514</v>
      </c>
      <c r="BD300" s="109">
        <f t="shared" si="116"/>
        <v>9998.9338864485981</v>
      </c>
      <c r="BE300" s="109">
        <f t="shared" si="117"/>
        <v>305681693.10000002</v>
      </c>
      <c r="BF300" s="109">
        <f t="shared" si="118"/>
        <v>458522539.65000004</v>
      </c>
      <c r="BG300" s="109">
        <f t="shared" si="119"/>
        <v>1650.6811427400003</v>
      </c>
      <c r="BH300" s="109">
        <f t="shared" si="120"/>
        <v>1834.0901586000002</v>
      </c>
      <c r="BI300" s="109">
        <f t="shared" si="121"/>
        <v>-1222.4867724400001</v>
      </c>
      <c r="BJ300" s="109">
        <f t="shared" si="122"/>
        <v>21129.409293266453</v>
      </c>
      <c r="BK300" s="109">
        <f t="shared" si="123"/>
        <v>148872.50254256409</v>
      </c>
      <c r="BL300" s="148">
        <v>0.85</v>
      </c>
      <c r="BM300" s="112">
        <f>ROUND((AW300/BL300)+((AW300*BL300)*'CALCULO GERAL'!$E$11)/BL300,2)</f>
        <v>30452.45</v>
      </c>
      <c r="BN300" s="186">
        <f t="shared" si="174"/>
        <v>30452.45</v>
      </c>
      <c r="BO300" s="186">
        <f t="shared" si="175"/>
        <v>35679.898999999998</v>
      </c>
      <c r="BP300" s="109">
        <f>BM300*'CALCULO GERAL'!$C$11</f>
        <v>152840.84655000002</v>
      </c>
      <c r="BQ300" s="109">
        <f>BO300*'CALCULO GERAL'!$C$11</f>
        <v>179077.41308100001</v>
      </c>
      <c r="BR300" s="186">
        <f>BN300*'CALCULO GERAL'!$C$11</f>
        <v>152840.84655000002</v>
      </c>
      <c r="BS300" s="109">
        <f t="shared" si="124"/>
        <v>3821021163.7500005</v>
      </c>
      <c r="BT300" s="109">
        <f t="shared" si="125"/>
        <v>3821021163.7500005</v>
      </c>
      <c r="BU300" s="109">
        <f t="shared" si="179"/>
        <v>3721812563.5641022</v>
      </c>
      <c r="BV300" s="109">
        <f t="shared" si="176"/>
        <v>99208600.185898304</v>
      </c>
      <c r="BW300" s="114">
        <f t="shared" si="126"/>
        <v>2.5963897066859917E-2</v>
      </c>
      <c r="BX300" s="152">
        <f t="shared" si="180"/>
        <v>0.85</v>
      </c>
      <c r="BZ300" s="55"/>
      <c r="CA300" s="113"/>
      <c r="CB300" s="113"/>
      <c r="CD300" s="152">
        <f t="shared" si="181"/>
        <v>0</v>
      </c>
      <c r="CE300" s="152">
        <f t="shared" si="177"/>
        <v>1</v>
      </c>
      <c r="CF300" s="152">
        <f t="shared" si="178"/>
        <v>1</v>
      </c>
      <c r="CG300" s="34"/>
      <c r="CI300" s="11"/>
      <c r="CJ300" s="11"/>
    </row>
    <row r="301" spans="1:88" s="152" customFormat="1" x14ac:dyDescent="0.2">
      <c r="A301" s="507" t="s">
        <v>643</v>
      </c>
      <c r="B301" s="508" t="s">
        <v>274</v>
      </c>
      <c r="C301" s="509">
        <v>0.13</v>
      </c>
      <c r="D301" s="510">
        <v>0</v>
      </c>
      <c r="E301" s="511">
        <v>2.1000000000000001E-2</v>
      </c>
      <c r="F301" s="511">
        <v>9.6500000000000002E-2</v>
      </c>
      <c r="G301" s="512">
        <v>6.4999999999999997E-3</v>
      </c>
      <c r="H301" s="512">
        <v>0.03</v>
      </c>
      <c r="I301" s="512">
        <v>0.18</v>
      </c>
      <c r="J301" s="512">
        <v>0.04</v>
      </c>
      <c r="K301" s="512">
        <v>0.14000000000000001</v>
      </c>
      <c r="L301" s="512">
        <v>1.4999999999999999E-2</v>
      </c>
      <c r="M301" s="513" t="s">
        <v>175</v>
      </c>
      <c r="N301" s="514">
        <v>76800</v>
      </c>
      <c r="O301" s="119"/>
      <c r="P301" s="119"/>
      <c r="Q301" s="119"/>
      <c r="R301" s="119"/>
      <c r="S301" s="119"/>
      <c r="T301" s="119"/>
      <c r="U301" s="119"/>
      <c r="V301" s="119">
        <v>0.70199999999999996</v>
      </c>
      <c r="W301" s="119"/>
      <c r="X301" s="119">
        <f t="shared" si="103"/>
        <v>0.70199999999999996</v>
      </c>
      <c r="Y301" s="118">
        <f t="shared" si="104"/>
        <v>0.70199999999999996</v>
      </c>
      <c r="Z301" s="109">
        <f t="shared" si="102"/>
        <v>53913.599999999999</v>
      </c>
      <c r="AA301" s="109">
        <f>'CALCULO GERAL'!$G$10</f>
        <v>6300</v>
      </c>
      <c r="AB301" s="109">
        <f t="shared" si="105"/>
        <v>60213.599999999999</v>
      </c>
      <c r="AC301" s="109">
        <f>AB301*'CALCULO GERAL'!$C$11</f>
        <v>302212.05839999998</v>
      </c>
      <c r="AD301" s="109">
        <f t="shared" si="106"/>
        <v>39287.567591999999</v>
      </c>
      <c r="AE301" s="109">
        <f t="shared" si="107"/>
        <v>0</v>
      </c>
      <c r="AF301" s="109">
        <f t="shared" si="108"/>
        <v>6346.4532263999999</v>
      </c>
      <c r="AG301" s="109">
        <f t="shared" si="109"/>
        <v>29163.463635599997</v>
      </c>
      <c r="AH301" s="109">
        <v>154.22999999999999</v>
      </c>
      <c r="AI301" s="109">
        <f>((AA301*'CALCULO GERAL'!$C$11))*0.08+20</f>
        <v>2549.576</v>
      </c>
      <c r="AJ301" s="109">
        <v>1010</v>
      </c>
      <c r="AK301" s="109">
        <v>2500</v>
      </c>
      <c r="AL301" s="109">
        <f>(AA301*('CALCULO GERAL'!$C$11*1.02))-(AA301*'CALCULO GERAL'!$C$11)</f>
        <v>632.39400000000387</v>
      </c>
      <c r="AM301" s="109">
        <v>1800</v>
      </c>
      <c r="AN301" s="109">
        <v>2600</v>
      </c>
      <c r="AO301" s="109">
        <v>9400</v>
      </c>
      <c r="AP301" s="109">
        <v>1000</v>
      </c>
      <c r="AQ301" s="109">
        <v>0</v>
      </c>
      <c r="AR301" s="109">
        <v>0</v>
      </c>
      <c r="AS301" s="109"/>
      <c r="AT301" s="109">
        <f t="shared" si="173"/>
        <v>398655.74285400001</v>
      </c>
      <c r="AU301" s="111">
        <f t="shared" si="110"/>
        <v>5.1908299850781248</v>
      </c>
      <c r="AV301" s="109">
        <f>IFERROR((BS301*'CALCULO GERAL'!$E$11)/N301,0)</f>
        <v>0.12145979999999999</v>
      </c>
      <c r="AW301" s="109">
        <f>AU301/'CALCULO GERAL'!$C$11</f>
        <v>1.0342359005933701</v>
      </c>
      <c r="AX301" s="109">
        <f>BP301-BB301-BD301*'CALCULO GERAL'!$C$11</f>
        <v>5.9818951499999997</v>
      </c>
      <c r="AY301" s="109">
        <f t="shared" si="111"/>
        <v>3.8882318474999997E-2</v>
      </c>
      <c r="AZ301" s="109">
        <f t="shared" si="112"/>
        <v>0.17945685449999998</v>
      </c>
      <c r="BA301" s="109">
        <f t="shared" si="113"/>
        <v>6.0729899999999999</v>
      </c>
      <c r="BB301" s="109">
        <f t="shared" si="114"/>
        <v>9.1094849999999991E-2</v>
      </c>
      <c r="BC301" s="109">
        <f t="shared" si="115"/>
        <v>6.0729899999999999</v>
      </c>
      <c r="BD301" s="109">
        <f t="shared" si="116"/>
        <v>0</v>
      </c>
      <c r="BE301" s="109">
        <f t="shared" si="117"/>
        <v>37312.450559999997</v>
      </c>
      <c r="BF301" s="109">
        <f t="shared" si="118"/>
        <v>55968.675839999996</v>
      </c>
      <c r="BG301" s="109">
        <f t="shared" si="119"/>
        <v>6.5588291999999992E-2</v>
      </c>
      <c r="BH301" s="109">
        <f t="shared" si="120"/>
        <v>7.287587999999999E-2</v>
      </c>
      <c r="BI301" s="109">
        <f t="shared" si="121"/>
        <v>0</v>
      </c>
      <c r="BJ301" s="109">
        <f t="shared" si="122"/>
        <v>0.56935799497499995</v>
      </c>
      <c r="BK301" s="109">
        <f t="shared" si="123"/>
        <v>5.760187980053125</v>
      </c>
      <c r="BL301" s="148">
        <v>0.87</v>
      </c>
      <c r="BM301" s="112">
        <f>ROUND((AW301/BL301)+((AW301*BL301)*'CALCULO GERAL'!$E$11)/BL301,2)</f>
        <v>1.21</v>
      </c>
      <c r="BN301" s="186">
        <f t="shared" si="174"/>
        <v>1.21</v>
      </c>
      <c r="BO301" s="186">
        <f t="shared" si="175"/>
        <v>1.4179999999999999</v>
      </c>
      <c r="BP301" s="109">
        <f>BM301*'CALCULO GERAL'!$C$11</f>
        <v>6.0729899999999999</v>
      </c>
      <c r="BQ301" s="109">
        <f>BO301*'CALCULO GERAL'!$C$11</f>
        <v>7.1169419999999999</v>
      </c>
      <c r="BR301" s="186">
        <f>BN301*'CALCULO GERAL'!$C$11</f>
        <v>6.0729899999999999</v>
      </c>
      <c r="BS301" s="109">
        <f t="shared" si="124"/>
        <v>466405.63199999998</v>
      </c>
      <c r="BT301" s="109">
        <f t="shared" si="125"/>
        <v>466405.63199999998</v>
      </c>
      <c r="BU301" s="109">
        <f t="shared" si="179"/>
        <v>442382.43686808</v>
      </c>
      <c r="BV301" s="109">
        <f t="shared" si="176"/>
        <v>24023.195131919987</v>
      </c>
      <c r="BW301" s="114">
        <f t="shared" si="126"/>
        <v>5.1507086286470889E-2</v>
      </c>
      <c r="BX301" s="152">
        <f t="shared" si="180"/>
        <v>0.87</v>
      </c>
      <c r="BZ301" s="55"/>
      <c r="CA301" s="113"/>
      <c r="CB301" s="113"/>
      <c r="CD301" s="152">
        <f t="shared" si="181"/>
        <v>0</v>
      </c>
      <c r="CE301" s="152">
        <f t="shared" si="177"/>
        <v>1</v>
      </c>
      <c r="CF301" s="152">
        <f t="shared" si="178"/>
        <v>1</v>
      </c>
      <c r="CG301" s="34"/>
      <c r="CI301" s="11"/>
      <c r="CJ301" s="11"/>
    </row>
    <row r="302" spans="1:88" s="152" customFormat="1" x14ac:dyDescent="0.2">
      <c r="A302" s="507" t="s">
        <v>644</v>
      </c>
      <c r="B302" s="508" t="s">
        <v>274</v>
      </c>
      <c r="C302" s="509">
        <v>0.13</v>
      </c>
      <c r="D302" s="510">
        <v>0</v>
      </c>
      <c r="E302" s="511">
        <v>2.1000000000000001E-2</v>
      </c>
      <c r="F302" s="511">
        <v>9.6500000000000002E-2</v>
      </c>
      <c r="G302" s="512">
        <v>6.4999999999999997E-3</v>
      </c>
      <c r="H302" s="512">
        <v>0.03</v>
      </c>
      <c r="I302" s="512">
        <v>0.18</v>
      </c>
      <c r="J302" s="512">
        <v>0.04</v>
      </c>
      <c r="K302" s="512">
        <v>0.14000000000000001</v>
      </c>
      <c r="L302" s="512">
        <v>1.4999999999999999E-2</v>
      </c>
      <c r="M302" s="513" t="s">
        <v>175</v>
      </c>
      <c r="N302" s="514">
        <v>32200</v>
      </c>
      <c r="O302" s="119"/>
      <c r="P302" s="119"/>
      <c r="Q302" s="119"/>
      <c r="R302" s="119"/>
      <c r="S302" s="119"/>
      <c r="T302" s="119"/>
      <c r="U302" s="119"/>
      <c r="V302" s="119">
        <v>48</v>
      </c>
      <c r="W302" s="119"/>
      <c r="X302" s="119">
        <f t="shared" si="103"/>
        <v>48</v>
      </c>
      <c r="Y302" s="118">
        <f t="shared" si="104"/>
        <v>48</v>
      </c>
      <c r="Z302" s="109">
        <f t="shared" si="102"/>
        <v>1545600</v>
      </c>
      <c r="AA302" s="109">
        <f>'CALCULO GERAL'!$G$10</f>
        <v>6300</v>
      </c>
      <c r="AB302" s="109">
        <f t="shared" si="105"/>
        <v>1551900</v>
      </c>
      <c r="AC302" s="109">
        <f>AB302*'CALCULO GERAL'!$C$11</f>
        <v>7788986.1000000006</v>
      </c>
      <c r="AD302" s="109">
        <f t="shared" si="106"/>
        <v>1012568.1930000001</v>
      </c>
      <c r="AE302" s="109">
        <f t="shared" si="107"/>
        <v>0</v>
      </c>
      <c r="AF302" s="109">
        <f t="shared" si="108"/>
        <v>163568.70810000002</v>
      </c>
      <c r="AG302" s="109">
        <f t="shared" si="109"/>
        <v>751637.15865000011</v>
      </c>
      <c r="AH302" s="109">
        <v>154.22999999999999</v>
      </c>
      <c r="AI302" s="109">
        <f>((AA302*'CALCULO GERAL'!$C$11))*0.08+20</f>
        <v>2549.576</v>
      </c>
      <c r="AJ302" s="109">
        <v>1010</v>
      </c>
      <c r="AK302" s="109">
        <v>2500</v>
      </c>
      <c r="AL302" s="109">
        <f>(AA302*('CALCULO GERAL'!$C$11*1.02))-(AA302*'CALCULO GERAL'!$C$11)</f>
        <v>632.39400000000387</v>
      </c>
      <c r="AM302" s="109">
        <v>1800</v>
      </c>
      <c r="AN302" s="109">
        <v>2600</v>
      </c>
      <c r="AO302" s="109">
        <v>9400</v>
      </c>
      <c r="AP302" s="109">
        <v>1000</v>
      </c>
      <c r="AQ302" s="109">
        <v>0</v>
      </c>
      <c r="AR302" s="109">
        <v>0</v>
      </c>
      <c r="AS302" s="109"/>
      <c r="AT302" s="109">
        <f t="shared" si="173"/>
        <v>9738406.3597500008</v>
      </c>
      <c r="AU302" s="111">
        <f t="shared" si="110"/>
        <v>302.43498011645966</v>
      </c>
      <c r="AV302" s="109">
        <f>IFERROR((BS302*'CALCULO GERAL'!$E$11)/N302,0)</f>
        <v>7.0737785999999998</v>
      </c>
      <c r="AW302" s="109">
        <f>AU302/'CALCULO GERAL'!$C$11</f>
        <v>60.258015564148167</v>
      </c>
      <c r="AX302" s="109">
        <f>BP302-BB302-BD302*'CALCULO GERAL'!$C$11</f>
        <v>348.38359605000005</v>
      </c>
      <c r="AY302" s="109">
        <f t="shared" si="111"/>
        <v>2.2644933743250002</v>
      </c>
      <c r="AZ302" s="109">
        <f t="shared" si="112"/>
        <v>10.451507881500001</v>
      </c>
      <c r="BA302" s="109">
        <f t="shared" si="113"/>
        <v>353.68893000000003</v>
      </c>
      <c r="BB302" s="109">
        <f t="shared" si="114"/>
        <v>5.3053339500000005</v>
      </c>
      <c r="BC302" s="109">
        <f t="shared" si="115"/>
        <v>353.68893000000003</v>
      </c>
      <c r="BD302" s="109">
        <f t="shared" si="116"/>
        <v>0</v>
      </c>
      <c r="BE302" s="109">
        <f t="shared" si="117"/>
        <v>911102.68368000002</v>
      </c>
      <c r="BF302" s="109">
        <f t="shared" si="118"/>
        <v>1366654.0255199999</v>
      </c>
      <c r="BG302" s="109">
        <f t="shared" si="119"/>
        <v>3.8198404439999996</v>
      </c>
      <c r="BH302" s="109">
        <f t="shared" si="120"/>
        <v>4.2442671599999997</v>
      </c>
      <c r="BI302" s="109">
        <f t="shared" si="121"/>
        <v>-2.6431760673291929</v>
      </c>
      <c r="BJ302" s="109">
        <f t="shared" si="122"/>
        <v>30.516045342495815</v>
      </c>
      <c r="BK302" s="109">
        <f t="shared" si="123"/>
        <v>332.95102545895548</v>
      </c>
      <c r="BL302" s="148">
        <v>0.87</v>
      </c>
      <c r="BM302" s="112">
        <f>ROUND((AW302/BL302)+((AW302*BL302)*'CALCULO GERAL'!$E$11)/BL302,2)</f>
        <v>70.47</v>
      </c>
      <c r="BN302" s="186">
        <f t="shared" si="174"/>
        <v>70.47</v>
      </c>
      <c r="BO302" s="186">
        <f t="shared" si="175"/>
        <v>82.566999999999993</v>
      </c>
      <c r="BP302" s="109">
        <f>BM302*'CALCULO GERAL'!$C$11</f>
        <v>353.68893000000003</v>
      </c>
      <c r="BQ302" s="109">
        <f>BO302*'CALCULO GERAL'!$C$11</f>
        <v>414.403773</v>
      </c>
      <c r="BR302" s="186">
        <f>BN302*'CALCULO GERAL'!$C$11</f>
        <v>353.68893000000003</v>
      </c>
      <c r="BS302" s="109">
        <f t="shared" si="124"/>
        <v>11388783.546</v>
      </c>
      <c r="BT302" s="109">
        <f t="shared" si="125"/>
        <v>11388783.546</v>
      </c>
      <c r="BU302" s="109">
        <f t="shared" si="179"/>
        <v>10721023.019778367</v>
      </c>
      <c r="BV302" s="109">
        <f t="shared" si="176"/>
        <v>667760.52622163296</v>
      </c>
      <c r="BW302" s="114">
        <f t="shared" si="126"/>
        <v>5.8633173905229381E-2</v>
      </c>
      <c r="BX302" s="152">
        <f t="shared" si="180"/>
        <v>0.87</v>
      </c>
      <c r="BZ302" s="55"/>
      <c r="CA302" s="113"/>
      <c r="CB302" s="113"/>
      <c r="CD302" s="152">
        <f t="shared" si="181"/>
        <v>0</v>
      </c>
      <c r="CE302" s="152">
        <f t="shared" si="177"/>
        <v>1</v>
      </c>
      <c r="CF302" s="152">
        <f t="shared" si="178"/>
        <v>1</v>
      </c>
      <c r="CG302" s="34"/>
      <c r="CI302" s="11"/>
      <c r="CJ302" s="11"/>
    </row>
    <row r="303" spans="1:88" s="152" customFormat="1" x14ac:dyDescent="0.2">
      <c r="A303" s="507" t="s">
        <v>645</v>
      </c>
      <c r="B303" s="508" t="s">
        <v>274</v>
      </c>
      <c r="C303" s="509">
        <v>0.13</v>
      </c>
      <c r="D303" s="510">
        <v>0</v>
      </c>
      <c r="E303" s="511">
        <v>2.1000000000000001E-2</v>
      </c>
      <c r="F303" s="511">
        <v>9.6500000000000002E-2</v>
      </c>
      <c r="G303" s="512">
        <v>6.4999999999999997E-3</v>
      </c>
      <c r="H303" s="512">
        <v>0.03</v>
      </c>
      <c r="I303" s="512">
        <v>0.18</v>
      </c>
      <c r="J303" s="512">
        <v>0.04</v>
      </c>
      <c r="K303" s="512">
        <v>0.14000000000000001</v>
      </c>
      <c r="L303" s="512">
        <v>1.4999999999999999E-2</v>
      </c>
      <c r="M303" s="513" t="s">
        <v>175</v>
      </c>
      <c r="N303" s="514">
        <v>32200</v>
      </c>
      <c r="O303" s="119"/>
      <c r="P303" s="119"/>
      <c r="Q303" s="119"/>
      <c r="R303" s="119"/>
      <c r="S303" s="119"/>
      <c r="T303" s="119">
        <v>3.95</v>
      </c>
      <c r="U303" s="119"/>
      <c r="V303" s="119"/>
      <c r="W303" s="119"/>
      <c r="X303" s="119">
        <f t="shared" si="103"/>
        <v>3.95</v>
      </c>
      <c r="Y303" s="118">
        <f t="shared" si="104"/>
        <v>3.95</v>
      </c>
      <c r="Z303" s="109">
        <f t="shared" si="102"/>
        <v>127190</v>
      </c>
      <c r="AA303" s="109">
        <f>'CALCULO GERAL'!$G$10</f>
        <v>6300</v>
      </c>
      <c r="AB303" s="109">
        <f t="shared" si="105"/>
        <v>133490</v>
      </c>
      <c r="AC303" s="109">
        <f>AB303*'CALCULO GERAL'!$C$11</f>
        <v>669986.31000000006</v>
      </c>
      <c r="AD303" s="109">
        <f t="shared" si="106"/>
        <v>87098.220300000015</v>
      </c>
      <c r="AE303" s="109">
        <f t="shared" si="107"/>
        <v>0</v>
      </c>
      <c r="AF303" s="109">
        <f t="shared" si="108"/>
        <v>14069.712510000001</v>
      </c>
      <c r="AG303" s="109">
        <f t="shared" si="109"/>
        <v>64653.678915000004</v>
      </c>
      <c r="AH303" s="109">
        <v>154.22999999999999</v>
      </c>
      <c r="AI303" s="109">
        <f>((AA303*'CALCULO GERAL'!$C$11))*0.08+20</f>
        <v>2549.576</v>
      </c>
      <c r="AJ303" s="109">
        <v>1010</v>
      </c>
      <c r="AK303" s="109">
        <v>2500</v>
      </c>
      <c r="AL303" s="109">
        <f>(AA303*('CALCULO GERAL'!$C$11*1.02))-(AA303*'CALCULO GERAL'!$C$11)</f>
        <v>632.39400000000387</v>
      </c>
      <c r="AM303" s="109">
        <v>1800</v>
      </c>
      <c r="AN303" s="109">
        <v>2600</v>
      </c>
      <c r="AO303" s="109">
        <v>9400</v>
      </c>
      <c r="AP303" s="109">
        <v>1000</v>
      </c>
      <c r="AQ303" s="109">
        <v>0</v>
      </c>
      <c r="AR303" s="109">
        <v>0</v>
      </c>
      <c r="AS303" s="109"/>
      <c r="AT303" s="109">
        <f t="shared" si="173"/>
        <v>857454.12172500009</v>
      </c>
      <c r="AU303" s="111">
        <f t="shared" si="110"/>
        <v>26.629009991459629</v>
      </c>
      <c r="AV303" s="109">
        <f>IFERROR((BS303*'CALCULO GERAL'!$E$11)/N303,0)</f>
        <v>0.60930660000000003</v>
      </c>
      <c r="AW303" s="109">
        <f>AU303/'CALCULO GERAL'!$C$11</f>
        <v>5.3056405641481623</v>
      </c>
      <c r="AX303" s="109">
        <f>BP303-BB303-BD303*'CALCULO GERAL'!$C$11</f>
        <v>30.008350050000001</v>
      </c>
      <c r="AY303" s="109">
        <f t="shared" si="111"/>
        <v>0.195054275325</v>
      </c>
      <c r="AZ303" s="109">
        <f t="shared" si="112"/>
        <v>0.90025050149999997</v>
      </c>
      <c r="BA303" s="109">
        <f t="shared" si="113"/>
        <v>30.465330000000002</v>
      </c>
      <c r="BB303" s="109">
        <f t="shared" si="114"/>
        <v>0.45697995000000002</v>
      </c>
      <c r="BC303" s="109">
        <f t="shared" si="115"/>
        <v>30.465330000000002</v>
      </c>
      <c r="BD303" s="109">
        <f t="shared" si="116"/>
        <v>0</v>
      </c>
      <c r="BE303" s="109">
        <f t="shared" si="117"/>
        <v>78478.69008</v>
      </c>
      <c r="BF303" s="109">
        <f t="shared" si="118"/>
        <v>117718.03512</v>
      </c>
      <c r="BG303" s="109">
        <f t="shared" si="119"/>
        <v>0.32902556399999999</v>
      </c>
      <c r="BH303" s="109">
        <f t="shared" si="120"/>
        <v>0.36558395999999999</v>
      </c>
      <c r="BI303" s="109">
        <f t="shared" si="121"/>
        <v>-5.7387267329192554E-2</v>
      </c>
      <c r="BJ303" s="109">
        <f t="shared" si="122"/>
        <v>2.7988135834958077</v>
      </c>
      <c r="BK303" s="109">
        <f t="shared" si="123"/>
        <v>29.427823574955436</v>
      </c>
      <c r="BL303" s="148">
        <v>0.89</v>
      </c>
      <c r="BM303" s="112">
        <f>ROUND((AW303/BL303)+((AW303*BL303)*'CALCULO GERAL'!$E$11)/BL303,2)</f>
        <v>6.07</v>
      </c>
      <c r="BN303" s="186">
        <f t="shared" si="174"/>
        <v>6.07</v>
      </c>
      <c r="BO303" s="186">
        <f t="shared" si="175"/>
        <v>7.1120000000000001</v>
      </c>
      <c r="BP303" s="109">
        <f>BM303*'CALCULO GERAL'!$C$11</f>
        <v>30.465330000000002</v>
      </c>
      <c r="BQ303" s="109">
        <f>BO303*'CALCULO GERAL'!$C$11</f>
        <v>35.695128000000004</v>
      </c>
      <c r="BR303" s="186">
        <f>BN303*'CALCULO GERAL'!$C$11</f>
        <v>30.465330000000002</v>
      </c>
      <c r="BS303" s="109">
        <f t="shared" si="124"/>
        <v>980983.62600000005</v>
      </c>
      <c r="BT303" s="109">
        <f t="shared" si="125"/>
        <v>980983.62600000005</v>
      </c>
      <c r="BU303" s="109">
        <f t="shared" si="179"/>
        <v>947575.919113565</v>
      </c>
      <c r="BV303" s="109">
        <f t="shared" si="176"/>
        <v>33407.706886435044</v>
      </c>
      <c r="BW303" s="114">
        <f t="shared" si="126"/>
        <v>3.4055315502722817E-2</v>
      </c>
      <c r="BX303" s="152">
        <f t="shared" si="180"/>
        <v>0.89</v>
      </c>
      <c r="BZ303" s="55"/>
      <c r="CA303" s="113"/>
      <c r="CB303" s="113"/>
      <c r="CD303" s="152">
        <f t="shared" si="181"/>
        <v>0</v>
      </c>
      <c r="CE303" s="152">
        <f t="shared" si="177"/>
        <v>1</v>
      </c>
      <c r="CF303" s="152">
        <f t="shared" si="178"/>
        <v>1</v>
      </c>
      <c r="CG303" s="34"/>
      <c r="CI303" s="11"/>
      <c r="CJ303" s="11"/>
    </row>
    <row r="304" spans="1:88" s="152" customFormat="1" x14ac:dyDescent="0.2">
      <c r="A304" s="507" t="s">
        <v>646</v>
      </c>
      <c r="B304" s="508" t="s">
        <v>274</v>
      </c>
      <c r="C304" s="509">
        <v>0.13</v>
      </c>
      <c r="D304" s="510">
        <v>0</v>
      </c>
      <c r="E304" s="511">
        <v>2.1000000000000001E-2</v>
      </c>
      <c r="F304" s="511">
        <v>9.6500000000000002E-2</v>
      </c>
      <c r="G304" s="512">
        <v>6.4999999999999997E-3</v>
      </c>
      <c r="H304" s="512">
        <v>0.03</v>
      </c>
      <c r="I304" s="512">
        <v>0.18</v>
      </c>
      <c r="J304" s="512">
        <v>0.04</v>
      </c>
      <c r="K304" s="512">
        <v>0.14000000000000001</v>
      </c>
      <c r="L304" s="512">
        <v>1.4999999999999999E-2</v>
      </c>
      <c r="M304" s="513" t="s">
        <v>175</v>
      </c>
      <c r="N304" s="514">
        <v>38600</v>
      </c>
      <c r="O304" s="119"/>
      <c r="P304" s="119"/>
      <c r="Q304" s="119"/>
      <c r="R304" s="119"/>
      <c r="S304" s="119"/>
      <c r="T304" s="119">
        <v>4.3</v>
      </c>
      <c r="U304" s="119"/>
      <c r="V304" s="119"/>
      <c r="W304" s="119"/>
      <c r="X304" s="119">
        <f t="shared" si="103"/>
        <v>4.3</v>
      </c>
      <c r="Y304" s="118">
        <f t="shared" si="104"/>
        <v>4.3</v>
      </c>
      <c r="Z304" s="109">
        <f t="shared" si="102"/>
        <v>165980</v>
      </c>
      <c r="AA304" s="109">
        <f>'CALCULO GERAL'!$G$10</f>
        <v>6300</v>
      </c>
      <c r="AB304" s="109">
        <f t="shared" si="105"/>
        <v>172280</v>
      </c>
      <c r="AC304" s="109">
        <f>AB304*'CALCULO GERAL'!$C$11</f>
        <v>864673.32000000007</v>
      </c>
      <c r="AD304" s="109">
        <f t="shared" si="106"/>
        <v>112407.53160000002</v>
      </c>
      <c r="AE304" s="109">
        <f t="shared" si="107"/>
        <v>0</v>
      </c>
      <c r="AF304" s="109">
        <f t="shared" si="108"/>
        <v>18158.139720000003</v>
      </c>
      <c r="AG304" s="109">
        <f t="shared" si="109"/>
        <v>83440.975380000003</v>
      </c>
      <c r="AH304" s="109">
        <v>154.22999999999999</v>
      </c>
      <c r="AI304" s="109">
        <f>((AA304*'CALCULO GERAL'!$C$11))*0.08+20</f>
        <v>2549.576</v>
      </c>
      <c r="AJ304" s="109">
        <v>1010</v>
      </c>
      <c r="AK304" s="109">
        <v>2500</v>
      </c>
      <c r="AL304" s="109">
        <f>(AA304*('CALCULO GERAL'!$C$11*1.02))-(AA304*'CALCULO GERAL'!$C$11)</f>
        <v>632.39400000000387</v>
      </c>
      <c r="AM304" s="109">
        <v>1800</v>
      </c>
      <c r="AN304" s="109">
        <v>2600</v>
      </c>
      <c r="AO304" s="109">
        <v>9400</v>
      </c>
      <c r="AP304" s="109">
        <v>1000</v>
      </c>
      <c r="AQ304" s="109">
        <v>0</v>
      </c>
      <c r="AR304" s="109">
        <v>0</v>
      </c>
      <c r="AS304" s="109"/>
      <c r="AT304" s="109">
        <f t="shared" si="173"/>
        <v>1100326.1666999999</v>
      </c>
      <c r="AU304" s="111">
        <f t="shared" si="110"/>
        <v>28.50585924093264</v>
      </c>
      <c r="AV304" s="109">
        <f>IFERROR((BS304*'CALCULO GERAL'!$E$11)/N304,0)</f>
        <v>0.65247000000000011</v>
      </c>
      <c r="AW304" s="109">
        <f>AU304/'CALCULO GERAL'!$C$11</f>
        <v>5.6795894084344765</v>
      </c>
      <c r="AX304" s="109">
        <f>BP304-BB304-BD304*'CALCULO GERAL'!$C$11</f>
        <v>32.134147499999997</v>
      </c>
      <c r="AY304" s="109">
        <f t="shared" si="111"/>
        <v>0.20887195874999998</v>
      </c>
      <c r="AZ304" s="109">
        <f t="shared" si="112"/>
        <v>0.96402442499999985</v>
      </c>
      <c r="BA304" s="109">
        <f t="shared" si="113"/>
        <v>32.6235</v>
      </c>
      <c r="BB304" s="109">
        <f t="shared" si="114"/>
        <v>0.48935249999999997</v>
      </c>
      <c r="BC304" s="109">
        <f t="shared" si="115"/>
        <v>32.6235</v>
      </c>
      <c r="BD304" s="109">
        <f t="shared" si="116"/>
        <v>0</v>
      </c>
      <c r="BE304" s="109">
        <f t="shared" si="117"/>
        <v>100741.36800000002</v>
      </c>
      <c r="BF304" s="109">
        <f t="shared" si="118"/>
        <v>151112.052</v>
      </c>
      <c r="BG304" s="109">
        <f t="shared" si="119"/>
        <v>0.35233379999999997</v>
      </c>
      <c r="BH304" s="109">
        <f t="shared" si="120"/>
        <v>0.39148200000000005</v>
      </c>
      <c r="BI304" s="109">
        <f t="shared" si="121"/>
        <v>-0.10554761139896379</v>
      </c>
      <c r="BJ304" s="109">
        <f t="shared" si="122"/>
        <v>2.9529870723510356</v>
      </c>
      <c r="BK304" s="109">
        <f t="shared" si="123"/>
        <v>31.458846313283676</v>
      </c>
      <c r="BL304" s="148">
        <v>0.89</v>
      </c>
      <c r="BM304" s="112">
        <f>ROUND((AW304/BL304)+((AW304*BL304)*'CALCULO GERAL'!$E$11)/BL304,2)</f>
        <v>6.5</v>
      </c>
      <c r="BN304" s="186">
        <f t="shared" si="174"/>
        <v>6.5</v>
      </c>
      <c r="BO304" s="186">
        <f t="shared" si="175"/>
        <v>7.6159999999999997</v>
      </c>
      <c r="BP304" s="109">
        <f>BM304*'CALCULO GERAL'!$C$11</f>
        <v>32.6235</v>
      </c>
      <c r="BQ304" s="109">
        <f>BO304*'CALCULO GERAL'!$C$11</f>
        <v>38.224704000000003</v>
      </c>
      <c r="BR304" s="186">
        <f>BN304*'CALCULO GERAL'!$C$11</f>
        <v>32.6235</v>
      </c>
      <c r="BS304" s="109">
        <f t="shared" si="124"/>
        <v>1259267.1000000001</v>
      </c>
      <c r="BT304" s="109">
        <f t="shared" si="125"/>
        <v>1259267.1000000001</v>
      </c>
      <c r="BU304" s="109">
        <f t="shared" si="179"/>
        <v>1214311.4676927498</v>
      </c>
      <c r="BV304" s="109">
        <f t="shared" si="176"/>
        <v>44955.632307250286</v>
      </c>
      <c r="BW304" s="114">
        <f t="shared" si="126"/>
        <v>3.5699838665879766E-2</v>
      </c>
      <c r="BX304" s="152">
        <f t="shared" si="180"/>
        <v>0.89</v>
      </c>
      <c r="BZ304" s="55"/>
      <c r="CA304" s="113"/>
      <c r="CB304" s="113"/>
      <c r="CD304" s="152">
        <f t="shared" si="181"/>
        <v>0</v>
      </c>
      <c r="CE304" s="152">
        <f t="shared" si="177"/>
        <v>1</v>
      </c>
      <c r="CF304" s="152">
        <f t="shared" si="178"/>
        <v>1</v>
      </c>
      <c r="CG304" s="34"/>
      <c r="CI304" s="11"/>
      <c r="CJ304" s="11"/>
    </row>
    <row r="305" spans="1:88" s="152" customFormat="1" x14ac:dyDescent="0.2">
      <c r="A305" s="507" t="s">
        <v>647</v>
      </c>
      <c r="B305" s="508" t="s">
        <v>648</v>
      </c>
      <c r="C305" s="509">
        <v>0.11</v>
      </c>
      <c r="D305" s="510">
        <v>0</v>
      </c>
      <c r="E305" s="511">
        <v>2.1000000000000001E-2</v>
      </c>
      <c r="F305" s="511">
        <v>9.6500000000000002E-2</v>
      </c>
      <c r="G305" s="512">
        <v>6.4999999999999997E-3</v>
      </c>
      <c r="H305" s="512">
        <v>0.03</v>
      </c>
      <c r="I305" s="512">
        <v>0.18</v>
      </c>
      <c r="J305" s="512">
        <v>0.04</v>
      </c>
      <c r="K305" s="512">
        <v>0.14000000000000001</v>
      </c>
      <c r="L305" s="512">
        <v>1.4999999999999999E-2</v>
      </c>
      <c r="M305" s="513" t="s">
        <v>175</v>
      </c>
      <c r="N305" s="514">
        <v>9</v>
      </c>
      <c r="O305" s="119"/>
      <c r="P305" s="119"/>
      <c r="Q305" s="119"/>
      <c r="R305" s="119"/>
      <c r="S305" s="119"/>
      <c r="T305" s="119">
        <v>4.0999999999999996</v>
      </c>
      <c r="U305" s="119"/>
      <c r="V305" s="119"/>
      <c r="W305" s="119"/>
      <c r="X305" s="119">
        <f t="shared" si="103"/>
        <v>4.0999999999999996</v>
      </c>
      <c r="Y305" s="118">
        <f t="shared" si="104"/>
        <v>4.0999999999999996</v>
      </c>
      <c r="Z305" s="109">
        <f t="shared" si="102"/>
        <v>36.9</v>
      </c>
      <c r="AA305" s="109">
        <f>'CALCULO GERAL'!$G$10</f>
        <v>6300</v>
      </c>
      <c r="AB305" s="109">
        <f t="shared" si="105"/>
        <v>6336.9</v>
      </c>
      <c r="AC305" s="109">
        <f>AB305*'CALCULO GERAL'!$C$11</f>
        <v>31804.901099999999</v>
      </c>
      <c r="AD305" s="109">
        <f t="shared" si="106"/>
        <v>3498.5391209999998</v>
      </c>
      <c r="AE305" s="109">
        <f t="shared" si="107"/>
        <v>0</v>
      </c>
      <c r="AF305" s="109">
        <f t="shared" si="108"/>
        <v>667.90292310000007</v>
      </c>
      <c r="AG305" s="109">
        <f t="shared" si="109"/>
        <v>3069.1729561500001</v>
      </c>
      <c r="AH305" s="109">
        <v>154.22999999999999</v>
      </c>
      <c r="AI305" s="109">
        <f>((AA305*'CALCULO GERAL'!$C$11))*0.08+20</f>
        <v>2549.576</v>
      </c>
      <c r="AJ305" s="109">
        <v>1010</v>
      </c>
      <c r="AK305" s="109">
        <v>2500</v>
      </c>
      <c r="AL305" s="109">
        <f>(AA305*('CALCULO GERAL'!$C$11*1.02))-(AA305*'CALCULO GERAL'!$C$11)</f>
        <v>632.39400000000387</v>
      </c>
      <c r="AM305" s="109">
        <v>1800</v>
      </c>
      <c r="AN305" s="109">
        <v>2600</v>
      </c>
      <c r="AO305" s="109">
        <v>9400</v>
      </c>
      <c r="AP305" s="109">
        <v>1000</v>
      </c>
      <c r="AQ305" s="109">
        <v>0</v>
      </c>
      <c r="AR305" s="109">
        <v>0</v>
      </c>
      <c r="AS305" s="109"/>
      <c r="AT305" s="109">
        <f t="shared" si="173"/>
        <v>60686.716100250007</v>
      </c>
      <c r="AU305" s="111">
        <f t="shared" si="110"/>
        <v>6742.9684555833337</v>
      </c>
      <c r="AV305" s="109">
        <f>IFERROR((BS305*'CALCULO GERAL'!$E$11)/N305,0)</f>
        <v>157.70802179999998</v>
      </c>
      <c r="AW305" s="109">
        <f>AU305/'CALCULO GERAL'!$C$11</f>
        <v>1343.4884350634256</v>
      </c>
      <c r="AX305" s="109">
        <f>BP305-BB305-BD305*'CALCULO GERAL'!$C$11</f>
        <v>7767.1200736499995</v>
      </c>
      <c r="AY305" s="109">
        <f t="shared" si="111"/>
        <v>50.486280478724993</v>
      </c>
      <c r="AZ305" s="109">
        <f t="shared" si="112"/>
        <v>233.01360220949996</v>
      </c>
      <c r="BA305" s="109">
        <f t="shared" si="113"/>
        <v>7885.4010899999994</v>
      </c>
      <c r="BB305" s="109">
        <f t="shared" si="114"/>
        <v>118.28101634999999</v>
      </c>
      <c r="BC305" s="109">
        <f t="shared" si="115"/>
        <v>7885.4010899999994</v>
      </c>
      <c r="BD305" s="109">
        <f t="shared" si="116"/>
        <v>0</v>
      </c>
      <c r="BE305" s="109">
        <f t="shared" si="117"/>
        <v>5677.4887847999998</v>
      </c>
      <c r="BF305" s="109">
        <f t="shared" si="118"/>
        <v>8516.2331771999998</v>
      </c>
      <c r="BG305" s="109">
        <f t="shared" si="119"/>
        <v>85.162331771999987</v>
      </c>
      <c r="BH305" s="109">
        <f t="shared" si="120"/>
        <v>94.624813079999996</v>
      </c>
      <c r="BI305" s="109">
        <f t="shared" si="121"/>
        <v>0</v>
      </c>
      <c r="BJ305" s="109">
        <f t="shared" si="122"/>
        <v>739.27606569022487</v>
      </c>
      <c r="BK305" s="109">
        <f t="shared" si="123"/>
        <v>7482.2445212735583</v>
      </c>
      <c r="BL305" s="148">
        <v>0.87</v>
      </c>
      <c r="BM305" s="112">
        <f>ROUND((AW305/BL305)+((AW305*BL305)*'CALCULO GERAL'!$E$11)/BL305,2)</f>
        <v>1571.11</v>
      </c>
      <c r="BN305" s="186">
        <f t="shared" si="174"/>
        <v>1571.11</v>
      </c>
      <c r="BO305" s="186">
        <f t="shared" si="175"/>
        <v>1840.806</v>
      </c>
      <c r="BP305" s="109">
        <f>BM305*'CALCULO GERAL'!$C$11</f>
        <v>7885.4010899999994</v>
      </c>
      <c r="BQ305" s="109">
        <f>BO305*'CALCULO GERAL'!$C$11</f>
        <v>9239.005314</v>
      </c>
      <c r="BR305" s="186">
        <f>BN305*'CALCULO GERAL'!$C$11</f>
        <v>7885.4010899999994</v>
      </c>
      <c r="BS305" s="109">
        <f t="shared" si="124"/>
        <v>70968.609809999994</v>
      </c>
      <c r="BT305" s="109">
        <f t="shared" si="125"/>
        <v>70968.609809999994</v>
      </c>
      <c r="BU305" s="109">
        <f t="shared" si="179"/>
        <v>67340.200691462029</v>
      </c>
      <c r="BV305" s="109">
        <f t="shared" si="176"/>
        <v>3628.4091185379657</v>
      </c>
      <c r="BW305" s="114">
        <f t="shared" si="126"/>
        <v>5.1126957795172935E-2</v>
      </c>
      <c r="BX305" s="152">
        <f t="shared" si="180"/>
        <v>0.87</v>
      </c>
      <c r="BZ305" s="55"/>
      <c r="CA305" s="113"/>
      <c r="CB305" s="113"/>
      <c r="CD305" s="152">
        <f t="shared" si="181"/>
        <v>0</v>
      </c>
      <c r="CE305" s="152">
        <f t="shared" si="177"/>
        <v>1</v>
      </c>
      <c r="CF305" s="152">
        <f t="shared" si="178"/>
        <v>1</v>
      </c>
      <c r="CG305" s="34"/>
      <c r="CI305" s="11"/>
      <c r="CJ305" s="11"/>
    </row>
    <row r="306" spans="1:88" s="152" customFormat="1" x14ac:dyDescent="0.2">
      <c r="A306" s="507" t="s">
        <v>649</v>
      </c>
      <c r="B306" s="508" t="s">
        <v>650</v>
      </c>
      <c r="C306" s="509">
        <v>0.05</v>
      </c>
      <c r="D306" s="510">
        <v>0</v>
      </c>
      <c r="E306" s="511">
        <v>2.1000000000000001E-2</v>
      </c>
      <c r="F306" s="511">
        <v>9.6500000000000002E-2</v>
      </c>
      <c r="G306" s="512">
        <v>6.4999999999999997E-3</v>
      </c>
      <c r="H306" s="512">
        <v>0.03</v>
      </c>
      <c r="I306" s="512">
        <v>0.18</v>
      </c>
      <c r="J306" s="512">
        <v>0.04</v>
      </c>
      <c r="K306" s="512">
        <v>0.14000000000000001</v>
      </c>
      <c r="L306" s="512">
        <v>1.4999999999999999E-2</v>
      </c>
      <c r="M306" s="513" t="s">
        <v>175</v>
      </c>
      <c r="N306" s="514">
        <v>58000</v>
      </c>
      <c r="O306" s="119"/>
      <c r="P306" s="119"/>
      <c r="Q306" s="119"/>
      <c r="R306" s="119"/>
      <c r="S306" s="119"/>
      <c r="T306" s="119">
        <v>4.8</v>
      </c>
      <c r="U306" s="119"/>
      <c r="V306" s="119"/>
      <c r="W306" s="119"/>
      <c r="X306" s="119">
        <f t="shared" si="103"/>
        <v>4.8</v>
      </c>
      <c r="Y306" s="118">
        <f t="shared" si="104"/>
        <v>4.8</v>
      </c>
      <c r="Z306" s="109">
        <f t="shared" si="102"/>
        <v>278400</v>
      </c>
      <c r="AA306" s="109">
        <f>'CALCULO GERAL'!$G$10</f>
        <v>6300</v>
      </c>
      <c r="AB306" s="109">
        <f t="shared" si="105"/>
        <v>284700</v>
      </c>
      <c r="AC306" s="109">
        <f>AB306*'CALCULO GERAL'!$C$11</f>
        <v>1428909.3</v>
      </c>
      <c r="AD306" s="109">
        <f t="shared" si="106"/>
        <v>71445.465000000011</v>
      </c>
      <c r="AE306" s="109">
        <f t="shared" si="107"/>
        <v>0</v>
      </c>
      <c r="AF306" s="109">
        <f t="shared" si="108"/>
        <v>30007.095300000004</v>
      </c>
      <c r="AG306" s="109">
        <f t="shared" si="109"/>
        <v>137889.74745</v>
      </c>
      <c r="AH306" s="109">
        <v>154.22999999999999</v>
      </c>
      <c r="AI306" s="109">
        <f>((AA306*'CALCULO GERAL'!$C$11))*0.08+20</f>
        <v>2549.576</v>
      </c>
      <c r="AJ306" s="109">
        <v>1010</v>
      </c>
      <c r="AK306" s="109">
        <v>2500</v>
      </c>
      <c r="AL306" s="109">
        <f>(AA306*('CALCULO GERAL'!$C$11*1.02))-(AA306*'CALCULO GERAL'!$C$11)</f>
        <v>632.39400000000387</v>
      </c>
      <c r="AM306" s="109">
        <v>1800</v>
      </c>
      <c r="AN306" s="109">
        <v>2600</v>
      </c>
      <c r="AO306" s="109">
        <v>9400</v>
      </c>
      <c r="AP306" s="109">
        <v>1000</v>
      </c>
      <c r="AQ306" s="109">
        <v>0</v>
      </c>
      <c r="AR306" s="109">
        <v>0</v>
      </c>
      <c r="AS306" s="109"/>
      <c r="AT306" s="109">
        <f t="shared" si="173"/>
        <v>1689897.8077499999</v>
      </c>
      <c r="AU306" s="111">
        <f t="shared" si="110"/>
        <v>29.136169099137931</v>
      </c>
      <c r="AV306" s="109">
        <f>IFERROR((BS306*'CALCULO GERAL'!$E$11)/N306,0)</f>
        <v>0.68961059999999996</v>
      </c>
      <c r="AW306" s="109">
        <f>AU306/'CALCULO GERAL'!$C$11</f>
        <v>5.805174158027083</v>
      </c>
      <c r="AX306" s="109">
        <f>BP306-BB306-BD306*'CALCULO GERAL'!$C$11</f>
        <v>33.963322050000002</v>
      </c>
      <c r="AY306" s="109">
        <f t="shared" si="111"/>
        <v>0.22076159332500001</v>
      </c>
      <c r="AZ306" s="109">
        <f t="shared" si="112"/>
        <v>1.0188996615000001</v>
      </c>
      <c r="BA306" s="109">
        <f t="shared" si="113"/>
        <v>34.480530000000002</v>
      </c>
      <c r="BB306" s="109">
        <f t="shared" si="114"/>
        <v>0.51720794999999997</v>
      </c>
      <c r="BC306" s="109">
        <f t="shared" si="115"/>
        <v>34.480530000000002</v>
      </c>
      <c r="BD306" s="109">
        <f t="shared" si="116"/>
        <v>0</v>
      </c>
      <c r="BE306" s="109">
        <f t="shared" si="117"/>
        <v>159989.65919999999</v>
      </c>
      <c r="BF306" s="109">
        <f t="shared" si="118"/>
        <v>239984.48879999999</v>
      </c>
      <c r="BG306" s="109">
        <f t="shared" si="119"/>
        <v>0.37238972399999998</v>
      </c>
      <c r="BH306" s="109">
        <f t="shared" si="120"/>
        <v>0.41376636</v>
      </c>
      <c r="BI306" s="109">
        <f t="shared" si="121"/>
        <v>-0.17239598137931036</v>
      </c>
      <c r="BJ306" s="109">
        <f t="shared" si="122"/>
        <v>3.0602399074456894</v>
      </c>
      <c r="BK306" s="109">
        <f t="shared" si="123"/>
        <v>32.196409006583622</v>
      </c>
      <c r="BL306" s="148">
        <v>0.86</v>
      </c>
      <c r="BM306" s="112">
        <f>ROUND((AW306/BL306)+((AW306*BL306)*'CALCULO GERAL'!$E$11)/BL306,2)</f>
        <v>6.87</v>
      </c>
      <c r="BN306" s="186">
        <f t="shared" si="174"/>
        <v>6.87</v>
      </c>
      <c r="BO306" s="186">
        <f t="shared" si="175"/>
        <v>8.0489999999999995</v>
      </c>
      <c r="BP306" s="109">
        <f>BM306*'CALCULO GERAL'!$C$11</f>
        <v>34.480530000000002</v>
      </c>
      <c r="BQ306" s="109">
        <f>BO306*'CALCULO GERAL'!$C$11</f>
        <v>40.397931</v>
      </c>
      <c r="BR306" s="186">
        <f>BN306*'CALCULO GERAL'!$C$11</f>
        <v>34.480530000000002</v>
      </c>
      <c r="BS306" s="109">
        <f t="shared" si="124"/>
        <v>1999870.74</v>
      </c>
      <c r="BT306" s="109">
        <f t="shared" si="125"/>
        <v>1999870.74</v>
      </c>
      <c r="BU306" s="109">
        <f t="shared" si="179"/>
        <v>1867391.72238185</v>
      </c>
      <c r="BV306" s="109">
        <f t="shared" si="176"/>
        <v>132479.01761814998</v>
      </c>
      <c r="BW306" s="114">
        <f t="shared" si="126"/>
        <v>6.6243790145232073E-2</v>
      </c>
      <c r="BX306" s="152">
        <f t="shared" si="180"/>
        <v>0.86</v>
      </c>
      <c r="BZ306" s="55"/>
      <c r="CA306" s="113"/>
      <c r="CB306" s="113"/>
      <c r="CD306" s="152">
        <f t="shared" si="181"/>
        <v>0</v>
      </c>
      <c r="CE306" s="152">
        <f t="shared" si="177"/>
        <v>1</v>
      </c>
      <c r="CF306" s="152">
        <f t="shared" si="178"/>
        <v>1</v>
      </c>
      <c r="CG306" s="34"/>
      <c r="CI306" s="11"/>
      <c r="CJ306" s="11"/>
    </row>
    <row r="307" spans="1:88" s="152" customFormat="1" x14ac:dyDescent="0.2">
      <c r="A307" s="507" t="s">
        <v>651</v>
      </c>
      <c r="B307" s="508" t="s">
        <v>650</v>
      </c>
      <c r="C307" s="509">
        <v>0.05</v>
      </c>
      <c r="D307" s="510">
        <v>0</v>
      </c>
      <c r="E307" s="511">
        <v>2.1000000000000001E-2</v>
      </c>
      <c r="F307" s="511">
        <v>9.6500000000000002E-2</v>
      </c>
      <c r="G307" s="512">
        <v>6.4999999999999997E-3</v>
      </c>
      <c r="H307" s="512">
        <v>0.03</v>
      </c>
      <c r="I307" s="512">
        <v>0.18</v>
      </c>
      <c r="J307" s="512">
        <v>0.04</v>
      </c>
      <c r="K307" s="512">
        <v>0.14000000000000001</v>
      </c>
      <c r="L307" s="512">
        <v>1.4999999999999999E-2</v>
      </c>
      <c r="M307" s="513" t="s">
        <v>175</v>
      </c>
      <c r="N307" s="514">
        <v>45000</v>
      </c>
      <c r="O307" s="119">
        <v>900</v>
      </c>
      <c r="P307" s="119"/>
      <c r="Q307" s="119"/>
      <c r="R307" s="119"/>
      <c r="S307" s="119"/>
      <c r="T307" s="119"/>
      <c r="U307" s="119"/>
      <c r="V307" s="119"/>
      <c r="W307" s="119"/>
      <c r="X307" s="119">
        <f t="shared" si="103"/>
        <v>900</v>
      </c>
      <c r="Y307" s="118">
        <f t="shared" si="104"/>
        <v>900</v>
      </c>
      <c r="Z307" s="109">
        <f t="shared" si="102"/>
        <v>40500000</v>
      </c>
      <c r="AA307" s="109">
        <f>'CALCULO GERAL'!$G$10</f>
        <v>6300</v>
      </c>
      <c r="AB307" s="109">
        <f t="shared" si="105"/>
        <v>40506300</v>
      </c>
      <c r="AC307" s="109">
        <f>AB307*'CALCULO GERAL'!$C$11</f>
        <v>203301119.70000002</v>
      </c>
      <c r="AD307" s="109">
        <f t="shared" si="106"/>
        <v>10165055.985000001</v>
      </c>
      <c r="AE307" s="109">
        <f t="shared" si="107"/>
        <v>0</v>
      </c>
      <c r="AF307" s="109">
        <f t="shared" si="108"/>
        <v>4269323.5137000009</v>
      </c>
      <c r="AG307" s="109">
        <f t="shared" si="109"/>
        <v>19618558.051050004</v>
      </c>
      <c r="AH307" s="109">
        <v>154.22999999999999</v>
      </c>
      <c r="AI307" s="109">
        <f>((AA307*'CALCULO GERAL'!$C$11))*0.08+20</f>
        <v>2549.576</v>
      </c>
      <c r="AJ307" s="109">
        <v>1010</v>
      </c>
      <c r="AK307" s="109">
        <v>2500</v>
      </c>
      <c r="AL307" s="109">
        <f>(AA307*('CALCULO GERAL'!$C$11*1.02))-(AA307*'CALCULO GERAL'!$C$11)</f>
        <v>632.39400000000387</v>
      </c>
      <c r="AM307" s="109">
        <v>1800</v>
      </c>
      <c r="AN307" s="109">
        <v>2600</v>
      </c>
      <c r="AO307" s="109">
        <v>9400</v>
      </c>
      <c r="AP307" s="109">
        <v>1000</v>
      </c>
      <c r="AQ307" s="109">
        <v>0</v>
      </c>
      <c r="AR307" s="109">
        <v>0</v>
      </c>
      <c r="AS307" s="109"/>
      <c r="AT307" s="109">
        <f t="shared" si="173"/>
        <v>237375703.44975004</v>
      </c>
      <c r="AU307" s="111">
        <f t="shared" si="110"/>
        <v>5275.0156322166677</v>
      </c>
      <c r="AV307" s="109">
        <f>IFERROR((BS307*'CALCULO GERAL'!$E$11)/N307,0)</f>
        <v>122.68142460000001</v>
      </c>
      <c r="AW307" s="109">
        <f>AU307/'CALCULO GERAL'!$C$11</f>
        <v>1051.009291137013</v>
      </c>
      <c r="AX307" s="109">
        <f>BP307-BB307-BD307*'CALCULO GERAL'!$C$11</f>
        <v>6042.0601615500009</v>
      </c>
      <c r="AY307" s="109">
        <f t="shared" si="111"/>
        <v>39.273391050075006</v>
      </c>
      <c r="AZ307" s="109">
        <f t="shared" si="112"/>
        <v>181.26180484650001</v>
      </c>
      <c r="BA307" s="109">
        <f t="shared" si="113"/>
        <v>6134.0712300000005</v>
      </c>
      <c r="BB307" s="109">
        <f t="shared" si="114"/>
        <v>92.01106845000001</v>
      </c>
      <c r="BC307" s="109">
        <f t="shared" si="115"/>
        <v>6134.0712300000005</v>
      </c>
      <c r="BD307" s="109">
        <f t="shared" si="116"/>
        <v>0</v>
      </c>
      <c r="BE307" s="109">
        <f t="shared" si="117"/>
        <v>22082656.428000003</v>
      </c>
      <c r="BF307" s="109">
        <f t="shared" si="118"/>
        <v>33123984.642000001</v>
      </c>
      <c r="BG307" s="109">
        <f t="shared" si="119"/>
        <v>66.247969283999993</v>
      </c>
      <c r="BH307" s="109">
        <f t="shared" si="120"/>
        <v>73.60885476</v>
      </c>
      <c r="BI307" s="109">
        <f t="shared" si="121"/>
        <v>-48.939236528888905</v>
      </c>
      <c r="BJ307" s="109">
        <f t="shared" si="122"/>
        <v>526.14527646168608</v>
      </c>
      <c r="BK307" s="109">
        <f t="shared" si="123"/>
        <v>5801.1609086783537</v>
      </c>
      <c r="BL307" s="148">
        <v>0.875</v>
      </c>
      <c r="BM307" s="112">
        <f>ROUND((AW307/BL307)+((AW307*BL307)*'CALCULO GERAL'!$E$11)/BL307,2)</f>
        <v>1222.17</v>
      </c>
      <c r="BN307" s="186">
        <f t="shared" si="174"/>
        <v>1222.17</v>
      </c>
      <c r="BO307" s="186">
        <f t="shared" si="175"/>
        <v>1431.9670000000001</v>
      </c>
      <c r="BP307" s="109">
        <f>BM307*'CALCULO GERAL'!$C$11</f>
        <v>6134.0712300000005</v>
      </c>
      <c r="BQ307" s="109">
        <f>BO307*'CALCULO GERAL'!$C$11</f>
        <v>7187.0423730000002</v>
      </c>
      <c r="BR307" s="186">
        <f>BN307*'CALCULO GERAL'!$C$11</f>
        <v>6134.0712300000005</v>
      </c>
      <c r="BS307" s="109">
        <f t="shared" si="124"/>
        <v>276033205.35000002</v>
      </c>
      <c r="BT307" s="109">
        <f t="shared" si="125"/>
        <v>276033205.35000002</v>
      </c>
      <c r="BU307" s="109">
        <f t="shared" si="179"/>
        <v>261052240.89052591</v>
      </c>
      <c r="BV307" s="109">
        <f t="shared" si="176"/>
        <v>14980964.459474117</v>
      </c>
      <c r="BW307" s="114">
        <f t="shared" si="126"/>
        <v>5.4272327274824783E-2</v>
      </c>
      <c r="BX307" s="152">
        <f t="shared" si="180"/>
        <v>0.88</v>
      </c>
      <c r="BZ307" s="55"/>
      <c r="CA307" s="113"/>
      <c r="CB307" s="113"/>
      <c r="CD307" s="152">
        <f t="shared" si="181"/>
        <v>0</v>
      </c>
      <c r="CE307" s="152">
        <f t="shared" si="177"/>
        <v>1</v>
      </c>
      <c r="CF307" s="152">
        <f t="shared" si="178"/>
        <v>1</v>
      </c>
      <c r="CG307" s="34"/>
      <c r="CI307" s="11"/>
      <c r="CJ307" s="11"/>
    </row>
    <row r="308" spans="1:88" s="152" customFormat="1" x14ac:dyDescent="0.2">
      <c r="A308" s="507" t="s">
        <v>652</v>
      </c>
      <c r="B308" s="508" t="s">
        <v>650</v>
      </c>
      <c r="C308" s="509">
        <v>0.05</v>
      </c>
      <c r="D308" s="510">
        <v>0</v>
      </c>
      <c r="E308" s="511">
        <v>2.1000000000000001E-2</v>
      </c>
      <c r="F308" s="511">
        <v>9.6500000000000002E-2</v>
      </c>
      <c r="G308" s="512">
        <v>6.4999999999999997E-3</v>
      </c>
      <c r="H308" s="512">
        <v>0.03</v>
      </c>
      <c r="I308" s="512">
        <v>0.18</v>
      </c>
      <c r="J308" s="512">
        <v>0.04</v>
      </c>
      <c r="K308" s="512">
        <v>0.14000000000000001</v>
      </c>
      <c r="L308" s="512">
        <v>1.4999999999999999E-2</v>
      </c>
      <c r="M308" s="513" t="s">
        <v>175</v>
      </c>
      <c r="N308" s="514">
        <v>45000</v>
      </c>
      <c r="O308" s="119">
        <v>0.26</v>
      </c>
      <c r="P308" s="119"/>
      <c r="Q308" s="119"/>
      <c r="R308" s="119"/>
      <c r="S308" s="119"/>
      <c r="T308" s="119"/>
      <c r="U308" s="119"/>
      <c r="V308" s="119"/>
      <c r="W308" s="119"/>
      <c r="X308" s="119">
        <f t="shared" si="103"/>
        <v>0.26</v>
      </c>
      <c r="Y308" s="118">
        <f t="shared" si="104"/>
        <v>0.26</v>
      </c>
      <c r="Z308" s="109">
        <f t="shared" ref="Z308:Z328" si="182">Y308*N308</f>
        <v>11700</v>
      </c>
      <c r="AA308" s="109">
        <f>'CALCULO GERAL'!$G$10</f>
        <v>6300</v>
      </c>
      <c r="AB308" s="109">
        <f t="shared" si="105"/>
        <v>18000</v>
      </c>
      <c r="AC308" s="109">
        <f>AB308*'CALCULO GERAL'!$C$11</f>
        <v>90342</v>
      </c>
      <c r="AD308" s="109">
        <f t="shared" si="106"/>
        <v>4517.1000000000004</v>
      </c>
      <c r="AE308" s="109">
        <f t="shared" si="107"/>
        <v>0</v>
      </c>
      <c r="AF308" s="109">
        <f t="shared" si="108"/>
        <v>1897.182</v>
      </c>
      <c r="AG308" s="109">
        <f t="shared" si="109"/>
        <v>8718.0030000000006</v>
      </c>
      <c r="AH308" s="109">
        <v>154.22999999999999</v>
      </c>
      <c r="AI308" s="109">
        <f>((AA308*'CALCULO GERAL'!$C$11))*0.08+20</f>
        <v>2549.576</v>
      </c>
      <c r="AJ308" s="109">
        <v>1010</v>
      </c>
      <c r="AK308" s="109">
        <v>2500</v>
      </c>
      <c r="AL308" s="109">
        <f>(AA308*('CALCULO GERAL'!$C$11*1.02))-(AA308*'CALCULO GERAL'!$C$11)</f>
        <v>632.39400000000387</v>
      </c>
      <c r="AM308" s="109">
        <v>1800</v>
      </c>
      <c r="AN308" s="109">
        <v>2600</v>
      </c>
      <c r="AO308" s="109">
        <v>9400</v>
      </c>
      <c r="AP308" s="109">
        <v>1000</v>
      </c>
      <c r="AQ308" s="109">
        <v>0</v>
      </c>
      <c r="AR308" s="109">
        <v>0</v>
      </c>
      <c r="AS308" s="109"/>
      <c r="AT308" s="109">
        <f t="shared" si="173"/>
        <v>127120.485</v>
      </c>
      <c r="AU308" s="111">
        <f t="shared" si="110"/>
        <v>2.8248996666666666</v>
      </c>
      <c r="AV308" s="109">
        <f>IFERROR((BS308*'CALCULO GERAL'!$E$11)/N308,0)</f>
        <v>7.0265999999999981E-2</v>
      </c>
      <c r="AW308" s="109">
        <f>AU308/'CALCULO GERAL'!$C$11</f>
        <v>0.56284113701268512</v>
      </c>
      <c r="AX308" s="109">
        <f>BP308-BB308-BD308*'CALCULO GERAL'!$C$11</f>
        <v>3.4606004999999995</v>
      </c>
      <c r="AY308" s="109">
        <f t="shared" si="111"/>
        <v>2.2493903249999996E-2</v>
      </c>
      <c r="AZ308" s="109">
        <f t="shared" si="112"/>
        <v>0.10381801499999999</v>
      </c>
      <c r="BA308" s="109">
        <f t="shared" si="113"/>
        <v>3.5132999999999996</v>
      </c>
      <c r="BB308" s="109">
        <f t="shared" si="114"/>
        <v>5.2699499999999989E-2</v>
      </c>
      <c r="BC308" s="109">
        <f t="shared" si="115"/>
        <v>3.5132999999999996</v>
      </c>
      <c r="BD308" s="109">
        <f t="shared" si="116"/>
        <v>0</v>
      </c>
      <c r="BE308" s="109">
        <f t="shared" si="117"/>
        <v>12647.879999999997</v>
      </c>
      <c r="BF308" s="109">
        <f t="shared" si="118"/>
        <v>18971.819999999996</v>
      </c>
      <c r="BG308" s="109">
        <f t="shared" si="119"/>
        <v>3.7943639999999987E-2</v>
      </c>
      <c r="BH308" s="109">
        <f t="shared" si="120"/>
        <v>4.2159599999999992E-2</v>
      </c>
      <c r="BI308" s="109">
        <f t="shared" si="121"/>
        <v>0</v>
      </c>
      <c r="BJ308" s="109">
        <f t="shared" si="122"/>
        <v>0.32938065824999996</v>
      </c>
      <c r="BK308" s="109">
        <f t="shared" si="123"/>
        <v>3.1542803249166664</v>
      </c>
      <c r="BL308" s="148">
        <v>0.82</v>
      </c>
      <c r="BM308" s="112">
        <f>ROUND((AW308/BL308)+((AW308*BL308)*'CALCULO GERAL'!$E$11)/BL308,2)</f>
        <v>0.7</v>
      </c>
      <c r="BN308" s="186">
        <f t="shared" si="174"/>
        <v>0.7</v>
      </c>
      <c r="BO308" s="186">
        <f t="shared" si="175"/>
        <v>0.82</v>
      </c>
      <c r="BP308" s="109">
        <f>BM308*'CALCULO GERAL'!$C$11</f>
        <v>3.5132999999999996</v>
      </c>
      <c r="BQ308" s="109">
        <f>BO308*'CALCULO GERAL'!$C$11</f>
        <v>4.1155799999999996</v>
      </c>
      <c r="BR308" s="186">
        <f>BN308*'CALCULO GERAL'!$C$11</f>
        <v>3.5132999999999996</v>
      </c>
      <c r="BS308" s="109">
        <f t="shared" si="124"/>
        <v>158098.49999999997</v>
      </c>
      <c r="BT308" s="109">
        <f t="shared" si="125"/>
        <v>158098.49999999997</v>
      </c>
      <c r="BU308" s="109">
        <f t="shared" si="179"/>
        <v>141942.61462124999</v>
      </c>
      <c r="BV308" s="109">
        <f t="shared" si="176"/>
        <v>16155.885378749983</v>
      </c>
      <c r="BW308" s="114">
        <f t="shared" si="126"/>
        <v>0.10218873283902115</v>
      </c>
      <c r="BX308" s="152">
        <f t="shared" si="180"/>
        <v>0.82</v>
      </c>
      <c r="BZ308" s="55"/>
      <c r="CA308" s="113"/>
      <c r="CB308" s="113"/>
      <c r="CD308" s="152">
        <f t="shared" si="181"/>
        <v>0</v>
      </c>
      <c r="CE308" s="152">
        <f t="shared" si="177"/>
        <v>1</v>
      </c>
      <c r="CF308" s="152">
        <f t="shared" si="178"/>
        <v>1</v>
      </c>
      <c r="CG308" s="34"/>
      <c r="CI308" s="11"/>
      <c r="CJ308" s="11"/>
    </row>
    <row r="309" spans="1:88" s="152" customFormat="1" x14ac:dyDescent="0.2">
      <c r="A309" s="507" t="s">
        <v>653</v>
      </c>
      <c r="B309" s="508" t="s">
        <v>650</v>
      </c>
      <c r="C309" s="509">
        <v>0.05</v>
      </c>
      <c r="D309" s="510">
        <v>0</v>
      </c>
      <c r="E309" s="511">
        <v>2.1000000000000001E-2</v>
      </c>
      <c r="F309" s="511">
        <v>9.6500000000000002E-2</v>
      </c>
      <c r="G309" s="512">
        <v>6.4999999999999997E-3</v>
      </c>
      <c r="H309" s="512">
        <v>0.03</v>
      </c>
      <c r="I309" s="512">
        <v>0.18</v>
      </c>
      <c r="J309" s="512">
        <v>0.04</v>
      </c>
      <c r="K309" s="512">
        <v>0.14000000000000001</v>
      </c>
      <c r="L309" s="512">
        <v>1.4999999999999999E-2</v>
      </c>
      <c r="M309" s="513" t="s">
        <v>175</v>
      </c>
      <c r="N309" s="514">
        <v>58000</v>
      </c>
      <c r="O309" s="119">
        <v>1.57</v>
      </c>
      <c r="P309" s="119"/>
      <c r="Q309" s="119"/>
      <c r="R309" s="119"/>
      <c r="S309" s="119"/>
      <c r="T309" s="119"/>
      <c r="U309" s="119"/>
      <c r="V309" s="119"/>
      <c r="W309" s="119"/>
      <c r="X309" s="119">
        <f t="shared" si="103"/>
        <v>1.57</v>
      </c>
      <c r="Y309" s="118">
        <f t="shared" si="104"/>
        <v>1.57</v>
      </c>
      <c r="Z309" s="109">
        <f t="shared" si="182"/>
        <v>91060</v>
      </c>
      <c r="AA309" s="109">
        <f>'CALCULO GERAL'!$G$10</f>
        <v>6300</v>
      </c>
      <c r="AB309" s="109">
        <f t="shared" si="105"/>
        <v>97360</v>
      </c>
      <c r="AC309" s="109">
        <f>AB309*'CALCULO GERAL'!$C$11</f>
        <v>488649.84</v>
      </c>
      <c r="AD309" s="109">
        <f t="shared" si="106"/>
        <v>24432.492000000002</v>
      </c>
      <c r="AE309" s="109">
        <f t="shared" si="107"/>
        <v>0</v>
      </c>
      <c r="AF309" s="109">
        <f t="shared" si="108"/>
        <v>10261.646640000001</v>
      </c>
      <c r="AG309" s="109">
        <f t="shared" si="109"/>
        <v>47154.709560000003</v>
      </c>
      <c r="AH309" s="109">
        <v>154.22999999999999</v>
      </c>
      <c r="AI309" s="109">
        <f>((AA309*'CALCULO GERAL'!$C$11))*0.08+20</f>
        <v>2549.576</v>
      </c>
      <c r="AJ309" s="109">
        <v>1010</v>
      </c>
      <c r="AK309" s="109">
        <v>2500</v>
      </c>
      <c r="AL309" s="109">
        <f>(AA309*('CALCULO GERAL'!$C$11*1.02))-(AA309*'CALCULO GERAL'!$C$11)</f>
        <v>632.39400000000387</v>
      </c>
      <c r="AM309" s="109">
        <v>1800</v>
      </c>
      <c r="AN309" s="109">
        <v>2600</v>
      </c>
      <c r="AO309" s="109">
        <v>9400</v>
      </c>
      <c r="AP309" s="109">
        <v>1000</v>
      </c>
      <c r="AQ309" s="109">
        <v>0</v>
      </c>
      <c r="AR309" s="109">
        <v>0</v>
      </c>
      <c r="AS309" s="109"/>
      <c r="AT309" s="109">
        <f t="shared" si="173"/>
        <v>592144.88820000004</v>
      </c>
      <c r="AU309" s="111">
        <f t="shared" si="110"/>
        <v>10.209394624137932</v>
      </c>
      <c r="AV309" s="109">
        <f>IFERROR((BS309*'CALCULO GERAL'!$E$11)/N309,0)</f>
        <v>0.2529576</v>
      </c>
      <c r="AW309" s="109">
        <f>AU309/'CALCULO GERAL'!$C$11</f>
        <v>2.0341491580270836</v>
      </c>
      <c r="AX309" s="109">
        <f>BP309-BB309-BD309*'CALCULO GERAL'!$C$11</f>
        <v>12.458161800000001</v>
      </c>
      <c r="AY309" s="109">
        <f t="shared" si="111"/>
        <v>8.0978051699999998E-2</v>
      </c>
      <c r="AZ309" s="109">
        <f t="shared" si="112"/>
        <v>0.37374485400000002</v>
      </c>
      <c r="BA309" s="109">
        <f t="shared" si="113"/>
        <v>12.647880000000001</v>
      </c>
      <c r="BB309" s="109">
        <f t="shared" si="114"/>
        <v>0.1897182</v>
      </c>
      <c r="BC309" s="109">
        <f t="shared" si="115"/>
        <v>12.647880000000001</v>
      </c>
      <c r="BD309" s="109">
        <f t="shared" si="116"/>
        <v>0</v>
      </c>
      <c r="BE309" s="109">
        <f t="shared" si="117"/>
        <v>58686.163200000003</v>
      </c>
      <c r="BF309" s="109">
        <f t="shared" si="118"/>
        <v>88029.2448</v>
      </c>
      <c r="BG309" s="109">
        <f t="shared" si="119"/>
        <v>0.136597104</v>
      </c>
      <c r="BH309" s="109">
        <f t="shared" si="120"/>
        <v>0.15177456</v>
      </c>
      <c r="BI309" s="109">
        <f t="shared" si="121"/>
        <v>0</v>
      </c>
      <c r="BJ309" s="109">
        <f t="shared" si="122"/>
        <v>1.1857703696999999</v>
      </c>
      <c r="BK309" s="109">
        <f t="shared" si="123"/>
        <v>11.395164993837932</v>
      </c>
      <c r="BL309" s="148">
        <v>0.82</v>
      </c>
      <c r="BM309" s="112">
        <f>ROUND((AW309/BL309)+((AW309*BL309)*'CALCULO GERAL'!$E$11)/BL309,2)</f>
        <v>2.52</v>
      </c>
      <c r="BN309" s="186">
        <f t="shared" si="174"/>
        <v>2.52</v>
      </c>
      <c r="BO309" s="186">
        <f t="shared" si="175"/>
        <v>2.9529999999999998</v>
      </c>
      <c r="BP309" s="109">
        <f>BM309*'CALCULO GERAL'!$C$11</f>
        <v>12.647880000000001</v>
      </c>
      <c r="BQ309" s="109">
        <f>BO309*'CALCULO GERAL'!$C$11</f>
        <v>14.821107</v>
      </c>
      <c r="BR309" s="186">
        <f>BN309*'CALCULO GERAL'!$C$11</f>
        <v>12.647880000000001</v>
      </c>
      <c r="BS309" s="109">
        <f t="shared" si="124"/>
        <v>733577.04</v>
      </c>
      <c r="BT309" s="109">
        <f t="shared" si="125"/>
        <v>733577.04</v>
      </c>
      <c r="BU309" s="109">
        <f t="shared" si="179"/>
        <v>660919.56964260002</v>
      </c>
      <c r="BV309" s="109">
        <f t="shared" si="176"/>
        <v>72657.470357400016</v>
      </c>
      <c r="BW309" s="114">
        <f t="shared" si="126"/>
        <v>9.9045453163855851E-2</v>
      </c>
      <c r="BX309" s="152">
        <f t="shared" si="180"/>
        <v>0.82</v>
      </c>
      <c r="BZ309" s="55"/>
      <c r="CA309" s="113"/>
      <c r="CB309" s="113"/>
      <c r="CD309" s="152">
        <f t="shared" si="181"/>
        <v>0</v>
      </c>
      <c r="CE309" s="152">
        <f t="shared" si="177"/>
        <v>1</v>
      </c>
      <c r="CF309" s="152">
        <f t="shared" si="178"/>
        <v>1</v>
      </c>
      <c r="CG309" s="34"/>
      <c r="CI309" s="11"/>
      <c r="CJ309" s="11"/>
    </row>
    <row r="310" spans="1:88" s="152" customFormat="1" x14ac:dyDescent="0.2">
      <c r="A310" s="507" t="s">
        <v>654</v>
      </c>
      <c r="B310" s="508" t="s">
        <v>650</v>
      </c>
      <c r="C310" s="509">
        <v>0.05</v>
      </c>
      <c r="D310" s="510">
        <v>0</v>
      </c>
      <c r="E310" s="511">
        <v>2.1000000000000001E-2</v>
      </c>
      <c r="F310" s="511">
        <v>9.6500000000000002E-2</v>
      </c>
      <c r="G310" s="512">
        <v>6.4999999999999997E-3</v>
      </c>
      <c r="H310" s="512">
        <v>0.03</v>
      </c>
      <c r="I310" s="512">
        <v>0.18</v>
      </c>
      <c r="J310" s="512">
        <v>0.04</v>
      </c>
      <c r="K310" s="512">
        <v>0.14000000000000001</v>
      </c>
      <c r="L310" s="512">
        <v>1.4999999999999999E-2</v>
      </c>
      <c r="M310" s="513" t="s">
        <v>175</v>
      </c>
      <c r="N310" s="514">
        <v>8000</v>
      </c>
      <c r="O310" s="119">
        <v>1.27</v>
      </c>
      <c r="P310" s="119"/>
      <c r="Q310" s="119"/>
      <c r="R310" s="119"/>
      <c r="S310" s="119"/>
      <c r="T310" s="119"/>
      <c r="U310" s="119"/>
      <c r="V310" s="119"/>
      <c r="W310" s="119"/>
      <c r="X310" s="119">
        <f t="shared" si="103"/>
        <v>1.27</v>
      </c>
      <c r="Y310" s="118">
        <f t="shared" si="104"/>
        <v>1.27</v>
      </c>
      <c r="Z310" s="109">
        <f t="shared" si="182"/>
        <v>10160</v>
      </c>
      <c r="AA310" s="109">
        <f>'CALCULO GERAL'!$G$10</f>
        <v>6300</v>
      </c>
      <c r="AB310" s="109">
        <f t="shared" si="105"/>
        <v>16460</v>
      </c>
      <c r="AC310" s="109">
        <f>AB310*'CALCULO GERAL'!$C$11</f>
        <v>82612.740000000005</v>
      </c>
      <c r="AD310" s="109">
        <f t="shared" si="106"/>
        <v>4130.6370000000006</v>
      </c>
      <c r="AE310" s="109">
        <f t="shared" si="107"/>
        <v>0</v>
      </c>
      <c r="AF310" s="109">
        <f t="shared" si="108"/>
        <v>1734.8675400000002</v>
      </c>
      <c r="AG310" s="109">
        <f t="shared" si="109"/>
        <v>7972.1294100000005</v>
      </c>
      <c r="AH310" s="109">
        <v>154.22999999999999</v>
      </c>
      <c r="AI310" s="109">
        <f>((AA310*'CALCULO GERAL'!$C$11))*0.08+20</f>
        <v>2549.576</v>
      </c>
      <c r="AJ310" s="109">
        <v>1010</v>
      </c>
      <c r="AK310" s="109">
        <v>2500</v>
      </c>
      <c r="AL310" s="109">
        <f>(AA310*('CALCULO GERAL'!$C$11*1.02))-(AA310*'CALCULO GERAL'!$C$11)</f>
        <v>632.39400000000387</v>
      </c>
      <c r="AM310" s="109">
        <v>1800</v>
      </c>
      <c r="AN310" s="109">
        <v>2600</v>
      </c>
      <c r="AO310" s="109">
        <v>9400</v>
      </c>
      <c r="AP310" s="109">
        <v>1000</v>
      </c>
      <c r="AQ310" s="109">
        <v>0</v>
      </c>
      <c r="AR310" s="109">
        <v>0</v>
      </c>
      <c r="AS310" s="109"/>
      <c r="AT310" s="109">
        <f t="shared" si="173"/>
        <v>118096.57395000001</v>
      </c>
      <c r="AU310" s="111">
        <f t="shared" si="110"/>
        <v>14.762071743750001</v>
      </c>
      <c r="AV310" s="109">
        <f>IFERROR((BS310*'CALCULO GERAL'!$E$11)/N310,0)</f>
        <v>0.36638700000000002</v>
      </c>
      <c r="AW310" s="109">
        <f>AU310/'CALCULO GERAL'!$C$11</f>
        <v>2.9412376456963538</v>
      </c>
      <c r="AX310" s="109">
        <f>BP310-BB310-BD310*'CALCULO GERAL'!$C$11</f>
        <v>18.044559750000001</v>
      </c>
      <c r="AY310" s="109">
        <f t="shared" si="111"/>
        <v>0.117289638375</v>
      </c>
      <c r="AZ310" s="109">
        <f t="shared" si="112"/>
        <v>0.5413367925</v>
      </c>
      <c r="BA310" s="109">
        <f t="shared" si="113"/>
        <v>18.31935</v>
      </c>
      <c r="BB310" s="109">
        <f t="shared" si="114"/>
        <v>0.27479025000000001</v>
      </c>
      <c r="BC310" s="109">
        <f t="shared" si="115"/>
        <v>18.31935</v>
      </c>
      <c r="BD310" s="109">
        <f t="shared" si="116"/>
        <v>0</v>
      </c>
      <c r="BE310" s="109">
        <f t="shared" si="117"/>
        <v>11724.384</v>
      </c>
      <c r="BF310" s="109">
        <f t="shared" si="118"/>
        <v>17586.575999999997</v>
      </c>
      <c r="BG310" s="109">
        <f t="shared" si="119"/>
        <v>0.19784897999999995</v>
      </c>
      <c r="BH310" s="109">
        <f t="shared" si="120"/>
        <v>0.21983220000000001</v>
      </c>
      <c r="BI310" s="109">
        <f t="shared" si="121"/>
        <v>0</v>
      </c>
      <c r="BJ310" s="109">
        <f t="shared" si="122"/>
        <v>1.717484860875</v>
      </c>
      <c r="BK310" s="109">
        <f t="shared" si="123"/>
        <v>16.479556604624999</v>
      </c>
      <c r="BL310" s="148">
        <v>0.82</v>
      </c>
      <c r="BM310" s="112">
        <f>ROUND((AW310/BL310)+((AW310*BL310)*'CALCULO GERAL'!$E$11)/BL310,2)</f>
        <v>3.65</v>
      </c>
      <c r="BN310" s="186">
        <f t="shared" si="174"/>
        <v>3.65</v>
      </c>
      <c r="BO310" s="186">
        <f t="shared" si="175"/>
        <v>4.2770000000000001</v>
      </c>
      <c r="BP310" s="109">
        <f>BM310*'CALCULO GERAL'!$C$11</f>
        <v>18.31935</v>
      </c>
      <c r="BQ310" s="109">
        <f>BO310*'CALCULO GERAL'!$C$11</f>
        <v>21.466263000000001</v>
      </c>
      <c r="BR310" s="186">
        <f>BN310*'CALCULO GERAL'!$C$11</f>
        <v>18.31935</v>
      </c>
      <c r="BS310" s="109">
        <f t="shared" si="124"/>
        <v>146554.79999999999</v>
      </c>
      <c r="BT310" s="109">
        <f t="shared" si="125"/>
        <v>146554.79999999999</v>
      </c>
      <c r="BU310" s="109">
        <f t="shared" si="179"/>
        <v>131836.45283699999</v>
      </c>
      <c r="BV310" s="109">
        <f t="shared" si="176"/>
        <v>14718.347162999999</v>
      </c>
      <c r="BW310" s="114">
        <f t="shared" si="126"/>
        <v>0.10042896693250579</v>
      </c>
      <c r="BX310" s="152">
        <f t="shared" si="180"/>
        <v>0.82</v>
      </c>
      <c r="BZ310" s="55"/>
      <c r="CA310" s="113"/>
      <c r="CB310" s="113"/>
      <c r="CD310" s="152">
        <f t="shared" si="181"/>
        <v>0</v>
      </c>
      <c r="CE310" s="152">
        <f t="shared" si="177"/>
        <v>1</v>
      </c>
      <c r="CF310" s="152">
        <f t="shared" si="178"/>
        <v>1</v>
      </c>
      <c r="CG310" s="34"/>
      <c r="CI310" s="11"/>
      <c r="CJ310" s="11"/>
    </row>
    <row r="311" spans="1:88" s="152" customFormat="1" x14ac:dyDescent="0.2">
      <c r="A311" s="507" t="s">
        <v>655</v>
      </c>
      <c r="B311" s="508" t="s">
        <v>650</v>
      </c>
      <c r="C311" s="509">
        <v>0.05</v>
      </c>
      <c r="D311" s="510">
        <v>0</v>
      </c>
      <c r="E311" s="511">
        <v>2.1000000000000001E-2</v>
      </c>
      <c r="F311" s="511">
        <v>9.6500000000000002E-2</v>
      </c>
      <c r="G311" s="512">
        <v>6.4999999999999997E-3</v>
      </c>
      <c r="H311" s="512">
        <v>0.03</v>
      </c>
      <c r="I311" s="512">
        <v>0.18</v>
      </c>
      <c r="J311" s="512">
        <v>0.04</v>
      </c>
      <c r="K311" s="512">
        <v>0.14000000000000001</v>
      </c>
      <c r="L311" s="512">
        <v>1.4999999999999999E-2</v>
      </c>
      <c r="M311" s="513" t="s">
        <v>175</v>
      </c>
      <c r="N311" s="514">
        <v>50000</v>
      </c>
      <c r="O311" s="119">
        <v>0.59</v>
      </c>
      <c r="P311" s="119"/>
      <c r="Q311" s="119"/>
      <c r="R311" s="119"/>
      <c r="S311" s="119"/>
      <c r="T311" s="119"/>
      <c r="U311" s="119"/>
      <c r="V311" s="119"/>
      <c r="W311" s="119"/>
      <c r="X311" s="119">
        <f t="shared" si="103"/>
        <v>0.59</v>
      </c>
      <c r="Y311" s="118">
        <f t="shared" si="104"/>
        <v>0.59</v>
      </c>
      <c r="Z311" s="109">
        <f t="shared" si="182"/>
        <v>29500</v>
      </c>
      <c r="AA311" s="109">
        <f>'CALCULO GERAL'!$G$10</f>
        <v>6300</v>
      </c>
      <c r="AB311" s="109">
        <f t="shared" si="105"/>
        <v>35800</v>
      </c>
      <c r="AC311" s="109">
        <f>AB311*'CALCULO GERAL'!$C$11</f>
        <v>179680.2</v>
      </c>
      <c r="AD311" s="109">
        <f t="shared" si="106"/>
        <v>8984.01</v>
      </c>
      <c r="AE311" s="109">
        <f t="shared" si="107"/>
        <v>0</v>
      </c>
      <c r="AF311" s="109">
        <f t="shared" si="108"/>
        <v>3773.2842000000005</v>
      </c>
      <c r="AG311" s="109">
        <f t="shared" si="109"/>
        <v>17339.139300000003</v>
      </c>
      <c r="AH311" s="109">
        <v>154.22999999999999</v>
      </c>
      <c r="AI311" s="109">
        <f>((AA311*'CALCULO GERAL'!$C$11))*0.08+20</f>
        <v>2549.576</v>
      </c>
      <c r="AJ311" s="109">
        <v>1010</v>
      </c>
      <c r="AK311" s="109">
        <v>2500</v>
      </c>
      <c r="AL311" s="109">
        <f>(AA311*('CALCULO GERAL'!$C$11*1.02))-(AA311*'CALCULO GERAL'!$C$11)</f>
        <v>632.39400000000387</v>
      </c>
      <c r="AM311" s="109">
        <v>1800</v>
      </c>
      <c r="AN311" s="109">
        <v>2600</v>
      </c>
      <c r="AO311" s="109">
        <v>9400</v>
      </c>
      <c r="AP311" s="109">
        <v>1000</v>
      </c>
      <c r="AQ311" s="109">
        <v>0</v>
      </c>
      <c r="AR311" s="109">
        <v>0</v>
      </c>
      <c r="AS311" s="109"/>
      <c r="AT311" s="109">
        <f t="shared" si="173"/>
        <v>231422.83350000004</v>
      </c>
      <c r="AU311" s="111">
        <f t="shared" si="110"/>
        <v>4.6284566700000012</v>
      </c>
      <c r="AV311" s="109">
        <f>IFERROR((BS311*'CALCULO GERAL'!$E$11)/N311,0)</f>
        <v>0.1144332</v>
      </c>
      <c r="AW311" s="109">
        <f>AU311/'CALCULO GERAL'!$C$11</f>
        <v>0.92218702331141678</v>
      </c>
      <c r="AX311" s="109">
        <f>BP311-BB311-BD311*'CALCULO GERAL'!$C$11</f>
        <v>5.6358350999999995</v>
      </c>
      <c r="AY311" s="109">
        <f t="shared" si="111"/>
        <v>3.6632928149999994E-2</v>
      </c>
      <c r="AZ311" s="109">
        <f t="shared" si="112"/>
        <v>0.16907505299999998</v>
      </c>
      <c r="BA311" s="109">
        <f t="shared" si="113"/>
        <v>5.72166</v>
      </c>
      <c r="BB311" s="109">
        <f t="shared" si="114"/>
        <v>8.5824899999999996E-2</v>
      </c>
      <c r="BC311" s="109">
        <f t="shared" si="115"/>
        <v>5.72166</v>
      </c>
      <c r="BD311" s="109">
        <f t="shared" si="116"/>
        <v>0</v>
      </c>
      <c r="BE311" s="109">
        <f t="shared" si="117"/>
        <v>22886.639999999999</v>
      </c>
      <c r="BF311" s="109">
        <f t="shared" si="118"/>
        <v>34329.96</v>
      </c>
      <c r="BG311" s="109">
        <f t="shared" si="119"/>
        <v>6.1793927999999998E-2</v>
      </c>
      <c r="BH311" s="109">
        <f t="shared" si="120"/>
        <v>6.8659919999999999E-2</v>
      </c>
      <c r="BI311" s="109">
        <f t="shared" si="121"/>
        <v>0</v>
      </c>
      <c r="BJ311" s="109">
        <f t="shared" si="122"/>
        <v>0.53641992915000003</v>
      </c>
      <c r="BK311" s="109">
        <f t="shared" si="123"/>
        <v>5.1648765991500012</v>
      </c>
      <c r="BL311" s="148">
        <v>0.82</v>
      </c>
      <c r="BM311" s="112">
        <f>ROUND((AW311/BL311)+((AW311*BL311)*'CALCULO GERAL'!$E$11)/BL311,2)</f>
        <v>1.1399999999999999</v>
      </c>
      <c r="BN311" s="186">
        <f t="shared" si="174"/>
        <v>1.1399999999999999</v>
      </c>
      <c r="BO311" s="186">
        <f t="shared" si="175"/>
        <v>1.3360000000000001</v>
      </c>
      <c r="BP311" s="109">
        <f>BM311*'CALCULO GERAL'!$C$11</f>
        <v>5.72166</v>
      </c>
      <c r="BQ311" s="109">
        <f>BO311*'CALCULO GERAL'!$C$11</f>
        <v>6.7053840000000005</v>
      </c>
      <c r="BR311" s="186">
        <f>BN311*'CALCULO GERAL'!$C$11</f>
        <v>5.72166</v>
      </c>
      <c r="BS311" s="109">
        <f t="shared" si="124"/>
        <v>286083</v>
      </c>
      <c r="BT311" s="109">
        <f t="shared" si="125"/>
        <v>286083</v>
      </c>
      <c r="BU311" s="109">
        <f t="shared" si="179"/>
        <v>258243.82995750007</v>
      </c>
      <c r="BV311" s="109">
        <f t="shared" si="176"/>
        <v>27839.170042499929</v>
      </c>
      <c r="BW311" s="114">
        <f t="shared" si="126"/>
        <v>9.7311514639107977E-2</v>
      </c>
      <c r="BX311" s="152">
        <f t="shared" si="180"/>
        <v>0.82</v>
      </c>
      <c r="BZ311" s="55"/>
      <c r="CA311" s="113"/>
      <c r="CB311" s="113"/>
      <c r="CD311" s="152">
        <f t="shared" si="181"/>
        <v>0</v>
      </c>
      <c r="CE311" s="152">
        <f t="shared" si="177"/>
        <v>1</v>
      </c>
      <c r="CF311" s="152">
        <f t="shared" si="178"/>
        <v>1</v>
      </c>
      <c r="CG311" s="34"/>
      <c r="CI311" s="11"/>
      <c r="CJ311" s="11"/>
    </row>
    <row r="312" spans="1:88" s="152" customFormat="1" x14ac:dyDescent="0.2">
      <c r="A312" s="507" t="s">
        <v>656</v>
      </c>
      <c r="B312" s="508" t="s">
        <v>608</v>
      </c>
      <c r="C312" s="509">
        <v>0.18</v>
      </c>
      <c r="D312" s="510">
        <v>0.1</v>
      </c>
      <c r="E312" s="511">
        <v>2.1000000000000001E-2</v>
      </c>
      <c r="F312" s="511">
        <v>9.6500000000000002E-2</v>
      </c>
      <c r="G312" s="512">
        <v>6.4999999999999997E-3</v>
      </c>
      <c r="H312" s="512">
        <v>0.03</v>
      </c>
      <c r="I312" s="512">
        <v>0.18</v>
      </c>
      <c r="J312" s="512">
        <v>0.04</v>
      </c>
      <c r="K312" s="512">
        <v>0.14000000000000001</v>
      </c>
      <c r="L312" s="512">
        <v>1.4999999999999999E-2</v>
      </c>
      <c r="M312" s="513" t="s">
        <v>175</v>
      </c>
      <c r="N312" s="514">
        <v>57840</v>
      </c>
      <c r="O312" s="119">
        <v>7.54</v>
      </c>
      <c r="P312" s="119"/>
      <c r="Q312" s="119"/>
      <c r="R312" s="119"/>
      <c r="S312" s="119"/>
      <c r="T312" s="119"/>
      <c r="U312" s="119"/>
      <c r="V312" s="119"/>
      <c r="W312" s="119"/>
      <c r="X312" s="119">
        <f t="shared" si="103"/>
        <v>7.54</v>
      </c>
      <c r="Y312" s="118">
        <f t="shared" si="104"/>
        <v>7.54</v>
      </c>
      <c r="Z312" s="109">
        <f t="shared" si="182"/>
        <v>436113.6</v>
      </c>
      <c r="AA312" s="109">
        <f>'CALCULO GERAL'!$G$10</f>
        <v>6300</v>
      </c>
      <c r="AB312" s="109">
        <f t="shared" si="105"/>
        <v>442413.6</v>
      </c>
      <c r="AC312" s="109">
        <f>AB312*'CALCULO GERAL'!$C$11</f>
        <v>2220473.8583999998</v>
      </c>
      <c r="AD312" s="109">
        <f t="shared" si="106"/>
        <v>399685.29451199993</v>
      </c>
      <c r="AE312" s="109">
        <f t="shared" si="107"/>
        <v>262015.91529119998</v>
      </c>
      <c r="AF312" s="109">
        <f t="shared" si="108"/>
        <v>46629.951026399998</v>
      </c>
      <c r="AG312" s="109">
        <f t="shared" si="109"/>
        <v>214275.72733559998</v>
      </c>
      <c r="AH312" s="109">
        <v>154.22999999999999</v>
      </c>
      <c r="AI312" s="109">
        <f>((AA312*'CALCULO GERAL'!$C$11))*0.08+20</f>
        <v>2549.576</v>
      </c>
      <c r="AJ312" s="109">
        <v>1010</v>
      </c>
      <c r="AK312" s="109">
        <v>2500</v>
      </c>
      <c r="AL312" s="109">
        <f>(AA312*('CALCULO GERAL'!$C$11*1.02))-(AA312*'CALCULO GERAL'!$C$11)</f>
        <v>632.39400000000387</v>
      </c>
      <c r="AM312" s="109">
        <v>1800</v>
      </c>
      <c r="AN312" s="109">
        <v>2600</v>
      </c>
      <c r="AO312" s="109">
        <v>9400</v>
      </c>
      <c r="AP312" s="109">
        <v>1000</v>
      </c>
      <c r="AQ312" s="109">
        <v>0</v>
      </c>
      <c r="AR312" s="109">
        <v>0</v>
      </c>
      <c r="AS312" s="109"/>
      <c r="AT312" s="109">
        <f t="shared" si="173"/>
        <v>3164726.9465651996</v>
      </c>
      <c r="AU312" s="111">
        <f t="shared" si="110"/>
        <v>54.715196171597505</v>
      </c>
      <c r="AV312" s="109">
        <f>IFERROR((BS312*'CALCULO GERAL'!$E$11)/N312,0)</f>
        <v>1.2938982000000001</v>
      </c>
      <c r="AW312" s="109">
        <f>AU312/'CALCULO GERAL'!$C$11</f>
        <v>10.901613104522315</v>
      </c>
      <c r="AX312" s="109">
        <f>BP312-BB312-BD312*'CALCULO GERAL'!$C$11</f>
        <v>34.294183655454546</v>
      </c>
      <c r="AY312" s="109">
        <f t="shared" si="111"/>
        <v>0.22291219376045454</v>
      </c>
      <c r="AZ312" s="109">
        <f t="shared" si="112"/>
        <v>1.0288255096636363</v>
      </c>
      <c r="BA312" s="109">
        <f t="shared" si="113"/>
        <v>58.813554545454551</v>
      </c>
      <c r="BB312" s="109">
        <f t="shared" si="114"/>
        <v>0.88220331818181819</v>
      </c>
      <c r="BC312" s="109">
        <f t="shared" si="115"/>
        <v>58.813554545454551</v>
      </c>
      <c r="BD312" s="109">
        <f t="shared" si="116"/>
        <v>5.8813554545454556</v>
      </c>
      <c r="BE312" s="109">
        <f t="shared" si="117"/>
        <v>299356.28755200002</v>
      </c>
      <c r="BF312" s="109">
        <f t="shared" si="118"/>
        <v>449034.43132800004</v>
      </c>
      <c r="BG312" s="109">
        <f t="shared" si="119"/>
        <v>0.69870502800000012</v>
      </c>
      <c r="BH312" s="109">
        <f t="shared" si="120"/>
        <v>0.77633891999999993</v>
      </c>
      <c r="BI312" s="109">
        <f t="shared" si="121"/>
        <v>-0.41382485745504849</v>
      </c>
      <c r="BJ312" s="109">
        <f t="shared" si="122"/>
        <v>10.370413766696316</v>
      </c>
      <c r="BK312" s="109">
        <f t="shared" si="123"/>
        <v>65.085609938293828</v>
      </c>
      <c r="BL312" s="148">
        <v>0.86</v>
      </c>
      <c r="BM312" s="112">
        <f>ROUND((AW312/BL312)+((AW312*BL312)*'CALCULO GERAL'!$E$11)/BL312,2)</f>
        <v>12.89</v>
      </c>
      <c r="BN312" s="186">
        <f t="shared" si="174"/>
        <v>12.89</v>
      </c>
      <c r="BO312" s="186">
        <f t="shared" si="175"/>
        <v>15.103</v>
      </c>
      <c r="BP312" s="109">
        <f>BM312*'CALCULO GERAL'!$C$11</f>
        <v>64.694910000000007</v>
      </c>
      <c r="BQ312" s="109">
        <f>BO312*'CALCULO GERAL'!$C$11</f>
        <v>75.801957000000002</v>
      </c>
      <c r="BR312" s="186">
        <f>BN312*'CALCULO GERAL'!$C$11</f>
        <v>64.694910000000007</v>
      </c>
      <c r="BS312" s="109">
        <f t="shared" si="124"/>
        <v>3741953.5944000003</v>
      </c>
      <c r="BT312" s="109">
        <f t="shared" si="125"/>
        <v>3741953.5944000003</v>
      </c>
      <c r="BU312" s="109">
        <f t="shared" si="179"/>
        <v>3764551.6788309151</v>
      </c>
      <c r="BV312" s="109">
        <f t="shared" si="176"/>
        <v>-22598.084430914838</v>
      </c>
      <c r="BW312" s="114">
        <f t="shared" si="126"/>
        <v>-6.0391140244854648E-3</v>
      </c>
      <c r="BX312" s="152">
        <f t="shared" si="180"/>
        <v>0.86</v>
      </c>
      <c r="BZ312" s="55"/>
      <c r="CA312" s="113"/>
      <c r="CB312" s="113"/>
      <c r="CD312" s="152">
        <f t="shared" si="181"/>
        <v>0</v>
      </c>
      <c r="CE312" s="152">
        <f t="shared" si="177"/>
        <v>1</v>
      </c>
      <c r="CF312" s="152">
        <f t="shared" si="178"/>
        <v>1</v>
      </c>
      <c r="CG312" s="34"/>
      <c r="CI312" s="11"/>
      <c r="CJ312" s="11"/>
    </row>
    <row r="313" spans="1:88" s="152" customFormat="1" x14ac:dyDescent="0.2">
      <c r="A313" s="507" t="s">
        <v>657</v>
      </c>
      <c r="B313" s="508" t="s">
        <v>658</v>
      </c>
      <c r="C313" s="509">
        <v>0.09</v>
      </c>
      <c r="D313" s="510">
        <v>0.04</v>
      </c>
      <c r="E313" s="511">
        <v>2.1000000000000001E-2</v>
      </c>
      <c r="F313" s="511">
        <v>9.6500000000000002E-2</v>
      </c>
      <c r="G313" s="512">
        <v>6.4999999999999997E-3</v>
      </c>
      <c r="H313" s="512">
        <v>0.03</v>
      </c>
      <c r="I313" s="512">
        <v>0.18</v>
      </c>
      <c r="J313" s="512">
        <v>0.04</v>
      </c>
      <c r="K313" s="512">
        <v>0.14000000000000001</v>
      </c>
      <c r="L313" s="512">
        <v>1.4999999999999999E-2</v>
      </c>
      <c r="M313" s="513" t="s">
        <v>175</v>
      </c>
      <c r="N313" s="514">
        <v>3135</v>
      </c>
      <c r="O313" s="119">
        <v>0.57999999999999996</v>
      </c>
      <c r="P313" s="119"/>
      <c r="Q313" s="119"/>
      <c r="R313" s="119"/>
      <c r="S313" s="119"/>
      <c r="T313" s="119"/>
      <c r="U313" s="119"/>
      <c r="V313" s="119"/>
      <c r="W313" s="119"/>
      <c r="X313" s="119">
        <f t="shared" si="103"/>
        <v>0.57999999999999996</v>
      </c>
      <c r="Y313" s="118">
        <f t="shared" si="104"/>
        <v>0.57999999999999996</v>
      </c>
      <c r="Z313" s="109">
        <f t="shared" si="182"/>
        <v>1818.3</v>
      </c>
      <c r="AA313" s="109">
        <f>'CALCULO GERAL'!$G$10</f>
        <v>6300</v>
      </c>
      <c r="AB313" s="109">
        <f t="shared" si="105"/>
        <v>8118.3</v>
      </c>
      <c r="AC313" s="109">
        <f>AB313*'CALCULO GERAL'!$C$11</f>
        <v>40745.7477</v>
      </c>
      <c r="AD313" s="109">
        <f t="shared" si="106"/>
        <v>3667.1172929999998</v>
      </c>
      <c r="AE313" s="109">
        <f t="shared" si="107"/>
        <v>1776.5145997200002</v>
      </c>
      <c r="AF313" s="109">
        <f t="shared" si="108"/>
        <v>855.6607017</v>
      </c>
      <c r="AG313" s="109">
        <f t="shared" si="109"/>
        <v>3931.9646530499999</v>
      </c>
      <c r="AH313" s="109">
        <v>154.22999999999999</v>
      </c>
      <c r="AI313" s="109">
        <f>((AA313*'CALCULO GERAL'!$C$11))*0.08+20</f>
        <v>2549.576</v>
      </c>
      <c r="AJ313" s="109">
        <v>1010</v>
      </c>
      <c r="AK313" s="109">
        <v>2500</v>
      </c>
      <c r="AL313" s="109">
        <f>(AA313*('CALCULO GERAL'!$C$11*1.02))-(AA313*'CALCULO GERAL'!$C$11)</f>
        <v>632.39400000000387</v>
      </c>
      <c r="AM313" s="109">
        <v>1800</v>
      </c>
      <c r="AN313" s="109">
        <v>2600</v>
      </c>
      <c r="AO313" s="109">
        <v>9400</v>
      </c>
      <c r="AP313" s="109">
        <v>1000</v>
      </c>
      <c r="AQ313" s="109">
        <v>0</v>
      </c>
      <c r="AR313" s="109">
        <v>0</v>
      </c>
      <c r="AS313" s="109"/>
      <c r="AT313" s="109">
        <f t="shared" si="173"/>
        <v>72623.204947470018</v>
      </c>
      <c r="AU313" s="111">
        <f t="shared" si="110"/>
        <v>23.165296633961727</v>
      </c>
      <c r="AV313" s="109">
        <f>IFERROR((BS313*'CALCULO GERAL'!$E$11)/N313,0)</f>
        <v>0.54807479999999997</v>
      </c>
      <c r="AW313" s="109">
        <f>AU313/'CALCULO GERAL'!$C$11</f>
        <v>4.6155203494643811</v>
      </c>
      <c r="AX313" s="109">
        <f>BP313-BB313-BD313*'CALCULO GERAL'!$C$11</f>
        <v>21.718517939999998</v>
      </c>
      <c r="AY313" s="109">
        <f t="shared" si="111"/>
        <v>0.14117036660999999</v>
      </c>
      <c r="AZ313" s="109">
        <f t="shared" si="112"/>
        <v>0.6515555381999999</v>
      </c>
      <c r="BA313" s="109">
        <f t="shared" si="113"/>
        <v>26.34975</v>
      </c>
      <c r="BB313" s="109">
        <f t="shared" si="114"/>
        <v>0.39524624999999997</v>
      </c>
      <c r="BC313" s="109">
        <f t="shared" si="115"/>
        <v>26.349749999999997</v>
      </c>
      <c r="BD313" s="109">
        <f t="shared" si="116"/>
        <v>1.05399</v>
      </c>
      <c r="BE313" s="109">
        <f t="shared" si="117"/>
        <v>6872.8579920000002</v>
      </c>
      <c r="BF313" s="109">
        <f t="shared" si="118"/>
        <v>10309.286988</v>
      </c>
      <c r="BG313" s="109">
        <f t="shared" si="119"/>
        <v>0.29596039199999996</v>
      </c>
      <c r="BH313" s="109">
        <f t="shared" si="120"/>
        <v>0.32884487999999995</v>
      </c>
      <c r="BI313" s="109">
        <f t="shared" si="121"/>
        <v>0</v>
      </c>
      <c r="BJ313" s="109">
        <f t="shared" si="122"/>
        <v>3.4148422268099998</v>
      </c>
      <c r="BK313" s="109">
        <f t="shared" si="123"/>
        <v>26.580138860771726</v>
      </c>
      <c r="BL313" s="148">
        <v>0.86</v>
      </c>
      <c r="BM313" s="112">
        <f>ROUND((AW313/BL313)+((AW313*BL313)*'CALCULO GERAL'!$E$11)/BL313,2)</f>
        <v>5.46</v>
      </c>
      <c r="BN313" s="186">
        <f t="shared" si="174"/>
        <v>5.46</v>
      </c>
      <c r="BO313" s="186">
        <f t="shared" si="175"/>
        <v>6.3970000000000002</v>
      </c>
      <c r="BP313" s="109">
        <f>BM313*'CALCULO GERAL'!$C$11</f>
        <v>27.403739999999999</v>
      </c>
      <c r="BQ313" s="109">
        <f>BO313*'CALCULO GERAL'!$C$11</f>
        <v>32.106543000000002</v>
      </c>
      <c r="BR313" s="186">
        <f>BN313*'CALCULO GERAL'!$C$11</f>
        <v>27.403739999999999</v>
      </c>
      <c r="BS313" s="109">
        <f t="shared" si="124"/>
        <v>85910.724900000001</v>
      </c>
      <c r="BT313" s="109">
        <f t="shared" si="125"/>
        <v>85910.724900000001</v>
      </c>
      <c r="BU313" s="109">
        <f t="shared" si="179"/>
        <v>83328.735328519353</v>
      </c>
      <c r="BV313" s="109">
        <f t="shared" si="176"/>
        <v>2581.989571480648</v>
      </c>
      <c r="BW313" s="114">
        <f t="shared" si="126"/>
        <v>3.0054333431432236E-2</v>
      </c>
      <c r="BX313" s="152">
        <f t="shared" si="180"/>
        <v>0.86</v>
      </c>
      <c r="BZ313" s="55"/>
      <c r="CA313" s="113"/>
      <c r="CB313" s="113"/>
      <c r="CD313" s="152">
        <f t="shared" si="181"/>
        <v>0</v>
      </c>
      <c r="CE313" s="152">
        <f t="shared" si="177"/>
        <v>1</v>
      </c>
      <c r="CF313" s="152">
        <f t="shared" si="178"/>
        <v>1</v>
      </c>
      <c r="CG313" s="34"/>
      <c r="CI313" s="11"/>
      <c r="CJ313" s="11"/>
    </row>
    <row r="314" spans="1:88" s="152" customFormat="1" x14ac:dyDescent="0.2">
      <c r="A314" s="507" t="s">
        <v>659</v>
      </c>
      <c r="B314" s="508" t="s">
        <v>475</v>
      </c>
      <c r="C314" s="509">
        <v>0.18</v>
      </c>
      <c r="D314" s="510">
        <v>0.1</v>
      </c>
      <c r="E314" s="511">
        <v>2.1000000000000001E-2</v>
      </c>
      <c r="F314" s="511">
        <v>9.6500000000000002E-2</v>
      </c>
      <c r="G314" s="512">
        <v>6.4999999999999997E-3</v>
      </c>
      <c r="H314" s="512">
        <v>0.03</v>
      </c>
      <c r="I314" s="512">
        <v>0.18</v>
      </c>
      <c r="J314" s="512">
        <v>0.04</v>
      </c>
      <c r="K314" s="512">
        <v>0.14000000000000001</v>
      </c>
      <c r="L314" s="512">
        <v>1.4999999999999999E-2</v>
      </c>
      <c r="M314" s="513" t="s">
        <v>175</v>
      </c>
      <c r="N314" s="514">
        <v>2000</v>
      </c>
      <c r="O314" s="119">
        <v>1.39</v>
      </c>
      <c r="P314" s="119"/>
      <c r="Q314" s="119"/>
      <c r="R314" s="119"/>
      <c r="S314" s="119"/>
      <c r="T314" s="119"/>
      <c r="U314" s="119"/>
      <c r="V314" s="119"/>
      <c r="W314" s="119"/>
      <c r="X314" s="119">
        <f t="shared" si="103"/>
        <v>1.39</v>
      </c>
      <c r="Y314" s="118">
        <f t="shared" si="104"/>
        <v>1.39</v>
      </c>
      <c r="Z314" s="109">
        <f t="shared" si="182"/>
        <v>2780</v>
      </c>
      <c r="AA314" s="109">
        <f>'CALCULO GERAL'!$G$10</f>
        <v>6300</v>
      </c>
      <c r="AB314" s="109">
        <f t="shared" si="105"/>
        <v>9080</v>
      </c>
      <c r="AC314" s="109">
        <f>AB314*'CALCULO GERAL'!$C$11</f>
        <v>45572.520000000004</v>
      </c>
      <c r="AD314" s="109">
        <f t="shared" si="106"/>
        <v>8203.0536000000011</v>
      </c>
      <c r="AE314" s="109">
        <f t="shared" si="107"/>
        <v>5377.5573600000007</v>
      </c>
      <c r="AF314" s="109">
        <f t="shared" si="108"/>
        <v>957.02292000000011</v>
      </c>
      <c r="AG314" s="109">
        <f t="shared" si="109"/>
        <v>4397.7481800000005</v>
      </c>
      <c r="AH314" s="109">
        <v>154.22999999999999</v>
      </c>
      <c r="AI314" s="109">
        <f>((AA314*'CALCULO GERAL'!$C$11))*0.08+20</f>
        <v>2549.576</v>
      </c>
      <c r="AJ314" s="109">
        <v>1010</v>
      </c>
      <c r="AK314" s="109">
        <v>2500</v>
      </c>
      <c r="AL314" s="109">
        <f>(AA314*('CALCULO GERAL'!$C$11*1.02))-(AA314*'CALCULO GERAL'!$C$11)</f>
        <v>632.39400000000387</v>
      </c>
      <c r="AM314" s="109">
        <v>1800</v>
      </c>
      <c r="AN314" s="109">
        <v>2600</v>
      </c>
      <c r="AO314" s="109">
        <v>9400</v>
      </c>
      <c r="AP314" s="109">
        <v>1000</v>
      </c>
      <c r="AQ314" s="109">
        <v>0</v>
      </c>
      <c r="AR314" s="109">
        <v>0</v>
      </c>
      <c r="AS314" s="109"/>
      <c r="AT314" s="109">
        <f t="shared" si="173"/>
        <v>86154.102060000005</v>
      </c>
      <c r="AU314" s="111">
        <f t="shared" si="110"/>
        <v>43.07705103</v>
      </c>
      <c r="AV314" s="109">
        <f>IFERROR((BS314*'CALCULO GERAL'!$E$11)/N314,0)</f>
        <v>1.0078152</v>
      </c>
      <c r="AW314" s="109">
        <f>AU314/'CALCULO GERAL'!$C$11</f>
        <v>8.5827955827854154</v>
      </c>
      <c r="AX314" s="109">
        <f>BP314-BB314-BD314*'CALCULO GERAL'!$C$11</f>
        <v>26.711683778181822</v>
      </c>
      <c r="AY314" s="109">
        <f t="shared" si="111"/>
        <v>0.17362594455818184</v>
      </c>
      <c r="AZ314" s="109">
        <f t="shared" si="112"/>
        <v>0.8013505133454546</v>
      </c>
      <c r="BA314" s="109">
        <f t="shared" si="113"/>
        <v>45.809781818181818</v>
      </c>
      <c r="BB314" s="109">
        <f t="shared" si="114"/>
        <v>0.6871467272727273</v>
      </c>
      <c r="BC314" s="109">
        <f t="shared" si="115"/>
        <v>45.809781818181811</v>
      </c>
      <c r="BD314" s="109">
        <f t="shared" si="116"/>
        <v>4.5809781818181809</v>
      </c>
      <c r="BE314" s="109">
        <f t="shared" si="117"/>
        <v>8062.5216000000009</v>
      </c>
      <c r="BF314" s="109">
        <f t="shared" si="118"/>
        <v>12093.7824</v>
      </c>
      <c r="BG314" s="109">
        <f t="shared" si="119"/>
        <v>0.54422020799999993</v>
      </c>
      <c r="BH314" s="109">
        <f t="shared" si="120"/>
        <v>0.60468911999999997</v>
      </c>
      <c r="BI314" s="109">
        <f t="shared" si="121"/>
        <v>0</v>
      </c>
      <c r="BJ314" s="109">
        <f t="shared" si="122"/>
        <v>8.3998258949945441</v>
      </c>
      <c r="BK314" s="109">
        <f t="shared" si="123"/>
        <v>51.476876924994542</v>
      </c>
      <c r="BL314" s="148">
        <v>0.87</v>
      </c>
      <c r="BM314" s="112">
        <f>ROUND((AW314/BL314)+((AW314*BL314)*'CALCULO GERAL'!$E$11)/BL314,2)</f>
        <v>10.039999999999999</v>
      </c>
      <c r="BN314" s="186">
        <f t="shared" si="174"/>
        <v>10.039999999999999</v>
      </c>
      <c r="BO314" s="186">
        <f t="shared" si="175"/>
        <v>11.763</v>
      </c>
      <c r="BP314" s="109">
        <f>BM314*'CALCULO GERAL'!$C$11</f>
        <v>50.39076</v>
      </c>
      <c r="BQ314" s="109">
        <f>BO314*'CALCULO GERAL'!$C$11</f>
        <v>59.038497</v>
      </c>
      <c r="BR314" s="186">
        <f>BN314*'CALCULO GERAL'!$C$11</f>
        <v>50.39076</v>
      </c>
      <c r="BS314" s="109">
        <f t="shared" si="124"/>
        <v>100781.52</v>
      </c>
      <c r="BT314" s="109">
        <f t="shared" si="125"/>
        <v>100781.52</v>
      </c>
      <c r="BU314" s="109">
        <f t="shared" si="179"/>
        <v>102953.75384998908</v>
      </c>
      <c r="BV314" s="109">
        <f t="shared" si="176"/>
        <v>-2172.2338499890757</v>
      </c>
      <c r="BW314" s="114">
        <f t="shared" si="126"/>
        <v>-2.1553890534584869E-2</v>
      </c>
      <c r="BX314" s="152">
        <f t="shared" si="180"/>
        <v>0.87</v>
      </c>
      <c r="BZ314" s="55"/>
      <c r="CA314" s="113"/>
      <c r="CB314" s="113"/>
      <c r="CD314" s="152">
        <f t="shared" si="181"/>
        <v>0</v>
      </c>
      <c r="CE314" s="152">
        <f t="shared" si="177"/>
        <v>1</v>
      </c>
      <c r="CF314" s="152">
        <f t="shared" si="178"/>
        <v>1</v>
      </c>
      <c r="CG314" s="34"/>
      <c r="CI314" s="11"/>
      <c r="CJ314" s="11"/>
    </row>
    <row r="315" spans="1:88" s="152" customFormat="1" x14ac:dyDescent="0.2">
      <c r="A315" s="507" t="s">
        <v>660</v>
      </c>
      <c r="B315" s="508" t="s">
        <v>661</v>
      </c>
      <c r="C315" s="509">
        <v>0.16</v>
      </c>
      <c r="D315" s="510">
        <v>0</v>
      </c>
      <c r="E315" s="511">
        <v>2.1000000000000001E-2</v>
      </c>
      <c r="F315" s="511">
        <v>9.6500000000000002E-2</v>
      </c>
      <c r="G315" s="512">
        <v>6.4999999999999997E-3</v>
      </c>
      <c r="H315" s="512">
        <v>0.03</v>
      </c>
      <c r="I315" s="512">
        <v>0.18</v>
      </c>
      <c r="J315" s="512">
        <v>0.04</v>
      </c>
      <c r="K315" s="512">
        <v>0.14000000000000001</v>
      </c>
      <c r="L315" s="512">
        <v>1.4999999999999999E-2</v>
      </c>
      <c r="M315" s="513" t="s">
        <v>175</v>
      </c>
      <c r="N315" s="514"/>
      <c r="O315" s="119"/>
      <c r="P315" s="119"/>
      <c r="Q315" s="119"/>
      <c r="R315" s="119"/>
      <c r="S315" s="119"/>
      <c r="T315" s="119">
        <v>5.68</v>
      </c>
      <c r="U315" s="119"/>
      <c r="V315" s="119"/>
      <c r="W315" s="119"/>
      <c r="X315" s="119">
        <f t="shared" si="103"/>
        <v>5.68</v>
      </c>
      <c r="Y315" s="118">
        <f t="shared" si="104"/>
        <v>5.68</v>
      </c>
      <c r="Z315" s="109">
        <f t="shared" si="182"/>
        <v>0</v>
      </c>
      <c r="AA315" s="109">
        <f>'CALCULO GERAL'!$G$10</f>
        <v>6300</v>
      </c>
      <c r="AB315" s="109">
        <f t="shared" si="105"/>
        <v>6300</v>
      </c>
      <c r="AC315" s="109">
        <f>AB315*'CALCULO GERAL'!$C$11</f>
        <v>31619.7</v>
      </c>
      <c r="AD315" s="109">
        <f t="shared" si="106"/>
        <v>5059.152</v>
      </c>
      <c r="AE315" s="109">
        <f t="shared" si="107"/>
        <v>0</v>
      </c>
      <c r="AF315" s="109">
        <f t="shared" si="108"/>
        <v>664.01370000000009</v>
      </c>
      <c r="AG315" s="109">
        <f t="shared" si="109"/>
        <v>3051.30105</v>
      </c>
      <c r="AH315" s="109">
        <v>154.22999999999999</v>
      </c>
      <c r="AI315" s="109">
        <f>((AA315*'CALCULO GERAL'!$C$11))*0.08+20</f>
        <v>2549.576</v>
      </c>
      <c r="AJ315" s="109">
        <v>1010</v>
      </c>
      <c r="AK315" s="109">
        <v>2500</v>
      </c>
      <c r="AL315" s="109">
        <f>(AA315*('CALCULO GERAL'!$C$11*1.02))-(AA315*'CALCULO GERAL'!$C$11)</f>
        <v>632.39400000000387</v>
      </c>
      <c r="AM315" s="109">
        <v>1800</v>
      </c>
      <c r="AN315" s="109">
        <v>2600</v>
      </c>
      <c r="AO315" s="109">
        <v>9400</v>
      </c>
      <c r="AP315" s="109">
        <v>1000</v>
      </c>
      <c r="AQ315" s="109">
        <v>0</v>
      </c>
      <c r="AR315" s="109">
        <v>0</v>
      </c>
      <c r="AS315" s="109"/>
      <c r="AT315" s="109">
        <f t="shared" si="173"/>
        <v>62040.366750000016</v>
      </c>
      <c r="AU315" s="111">
        <f t="shared" si="110"/>
        <v>0</v>
      </c>
      <c r="AV315" s="109">
        <f>IFERROR((BS315*'CALCULO GERAL'!$E$11)/N315,0)</f>
        <v>0</v>
      </c>
      <c r="AW315" s="109">
        <f>AU315/'CALCULO GERAL'!$C$11</f>
        <v>0</v>
      </c>
      <c r="AX315" s="109">
        <f>BP315-BB315-BD315*'CALCULO GERAL'!$C$11</f>
        <v>0</v>
      </c>
      <c r="AY315" s="109">
        <f t="shared" si="111"/>
        <v>0</v>
      </c>
      <c r="AZ315" s="109">
        <f t="shared" si="112"/>
        <v>0</v>
      </c>
      <c r="BA315" s="109">
        <f t="shared" si="113"/>
        <v>0</v>
      </c>
      <c r="BB315" s="109">
        <f t="shared" si="114"/>
        <v>0</v>
      </c>
      <c r="BC315" s="109">
        <f t="shared" si="115"/>
        <v>0</v>
      </c>
      <c r="BD315" s="109">
        <f t="shared" si="116"/>
        <v>0</v>
      </c>
      <c r="BE315" s="109">
        <f t="shared" si="117"/>
        <v>0</v>
      </c>
      <c r="BF315" s="109">
        <f t="shared" si="118"/>
        <v>0</v>
      </c>
      <c r="BG315" s="109" t="e">
        <f t="shared" si="119"/>
        <v>#DIV/0!</v>
      </c>
      <c r="BH315" s="109" t="e">
        <f t="shared" si="120"/>
        <v>#DIV/0!</v>
      </c>
      <c r="BI315" s="109" t="e">
        <f t="shared" si="121"/>
        <v>#DIV/0!</v>
      </c>
      <c r="BJ315" s="109" t="e">
        <f t="shared" si="122"/>
        <v>#DIV/0!</v>
      </c>
      <c r="BK315" s="109" t="e">
        <f t="shared" si="123"/>
        <v>#DIV/0!</v>
      </c>
      <c r="BL315" s="148">
        <v>0.85499999999999998</v>
      </c>
      <c r="BM315" s="112">
        <f>ROUND((AW315/BL315)+((AW315*BL315)*'CALCULO GERAL'!$E$11)/BL315,2)</f>
        <v>0</v>
      </c>
      <c r="BN315" s="186">
        <f t="shared" si="174"/>
        <v>0</v>
      </c>
      <c r="BO315" s="186">
        <f t="shared" si="175"/>
        <v>0</v>
      </c>
      <c r="BP315" s="109">
        <f>BM315*'CALCULO GERAL'!$C$11</f>
        <v>0</v>
      </c>
      <c r="BQ315" s="109">
        <f>BO315*'CALCULO GERAL'!$C$11</f>
        <v>0</v>
      </c>
      <c r="BR315" s="186">
        <f>BN315*'CALCULO GERAL'!$C$11</f>
        <v>0</v>
      </c>
      <c r="BS315" s="109">
        <f t="shared" si="124"/>
        <v>0</v>
      </c>
      <c r="BT315" s="109">
        <f t="shared" si="125"/>
        <v>0</v>
      </c>
      <c r="BU315" s="109" t="e">
        <f t="shared" si="179"/>
        <v>#DIV/0!</v>
      </c>
      <c r="BV315" s="109" t="e">
        <f t="shared" si="176"/>
        <v>#DIV/0!</v>
      </c>
      <c r="BW315" s="114" t="e">
        <f t="shared" si="126"/>
        <v>#DIV/0!</v>
      </c>
      <c r="BX315" s="152">
        <f t="shared" si="180"/>
        <v>0.86</v>
      </c>
      <c r="BZ315" s="55"/>
      <c r="CA315" s="113"/>
      <c r="CB315" s="113"/>
      <c r="CD315" s="152">
        <f t="shared" si="181"/>
        <v>0</v>
      </c>
      <c r="CE315" s="152">
        <f t="shared" si="177"/>
        <v>1</v>
      </c>
      <c r="CF315" s="152">
        <f t="shared" si="178"/>
        <v>1</v>
      </c>
      <c r="CG315" s="34"/>
      <c r="CI315" s="11"/>
      <c r="CJ315" s="11"/>
    </row>
    <row r="316" spans="1:88" s="152" customFormat="1" x14ac:dyDescent="0.2">
      <c r="A316" s="507" t="s">
        <v>662</v>
      </c>
      <c r="B316" s="508" t="s">
        <v>663</v>
      </c>
      <c r="C316" s="509">
        <v>0.16</v>
      </c>
      <c r="D316" s="510">
        <v>0</v>
      </c>
      <c r="E316" s="511">
        <v>2.1000000000000001E-2</v>
      </c>
      <c r="F316" s="511">
        <v>9.6500000000000002E-2</v>
      </c>
      <c r="G316" s="512">
        <v>6.4999999999999997E-3</v>
      </c>
      <c r="H316" s="512">
        <v>0.03</v>
      </c>
      <c r="I316" s="512">
        <v>0.18</v>
      </c>
      <c r="J316" s="512">
        <v>0.04</v>
      </c>
      <c r="K316" s="512">
        <v>0.14000000000000001</v>
      </c>
      <c r="L316" s="512">
        <v>1.4999999999999999E-2</v>
      </c>
      <c r="M316" s="513" t="s">
        <v>175</v>
      </c>
      <c r="N316" s="514">
        <v>79000</v>
      </c>
      <c r="O316" s="119">
        <v>1.2</v>
      </c>
      <c r="P316" s="119"/>
      <c r="Q316" s="119"/>
      <c r="R316" s="119"/>
      <c r="S316" s="119"/>
      <c r="T316" s="119"/>
      <c r="U316" s="119"/>
      <c r="V316" s="119"/>
      <c r="W316" s="119"/>
      <c r="X316" s="119">
        <f t="shared" si="103"/>
        <v>1.2</v>
      </c>
      <c r="Y316" s="118">
        <f t="shared" si="104"/>
        <v>1.2</v>
      </c>
      <c r="Z316" s="109">
        <f t="shared" si="182"/>
        <v>94800</v>
      </c>
      <c r="AA316" s="109">
        <f>'CALCULO GERAL'!$G$10</f>
        <v>6300</v>
      </c>
      <c r="AB316" s="109">
        <f t="shared" si="105"/>
        <v>101100</v>
      </c>
      <c r="AC316" s="109">
        <f>AB316*'CALCULO GERAL'!$C$11</f>
        <v>507420.9</v>
      </c>
      <c r="AD316" s="109">
        <f t="shared" si="106"/>
        <v>81187.344000000012</v>
      </c>
      <c r="AE316" s="109">
        <f t="shared" si="107"/>
        <v>0</v>
      </c>
      <c r="AF316" s="109">
        <f t="shared" si="108"/>
        <v>10655.838900000001</v>
      </c>
      <c r="AG316" s="109">
        <f t="shared" si="109"/>
        <v>48966.116850000006</v>
      </c>
      <c r="AH316" s="109">
        <v>154.22999999999999</v>
      </c>
      <c r="AI316" s="109">
        <f>((AA316*'CALCULO GERAL'!$C$11))*0.08+20</f>
        <v>2549.576</v>
      </c>
      <c r="AJ316" s="109">
        <v>1010</v>
      </c>
      <c r="AK316" s="109">
        <v>2500</v>
      </c>
      <c r="AL316" s="109">
        <f>(AA316*('CALCULO GERAL'!$C$11*1.02))-(AA316*'CALCULO GERAL'!$C$11)</f>
        <v>632.39400000000387</v>
      </c>
      <c r="AM316" s="109">
        <v>1800</v>
      </c>
      <c r="AN316" s="109">
        <v>2600</v>
      </c>
      <c r="AO316" s="109">
        <v>9400</v>
      </c>
      <c r="AP316" s="109">
        <v>1000</v>
      </c>
      <c r="AQ316" s="109">
        <v>0</v>
      </c>
      <c r="AR316" s="109">
        <v>0</v>
      </c>
      <c r="AS316" s="109"/>
      <c r="AT316" s="109">
        <f t="shared" si="173"/>
        <v>669876.39974999998</v>
      </c>
      <c r="AU316" s="111">
        <f t="shared" si="110"/>
        <v>8.4794480981012654</v>
      </c>
      <c r="AV316" s="109">
        <f>IFERROR((BS316*'CALCULO GERAL'!$E$11)/N316,0)</f>
        <v>0.21581699999999998</v>
      </c>
      <c r="AW316" s="109">
        <f>AU316/'CALCULO GERAL'!$C$11</f>
        <v>1.6894696350072256</v>
      </c>
      <c r="AX316" s="109">
        <f>BP316-BB316-BD316*'CALCULO GERAL'!$C$11</f>
        <v>10.62898725</v>
      </c>
      <c r="AY316" s="109">
        <f t="shared" si="111"/>
        <v>6.9088417124999996E-2</v>
      </c>
      <c r="AZ316" s="109">
        <f t="shared" si="112"/>
        <v>0.31886961749999998</v>
      </c>
      <c r="BA316" s="109">
        <f t="shared" si="113"/>
        <v>10.790849999999999</v>
      </c>
      <c r="BB316" s="109">
        <f t="shared" si="114"/>
        <v>0.16186274999999997</v>
      </c>
      <c r="BC316" s="109">
        <f t="shared" si="115"/>
        <v>10.790849999999999</v>
      </c>
      <c r="BD316" s="109">
        <f t="shared" si="116"/>
        <v>0</v>
      </c>
      <c r="BE316" s="109">
        <f t="shared" si="117"/>
        <v>68198.171999999991</v>
      </c>
      <c r="BF316" s="109">
        <f t="shared" si="118"/>
        <v>102297.25799999999</v>
      </c>
      <c r="BG316" s="109">
        <f t="shared" si="119"/>
        <v>0.11654117999999998</v>
      </c>
      <c r="BH316" s="109">
        <f t="shared" si="120"/>
        <v>0.12949019999999997</v>
      </c>
      <c r="BI316" s="109">
        <f t="shared" si="121"/>
        <v>-1.0377445569620246E-2</v>
      </c>
      <c r="BJ316" s="109">
        <f t="shared" si="122"/>
        <v>1.0012917190553798</v>
      </c>
      <c r="BK316" s="109">
        <f t="shared" si="123"/>
        <v>9.4807398171566462</v>
      </c>
      <c r="BL316" s="148">
        <v>0.8</v>
      </c>
      <c r="BM316" s="112">
        <f>ROUND((AW316/BL316)+((AW316*BL316)*'CALCULO GERAL'!$E$11)/BL316,2)</f>
        <v>2.15</v>
      </c>
      <c r="BN316" s="186">
        <f t="shared" si="174"/>
        <v>2.15</v>
      </c>
      <c r="BO316" s="186">
        <f t="shared" si="175"/>
        <v>2.5190000000000001</v>
      </c>
      <c r="BP316" s="109">
        <f>BM316*'CALCULO GERAL'!$C$11</f>
        <v>10.790849999999999</v>
      </c>
      <c r="BQ316" s="109">
        <f>BO316*'CALCULO GERAL'!$C$11</f>
        <v>12.642861000000002</v>
      </c>
      <c r="BR316" s="186">
        <f>BN316*'CALCULO GERAL'!$C$11</f>
        <v>10.790849999999999</v>
      </c>
      <c r="BS316" s="109">
        <f t="shared" si="124"/>
        <v>852477.14999999991</v>
      </c>
      <c r="BT316" s="109">
        <f t="shared" si="125"/>
        <v>852477.14999999991</v>
      </c>
      <c r="BU316" s="109">
        <f t="shared" si="179"/>
        <v>748978.44555537507</v>
      </c>
      <c r="BV316" s="109">
        <f t="shared" si="176"/>
        <v>103498.70444462483</v>
      </c>
      <c r="BW316" s="114">
        <f t="shared" si="126"/>
        <v>0.12140935911845244</v>
      </c>
      <c r="BX316" s="152">
        <f t="shared" si="180"/>
        <v>0.8</v>
      </c>
      <c r="BZ316" s="55"/>
      <c r="CA316" s="113"/>
      <c r="CB316" s="113"/>
      <c r="CD316" s="152">
        <f t="shared" si="181"/>
        <v>0</v>
      </c>
      <c r="CE316" s="152">
        <f t="shared" si="177"/>
        <v>1</v>
      </c>
      <c r="CF316" s="152">
        <f t="shared" si="178"/>
        <v>1</v>
      </c>
      <c r="CG316" s="34"/>
      <c r="CI316" s="11"/>
      <c r="CJ316" s="11"/>
    </row>
    <row r="317" spans="1:88" s="152" customFormat="1" x14ac:dyDescent="0.2">
      <c r="A317" s="507" t="s">
        <v>664</v>
      </c>
      <c r="B317" s="508" t="s">
        <v>663</v>
      </c>
      <c r="C317" s="509">
        <v>0.16</v>
      </c>
      <c r="D317" s="510">
        <v>0</v>
      </c>
      <c r="E317" s="511">
        <v>2.1000000000000001E-2</v>
      </c>
      <c r="F317" s="511">
        <v>9.6500000000000002E-2</v>
      </c>
      <c r="G317" s="512">
        <v>6.4999999999999997E-3</v>
      </c>
      <c r="H317" s="512">
        <v>0.03</v>
      </c>
      <c r="I317" s="512">
        <v>0.18</v>
      </c>
      <c r="J317" s="512">
        <v>0.04</v>
      </c>
      <c r="K317" s="512">
        <v>0.14000000000000001</v>
      </c>
      <c r="L317" s="512">
        <v>1.4999999999999999E-2</v>
      </c>
      <c r="M317" s="513" t="s">
        <v>175</v>
      </c>
      <c r="N317" s="514">
        <v>79000</v>
      </c>
      <c r="O317" s="119"/>
      <c r="P317" s="119"/>
      <c r="Q317" s="119"/>
      <c r="R317" s="119"/>
      <c r="S317" s="119"/>
      <c r="T317" s="119"/>
      <c r="U317" s="119"/>
      <c r="V317" s="119"/>
      <c r="W317" s="119"/>
      <c r="X317" s="119">
        <f t="shared" si="103"/>
        <v>0</v>
      </c>
      <c r="Y317" s="118" t="e">
        <f t="shared" si="104"/>
        <v>#DIV/0!</v>
      </c>
      <c r="Z317" s="109" t="e">
        <f t="shared" si="182"/>
        <v>#DIV/0!</v>
      </c>
      <c r="AA317" s="109">
        <f>'CALCULO GERAL'!$G$10</f>
        <v>6300</v>
      </c>
      <c r="AB317" s="109" t="e">
        <f t="shared" si="105"/>
        <v>#DIV/0!</v>
      </c>
      <c r="AC317" s="109" t="e">
        <f>AB317*'CALCULO GERAL'!$C$11</f>
        <v>#DIV/0!</v>
      </c>
      <c r="AD317" s="109" t="e">
        <f t="shared" si="106"/>
        <v>#DIV/0!</v>
      </c>
      <c r="AE317" s="109" t="e">
        <f t="shared" si="107"/>
        <v>#DIV/0!</v>
      </c>
      <c r="AF317" s="109" t="e">
        <f t="shared" si="108"/>
        <v>#DIV/0!</v>
      </c>
      <c r="AG317" s="109" t="e">
        <f t="shared" si="109"/>
        <v>#DIV/0!</v>
      </c>
      <c r="AH317" s="109">
        <v>154.22999999999999</v>
      </c>
      <c r="AI317" s="109">
        <f>((AA317*'CALCULO GERAL'!$C$11))*0.08+20</f>
        <v>2549.576</v>
      </c>
      <c r="AJ317" s="109">
        <v>1010</v>
      </c>
      <c r="AK317" s="109">
        <v>2500</v>
      </c>
      <c r="AL317" s="109">
        <f>(AA317*('CALCULO GERAL'!$C$11*1.02))-(AA317*'CALCULO GERAL'!$C$11)</f>
        <v>632.39400000000387</v>
      </c>
      <c r="AM317" s="109">
        <v>1800</v>
      </c>
      <c r="AN317" s="109">
        <v>2600</v>
      </c>
      <c r="AO317" s="109">
        <v>9400</v>
      </c>
      <c r="AP317" s="109">
        <v>1000</v>
      </c>
      <c r="AQ317" s="109">
        <v>0</v>
      </c>
      <c r="AR317" s="109">
        <v>0</v>
      </c>
      <c r="AS317" s="109"/>
      <c r="AT317" s="109" t="e">
        <f t="shared" si="173"/>
        <v>#DIV/0!</v>
      </c>
      <c r="AU317" s="111">
        <f t="shared" si="110"/>
        <v>0</v>
      </c>
      <c r="AV317" s="109">
        <f>IFERROR((BS317*'CALCULO GERAL'!$E$11)/N317,0)</f>
        <v>0</v>
      </c>
      <c r="AW317" s="109">
        <f>AU317/'CALCULO GERAL'!$C$11</f>
        <v>0</v>
      </c>
      <c r="AX317" s="109">
        <f>BP317-BB317-BD317*'CALCULO GERAL'!$C$11</f>
        <v>0</v>
      </c>
      <c r="AY317" s="109">
        <f t="shared" si="111"/>
        <v>0</v>
      </c>
      <c r="AZ317" s="109">
        <f t="shared" si="112"/>
        <v>0</v>
      </c>
      <c r="BA317" s="109">
        <f t="shared" si="113"/>
        <v>0</v>
      </c>
      <c r="BB317" s="109">
        <f t="shared" si="114"/>
        <v>0</v>
      </c>
      <c r="BC317" s="109">
        <f t="shared" si="115"/>
        <v>0</v>
      </c>
      <c r="BD317" s="109">
        <f t="shared" si="116"/>
        <v>0</v>
      </c>
      <c r="BE317" s="109">
        <f t="shared" si="117"/>
        <v>0</v>
      </c>
      <c r="BF317" s="109">
        <f t="shared" si="118"/>
        <v>0</v>
      </c>
      <c r="BG317" s="109">
        <f t="shared" si="119"/>
        <v>0</v>
      </c>
      <c r="BH317" s="109">
        <f t="shared" si="120"/>
        <v>0</v>
      </c>
      <c r="BI317" s="109">
        <f t="shared" si="121"/>
        <v>0</v>
      </c>
      <c r="BJ317" s="109">
        <f t="shared" si="122"/>
        <v>0</v>
      </c>
      <c r="BK317" s="109">
        <f t="shared" si="123"/>
        <v>0</v>
      </c>
      <c r="BL317" s="148">
        <v>0.82</v>
      </c>
      <c r="BM317" s="112">
        <f>ROUND((AW317/BL317)+((AW317*BL317)*'CALCULO GERAL'!$E$11)/BL317,2)</f>
        <v>0</v>
      </c>
      <c r="BN317" s="186">
        <f t="shared" si="174"/>
        <v>0</v>
      </c>
      <c r="BO317" s="186">
        <f t="shared" si="175"/>
        <v>0</v>
      </c>
      <c r="BP317" s="109">
        <f>BM317*'CALCULO GERAL'!$C$11</f>
        <v>0</v>
      </c>
      <c r="BQ317" s="109">
        <f>BO317*'CALCULO GERAL'!$C$11</f>
        <v>0</v>
      </c>
      <c r="BR317" s="186">
        <f>BN317*'CALCULO GERAL'!$C$11</f>
        <v>0</v>
      </c>
      <c r="BS317" s="109">
        <f t="shared" si="124"/>
        <v>0</v>
      </c>
      <c r="BT317" s="109">
        <f t="shared" si="125"/>
        <v>0</v>
      </c>
      <c r="BU317" s="109">
        <f t="shared" si="179"/>
        <v>0</v>
      </c>
      <c r="BV317" s="109">
        <f t="shared" si="176"/>
        <v>0</v>
      </c>
      <c r="BW317" s="114" t="e">
        <f t="shared" si="126"/>
        <v>#DIV/0!</v>
      </c>
      <c r="BX317" s="152">
        <f t="shared" si="180"/>
        <v>0.82</v>
      </c>
      <c r="BZ317" s="55"/>
      <c r="CA317" s="113"/>
      <c r="CB317" s="113"/>
      <c r="CD317" s="152">
        <f t="shared" si="181"/>
        <v>0</v>
      </c>
      <c r="CE317" s="152">
        <f t="shared" si="177"/>
        <v>1</v>
      </c>
      <c r="CF317" s="152">
        <f t="shared" si="178"/>
        <v>1</v>
      </c>
      <c r="CG317" s="34"/>
      <c r="CI317" s="11"/>
      <c r="CJ317" s="11"/>
    </row>
    <row r="318" spans="1:88" s="152" customFormat="1" x14ac:dyDescent="0.2">
      <c r="A318" s="507" t="s">
        <v>665</v>
      </c>
      <c r="B318" s="508" t="s">
        <v>666</v>
      </c>
      <c r="C318" s="509">
        <v>0.16</v>
      </c>
      <c r="D318" s="510">
        <v>0</v>
      </c>
      <c r="E318" s="511">
        <v>2.1000000000000001E-2</v>
      </c>
      <c r="F318" s="511">
        <v>9.6500000000000002E-2</v>
      </c>
      <c r="G318" s="512">
        <v>6.4999999999999997E-3</v>
      </c>
      <c r="H318" s="512">
        <v>0.03</v>
      </c>
      <c r="I318" s="512">
        <v>0.18</v>
      </c>
      <c r="J318" s="512">
        <v>0.04</v>
      </c>
      <c r="K318" s="512">
        <v>0.14000000000000001</v>
      </c>
      <c r="L318" s="512">
        <v>1.4999999999999999E-2</v>
      </c>
      <c r="M318" s="513" t="s">
        <v>175</v>
      </c>
      <c r="N318" s="514">
        <v>217000</v>
      </c>
      <c r="O318" s="119">
        <v>0.59</v>
      </c>
      <c r="P318" s="119"/>
      <c r="Q318" s="119"/>
      <c r="R318" s="119"/>
      <c r="S318" s="119"/>
      <c r="T318" s="119"/>
      <c r="U318" s="119"/>
      <c r="V318" s="119"/>
      <c r="W318" s="119"/>
      <c r="X318" s="119">
        <f t="shared" ref="X318:X328" si="183">MIN(O318:W318)</f>
        <v>0.59</v>
      </c>
      <c r="Y318" s="118">
        <f t="shared" ref="Y318:Y328" si="184">AVERAGE(O318:W318)</f>
        <v>0.59</v>
      </c>
      <c r="Z318" s="109">
        <f t="shared" si="182"/>
        <v>128030</v>
      </c>
      <c r="AA318" s="109">
        <f>'CALCULO GERAL'!$G$10</f>
        <v>6300</v>
      </c>
      <c r="AB318" s="109">
        <f t="shared" ref="AB318:AB328" si="185">Z318+AA318</f>
        <v>134330</v>
      </c>
      <c r="AC318" s="109">
        <f>AB318*'CALCULO GERAL'!$C$11</f>
        <v>674202.27</v>
      </c>
      <c r="AD318" s="109">
        <f t="shared" ref="AD318:AD328" si="186">AC318*C318</f>
        <v>107872.36320000001</v>
      </c>
      <c r="AE318" s="109">
        <f t="shared" ref="AE318:AE328" si="187">(AC318+AD318)*D318</f>
        <v>0</v>
      </c>
      <c r="AF318" s="109">
        <f t="shared" ref="AF318:AF328" si="188">AC318*E318</f>
        <v>14158.247670000001</v>
      </c>
      <c r="AG318" s="109">
        <f t="shared" ref="AG318:AG328" si="189">AC318*F318</f>
        <v>65060.519055000004</v>
      </c>
      <c r="AH318" s="109">
        <v>154.22999999999999</v>
      </c>
      <c r="AI318" s="109">
        <f>((AA318*'CALCULO GERAL'!$C$11))*0.08+20</f>
        <v>2549.576</v>
      </c>
      <c r="AJ318" s="109">
        <v>1010</v>
      </c>
      <c r="AK318" s="109">
        <v>2500</v>
      </c>
      <c r="AL318" s="109">
        <f>(AA318*('CALCULO GERAL'!$C$11*1.02))-(AA318*'CALCULO GERAL'!$C$11)</f>
        <v>632.39400000000387</v>
      </c>
      <c r="AM318" s="109">
        <v>1800</v>
      </c>
      <c r="AN318" s="109">
        <v>2600</v>
      </c>
      <c r="AO318" s="109">
        <v>9400</v>
      </c>
      <c r="AP318" s="109">
        <v>1000</v>
      </c>
      <c r="AQ318" s="109">
        <v>0</v>
      </c>
      <c r="AR318" s="109">
        <v>0</v>
      </c>
      <c r="AS318" s="109"/>
      <c r="AT318" s="109">
        <f t="shared" si="173"/>
        <v>882939.59992499999</v>
      </c>
      <c r="AU318" s="111">
        <f t="shared" ref="AU318:AU328" si="190">IFERROR((AT318/N318),0)</f>
        <v>4.0688460826036863</v>
      </c>
      <c r="AV318" s="109">
        <f>IFERROR((BS318*'CALCULO GERAL'!$E$11)/N318,0)</f>
        <v>9.9376199999999998E-2</v>
      </c>
      <c r="AW318" s="109">
        <f>AU318/'CALCULO GERAL'!$C$11</f>
        <v>0.81068859984134012</v>
      </c>
      <c r="AX318" s="109">
        <f>BP318-BB318-BD318*'CALCULO GERAL'!$C$11</f>
        <v>4.8942778500000008</v>
      </c>
      <c r="AY318" s="109">
        <f t="shared" ref="AY318:AY328" si="191">AX318*G318</f>
        <v>3.1812806025000001E-2</v>
      </c>
      <c r="AZ318" s="109">
        <f t="shared" ref="AZ318:AZ328" si="192">AX318*H318</f>
        <v>0.14682833550000002</v>
      </c>
      <c r="BA318" s="109">
        <f t="shared" ref="BA318:BA328" si="193">BP318-BD318</f>
        <v>4.9688100000000004</v>
      </c>
      <c r="BB318" s="109">
        <f t="shared" ref="BB318:BB328" si="194">BA318*L318</f>
        <v>7.4532150000000005E-2</v>
      </c>
      <c r="BC318" s="109">
        <f t="shared" ref="BC318:BC328" si="195">BP318/(1+D318)</f>
        <v>4.9688100000000004</v>
      </c>
      <c r="BD318" s="109">
        <f t="shared" ref="BD318:BD328" si="196">BC318*D318</f>
        <v>0</v>
      </c>
      <c r="BE318" s="109">
        <f t="shared" ref="BE318:BE328" si="197">BT318*0.08</f>
        <v>86258.541599999997</v>
      </c>
      <c r="BF318" s="109">
        <f t="shared" ref="BF318:BF328" si="198">BT318*0.12</f>
        <v>129387.8124</v>
      </c>
      <c r="BG318" s="109">
        <f t="shared" ref="BG318:BG328" si="199">(BF318*0.09)/N318</f>
        <v>5.3663148000000001E-2</v>
      </c>
      <c r="BH318" s="109">
        <f t="shared" ref="BH318:BH328" si="200">(BE318*0.15)/N318</f>
        <v>5.9625719999999993E-2</v>
      </c>
      <c r="BI318" s="109">
        <f t="shared" ref="BI318:BI328" si="201">IF(BE318&gt;=$BX$1,($BX$1-BE318)*0.1,IF(BE318&lt;=$BX$1,($BX$1*0)))/N318</f>
        <v>-1.2100715023041475E-2</v>
      </c>
      <c r="BJ318" s="109">
        <f t="shared" ref="BJ318:BJ328" si="202">(AY318+AZ318+BB318+AV318+BD318+BG318+BH318+BI318)</f>
        <v>0.45373764450195853</v>
      </c>
      <c r="BK318" s="109">
        <f t="shared" ref="BK318:BK328" si="203">BJ318+AU318</f>
        <v>4.522583727105645</v>
      </c>
      <c r="BL318" s="148">
        <v>0.83</v>
      </c>
      <c r="BM318" s="112">
        <f>ROUND((AW318/BL318)+((AW318*BL318)*'CALCULO GERAL'!$E$11)/BL318,2)</f>
        <v>0.99</v>
      </c>
      <c r="BN318" s="186">
        <f t="shared" si="174"/>
        <v>0.99</v>
      </c>
      <c r="BO318" s="186">
        <f t="shared" si="175"/>
        <v>1.1599999999999999</v>
      </c>
      <c r="BP318" s="109">
        <f>BM318*'CALCULO GERAL'!$C$11</f>
        <v>4.9688100000000004</v>
      </c>
      <c r="BQ318" s="109">
        <f>BO318*'CALCULO GERAL'!$C$11</f>
        <v>5.8220399999999994</v>
      </c>
      <c r="BR318" s="186">
        <f>BN318*'CALCULO GERAL'!$C$11</f>
        <v>4.9688100000000004</v>
      </c>
      <c r="BS318" s="109">
        <f t="shared" ref="BS318:BS328" si="204">BP318*N318</f>
        <v>1078231.77</v>
      </c>
      <c r="BT318" s="109">
        <f t="shared" ref="BT318:BT328" si="205">BR318*N318</f>
        <v>1078231.77</v>
      </c>
      <c r="BU318" s="109">
        <f t="shared" si="179"/>
        <v>981400.66878192499</v>
      </c>
      <c r="BV318" s="109">
        <f t="shared" si="176"/>
        <v>96831.101218075026</v>
      </c>
      <c r="BW318" s="114">
        <f t="shared" ref="BW318:BW328" si="206">(((BK318*N318)-BS318)/BS318*-1)</f>
        <v>8.9805461044868876E-2</v>
      </c>
      <c r="BX318" s="152">
        <f t="shared" si="180"/>
        <v>0.83</v>
      </c>
      <c r="BZ318" s="55"/>
      <c r="CA318" s="113"/>
      <c r="CB318" s="113"/>
      <c r="CD318" s="152">
        <f t="shared" si="181"/>
        <v>0</v>
      </c>
      <c r="CE318" s="152">
        <f t="shared" si="177"/>
        <v>1</v>
      </c>
      <c r="CF318" s="152">
        <f t="shared" si="178"/>
        <v>1</v>
      </c>
      <c r="CG318" s="34"/>
      <c r="CI318" s="11"/>
      <c r="CJ318" s="11"/>
    </row>
    <row r="319" spans="1:88" s="152" customFormat="1" x14ac:dyDescent="0.2">
      <c r="A319" s="507" t="s">
        <v>667</v>
      </c>
      <c r="B319" s="508" t="s">
        <v>666</v>
      </c>
      <c r="C319" s="509">
        <v>0.16</v>
      </c>
      <c r="D319" s="510">
        <v>0</v>
      </c>
      <c r="E319" s="511">
        <v>2.1000000000000001E-2</v>
      </c>
      <c r="F319" s="511">
        <v>9.6500000000000002E-2</v>
      </c>
      <c r="G319" s="512">
        <v>6.4999999999999997E-3</v>
      </c>
      <c r="H319" s="512">
        <v>0.03</v>
      </c>
      <c r="I319" s="512">
        <v>0.18</v>
      </c>
      <c r="J319" s="512">
        <v>0.04</v>
      </c>
      <c r="K319" s="512">
        <v>0.14000000000000001</v>
      </c>
      <c r="L319" s="512">
        <v>1.4999999999999999E-2</v>
      </c>
      <c r="M319" s="513" t="s">
        <v>175</v>
      </c>
      <c r="N319" s="514">
        <v>209000</v>
      </c>
      <c r="O319" s="119">
        <v>0.7</v>
      </c>
      <c r="P319" s="119"/>
      <c r="Q319" s="119"/>
      <c r="R319" s="119"/>
      <c r="S319" s="119"/>
      <c r="T319" s="119"/>
      <c r="U319" s="119"/>
      <c r="V319" s="119"/>
      <c r="W319" s="119"/>
      <c r="X319" s="119">
        <f t="shared" si="183"/>
        <v>0.7</v>
      </c>
      <c r="Y319" s="118">
        <f t="shared" si="184"/>
        <v>0.7</v>
      </c>
      <c r="Z319" s="109">
        <f t="shared" si="182"/>
        <v>146300</v>
      </c>
      <c r="AA319" s="109">
        <f>'CALCULO GERAL'!$G$10</f>
        <v>6300</v>
      </c>
      <c r="AB319" s="109">
        <f t="shared" si="185"/>
        <v>152600</v>
      </c>
      <c r="AC319" s="109">
        <f>AB319*'CALCULO GERAL'!$C$11</f>
        <v>765899.4</v>
      </c>
      <c r="AD319" s="109">
        <f t="shared" si="186"/>
        <v>122543.90400000001</v>
      </c>
      <c r="AE319" s="109">
        <f t="shared" si="187"/>
        <v>0</v>
      </c>
      <c r="AF319" s="109">
        <f t="shared" si="188"/>
        <v>16083.887400000001</v>
      </c>
      <c r="AG319" s="109">
        <f t="shared" si="189"/>
        <v>73909.292100000006</v>
      </c>
      <c r="AH319" s="109">
        <v>154.22999999999999</v>
      </c>
      <c r="AI319" s="109">
        <f>((AA319*'CALCULO GERAL'!$C$11))*0.08+20</f>
        <v>2549.576</v>
      </c>
      <c r="AJ319" s="109">
        <v>1010</v>
      </c>
      <c r="AK319" s="109">
        <v>2500</v>
      </c>
      <c r="AL319" s="109">
        <f>(AA319*('CALCULO GERAL'!$C$11*1.02))-(AA319*'CALCULO GERAL'!$C$11)</f>
        <v>632.39400000000387</v>
      </c>
      <c r="AM319" s="109">
        <v>1800</v>
      </c>
      <c r="AN319" s="109">
        <v>2600</v>
      </c>
      <c r="AO319" s="109">
        <v>9400</v>
      </c>
      <c r="AP319" s="109">
        <v>1000</v>
      </c>
      <c r="AQ319" s="109">
        <v>0</v>
      </c>
      <c r="AR319" s="109">
        <v>0</v>
      </c>
      <c r="AS319" s="109"/>
      <c r="AT319" s="109">
        <f t="shared" si="173"/>
        <v>1000082.6834999999</v>
      </c>
      <c r="AU319" s="111">
        <f t="shared" si="190"/>
        <v>4.7850846100478464</v>
      </c>
      <c r="AV319" s="109">
        <f>IFERROR((BS319*'CALCULO GERAL'!$E$11)/N319,0)</f>
        <v>0.11744460000000001</v>
      </c>
      <c r="AW319" s="109">
        <f>AU319/'CALCULO GERAL'!$C$11</f>
        <v>0.95339402471564982</v>
      </c>
      <c r="AX319" s="109">
        <f>BP319-BB319-BD319*'CALCULO GERAL'!$C$11</f>
        <v>5.78414655</v>
      </c>
      <c r="AY319" s="109">
        <f t="shared" si="191"/>
        <v>3.7596952574999995E-2</v>
      </c>
      <c r="AZ319" s="109">
        <f t="shared" si="192"/>
        <v>0.17352439649999998</v>
      </c>
      <c r="BA319" s="109">
        <f t="shared" si="193"/>
        <v>5.8722300000000001</v>
      </c>
      <c r="BB319" s="109">
        <f t="shared" si="194"/>
        <v>8.8083449999999994E-2</v>
      </c>
      <c r="BC319" s="109">
        <f t="shared" si="195"/>
        <v>5.8722300000000001</v>
      </c>
      <c r="BD319" s="109">
        <f t="shared" si="196"/>
        <v>0</v>
      </c>
      <c r="BE319" s="109">
        <f t="shared" si="197"/>
        <v>98183.685600000012</v>
      </c>
      <c r="BF319" s="109">
        <f t="shared" si="198"/>
        <v>147275.52840000001</v>
      </c>
      <c r="BG319" s="109">
        <f t="shared" si="199"/>
        <v>6.3420084000000002E-2</v>
      </c>
      <c r="BH319" s="109">
        <f t="shared" si="200"/>
        <v>7.0466760000000003E-2</v>
      </c>
      <c r="BI319" s="109">
        <f t="shared" si="201"/>
        <v>-1.8269710813397136E-2</v>
      </c>
      <c r="BJ319" s="109">
        <f t="shared" si="202"/>
        <v>0.53226653226160281</v>
      </c>
      <c r="BK319" s="109">
        <f t="shared" si="203"/>
        <v>5.3173511423094491</v>
      </c>
      <c r="BL319" s="148">
        <v>0.83</v>
      </c>
      <c r="BM319" s="112">
        <f>ROUND((AW319/BL319)+((AW319*BL319)*'CALCULO GERAL'!$E$11)/BL319,2)</f>
        <v>1.17</v>
      </c>
      <c r="BN319" s="186">
        <f t="shared" si="174"/>
        <v>1.17</v>
      </c>
      <c r="BO319" s="186">
        <f t="shared" si="175"/>
        <v>1.371</v>
      </c>
      <c r="BP319" s="109">
        <f>BM319*'CALCULO GERAL'!$C$11</f>
        <v>5.8722300000000001</v>
      </c>
      <c r="BQ319" s="109">
        <f>BO319*'CALCULO GERAL'!$C$11</f>
        <v>6.881049</v>
      </c>
      <c r="BR319" s="186">
        <f>BN319*'CALCULO GERAL'!$C$11</f>
        <v>5.8722300000000001</v>
      </c>
      <c r="BS319" s="109">
        <f t="shared" si="204"/>
        <v>1227296.07</v>
      </c>
      <c r="BT319" s="109">
        <f t="shared" si="205"/>
        <v>1227296.07</v>
      </c>
      <c r="BU319" s="109">
        <f t="shared" si="179"/>
        <v>1111326.3887426748</v>
      </c>
      <c r="BV319" s="109">
        <f t="shared" si="176"/>
        <v>115969.68125732522</v>
      </c>
      <c r="BW319" s="114">
        <f t="shared" si="206"/>
        <v>9.4492017119654936E-2</v>
      </c>
      <c r="BX319" s="152">
        <f t="shared" si="180"/>
        <v>0.83</v>
      </c>
      <c r="BZ319" s="55"/>
      <c r="CA319" s="113"/>
      <c r="CB319" s="113"/>
      <c r="CD319" s="152">
        <f t="shared" si="181"/>
        <v>0</v>
      </c>
      <c r="CE319" s="152">
        <f t="shared" si="177"/>
        <v>1</v>
      </c>
      <c r="CF319" s="152">
        <f t="shared" si="178"/>
        <v>1</v>
      </c>
      <c r="CG319" s="34"/>
      <c r="CI319" s="11"/>
      <c r="CJ319" s="11"/>
    </row>
    <row r="320" spans="1:88" s="152" customFormat="1" x14ac:dyDescent="0.2">
      <c r="A320" s="507" t="s">
        <v>668</v>
      </c>
      <c r="B320" s="508" t="s">
        <v>666</v>
      </c>
      <c r="C320" s="509">
        <v>0.16</v>
      </c>
      <c r="D320" s="510">
        <v>0</v>
      </c>
      <c r="E320" s="511">
        <v>2.1000000000000001E-2</v>
      </c>
      <c r="F320" s="511">
        <v>9.6500000000000002E-2</v>
      </c>
      <c r="G320" s="512">
        <v>6.4999999999999997E-3</v>
      </c>
      <c r="H320" s="512">
        <v>0.03</v>
      </c>
      <c r="I320" s="512">
        <v>0.18</v>
      </c>
      <c r="J320" s="512">
        <v>0.04</v>
      </c>
      <c r="K320" s="512">
        <v>0.14000000000000001</v>
      </c>
      <c r="L320" s="512">
        <v>1.4999999999999999E-2</v>
      </c>
      <c r="M320" s="513" t="s">
        <v>175</v>
      </c>
      <c r="N320" s="514">
        <v>141000</v>
      </c>
      <c r="O320" s="119">
        <v>0.24</v>
      </c>
      <c r="P320" s="119"/>
      <c r="Q320" s="119"/>
      <c r="R320" s="119"/>
      <c r="S320" s="119"/>
      <c r="T320" s="119"/>
      <c r="U320" s="119"/>
      <c r="V320" s="119"/>
      <c r="W320" s="119"/>
      <c r="X320" s="119">
        <f t="shared" si="183"/>
        <v>0.24</v>
      </c>
      <c r="Y320" s="118">
        <f t="shared" si="184"/>
        <v>0.24</v>
      </c>
      <c r="Z320" s="109">
        <f t="shared" si="182"/>
        <v>33840</v>
      </c>
      <c r="AA320" s="109">
        <f>'CALCULO GERAL'!$G$10</f>
        <v>6300</v>
      </c>
      <c r="AB320" s="109">
        <f t="shared" si="185"/>
        <v>40140</v>
      </c>
      <c r="AC320" s="109">
        <f>AB320*'CALCULO GERAL'!$C$11</f>
        <v>201462.66</v>
      </c>
      <c r="AD320" s="109">
        <f t="shared" si="186"/>
        <v>32234.025600000001</v>
      </c>
      <c r="AE320" s="109">
        <f t="shared" si="187"/>
        <v>0</v>
      </c>
      <c r="AF320" s="109">
        <f t="shared" si="188"/>
        <v>4230.7158600000002</v>
      </c>
      <c r="AG320" s="109">
        <f t="shared" si="189"/>
        <v>19441.146690000001</v>
      </c>
      <c r="AH320" s="109">
        <v>154.22999999999999</v>
      </c>
      <c r="AI320" s="109">
        <f>((AA320*'CALCULO GERAL'!$C$11))*0.08+20</f>
        <v>2549.576</v>
      </c>
      <c r="AJ320" s="109">
        <v>1010</v>
      </c>
      <c r="AK320" s="109">
        <v>2500</v>
      </c>
      <c r="AL320" s="109">
        <f>(AA320*('CALCULO GERAL'!$C$11*1.02))-(AA320*'CALCULO GERAL'!$C$11)</f>
        <v>632.39400000000387</v>
      </c>
      <c r="AM320" s="109">
        <v>1800</v>
      </c>
      <c r="AN320" s="109">
        <v>2600</v>
      </c>
      <c r="AO320" s="109">
        <v>9400</v>
      </c>
      <c r="AP320" s="109">
        <v>1000</v>
      </c>
      <c r="AQ320" s="109">
        <v>0</v>
      </c>
      <c r="AR320" s="109">
        <v>0</v>
      </c>
      <c r="AS320" s="109"/>
      <c r="AT320" s="109">
        <f t="shared" si="173"/>
        <v>279014.74815000006</v>
      </c>
      <c r="AU320" s="111">
        <f t="shared" si="190"/>
        <v>1.9788280010638302</v>
      </c>
      <c r="AV320" s="109">
        <f>IFERROR((BS320*'CALCULO GERAL'!$E$11)/N320,0)</f>
        <v>4.7178600000000001E-2</v>
      </c>
      <c r="AW320" s="109">
        <f>AU320/'CALCULO GERAL'!$C$11</f>
        <v>0.39426738415298468</v>
      </c>
      <c r="AX320" s="109">
        <f>BP320-BB320-BD320*'CALCULO GERAL'!$C$11</f>
        <v>2.32354605</v>
      </c>
      <c r="AY320" s="109">
        <f t="shared" si="191"/>
        <v>1.5103049324999999E-2</v>
      </c>
      <c r="AZ320" s="109">
        <f t="shared" si="192"/>
        <v>6.9706381499999998E-2</v>
      </c>
      <c r="BA320" s="109">
        <f t="shared" si="193"/>
        <v>2.35893</v>
      </c>
      <c r="BB320" s="109">
        <f t="shared" si="194"/>
        <v>3.5383949999999997E-2</v>
      </c>
      <c r="BC320" s="109">
        <f t="shared" si="195"/>
        <v>2.35893</v>
      </c>
      <c r="BD320" s="109">
        <f t="shared" si="196"/>
        <v>0</v>
      </c>
      <c r="BE320" s="109">
        <f t="shared" si="197"/>
        <v>26608.7304</v>
      </c>
      <c r="BF320" s="109">
        <f t="shared" si="198"/>
        <v>39913.095600000001</v>
      </c>
      <c r="BG320" s="109">
        <f t="shared" si="199"/>
        <v>2.5476443999999997E-2</v>
      </c>
      <c r="BH320" s="109">
        <f t="shared" si="200"/>
        <v>2.8307159999999998E-2</v>
      </c>
      <c r="BI320" s="109">
        <f t="shared" si="201"/>
        <v>0</v>
      </c>
      <c r="BJ320" s="109">
        <f t="shared" si="202"/>
        <v>0.22115558482499997</v>
      </c>
      <c r="BK320" s="109">
        <f t="shared" si="203"/>
        <v>2.1999835858888304</v>
      </c>
      <c r="BL320" s="148">
        <v>0.85</v>
      </c>
      <c r="BM320" s="112">
        <f>ROUND((AW320/BL320)+((AW320*BL320)*'CALCULO GERAL'!$E$11)/BL320,2)</f>
        <v>0.47</v>
      </c>
      <c r="BN320" s="186">
        <f t="shared" si="174"/>
        <v>0.47</v>
      </c>
      <c r="BO320" s="186">
        <f t="shared" si="175"/>
        <v>0.55100000000000005</v>
      </c>
      <c r="BP320" s="109">
        <f>BM320*'CALCULO GERAL'!$C$11</f>
        <v>2.35893</v>
      </c>
      <c r="BQ320" s="109">
        <f>BO320*'CALCULO GERAL'!$C$11</f>
        <v>2.7654690000000004</v>
      </c>
      <c r="BR320" s="186">
        <f>BN320*'CALCULO GERAL'!$C$11</f>
        <v>2.35893</v>
      </c>
      <c r="BS320" s="109">
        <f t="shared" si="204"/>
        <v>332609.13</v>
      </c>
      <c r="BT320" s="109">
        <f t="shared" si="205"/>
        <v>332609.13</v>
      </c>
      <c r="BU320" s="109">
        <f t="shared" si="179"/>
        <v>310197.68561032508</v>
      </c>
      <c r="BV320" s="109">
        <f t="shared" si="176"/>
        <v>22411.444389674929</v>
      </c>
      <c r="BW320" s="114">
        <f t="shared" si="206"/>
        <v>6.7380725206415498E-2</v>
      </c>
      <c r="BX320" s="152">
        <f t="shared" si="180"/>
        <v>0.85</v>
      </c>
      <c r="BZ320" s="55"/>
      <c r="CA320" s="113"/>
      <c r="CB320" s="113"/>
      <c r="CD320" s="152">
        <f t="shared" si="181"/>
        <v>0</v>
      </c>
      <c r="CE320" s="152">
        <f t="shared" si="177"/>
        <v>1</v>
      </c>
      <c r="CF320" s="152">
        <f t="shared" si="178"/>
        <v>1</v>
      </c>
      <c r="CG320" s="34"/>
      <c r="CI320" s="11"/>
      <c r="CJ320" s="11"/>
    </row>
    <row r="321" spans="1:88" s="152" customFormat="1" x14ac:dyDescent="0.2">
      <c r="A321" s="507" t="s">
        <v>669</v>
      </c>
      <c r="B321" s="508" t="s">
        <v>670</v>
      </c>
      <c r="C321" s="509">
        <v>0.14000000000000001</v>
      </c>
      <c r="D321" s="510">
        <v>0</v>
      </c>
      <c r="E321" s="511">
        <v>2.1000000000000001E-2</v>
      </c>
      <c r="F321" s="511">
        <v>9.6500000000000002E-2</v>
      </c>
      <c r="G321" s="512">
        <v>6.4999999999999997E-3</v>
      </c>
      <c r="H321" s="512">
        <v>0.03</v>
      </c>
      <c r="I321" s="512">
        <v>0.18</v>
      </c>
      <c r="J321" s="512">
        <v>0.04</v>
      </c>
      <c r="K321" s="512">
        <v>0.14000000000000001</v>
      </c>
      <c r="L321" s="512">
        <v>1.4999999999999999E-2</v>
      </c>
      <c r="M321" s="513" t="s">
        <v>175</v>
      </c>
      <c r="N321" s="514">
        <v>26000</v>
      </c>
      <c r="O321" s="119">
        <v>0.24</v>
      </c>
      <c r="P321" s="119"/>
      <c r="Q321" s="119"/>
      <c r="R321" s="119"/>
      <c r="S321" s="119"/>
      <c r="T321" s="119"/>
      <c r="U321" s="119"/>
      <c r="V321" s="119"/>
      <c r="W321" s="119"/>
      <c r="X321" s="119">
        <f t="shared" si="183"/>
        <v>0.24</v>
      </c>
      <c r="Y321" s="118">
        <f t="shared" si="184"/>
        <v>0.24</v>
      </c>
      <c r="Z321" s="109">
        <f t="shared" si="182"/>
        <v>6240</v>
      </c>
      <c r="AA321" s="109">
        <f>'CALCULO GERAL'!$G$10</f>
        <v>6300</v>
      </c>
      <c r="AB321" s="109">
        <f t="shared" si="185"/>
        <v>12540</v>
      </c>
      <c r="AC321" s="109">
        <f>AB321*'CALCULO GERAL'!$C$11</f>
        <v>62938.26</v>
      </c>
      <c r="AD321" s="109">
        <f t="shared" si="186"/>
        <v>8811.3564000000006</v>
      </c>
      <c r="AE321" s="109">
        <f t="shared" si="187"/>
        <v>0</v>
      </c>
      <c r="AF321" s="109">
        <f t="shared" si="188"/>
        <v>1321.7034600000002</v>
      </c>
      <c r="AG321" s="109">
        <f t="shared" si="189"/>
        <v>6073.5420899999999</v>
      </c>
      <c r="AH321" s="109">
        <v>154.22999999999999</v>
      </c>
      <c r="AI321" s="109">
        <f>((AA321*'CALCULO GERAL'!$C$11))*0.08+20</f>
        <v>2549.576</v>
      </c>
      <c r="AJ321" s="109">
        <v>1010</v>
      </c>
      <c r="AK321" s="109">
        <v>2500</v>
      </c>
      <c r="AL321" s="109">
        <f>(AA321*('CALCULO GERAL'!$C$11*1.02))-(AA321*'CALCULO GERAL'!$C$11)</f>
        <v>632.39400000000387</v>
      </c>
      <c r="AM321" s="109">
        <v>1800</v>
      </c>
      <c r="AN321" s="109">
        <v>2600</v>
      </c>
      <c r="AO321" s="109">
        <v>9400</v>
      </c>
      <c r="AP321" s="109">
        <v>1000</v>
      </c>
      <c r="AQ321" s="109">
        <v>0</v>
      </c>
      <c r="AR321" s="109">
        <v>0</v>
      </c>
      <c r="AS321" s="109"/>
      <c r="AT321" s="109">
        <f t="shared" si="173"/>
        <v>100791.06195</v>
      </c>
      <c r="AU321" s="111">
        <f t="shared" si="190"/>
        <v>3.8765793057692308</v>
      </c>
      <c r="AV321" s="109">
        <f>IFERROR((BS321*'CALCULO GERAL'!$E$11)/N321,0)</f>
        <v>9.2349600000000004E-2</v>
      </c>
      <c r="AW321" s="109">
        <f>AU321/'CALCULO GERAL'!$C$11</f>
        <v>0.77238081406041659</v>
      </c>
      <c r="AX321" s="109">
        <f>BP321-BB321-BD321*'CALCULO GERAL'!$C$11</f>
        <v>4.5482178000000006</v>
      </c>
      <c r="AY321" s="109">
        <f t="shared" si="191"/>
        <v>2.9563415700000002E-2</v>
      </c>
      <c r="AZ321" s="109">
        <f t="shared" si="192"/>
        <v>0.13644653400000001</v>
      </c>
      <c r="BA321" s="109">
        <f t="shared" si="193"/>
        <v>4.6174800000000005</v>
      </c>
      <c r="BB321" s="109">
        <f t="shared" si="194"/>
        <v>6.926220000000001E-2</v>
      </c>
      <c r="BC321" s="109">
        <f t="shared" si="195"/>
        <v>4.6174800000000005</v>
      </c>
      <c r="BD321" s="109">
        <f t="shared" si="196"/>
        <v>0</v>
      </c>
      <c r="BE321" s="109">
        <f t="shared" si="197"/>
        <v>9604.358400000001</v>
      </c>
      <c r="BF321" s="109">
        <f t="shared" si="198"/>
        <v>14406.537600000001</v>
      </c>
      <c r="BG321" s="109">
        <f t="shared" si="199"/>
        <v>4.9868784000000006E-2</v>
      </c>
      <c r="BH321" s="109">
        <f t="shared" si="200"/>
        <v>5.5409760000000002E-2</v>
      </c>
      <c r="BI321" s="109">
        <f t="shared" si="201"/>
        <v>0</v>
      </c>
      <c r="BJ321" s="109">
        <f t="shared" si="202"/>
        <v>0.43290029370000005</v>
      </c>
      <c r="BK321" s="109">
        <f t="shared" si="203"/>
        <v>4.3094795994692312</v>
      </c>
      <c r="BL321" s="148">
        <v>0.85</v>
      </c>
      <c r="BM321" s="112">
        <f>ROUND((AW321/BL321)+((AW321*BL321)*'CALCULO GERAL'!$E$11)/BL321,2)</f>
        <v>0.92</v>
      </c>
      <c r="BN321" s="186">
        <f t="shared" si="174"/>
        <v>0.92</v>
      </c>
      <c r="BO321" s="186">
        <f t="shared" si="175"/>
        <v>1.0780000000000001</v>
      </c>
      <c r="BP321" s="109">
        <f>BM321*'CALCULO GERAL'!$C$11</f>
        <v>4.6174800000000005</v>
      </c>
      <c r="BQ321" s="109">
        <f>BO321*'CALCULO GERAL'!$C$11</f>
        <v>5.4104820000000009</v>
      </c>
      <c r="BR321" s="186">
        <f>BN321*'CALCULO GERAL'!$C$11</f>
        <v>4.6174800000000005</v>
      </c>
      <c r="BS321" s="109">
        <f t="shared" si="204"/>
        <v>120054.48000000001</v>
      </c>
      <c r="BT321" s="109">
        <f t="shared" si="205"/>
        <v>120054.48000000001</v>
      </c>
      <c r="BU321" s="109">
        <f t="shared" si="179"/>
        <v>112046.46958620001</v>
      </c>
      <c r="BV321" s="109">
        <f t="shared" si="176"/>
        <v>8008.0104138000024</v>
      </c>
      <c r="BW321" s="114">
        <f t="shared" si="206"/>
        <v>6.6703136890851569E-2</v>
      </c>
      <c r="BX321" s="152">
        <f t="shared" si="180"/>
        <v>0.85</v>
      </c>
      <c r="BZ321" s="55"/>
      <c r="CA321" s="113"/>
      <c r="CB321" s="113"/>
      <c r="CD321" s="152">
        <f t="shared" si="181"/>
        <v>0</v>
      </c>
      <c r="CE321" s="152">
        <f t="shared" si="177"/>
        <v>1</v>
      </c>
      <c r="CF321" s="152">
        <f t="shared" si="178"/>
        <v>1</v>
      </c>
      <c r="CG321" s="34"/>
      <c r="CI321" s="11"/>
      <c r="CJ321" s="11"/>
    </row>
    <row r="322" spans="1:88" s="152" customFormat="1" x14ac:dyDescent="0.2">
      <c r="A322" s="507" t="s">
        <v>671</v>
      </c>
      <c r="B322" s="508" t="s">
        <v>670</v>
      </c>
      <c r="C322" s="509">
        <v>0.14000000000000001</v>
      </c>
      <c r="D322" s="510">
        <v>0</v>
      </c>
      <c r="E322" s="511">
        <v>2.1000000000000001E-2</v>
      </c>
      <c r="F322" s="511">
        <v>9.6500000000000002E-2</v>
      </c>
      <c r="G322" s="512">
        <v>6.4999999999999997E-3</v>
      </c>
      <c r="H322" s="512">
        <v>0.03</v>
      </c>
      <c r="I322" s="512">
        <v>0.18</v>
      </c>
      <c r="J322" s="512">
        <v>0.04</v>
      </c>
      <c r="K322" s="512">
        <v>0.14000000000000001</v>
      </c>
      <c r="L322" s="512">
        <v>1.4999999999999999E-2</v>
      </c>
      <c r="M322" s="513" t="s">
        <v>175</v>
      </c>
      <c r="N322" s="514">
        <v>26000</v>
      </c>
      <c r="O322" s="119">
        <v>0.46</v>
      </c>
      <c r="P322" s="119"/>
      <c r="Q322" s="119"/>
      <c r="R322" s="119"/>
      <c r="S322" s="119"/>
      <c r="T322" s="119"/>
      <c r="U322" s="119"/>
      <c r="V322" s="119"/>
      <c r="W322" s="119"/>
      <c r="X322" s="119">
        <f t="shared" si="183"/>
        <v>0.46</v>
      </c>
      <c r="Y322" s="118">
        <f t="shared" si="184"/>
        <v>0.46</v>
      </c>
      <c r="Z322" s="109">
        <f t="shared" si="182"/>
        <v>11960</v>
      </c>
      <c r="AA322" s="109">
        <f>'CALCULO GERAL'!$G$10</f>
        <v>6300</v>
      </c>
      <c r="AB322" s="109">
        <f t="shared" si="185"/>
        <v>18260</v>
      </c>
      <c r="AC322" s="109">
        <f>AB322*'CALCULO GERAL'!$C$11</f>
        <v>91646.94</v>
      </c>
      <c r="AD322" s="109">
        <f t="shared" si="186"/>
        <v>12830.571600000001</v>
      </c>
      <c r="AE322" s="109">
        <f t="shared" si="187"/>
        <v>0</v>
      </c>
      <c r="AF322" s="109">
        <f t="shared" si="188"/>
        <v>1924.5857400000002</v>
      </c>
      <c r="AG322" s="109">
        <f t="shared" si="189"/>
        <v>8843.9297100000003</v>
      </c>
      <c r="AH322" s="109">
        <v>154.22999999999999</v>
      </c>
      <c r="AI322" s="109">
        <f>((AA322*'CALCULO GERAL'!$C$11))*0.08+20</f>
        <v>2549.576</v>
      </c>
      <c r="AJ322" s="109">
        <v>1010</v>
      </c>
      <c r="AK322" s="109">
        <v>2500</v>
      </c>
      <c r="AL322" s="109">
        <f>(AA322*('CALCULO GERAL'!$C$11*1.02))-(AA322*'CALCULO GERAL'!$C$11)</f>
        <v>632.39400000000387</v>
      </c>
      <c r="AM322" s="109">
        <v>1800</v>
      </c>
      <c r="AN322" s="109">
        <v>2600</v>
      </c>
      <c r="AO322" s="109">
        <v>9400</v>
      </c>
      <c r="AP322" s="109">
        <v>1000</v>
      </c>
      <c r="AQ322" s="109">
        <v>0</v>
      </c>
      <c r="AR322" s="109">
        <v>0</v>
      </c>
      <c r="AS322" s="109"/>
      <c r="AT322" s="109">
        <f t="shared" si="173"/>
        <v>136892.22704999999</v>
      </c>
      <c r="AU322" s="111">
        <f t="shared" si="190"/>
        <v>5.26508565576923</v>
      </c>
      <c r="AV322" s="109">
        <f>IFERROR((BS322*'CALCULO GERAL'!$E$11)/N322,0)</f>
        <v>0.1244712</v>
      </c>
      <c r="AW322" s="109">
        <f>AU322/'CALCULO GERAL'!$C$11</f>
        <v>1.0490308140604163</v>
      </c>
      <c r="AX322" s="109">
        <f>BP322-BB322-BD322*'CALCULO GERAL'!$C$11</f>
        <v>6.1302066000000002</v>
      </c>
      <c r="AY322" s="109">
        <f t="shared" si="191"/>
        <v>3.9846342899999998E-2</v>
      </c>
      <c r="AZ322" s="109">
        <f t="shared" si="192"/>
        <v>0.18390619799999999</v>
      </c>
      <c r="BA322" s="109">
        <f t="shared" si="193"/>
        <v>6.22356</v>
      </c>
      <c r="BB322" s="109">
        <f t="shared" si="194"/>
        <v>9.3353400000000003E-2</v>
      </c>
      <c r="BC322" s="109">
        <f t="shared" si="195"/>
        <v>6.22356</v>
      </c>
      <c r="BD322" s="109">
        <f t="shared" si="196"/>
        <v>0</v>
      </c>
      <c r="BE322" s="109">
        <f t="shared" si="197"/>
        <v>12945.004800000001</v>
      </c>
      <c r="BF322" s="109">
        <f t="shared" si="198"/>
        <v>19417.5072</v>
      </c>
      <c r="BG322" s="109">
        <f t="shared" si="199"/>
        <v>6.7214447999999996E-2</v>
      </c>
      <c r="BH322" s="109">
        <f t="shared" si="200"/>
        <v>7.4682719999999994E-2</v>
      </c>
      <c r="BI322" s="109">
        <f t="shared" si="201"/>
        <v>0</v>
      </c>
      <c r="BJ322" s="109">
        <f t="shared" si="202"/>
        <v>0.58347430889999996</v>
      </c>
      <c r="BK322" s="109">
        <f t="shared" si="203"/>
        <v>5.8485599646692297</v>
      </c>
      <c r="BL322" s="148">
        <v>0.86</v>
      </c>
      <c r="BM322" s="112">
        <f>ROUND((AW322/BL322)+((AW322*BL322)*'CALCULO GERAL'!$E$11)/BL322,2)</f>
        <v>1.24</v>
      </c>
      <c r="BN322" s="186">
        <f t="shared" si="174"/>
        <v>1.24</v>
      </c>
      <c r="BO322" s="186">
        <f t="shared" si="175"/>
        <v>1.4530000000000001</v>
      </c>
      <c r="BP322" s="109">
        <f>BM322*'CALCULO GERAL'!$C$11</f>
        <v>6.22356</v>
      </c>
      <c r="BQ322" s="109">
        <f>BO322*'CALCULO GERAL'!$C$11</f>
        <v>7.2926070000000003</v>
      </c>
      <c r="BR322" s="186">
        <f>BN322*'CALCULO GERAL'!$C$11</f>
        <v>6.22356</v>
      </c>
      <c r="BS322" s="109">
        <f t="shared" si="204"/>
        <v>161812.56</v>
      </c>
      <c r="BT322" s="109">
        <f t="shared" si="205"/>
        <v>161812.56</v>
      </c>
      <c r="BU322" s="109">
        <f t="shared" si="179"/>
        <v>152062.55908139996</v>
      </c>
      <c r="BV322" s="109">
        <f t="shared" si="176"/>
        <v>9750.0009186000389</v>
      </c>
      <c r="BW322" s="114">
        <f t="shared" si="206"/>
        <v>6.0254908015793328E-2</v>
      </c>
      <c r="BX322" s="152">
        <f t="shared" si="180"/>
        <v>0.86</v>
      </c>
      <c r="BZ322" s="55"/>
      <c r="CA322" s="113"/>
      <c r="CB322" s="113"/>
      <c r="CD322" s="152">
        <f t="shared" si="181"/>
        <v>0</v>
      </c>
      <c r="CE322" s="152">
        <f t="shared" si="177"/>
        <v>1</v>
      </c>
      <c r="CF322" s="152">
        <f t="shared" si="178"/>
        <v>1</v>
      </c>
      <c r="CG322" s="34"/>
      <c r="CI322" s="11"/>
      <c r="CJ322" s="11"/>
    </row>
    <row r="323" spans="1:88" s="152" customFormat="1" x14ac:dyDescent="0.2">
      <c r="A323" s="507" t="s">
        <v>672</v>
      </c>
      <c r="B323" s="508" t="s">
        <v>670</v>
      </c>
      <c r="C323" s="509">
        <v>0.14000000000000001</v>
      </c>
      <c r="D323" s="510">
        <v>0</v>
      </c>
      <c r="E323" s="511">
        <v>2.1000000000000001E-2</v>
      </c>
      <c r="F323" s="511">
        <v>9.6500000000000002E-2</v>
      </c>
      <c r="G323" s="512">
        <v>6.4999999999999997E-3</v>
      </c>
      <c r="H323" s="512">
        <v>0.03</v>
      </c>
      <c r="I323" s="512">
        <v>0.18</v>
      </c>
      <c r="J323" s="512">
        <v>0.04</v>
      </c>
      <c r="K323" s="512">
        <v>0.14000000000000001</v>
      </c>
      <c r="L323" s="512">
        <v>1.4999999999999999E-2</v>
      </c>
      <c r="M323" s="513" t="s">
        <v>175</v>
      </c>
      <c r="N323" s="514">
        <v>26000</v>
      </c>
      <c r="O323" s="119"/>
      <c r="P323" s="119"/>
      <c r="Q323" s="119">
        <v>6.5</v>
      </c>
      <c r="R323" s="119"/>
      <c r="S323" s="119"/>
      <c r="T323" s="119"/>
      <c r="U323" s="119"/>
      <c r="V323" s="119"/>
      <c r="W323" s="119"/>
      <c r="X323" s="119">
        <f t="shared" si="183"/>
        <v>6.5</v>
      </c>
      <c r="Y323" s="118">
        <f t="shared" si="184"/>
        <v>6.5</v>
      </c>
      <c r="Z323" s="109">
        <f t="shared" si="182"/>
        <v>169000</v>
      </c>
      <c r="AA323" s="109">
        <f>'CALCULO GERAL'!$G$10</f>
        <v>6300</v>
      </c>
      <c r="AB323" s="109">
        <f t="shared" si="185"/>
        <v>175300</v>
      </c>
      <c r="AC323" s="109">
        <f>AB323*'CALCULO GERAL'!$C$11</f>
        <v>879830.70000000007</v>
      </c>
      <c r="AD323" s="109">
        <f t="shared" si="186"/>
        <v>123176.29800000002</v>
      </c>
      <c r="AE323" s="109">
        <f t="shared" si="187"/>
        <v>0</v>
      </c>
      <c r="AF323" s="109">
        <f t="shared" si="188"/>
        <v>18476.444700000004</v>
      </c>
      <c r="AG323" s="109">
        <f t="shared" si="189"/>
        <v>84903.662550000008</v>
      </c>
      <c r="AH323" s="109">
        <v>154.22999999999999</v>
      </c>
      <c r="AI323" s="109">
        <f>((AA323*'CALCULO GERAL'!$C$11))*0.08+20</f>
        <v>2549.576</v>
      </c>
      <c r="AJ323" s="109">
        <v>1010</v>
      </c>
      <c r="AK323" s="109">
        <v>2500</v>
      </c>
      <c r="AL323" s="109">
        <f>(AA323*('CALCULO GERAL'!$C$11*1.02))-(AA323*'CALCULO GERAL'!$C$11)</f>
        <v>632.39400000000387</v>
      </c>
      <c r="AM323" s="109">
        <v>1800</v>
      </c>
      <c r="AN323" s="109">
        <v>2600</v>
      </c>
      <c r="AO323" s="109">
        <v>9400</v>
      </c>
      <c r="AP323" s="109">
        <v>1000</v>
      </c>
      <c r="AQ323" s="109">
        <v>0</v>
      </c>
      <c r="AR323" s="109">
        <v>0</v>
      </c>
      <c r="AS323" s="109"/>
      <c r="AT323" s="109">
        <f t="shared" si="173"/>
        <v>1128033.30525</v>
      </c>
      <c r="AU323" s="111">
        <f t="shared" si="190"/>
        <v>43.385896355769226</v>
      </c>
      <c r="AV323" s="109">
        <f>IFERROR((BS323*'CALCULO GERAL'!$E$11)/N323,0)</f>
        <v>1.0208645999999999</v>
      </c>
      <c r="AW323" s="109">
        <f>AU323/'CALCULO GERAL'!$C$11</f>
        <v>8.6443308140604156</v>
      </c>
      <c r="AX323" s="109">
        <f>BP323-BB323-BD323*'CALCULO GERAL'!$C$11</f>
        <v>50.277581550000001</v>
      </c>
      <c r="AY323" s="109">
        <f t="shared" si="191"/>
        <v>0.32680428007500001</v>
      </c>
      <c r="AZ323" s="109">
        <f t="shared" si="192"/>
        <v>1.5083274465000001</v>
      </c>
      <c r="BA323" s="109">
        <f t="shared" si="193"/>
        <v>51.043230000000001</v>
      </c>
      <c r="BB323" s="109">
        <f t="shared" si="194"/>
        <v>0.76564845000000004</v>
      </c>
      <c r="BC323" s="109">
        <f t="shared" si="195"/>
        <v>51.043230000000001</v>
      </c>
      <c r="BD323" s="109">
        <f t="shared" si="196"/>
        <v>0</v>
      </c>
      <c r="BE323" s="109">
        <f t="shared" si="197"/>
        <v>106169.9184</v>
      </c>
      <c r="BF323" s="109">
        <f t="shared" si="198"/>
        <v>159254.87759999998</v>
      </c>
      <c r="BG323" s="109">
        <f t="shared" si="199"/>
        <v>0.5512668839999999</v>
      </c>
      <c r="BH323" s="109">
        <f t="shared" si="200"/>
        <v>0.61251875999999994</v>
      </c>
      <c r="BI323" s="109">
        <f t="shared" si="201"/>
        <v>-0.17757664769230769</v>
      </c>
      <c r="BJ323" s="109">
        <f t="shared" si="202"/>
        <v>4.6078537728826925</v>
      </c>
      <c r="BK323" s="109">
        <f t="shared" si="203"/>
        <v>47.993750128651918</v>
      </c>
      <c r="BL323" s="148">
        <v>0.86499999999999999</v>
      </c>
      <c r="BM323" s="112">
        <f>ROUND((AW323/BL323)+((AW323*BL323)*'CALCULO GERAL'!$E$11)/BL323,2)</f>
        <v>10.17</v>
      </c>
      <c r="BN323" s="186">
        <f t="shared" si="174"/>
        <v>10.17</v>
      </c>
      <c r="BO323" s="186">
        <f t="shared" si="175"/>
        <v>11.916</v>
      </c>
      <c r="BP323" s="109">
        <f>BM323*'CALCULO GERAL'!$C$11</f>
        <v>51.043230000000001</v>
      </c>
      <c r="BQ323" s="109">
        <f>BO323*'CALCULO GERAL'!$C$11</f>
        <v>59.806404000000001</v>
      </c>
      <c r="BR323" s="186">
        <f>BN323*'CALCULO GERAL'!$C$11</f>
        <v>51.043230000000001</v>
      </c>
      <c r="BS323" s="109">
        <f t="shared" si="204"/>
        <v>1327123.98</v>
      </c>
      <c r="BT323" s="109">
        <f t="shared" si="205"/>
        <v>1327123.98</v>
      </c>
      <c r="BU323" s="109">
        <f t="shared" si="179"/>
        <v>1247837.5033449498</v>
      </c>
      <c r="BV323" s="109">
        <f t="shared" si="176"/>
        <v>79286.476655050181</v>
      </c>
      <c r="BW323" s="114">
        <f t="shared" si="206"/>
        <v>5.9743081919935E-2</v>
      </c>
      <c r="BX323" s="152">
        <f t="shared" si="180"/>
        <v>0.87</v>
      </c>
      <c r="BZ323" s="55"/>
      <c r="CA323" s="113"/>
      <c r="CB323" s="113"/>
      <c r="CD323" s="152">
        <f t="shared" si="181"/>
        <v>0</v>
      </c>
      <c r="CE323" s="152">
        <f t="shared" si="177"/>
        <v>1</v>
      </c>
      <c r="CF323" s="152">
        <f t="shared" si="178"/>
        <v>1</v>
      </c>
      <c r="CG323" s="34"/>
      <c r="CI323" s="11"/>
      <c r="CJ323" s="11"/>
    </row>
    <row r="324" spans="1:88" s="152" customFormat="1" x14ac:dyDescent="0.2">
      <c r="A324" s="507" t="s">
        <v>673</v>
      </c>
      <c r="B324" s="508" t="s">
        <v>674</v>
      </c>
      <c r="C324" s="509">
        <v>0.14000000000000001</v>
      </c>
      <c r="D324" s="510">
        <v>0.03</v>
      </c>
      <c r="E324" s="511">
        <v>2.1000000000000001E-2</v>
      </c>
      <c r="F324" s="511">
        <v>9.6500000000000002E-2</v>
      </c>
      <c r="G324" s="512">
        <v>6.4999999999999997E-3</v>
      </c>
      <c r="H324" s="512">
        <v>0.03</v>
      </c>
      <c r="I324" s="512">
        <v>0.18</v>
      </c>
      <c r="J324" s="512">
        <v>0.04</v>
      </c>
      <c r="K324" s="512">
        <v>0.14000000000000001</v>
      </c>
      <c r="L324" s="512">
        <v>1.4999999999999999E-2</v>
      </c>
      <c r="M324" s="513" t="s">
        <v>175</v>
      </c>
      <c r="N324" s="514">
        <v>210000</v>
      </c>
      <c r="O324" s="119"/>
      <c r="P324" s="119"/>
      <c r="Q324" s="119"/>
      <c r="R324" s="119"/>
      <c r="S324" s="119"/>
      <c r="T324" s="119"/>
      <c r="U324" s="119"/>
      <c r="V324" s="119"/>
      <c r="W324" s="119"/>
      <c r="X324" s="119">
        <f t="shared" si="183"/>
        <v>0</v>
      </c>
      <c r="Y324" s="118" t="e">
        <f t="shared" si="184"/>
        <v>#DIV/0!</v>
      </c>
      <c r="Z324" s="109" t="e">
        <f t="shared" si="182"/>
        <v>#DIV/0!</v>
      </c>
      <c r="AA324" s="109">
        <f>'CALCULO GERAL'!$G$10</f>
        <v>6300</v>
      </c>
      <c r="AB324" s="109" t="e">
        <f t="shared" si="185"/>
        <v>#DIV/0!</v>
      </c>
      <c r="AC324" s="109" t="e">
        <f>AB324*'CALCULO GERAL'!$C$11</f>
        <v>#DIV/0!</v>
      </c>
      <c r="AD324" s="109" t="e">
        <f t="shared" si="186"/>
        <v>#DIV/0!</v>
      </c>
      <c r="AE324" s="109" t="e">
        <f t="shared" si="187"/>
        <v>#DIV/0!</v>
      </c>
      <c r="AF324" s="109" t="e">
        <f t="shared" si="188"/>
        <v>#DIV/0!</v>
      </c>
      <c r="AG324" s="109" t="e">
        <f t="shared" si="189"/>
        <v>#DIV/0!</v>
      </c>
      <c r="AH324" s="109">
        <v>154.22999999999999</v>
      </c>
      <c r="AI324" s="109">
        <f>((AA324*'CALCULO GERAL'!$C$11))*0.08+20</f>
        <v>2549.576</v>
      </c>
      <c r="AJ324" s="109">
        <v>1010</v>
      </c>
      <c r="AK324" s="109">
        <v>2500</v>
      </c>
      <c r="AL324" s="109">
        <f>(AA324*('CALCULO GERAL'!$C$11*1.02))-(AA324*'CALCULO GERAL'!$C$11)</f>
        <v>632.39400000000387</v>
      </c>
      <c r="AM324" s="109">
        <v>1800</v>
      </c>
      <c r="AN324" s="109">
        <v>2600</v>
      </c>
      <c r="AO324" s="109">
        <v>9400</v>
      </c>
      <c r="AP324" s="109">
        <v>1000</v>
      </c>
      <c r="AQ324" s="109">
        <v>0</v>
      </c>
      <c r="AR324" s="109">
        <v>0</v>
      </c>
      <c r="AS324" s="109"/>
      <c r="AT324" s="109" t="e">
        <f t="shared" si="173"/>
        <v>#DIV/0!</v>
      </c>
      <c r="AU324" s="111">
        <f t="shared" si="190"/>
        <v>0</v>
      </c>
      <c r="AV324" s="109">
        <f>IFERROR((BS324*'CALCULO GERAL'!$E$11)/N324,0)</f>
        <v>0</v>
      </c>
      <c r="AW324" s="109">
        <f>AU324/'CALCULO GERAL'!$C$11</f>
        <v>0</v>
      </c>
      <c r="AX324" s="109">
        <f>BP324-BB324-BD324*'CALCULO GERAL'!$C$11</f>
        <v>0</v>
      </c>
      <c r="AY324" s="109">
        <f t="shared" si="191"/>
        <v>0</v>
      </c>
      <c r="AZ324" s="109">
        <f t="shared" si="192"/>
        <v>0</v>
      </c>
      <c r="BA324" s="109">
        <f t="shared" si="193"/>
        <v>0</v>
      </c>
      <c r="BB324" s="109">
        <f t="shared" si="194"/>
        <v>0</v>
      </c>
      <c r="BC324" s="109">
        <f t="shared" si="195"/>
        <v>0</v>
      </c>
      <c r="BD324" s="109">
        <f t="shared" si="196"/>
        <v>0</v>
      </c>
      <c r="BE324" s="109">
        <f t="shared" si="197"/>
        <v>0</v>
      </c>
      <c r="BF324" s="109">
        <f t="shared" si="198"/>
        <v>0</v>
      </c>
      <c r="BG324" s="109">
        <f t="shared" si="199"/>
        <v>0</v>
      </c>
      <c r="BH324" s="109">
        <f t="shared" si="200"/>
        <v>0</v>
      </c>
      <c r="BI324" s="109">
        <f t="shared" si="201"/>
        <v>0</v>
      </c>
      <c r="BJ324" s="109">
        <f t="shared" si="202"/>
        <v>0</v>
      </c>
      <c r="BK324" s="109">
        <f t="shared" si="203"/>
        <v>0</v>
      </c>
      <c r="BL324" s="148">
        <v>0.86499999999999999</v>
      </c>
      <c r="BM324" s="112">
        <f>ROUND((AW324/BL324)+((AW324*BL324)*'CALCULO GERAL'!$E$11)/BL324,2)</f>
        <v>0</v>
      </c>
      <c r="BN324" s="186">
        <f t="shared" si="174"/>
        <v>0</v>
      </c>
      <c r="BO324" s="186">
        <f t="shared" si="175"/>
        <v>0</v>
      </c>
      <c r="BP324" s="109">
        <f>BM324*'CALCULO GERAL'!$C$11</f>
        <v>0</v>
      </c>
      <c r="BQ324" s="109">
        <f>BO324*'CALCULO GERAL'!$C$11</f>
        <v>0</v>
      </c>
      <c r="BR324" s="186">
        <f>BN324*'CALCULO GERAL'!$C$11</f>
        <v>0</v>
      </c>
      <c r="BS324" s="109">
        <f t="shared" si="204"/>
        <v>0</v>
      </c>
      <c r="BT324" s="109">
        <f t="shared" si="205"/>
        <v>0</v>
      </c>
      <c r="BU324" s="109">
        <f t="shared" si="179"/>
        <v>0</v>
      </c>
      <c r="BV324" s="109">
        <f t="shared" si="176"/>
        <v>0</v>
      </c>
      <c r="BW324" s="114" t="e">
        <f t="shared" si="206"/>
        <v>#DIV/0!</v>
      </c>
      <c r="BX324" s="152">
        <f t="shared" si="180"/>
        <v>0.87</v>
      </c>
      <c r="BZ324" s="55"/>
      <c r="CA324" s="113"/>
      <c r="CB324" s="113"/>
      <c r="CD324" s="152">
        <f t="shared" si="181"/>
        <v>0</v>
      </c>
      <c r="CE324" s="152">
        <f t="shared" si="177"/>
        <v>1</v>
      </c>
      <c r="CF324" s="152">
        <f t="shared" si="178"/>
        <v>1</v>
      </c>
      <c r="CG324" s="34"/>
      <c r="CI324" s="11"/>
      <c r="CJ324" s="11"/>
    </row>
    <row r="325" spans="1:88" s="152" customFormat="1" x14ac:dyDescent="0.2">
      <c r="A325" s="507" t="s">
        <v>675</v>
      </c>
      <c r="B325" s="508" t="s">
        <v>279</v>
      </c>
      <c r="C325" s="509">
        <v>0.16</v>
      </c>
      <c r="D325" s="510">
        <v>0.1</v>
      </c>
      <c r="E325" s="511">
        <v>2.1000000000000001E-2</v>
      </c>
      <c r="F325" s="511">
        <v>0.1065</v>
      </c>
      <c r="G325" s="512">
        <v>6.4999999999999997E-3</v>
      </c>
      <c r="H325" s="512">
        <v>0.03</v>
      </c>
      <c r="I325" s="512">
        <v>0.18</v>
      </c>
      <c r="J325" s="512">
        <v>0.04</v>
      </c>
      <c r="K325" s="512">
        <v>0.14000000000000001</v>
      </c>
      <c r="L325" s="512">
        <v>1.4999999999999999E-2</v>
      </c>
      <c r="M325" s="513" t="s">
        <v>175</v>
      </c>
      <c r="N325" s="514"/>
      <c r="O325" s="119"/>
      <c r="P325" s="119"/>
      <c r="Q325" s="119"/>
      <c r="R325" s="119"/>
      <c r="S325" s="119"/>
      <c r="T325" s="119"/>
      <c r="U325" s="119"/>
      <c r="V325" s="119"/>
      <c r="W325" s="119"/>
      <c r="X325" s="119">
        <f t="shared" si="183"/>
        <v>0</v>
      </c>
      <c r="Y325" s="118" t="e">
        <f t="shared" si="184"/>
        <v>#DIV/0!</v>
      </c>
      <c r="Z325" s="109" t="e">
        <f t="shared" si="182"/>
        <v>#DIV/0!</v>
      </c>
      <c r="AA325" s="109">
        <f>'CALCULO GERAL'!$G$10</f>
        <v>6300</v>
      </c>
      <c r="AB325" s="109" t="e">
        <f t="shared" si="185"/>
        <v>#DIV/0!</v>
      </c>
      <c r="AC325" s="109" t="e">
        <f>AB325*'CALCULO GERAL'!$C$11</f>
        <v>#DIV/0!</v>
      </c>
      <c r="AD325" s="109" t="e">
        <f t="shared" si="186"/>
        <v>#DIV/0!</v>
      </c>
      <c r="AE325" s="109" t="e">
        <f t="shared" si="187"/>
        <v>#DIV/0!</v>
      </c>
      <c r="AF325" s="109" t="e">
        <f t="shared" si="188"/>
        <v>#DIV/0!</v>
      </c>
      <c r="AG325" s="109" t="e">
        <f t="shared" si="189"/>
        <v>#DIV/0!</v>
      </c>
      <c r="AH325" s="109">
        <v>154.22999999999999</v>
      </c>
      <c r="AI325" s="109">
        <f>((AA325*'CALCULO GERAL'!$C$11))*0.08+20</f>
        <v>2549.576</v>
      </c>
      <c r="AJ325" s="109">
        <v>1010</v>
      </c>
      <c r="AK325" s="109">
        <v>2500</v>
      </c>
      <c r="AL325" s="109">
        <f>(AA325*('CALCULO GERAL'!$C$11*1.02))-(AA325*'CALCULO GERAL'!$C$11)</f>
        <v>632.39400000000387</v>
      </c>
      <c r="AM325" s="109">
        <v>1800</v>
      </c>
      <c r="AN325" s="109">
        <v>2600</v>
      </c>
      <c r="AO325" s="109">
        <v>9400</v>
      </c>
      <c r="AP325" s="109">
        <v>1000</v>
      </c>
      <c r="AQ325" s="109">
        <v>0</v>
      </c>
      <c r="AR325" s="109">
        <v>0</v>
      </c>
      <c r="AS325" s="109"/>
      <c r="AT325" s="109" t="e">
        <f t="shared" si="173"/>
        <v>#DIV/0!</v>
      </c>
      <c r="AU325" s="111">
        <f t="shared" si="190"/>
        <v>0</v>
      </c>
      <c r="AV325" s="109">
        <f>IFERROR((BS325*'CALCULO GERAL'!$E$11)/N325,0)</f>
        <v>0</v>
      </c>
      <c r="AW325" s="109">
        <f>AU325/'CALCULO GERAL'!$C$11</f>
        <v>0</v>
      </c>
      <c r="AX325" s="109">
        <f>BP325-BB325-BD325*'CALCULO GERAL'!$C$11</f>
        <v>0</v>
      </c>
      <c r="AY325" s="109">
        <f t="shared" si="191"/>
        <v>0</v>
      </c>
      <c r="AZ325" s="109">
        <f t="shared" si="192"/>
        <v>0</v>
      </c>
      <c r="BA325" s="109">
        <f t="shared" si="193"/>
        <v>0</v>
      </c>
      <c r="BB325" s="109">
        <f t="shared" si="194"/>
        <v>0</v>
      </c>
      <c r="BC325" s="109">
        <f t="shared" si="195"/>
        <v>0</v>
      </c>
      <c r="BD325" s="109">
        <f t="shared" si="196"/>
        <v>0</v>
      </c>
      <c r="BE325" s="109">
        <f t="shared" si="197"/>
        <v>0</v>
      </c>
      <c r="BF325" s="109">
        <f t="shared" si="198"/>
        <v>0</v>
      </c>
      <c r="BG325" s="109" t="e">
        <f t="shared" si="199"/>
        <v>#DIV/0!</v>
      </c>
      <c r="BH325" s="109" t="e">
        <f t="shared" si="200"/>
        <v>#DIV/0!</v>
      </c>
      <c r="BI325" s="109" t="e">
        <f t="shared" si="201"/>
        <v>#DIV/0!</v>
      </c>
      <c r="BJ325" s="109" t="e">
        <f t="shared" si="202"/>
        <v>#DIV/0!</v>
      </c>
      <c r="BK325" s="109" t="e">
        <f t="shared" si="203"/>
        <v>#DIV/0!</v>
      </c>
      <c r="BL325" s="148">
        <v>0.87</v>
      </c>
      <c r="BM325" s="112">
        <f>ROUND((AW325/BL325)+((AW325*BL325)*'CALCULO GERAL'!$E$11)/BL325,2)</f>
        <v>0</v>
      </c>
      <c r="BN325" s="186">
        <f t="shared" si="174"/>
        <v>0</v>
      </c>
      <c r="BO325" s="186">
        <f t="shared" si="175"/>
        <v>0</v>
      </c>
      <c r="BP325" s="109">
        <f>BM325*'CALCULO GERAL'!$C$11</f>
        <v>0</v>
      </c>
      <c r="BQ325" s="109">
        <f>BO325*'CALCULO GERAL'!$C$11</f>
        <v>0</v>
      </c>
      <c r="BR325" s="186">
        <f>BN325*'CALCULO GERAL'!$C$11</f>
        <v>0</v>
      </c>
      <c r="BS325" s="109">
        <f t="shared" si="204"/>
        <v>0</v>
      </c>
      <c r="BT325" s="109">
        <f t="shared" si="205"/>
        <v>0</v>
      </c>
      <c r="BU325" s="109" t="e">
        <f t="shared" si="179"/>
        <v>#DIV/0!</v>
      </c>
      <c r="BV325" s="109" t="e">
        <f t="shared" si="176"/>
        <v>#DIV/0!</v>
      </c>
      <c r="BW325" s="114" t="e">
        <f t="shared" si="206"/>
        <v>#DIV/0!</v>
      </c>
      <c r="BX325" s="152">
        <f t="shared" si="180"/>
        <v>0.87</v>
      </c>
      <c r="BZ325" s="55"/>
      <c r="CA325" s="113"/>
      <c r="CB325" s="113"/>
      <c r="CD325" s="152">
        <f t="shared" si="181"/>
        <v>0</v>
      </c>
      <c r="CE325" s="152">
        <f t="shared" si="177"/>
        <v>1</v>
      </c>
      <c r="CF325" s="152">
        <f t="shared" si="178"/>
        <v>1</v>
      </c>
      <c r="CG325" s="34"/>
      <c r="CI325" s="11"/>
      <c r="CJ325" s="11"/>
    </row>
    <row r="326" spans="1:88" s="152" customFormat="1" x14ac:dyDescent="0.2">
      <c r="A326" s="507" t="s">
        <v>676</v>
      </c>
      <c r="B326" s="508" t="s">
        <v>279</v>
      </c>
      <c r="C326" s="509">
        <v>0.16</v>
      </c>
      <c r="D326" s="510">
        <v>0.1</v>
      </c>
      <c r="E326" s="511">
        <v>2.1000000000000001E-2</v>
      </c>
      <c r="F326" s="511">
        <v>0.1065</v>
      </c>
      <c r="G326" s="512">
        <v>6.4999999999999997E-3</v>
      </c>
      <c r="H326" s="512">
        <v>0.03</v>
      </c>
      <c r="I326" s="512">
        <v>0.18</v>
      </c>
      <c r="J326" s="512">
        <v>0.04</v>
      </c>
      <c r="K326" s="512">
        <v>0.14000000000000001</v>
      </c>
      <c r="L326" s="512">
        <v>1.4999999999999999E-2</v>
      </c>
      <c r="M326" s="513" t="s">
        <v>175</v>
      </c>
      <c r="N326" s="514"/>
      <c r="O326" s="119">
        <v>0.28000000000000003</v>
      </c>
      <c r="P326" s="119"/>
      <c r="Q326" s="119"/>
      <c r="R326" s="119"/>
      <c r="S326" s="119"/>
      <c r="T326" s="119"/>
      <c r="U326" s="119"/>
      <c r="V326" s="119"/>
      <c r="W326" s="119"/>
      <c r="X326" s="119">
        <f t="shared" si="183"/>
        <v>0.28000000000000003</v>
      </c>
      <c r="Y326" s="118">
        <f t="shared" si="184"/>
        <v>0.28000000000000003</v>
      </c>
      <c r="Z326" s="109">
        <f t="shared" si="182"/>
        <v>0</v>
      </c>
      <c r="AA326" s="109">
        <f>'CALCULO GERAL'!$G$10</f>
        <v>6300</v>
      </c>
      <c r="AB326" s="109">
        <f t="shared" si="185"/>
        <v>6300</v>
      </c>
      <c r="AC326" s="109">
        <f>AB326*'CALCULO GERAL'!$C$11</f>
        <v>31619.7</v>
      </c>
      <c r="AD326" s="109">
        <f t="shared" si="186"/>
        <v>5059.152</v>
      </c>
      <c r="AE326" s="109">
        <f t="shared" si="187"/>
        <v>3667.8852000000002</v>
      </c>
      <c r="AF326" s="109">
        <f t="shared" si="188"/>
        <v>664.01370000000009</v>
      </c>
      <c r="AG326" s="109">
        <f t="shared" si="189"/>
        <v>3367.4980500000001</v>
      </c>
      <c r="AH326" s="109">
        <v>154.22999999999999</v>
      </c>
      <c r="AI326" s="109">
        <f>((AA326*'CALCULO GERAL'!$C$11))*0.08+20</f>
        <v>2549.576</v>
      </c>
      <c r="AJ326" s="109">
        <v>1010</v>
      </c>
      <c r="AK326" s="109">
        <v>2500</v>
      </c>
      <c r="AL326" s="109">
        <f>(AA326*('CALCULO GERAL'!$C$11*1.02))-(AA326*'CALCULO GERAL'!$C$11)</f>
        <v>632.39400000000387</v>
      </c>
      <c r="AM326" s="109">
        <v>1800</v>
      </c>
      <c r="AN326" s="109">
        <v>2600</v>
      </c>
      <c r="AO326" s="109">
        <v>9400</v>
      </c>
      <c r="AP326" s="109">
        <v>1000</v>
      </c>
      <c r="AQ326" s="109">
        <v>0</v>
      </c>
      <c r="AR326" s="109">
        <v>0</v>
      </c>
      <c r="AS326" s="109"/>
      <c r="AT326" s="109">
        <f t="shared" si="173"/>
        <v>66024.448950000005</v>
      </c>
      <c r="AU326" s="111">
        <f t="shared" si="190"/>
        <v>0</v>
      </c>
      <c r="AV326" s="109">
        <f>IFERROR((BS326*'CALCULO GERAL'!$E$11)/N326,0)</f>
        <v>0</v>
      </c>
      <c r="AW326" s="109">
        <f>AU326/'CALCULO GERAL'!$C$11</f>
        <v>0</v>
      </c>
      <c r="AX326" s="109">
        <f>BP326-BB326-BD326*'CALCULO GERAL'!$C$11</f>
        <v>0</v>
      </c>
      <c r="AY326" s="109">
        <f t="shared" si="191"/>
        <v>0</v>
      </c>
      <c r="AZ326" s="109">
        <f t="shared" si="192"/>
        <v>0</v>
      </c>
      <c r="BA326" s="109">
        <f t="shared" si="193"/>
        <v>0</v>
      </c>
      <c r="BB326" s="109">
        <f t="shared" si="194"/>
        <v>0</v>
      </c>
      <c r="BC326" s="109">
        <f t="shared" si="195"/>
        <v>0</v>
      </c>
      <c r="BD326" s="109">
        <f t="shared" si="196"/>
        <v>0</v>
      </c>
      <c r="BE326" s="109">
        <f t="shared" si="197"/>
        <v>0</v>
      </c>
      <c r="BF326" s="109">
        <f t="shared" si="198"/>
        <v>0</v>
      </c>
      <c r="BG326" s="109" t="e">
        <f t="shared" si="199"/>
        <v>#DIV/0!</v>
      </c>
      <c r="BH326" s="109" t="e">
        <f t="shared" si="200"/>
        <v>#DIV/0!</v>
      </c>
      <c r="BI326" s="109" t="e">
        <f t="shared" si="201"/>
        <v>#DIV/0!</v>
      </c>
      <c r="BJ326" s="109" t="e">
        <f t="shared" si="202"/>
        <v>#DIV/0!</v>
      </c>
      <c r="BK326" s="109" t="e">
        <f t="shared" si="203"/>
        <v>#DIV/0!</v>
      </c>
      <c r="BL326" s="148">
        <v>0.87</v>
      </c>
      <c r="BM326" s="112">
        <f>ROUND((AW326/BL326)+((AW326*BL326)*'CALCULO GERAL'!$E$11)/BL326,2)</f>
        <v>0</v>
      </c>
      <c r="BN326" s="186">
        <f t="shared" si="174"/>
        <v>0</v>
      </c>
      <c r="BO326" s="186">
        <f t="shared" si="175"/>
        <v>0</v>
      </c>
      <c r="BP326" s="109">
        <f>BM326*'CALCULO GERAL'!$C$11</f>
        <v>0</v>
      </c>
      <c r="BQ326" s="109">
        <f>BO326*'CALCULO GERAL'!$C$11</f>
        <v>0</v>
      </c>
      <c r="BR326" s="186">
        <f>BN326*'CALCULO GERAL'!$C$11</f>
        <v>0</v>
      </c>
      <c r="BS326" s="109">
        <f t="shared" si="204"/>
        <v>0</v>
      </c>
      <c r="BT326" s="109">
        <f t="shared" si="205"/>
        <v>0</v>
      </c>
      <c r="BU326" s="109" t="e">
        <f t="shared" si="179"/>
        <v>#DIV/0!</v>
      </c>
      <c r="BV326" s="109" t="e">
        <f t="shared" si="176"/>
        <v>#DIV/0!</v>
      </c>
      <c r="BW326" s="114" t="e">
        <f t="shared" si="206"/>
        <v>#DIV/0!</v>
      </c>
      <c r="BX326" s="152">
        <f t="shared" si="180"/>
        <v>0.87</v>
      </c>
      <c r="BZ326" s="55"/>
      <c r="CA326" s="113"/>
      <c r="CB326" s="113"/>
      <c r="CD326" s="152">
        <f t="shared" si="181"/>
        <v>0</v>
      </c>
      <c r="CE326" s="152">
        <f t="shared" si="177"/>
        <v>1</v>
      </c>
      <c r="CF326" s="152">
        <f t="shared" si="178"/>
        <v>1</v>
      </c>
      <c r="CG326" s="34"/>
      <c r="CI326" s="11"/>
      <c r="CJ326" s="11"/>
    </row>
    <row r="327" spans="1:88" s="152" customFormat="1" x14ac:dyDescent="0.2">
      <c r="A327" s="507" t="s">
        <v>677</v>
      </c>
      <c r="B327" s="508" t="s">
        <v>279</v>
      </c>
      <c r="C327" s="509">
        <v>0.16</v>
      </c>
      <c r="D327" s="510">
        <v>0.1</v>
      </c>
      <c r="E327" s="511">
        <v>2.1000000000000001E-2</v>
      </c>
      <c r="F327" s="511">
        <v>0.1065</v>
      </c>
      <c r="G327" s="512">
        <v>6.4999999999999997E-3</v>
      </c>
      <c r="H327" s="512">
        <v>0.03</v>
      </c>
      <c r="I327" s="512">
        <v>0.18</v>
      </c>
      <c r="J327" s="512">
        <v>0.04</v>
      </c>
      <c r="K327" s="512">
        <v>0.14000000000000001</v>
      </c>
      <c r="L327" s="512">
        <v>1.4999999999999999E-2</v>
      </c>
      <c r="M327" s="513" t="s">
        <v>175</v>
      </c>
      <c r="N327" s="514"/>
      <c r="O327" s="119"/>
      <c r="P327" s="119"/>
      <c r="Q327" s="119"/>
      <c r="R327" s="119"/>
      <c r="S327" s="119"/>
      <c r="T327" s="119"/>
      <c r="U327" s="119"/>
      <c r="V327" s="119"/>
      <c r="W327" s="119"/>
      <c r="X327" s="119">
        <f t="shared" si="183"/>
        <v>0</v>
      </c>
      <c r="Y327" s="118" t="e">
        <f t="shared" si="184"/>
        <v>#DIV/0!</v>
      </c>
      <c r="Z327" s="109" t="e">
        <f t="shared" si="182"/>
        <v>#DIV/0!</v>
      </c>
      <c r="AA327" s="109">
        <f>'CALCULO GERAL'!$G$10</f>
        <v>6300</v>
      </c>
      <c r="AB327" s="109" t="e">
        <f t="shared" si="185"/>
        <v>#DIV/0!</v>
      </c>
      <c r="AC327" s="109" t="e">
        <f>AB327*'CALCULO GERAL'!$C$11</f>
        <v>#DIV/0!</v>
      </c>
      <c r="AD327" s="109" t="e">
        <f t="shared" si="186"/>
        <v>#DIV/0!</v>
      </c>
      <c r="AE327" s="109" t="e">
        <f t="shared" si="187"/>
        <v>#DIV/0!</v>
      </c>
      <c r="AF327" s="109" t="e">
        <f t="shared" si="188"/>
        <v>#DIV/0!</v>
      </c>
      <c r="AG327" s="109" t="e">
        <f t="shared" si="189"/>
        <v>#DIV/0!</v>
      </c>
      <c r="AH327" s="109">
        <v>154.22999999999999</v>
      </c>
      <c r="AI327" s="109">
        <f>((AA327*'CALCULO GERAL'!$C$11))*0.08+20</f>
        <v>2549.576</v>
      </c>
      <c r="AJ327" s="109">
        <v>1010</v>
      </c>
      <c r="AK327" s="109">
        <v>2500</v>
      </c>
      <c r="AL327" s="109">
        <f>(AA327*('CALCULO GERAL'!$C$11*1.02))-(AA327*'CALCULO GERAL'!$C$11)</f>
        <v>632.39400000000387</v>
      </c>
      <c r="AM327" s="109">
        <v>1800</v>
      </c>
      <c r="AN327" s="109">
        <v>2600</v>
      </c>
      <c r="AO327" s="109">
        <v>9400</v>
      </c>
      <c r="AP327" s="109">
        <v>1000</v>
      </c>
      <c r="AQ327" s="109">
        <v>0</v>
      </c>
      <c r="AR327" s="109">
        <v>0</v>
      </c>
      <c r="AS327" s="109"/>
      <c r="AT327" s="109" t="e">
        <f t="shared" si="173"/>
        <v>#DIV/0!</v>
      </c>
      <c r="AU327" s="111">
        <f t="shared" si="190"/>
        <v>0</v>
      </c>
      <c r="AV327" s="109">
        <f>IFERROR((BS327*'CALCULO GERAL'!$E$11)/N327,0)</f>
        <v>0</v>
      </c>
      <c r="AW327" s="109">
        <f>AU327/'CALCULO GERAL'!$C$11</f>
        <v>0</v>
      </c>
      <c r="AX327" s="109" t="e">
        <f>BP327-BB327-BD327*'CALCULO GERAL'!$C$11</f>
        <v>#DIV/0!</v>
      </c>
      <c r="AY327" s="109" t="e">
        <f t="shared" si="191"/>
        <v>#DIV/0!</v>
      </c>
      <c r="AZ327" s="109" t="e">
        <f t="shared" si="192"/>
        <v>#DIV/0!</v>
      </c>
      <c r="BA327" s="109" t="e">
        <f t="shared" si="193"/>
        <v>#DIV/0!</v>
      </c>
      <c r="BB327" s="109" t="e">
        <f t="shared" si="194"/>
        <v>#DIV/0!</v>
      </c>
      <c r="BC327" s="109" t="e">
        <f t="shared" si="195"/>
        <v>#DIV/0!</v>
      </c>
      <c r="BD327" s="109" t="e">
        <f t="shared" si="196"/>
        <v>#DIV/0!</v>
      </c>
      <c r="BE327" s="109" t="e">
        <f t="shared" si="197"/>
        <v>#DIV/0!</v>
      </c>
      <c r="BF327" s="109" t="e">
        <f t="shared" si="198"/>
        <v>#DIV/0!</v>
      </c>
      <c r="BG327" s="109" t="e">
        <f t="shared" si="199"/>
        <v>#DIV/0!</v>
      </c>
      <c r="BH327" s="109" t="e">
        <f t="shared" si="200"/>
        <v>#DIV/0!</v>
      </c>
      <c r="BI327" s="109" t="e">
        <f t="shared" si="201"/>
        <v>#DIV/0!</v>
      </c>
      <c r="BJ327" s="109" t="e">
        <f t="shared" si="202"/>
        <v>#DIV/0!</v>
      </c>
      <c r="BK327" s="109" t="e">
        <f t="shared" si="203"/>
        <v>#DIV/0!</v>
      </c>
      <c r="BL327" s="148" t="e">
        <v>#DIV/0!</v>
      </c>
      <c r="BM327" s="112" t="e">
        <f>ROUND((AW327/BL327)+((AW327*BL327)*'CALCULO GERAL'!$E$11)/BL327,2)</f>
        <v>#DIV/0!</v>
      </c>
      <c r="BN327" s="186" t="e">
        <f t="shared" si="174"/>
        <v>#DIV/0!</v>
      </c>
      <c r="BO327" s="186" t="e">
        <f t="shared" si="175"/>
        <v>#DIV/0!</v>
      </c>
      <c r="BP327" s="109" t="e">
        <f>BM327*'CALCULO GERAL'!$C$11</f>
        <v>#DIV/0!</v>
      </c>
      <c r="BQ327" s="109" t="e">
        <f>BO327*'CALCULO GERAL'!$C$11</f>
        <v>#DIV/0!</v>
      </c>
      <c r="BR327" s="186" t="e">
        <f>BN327*'CALCULO GERAL'!$C$11</f>
        <v>#DIV/0!</v>
      </c>
      <c r="BS327" s="109" t="e">
        <f t="shared" si="204"/>
        <v>#DIV/0!</v>
      </c>
      <c r="BT327" s="109" t="e">
        <f t="shared" si="205"/>
        <v>#DIV/0!</v>
      </c>
      <c r="BU327" s="109" t="e">
        <f t="shared" si="179"/>
        <v>#DIV/0!</v>
      </c>
      <c r="BV327" s="109" t="e">
        <f t="shared" si="176"/>
        <v>#DIV/0!</v>
      </c>
      <c r="BW327" s="114" t="e">
        <f t="shared" si="206"/>
        <v>#DIV/0!</v>
      </c>
      <c r="BX327" s="152" t="e">
        <f t="shared" si="180"/>
        <v>#DIV/0!</v>
      </c>
      <c r="BZ327" s="55"/>
      <c r="CA327" s="113"/>
      <c r="CB327" s="113"/>
      <c r="CD327" s="152" t="e">
        <f t="shared" si="181"/>
        <v>#DIV/0!</v>
      </c>
      <c r="CE327" s="152" t="e">
        <f t="shared" si="177"/>
        <v>#DIV/0!</v>
      </c>
      <c r="CF327" s="152" t="e">
        <f t="shared" si="178"/>
        <v>#DIV/0!</v>
      </c>
      <c r="CG327" s="34"/>
      <c r="CI327" s="11"/>
      <c r="CJ327" s="11"/>
    </row>
    <row r="328" spans="1:88" s="152" customFormat="1" x14ac:dyDescent="0.2">
      <c r="A328" s="507" t="s">
        <v>678</v>
      </c>
      <c r="B328" s="508" t="s">
        <v>279</v>
      </c>
      <c r="C328" s="509">
        <v>0.16</v>
      </c>
      <c r="D328" s="510">
        <v>0.1</v>
      </c>
      <c r="E328" s="511">
        <v>2.1000000000000001E-2</v>
      </c>
      <c r="F328" s="511">
        <v>0.1065</v>
      </c>
      <c r="G328" s="512">
        <v>6.4999999999999997E-3</v>
      </c>
      <c r="H328" s="512">
        <v>0.03</v>
      </c>
      <c r="I328" s="512">
        <v>0.18</v>
      </c>
      <c r="J328" s="512">
        <v>0.04</v>
      </c>
      <c r="K328" s="512">
        <v>0.14000000000000001</v>
      </c>
      <c r="L328" s="512">
        <v>1.4999999999999999E-2</v>
      </c>
      <c r="M328" s="513" t="s">
        <v>175</v>
      </c>
      <c r="N328" s="514"/>
      <c r="O328" s="119"/>
      <c r="P328" s="119"/>
      <c r="Q328" s="119"/>
      <c r="R328" s="119"/>
      <c r="S328" s="119"/>
      <c r="T328" s="119"/>
      <c r="U328" s="119"/>
      <c r="V328" s="119"/>
      <c r="W328" s="119"/>
      <c r="X328" s="119">
        <f t="shared" si="183"/>
        <v>0</v>
      </c>
      <c r="Y328" s="118" t="e">
        <f t="shared" si="184"/>
        <v>#DIV/0!</v>
      </c>
      <c r="Z328" s="109" t="e">
        <f t="shared" si="182"/>
        <v>#DIV/0!</v>
      </c>
      <c r="AA328" s="109">
        <f>'CALCULO GERAL'!$G$10</f>
        <v>6300</v>
      </c>
      <c r="AB328" s="109" t="e">
        <f t="shared" si="185"/>
        <v>#DIV/0!</v>
      </c>
      <c r="AC328" s="109" t="e">
        <f>AB328*'CALCULO GERAL'!$C$11</f>
        <v>#DIV/0!</v>
      </c>
      <c r="AD328" s="109" t="e">
        <f t="shared" si="186"/>
        <v>#DIV/0!</v>
      </c>
      <c r="AE328" s="109" t="e">
        <f t="shared" si="187"/>
        <v>#DIV/0!</v>
      </c>
      <c r="AF328" s="109" t="e">
        <f t="shared" si="188"/>
        <v>#DIV/0!</v>
      </c>
      <c r="AG328" s="109" t="e">
        <f t="shared" si="189"/>
        <v>#DIV/0!</v>
      </c>
      <c r="AH328" s="109">
        <v>154.22999999999999</v>
      </c>
      <c r="AI328" s="109">
        <f>((AA328*'CALCULO GERAL'!$C$11))*0.08+20</f>
        <v>2549.576</v>
      </c>
      <c r="AJ328" s="109">
        <v>1010</v>
      </c>
      <c r="AK328" s="109">
        <v>2500</v>
      </c>
      <c r="AL328" s="109">
        <f>(AA328*('CALCULO GERAL'!$C$11*1.02))-(AA328*'CALCULO GERAL'!$C$11)</f>
        <v>632.39400000000387</v>
      </c>
      <c r="AM328" s="109">
        <v>1800</v>
      </c>
      <c r="AN328" s="109">
        <v>2600</v>
      </c>
      <c r="AO328" s="109">
        <v>9400</v>
      </c>
      <c r="AP328" s="109">
        <v>1000</v>
      </c>
      <c r="AQ328" s="109">
        <v>0</v>
      </c>
      <c r="AR328" s="109">
        <v>0</v>
      </c>
      <c r="AS328" s="109"/>
      <c r="AT328" s="109" t="e">
        <f t="shared" si="173"/>
        <v>#DIV/0!</v>
      </c>
      <c r="AU328" s="111">
        <f t="shared" si="190"/>
        <v>0</v>
      </c>
      <c r="AV328" s="109">
        <f>IFERROR((BS328*'CALCULO GERAL'!$E$11)/N328,0)</f>
        <v>0</v>
      </c>
      <c r="AW328" s="109">
        <f>AU328/'CALCULO GERAL'!$C$11</f>
        <v>0</v>
      </c>
      <c r="AX328" s="109" t="e">
        <f>BP328-BB328-BD328*'CALCULO GERAL'!$C$11</f>
        <v>#DIV/0!</v>
      </c>
      <c r="AY328" s="109" t="e">
        <f t="shared" si="191"/>
        <v>#DIV/0!</v>
      </c>
      <c r="AZ328" s="109" t="e">
        <f t="shared" si="192"/>
        <v>#DIV/0!</v>
      </c>
      <c r="BA328" s="109" t="e">
        <f t="shared" si="193"/>
        <v>#DIV/0!</v>
      </c>
      <c r="BB328" s="109" t="e">
        <f t="shared" si="194"/>
        <v>#DIV/0!</v>
      </c>
      <c r="BC328" s="109" t="e">
        <f t="shared" si="195"/>
        <v>#DIV/0!</v>
      </c>
      <c r="BD328" s="109" t="e">
        <f t="shared" si="196"/>
        <v>#DIV/0!</v>
      </c>
      <c r="BE328" s="109" t="e">
        <f t="shared" si="197"/>
        <v>#DIV/0!</v>
      </c>
      <c r="BF328" s="109" t="e">
        <f t="shared" si="198"/>
        <v>#DIV/0!</v>
      </c>
      <c r="BG328" s="109" t="e">
        <f t="shared" si="199"/>
        <v>#DIV/0!</v>
      </c>
      <c r="BH328" s="109" t="e">
        <f t="shared" si="200"/>
        <v>#DIV/0!</v>
      </c>
      <c r="BI328" s="109" t="e">
        <f t="shared" si="201"/>
        <v>#DIV/0!</v>
      </c>
      <c r="BJ328" s="109" t="e">
        <f t="shared" si="202"/>
        <v>#DIV/0!</v>
      </c>
      <c r="BK328" s="109" t="e">
        <f t="shared" si="203"/>
        <v>#DIV/0!</v>
      </c>
      <c r="BL328" s="148" t="e">
        <v>#DIV/0!</v>
      </c>
      <c r="BM328" s="112" t="e">
        <f>ROUND((AW328/BL328)+((AW328*BL328)*'CALCULO GERAL'!$E$11)/BL328,2)</f>
        <v>#DIV/0!</v>
      </c>
      <c r="BN328" s="186" t="e">
        <f t="shared" si="174"/>
        <v>#DIV/0!</v>
      </c>
      <c r="BO328" s="186" t="e">
        <f t="shared" si="175"/>
        <v>#DIV/0!</v>
      </c>
      <c r="BP328" s="109" t="e">
        <f>BM328*'CALCULO GERAL'!$C$11</f>
        <v>#DIV/0!</v>
      </c>
      <c r="BQ328" s="109" t="e">
        <f>BO328*'CALCULO GERAL'!$C$11</f>
        <v>#DIV/0!</v>
      </c>
      <c r="BR328" s="186" t="e">
        <f>BN328*'CALCULO GERAL'!$C$11</f>
        <v>#DIV/0!</v>
      </c>
      <c r="BS328" s="109" t="e">
        <f t="shared" si="204"/>
        <v>#DIV/0!</v>
      </c>
      <c r="BT328" s="109" t="e">
        <f t="shared" si="205"/>
        <v>#DIV/0!</v>
      </c>
      <c r="BU328" s="109" t="e">
        <f t="shared" si="179"/>
        <v>#DIV/0!</v>
      </c>
      <c r="BV328" s="109" t="e">
        <f t="shared" si="176"/>
        <v>#DIV/0!</v>
      </c>
      <c r="BW328" s="114" t="e">
        <f t="shared" si="206"/>
        <v>#DIV/0!</v>
      </c>
      <c r="BX328" s="152" t="e">
        <f t="shared" si="180"/>
        <v>#DIV/0!</v>
      </c>
      <c r="BZ328" s="55"/>
      <c r="CA328" s="113"/>
      <c r="CB328" s="113"/>
      <c r="CD328" s="152" t="e">
        <f t="shared" si="181"/>
        <v>#DIV/0!</v>
      </c>
      <c r="CE328" s="152" t="e">
        <f t="shared" si="177"/>
        <v>#DIV/0!</v>
      </c>
      <c r="CF328" s="152" t="e">
        <f t="shared" si="178"/>
        <v>#DIV/0!</v>
      </c>
      <c r="CG328" s="34"/>
      <c r="CI328" s="11"/>
      <c r="CJ328" s="11"/>
    </row>
    <row r="65501" spans="2:88" s="4" customFormat="1" x14ac:dyDescent="0.2">
      <c r="B65501" s="189"/>
      <c r="C65501" s="9">
        <v>0.26</v>
      </c>
      <c r="D65501" s="9"/>
      <c r="E65501" s="9">
        <v>0</v>
      </c>
      <c r="F65501" s="9">
        <v>0</v>
      </c>
      <c r="G65501" s="10">
        <v>2.1000000000000001E-2</v>
      </c>
      <c r="H65501" s="10">
        <v>0.1065</v>
      </c>
      <c r="O65501" s="117"/>
      <c r="P65501" s="117"/>
      <c r="Q65501" s="117"/>
      <c r="R65501" s="117"/>
      <c r="S65501" s="117"/>
      <c r="T65501" s="117"/>
      <c r="Y65501" s="110"/>
      <c r="Z65501" s="110"/>
      <c r="AA65501" s="110"/>
      <c r="AB65501" s="110"/>
      <c r="AC65501" s="110"/>
      <c r="AD65501" s="110"/>
      <c r="AE65501" s="110"/>
      <c r="AF65501" s="110"/>
      <c r="AG65501" s="110"/>
      <c r="AH65501" s="110"/>
      <c r="AI65501" s="110"/>
      <c r="AJ65501" s="110"/>
      <c r="AK65501" s="110"/>
      <c r="AL65501" s="110"/>
      <c r="AM65501" s="110"/>
      <c r="AN65501" s="110"/>
      <c r="AO65501" s="110"/>
      <c r="AP65501" s="110"/>
      <c r="AQ65501" s="110"/>
      <c r="AR65501" s="110"/>
      <c r="AS65501" s="110"/>
      <c r="AT65501" s="110"/>
      <c r="AU65501" s="110"/>
      <c r="AV65501" s="110"/>
      <c r="AW65501" s="110"/>
      <c r="AX65501" s="110"/>
      <c r="AY65501" s="110"/>
      <c r="AZ65501" s="110"/>
      <c r="BA65501" s="110"/>
      <c r="BB65501" s="110"/>
      <c r="BC65501" s="110"/>
      <c r="BD65501" s="110"/>
      <c r="BE65501" s="110"/>
      <c r="BF65501" s="110"/>
      <c r="BG65501" s="110"/>
      <c r="BH65501" s="110"/>
      <c r="BI65501" s="110"/>
      <c r="BJ65501" s="110"/>
      <c r="BK65501" s="110"/>
      <c r="BL65501" s="110"/>
      <c r="BM65501" s="110"/>
      <c r="BN65501" s="110"/>
      <c r="BO65501" s="110"/>
      <c r="BP65501" s="110"/>
      <c r="BQ65501" s="110"/>
      <c r="BR65501" s="110"/>
      <c r="BS65501" s="110"/>
      <c r="BT65501" s="110"/>
      <c r="BU65501" s="110"/>
      <c r="BV65501" s="110"/>
      <c r="BW65501" s="110"/>
      <c r="BX65501" s="11"/>
      <c r="BY65501" s="11"/>
      <c r="BZ65501" s="11"/>
      <c r="CA65501" s="11"/>
      <c r="CB65501" s="11"/>
      <c r="CC65501" s="11"/>
      <c r="CD65501" s="152"/>
      <c r="CE65501" s="152"/>
      <c r="CF65501" s="11"/>
      <c r="CG65501" s="11"/>
      <c r="CH65501" s="152"/>
      <c r="CI65501" s="11"/>
      <c r="CJ65501" s="11"/>
    </row>
  </sheetData>
  <autoFilter ref="A1:CE262" xr:uid="{ECD027E7-7988-4DAE-B713-7E6C07CC1091}"/>
  <conditionalFormatting sqref="A1:A141 A146:A328">
    <cfRule type="duplicateValues" dxfId="59" priority="22"/>
  </conditionalFormatting>
  <conditionalFormatting sqref="A45">
    <cfRule type="duplicateValues" dxfId="58" priority="15"/>
  </conditionalFormatting>
  <conditionalFormatting sqref="A90:A93 A96:A105">
    <cfRule type="duplicateValues" dxfId="57" priority="14"/>
  </conditionalFormatting>
  <conditionalFormatting sqref="A94:A95">
    <cfRule type="duplicateValues" dxfId="56" priority="13"/>
  </conditionalFormatting>
  <conditionalFormatting sqref="A142:A145">
    <cfRule type="duplicateValues" dxfId="55" priority="1"/>
    <cfRule type="duplicateValues" dxfId="54" priority="2"/>
  </conditionalFormatting>
  <conditionalFormatting sqref="A146:A149">
    <cfRule type="duplicateValues" dxfId="53" priority="16"/>
  </conditionalFormatting>
  <conditionalFormatting sqref="A150:A155 A114:A141">
    <cfRule type="duplicateValues" dxfId="52" priority="20"/>
  </conditionalFormatting>
  <conditionalFormatting sqref="A156 A2:A44 A106:A113 A46:A89 A253:A256 A247 A240 A170:A231">
    <cfRule type="duplicateValues" dxfId="51" priority="19"/>
  </conditionalFormatting>
  <conditionalFormatting sqref="A164:A166">
    <cfRule type="duplicateValues" dxfId="50" priority="21"/>
  </conditionalFormatting>
  <conditionalFormatting sqref="A167">
    <cfRule type="duplicateValues" dxfId="49" priority="17"/>
  </conditionalFormatting>
  <conditionalFormatting sqref="A168:A169 A157:A163">
    <cfRule type="duplicateValues" dxfId="48" priority="18"/>
  </conditionalFormatting>
  <conditionalFormatting sqref="A232:A239">
    <cfRule type="duplicateValues" dxfId="47" priority="9"/>
  </conditionalFormatting>
  <conditionalFormatting sqref="A241:A242">
    <cfRule type="duplicateValues" dxfId="46" priority="4"/>
    <cfRule type="duplicateValues" dxfId="45" priority="5"/>
  </conditionalFormatting>
  <conditionalFormatting sqref="A243:A246">
    <cfRule type="duplicateValues" dxfId="44" priority="12"/>
  </conditionalFormatting>
  <conditionalFormatting sqref="A248">
    <cfRule type="duplicateValues" dxfId="43" priority="10"/>
  </conditionalFormatting>
  <conditionalFormatting sqref="A249:A250 A252">
    <cfRule type="duplicateValues" dxfId="42" priority="6"/>
  </conditionalFormatting>
  <conditionalFormatting sqref="A251">
    <cfRule type="duplicateValues" dxfId="41" priority="3"/>
  </conditionalFormatting>
  <conditionalFormatting sqref="A256:A257">
    <cfRule type="duplicateValues" dxfId="40" priority="11"/>
  </conditionalFormatting>
  <conditionalFormatting sqref="A258">
    <cfRule type="duplicateValues" dxfId="39" priority="8"/>
  </conditionalFormatting>
  <conditionalFormatting sqref="A259:A268">
    <cfRule type="duplicateValues" dxfId="38" priority="7"/>
  </conditionalFormatting>
  <pageMargins left="0.511811024" right="0.511811024" top="0.78740157499999996" bottom="0.78740157499999996" header="0.31496062000000002" footer="0.31496062000000002"/>
  <pageSetup paperSize="9" scale="66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C749C-0D47-4B78-8E34-659F1A7D98A1}">
  <sheetPr codeName="Planilha5"/>
  <dimension ref="A2:X65735"/>
  <sheetViews>
    <sheetView topLeftCell="A119" zoomScaleNormal="100" workbookViewId="0">
      <selection activeCell="B143" sqref="B143:M143"/>
    </sheetView>
  </sheetViews>
  <sheetFormatPr baseColWidth="10" defaultColWidth="9.1640625" defaultRowHeight="13" x14ac:dyDescent="0.15"/>
  <cols>
    <col min="1" max="1" width="6.33203125" style="4" customWidth="1"/>
    <col min="2" max="2" width="68.1640625" style="4" bestFit="1" customWidth="1"/>
    <col min="3" max="3" width="10.1640625" style="4" bestFit="1" customWidth="1"/>
    <col min="4" max="4" width="9.1640625" style="4" customWidth="1"/>
    <col min="5" max="5" width="7.83203125" style="4" customWidth="1"/>
    <col min="6" max="6" width="9.33203125" style="4" customWidth="1"/>
    <col min="7" max="14" width="9.1640625" style="4" customWidth="1"/>
    <col min="15" max="15" width="13.83203125" style="4" bestFit="1" customWidth="1"/>
    <col min="16" max="16" width="9.1640625" style="4"/>
    <col min="17" max="17" width="10.5" style="4" bestFit="1" customWidth="1"/>
    <col min="18" max="16384" width="9.1640625" style="4"/>
  </cols>
  <sheetData>
    <row r="2" spans="1:24" ht="37.5" customHeight="1" x14ac:dyDescent="0.15">
      <c r="A2" s="106"/>
      <c r="B2" s="3" t="s">
        <v>122</v>
      </c>
      <c r="C2" s="3" t="s">
        <v>23</v>
      </c>
      <c r="D2" s="3" t="s">
        <v>123</v>
      </c>
      <c r="E2" s="3" t="s">
        <v>70</v>
      </c>
      <c r="F2" s="3" t="s">
        <v>74</v>
      </c>
      <c r="G2" s="3" t="s">
        <v>80</v>
      </c>
      <c r="H2" s="107" t="s">
        <v>74</v>
      </c>
      <c r="I2" s="107" t="s">
        <v>80</v>
      </c>
      <c r="J2" s="107" t="s">
        <v>124</v>
      </c>
      <c r="K2" s="107" t="s">
        <v>125</v>
      </c>
      <c r="L2" s="107" t="s">
        <v>126</v>
      </c>
      <c r="M2" s="107" t="s">
        <v>127</v>
      </c>
      <c r="N2" s="107" t="s">
        <v>128</v>
      </c>
      <c r="O2" s="107" t="s">
        <v>129</v>
      </c>
      <c r="T2" s="115"/>
    </row>
    <row r="3" spans="1:24" ht="15" x14ac:dyDescent="0.2">
      <c r="A3" s="4">
        <v>1</v>
      </c>
      <c r="B3" s="228" t="s">
        <v>476</v>
      </c>
      <c r="C3" s="187" t="s">
        <v>174</v>
      </c>
      <c r="D3" s="8">
        <v>0.16200000000000001</v>
      </c>
      <c r="E3" s="8">
        <v>0</v>
      </c>
      <c r="F3" s="7">
        <v>2.1000000000000001E-2</v>
      </c>
      <c r="G3" s="7">
        <v>9.6500000000000002E-2</v>
      </c>
      <c r="H3" s="1">
        <v>6.4999999999999997E-3</v>
      </c>
      <c r="I3" s="1">
        <v>0.03</v>
      </c>
      <c r="J3" s="1">
        <v>0.18</v>
      </c>
      <c r="K3" s="1">
        <v>0.04</v>
      </c>
      <c r="L3" s="1">
        <v>0.14000000000000001</v>
      </c>
      <c r="M3" s="1">
        <v>1.4999999999999999E-2</v>
      </c>
      <c r="N3" s="2" t="s">
        <v>175</v>
      </c>
      <c r="O3" s="105">
        <v>9200</v>
      </c>
      <c r="P3" s="4">
        <v>1</v>
      </c>
      <c r="Q3" s="150"/>
    </row>
    <row r="4" spans="1:24" ht="15" x14ac:dyDescent="0.2">
      <c r="A4" s="4">
        <v>2</v>
      </c>
      <c r="B4" s="228" t="s">
        <v>477</v>
      </c>
      <c r="C4" s="187" t="s">
        <v>174</v>
      </c>
      <c r="D4" s="8">
        <v>0.16200000000000001</v>
      </c>
      <c r="E4" s="8">
        <v>0</v>
      </c>
      <c r="F4" s="7">
        <v>2.1000000000000001E-2</v>
      </c>
      <c r="G4" s="7">
        <v>9.6500000000000002E-2</v>
      </c>
      <c r="H4" s="1">
        <v>6.4999999999999997E-3</v>
      </c>
      <c r="I4" s="1">
        <v>0.03</v>
      </c>
      <c r="J4" s="1">
        <v>0.18</v>
      </c>
      <c r="K4" s="1">
        <v>0.04</v>
      </c>
      <c r="L4" s="1">
        <v>0.14000000000000001</v>
      </c>
      <c r="M4" s="1">
        <v>1.4999999999999999E-2</v>
      </c>
      <c r="N4" s="2" t="s">
        <v>175</v>
      </c>
      <c r="O4" s="105">
        <v>9200</v>
      </c>
      <c r="P4" s="4">
        <v>2</v>
      </c>
      <c r="Q4" s="150"/>
    </row>
    <row r="5" spans="1:24" ht="15" x14ac:dyDescent="0.2">
      <c r="A5" s="4">
        <v>3</v>
      </c>
      <c r="B5" s="228" t="s">
        <v>478</v>
      </c>
      <c r="C5" s="187" t="s">
        <v>174</v>
      </c>
      <c r="D5" s="8">
        <v>0.16200000000000001</v>
      </c>
      <c r="E5" s="8">
        <v>0</v>
      </c>
      <c r="F5" s="7">
        <v>2.1000000000000001E-2</v>
      </c>
      <c r="G5" s="7">
        <v>9.6500000000000002E-2</v>
      </c>
      <c r="H5" s="1">
        <v>6.4999999999999997E-3</v>
      </c>
      <c r="I5" s="1">
        <v>0.03</v>
      </c>
      <c r="J5" s="1">
        <v>0.18</v>
      </c>
      <c r="K5" s="1">
        <v>0.04</v>
      </c>
      <c r="L5" s="1">
        <v>0.14000000000000001</v>
      </c>
      <c r="M5" s="1">
        <v>1.4999999999999999E-2</v>
      </c>
      <c r="N5" s="2" t="s">
        <v>175</v>
      </c>
      <c r="O5" s="105">
        <v>9200</v>
      </c>
      <c r="P5" s="4">
        <v>3</v>
      </c>
    </row>
    <row r="6" spans="1:24" ht="15" x14ac:dyDescent="0.2">
      <c r="A6" s="4">
        <v>4</v>
      </c>
      <c r="B6" s="228" t="s">
        <v>479</v>
      </c>
      <c r="C6" s="187" t="s">
        <v>174</v>
      </c>
      <c r="D6" s="8">
        <v>0.16200000000000001</v>
      </c>
      <c r="E6" s="8">
        <v>0</v>
      </c>
      <c r="F6" s="7">
        <v>2.1000000000000001E-2</v>
      </c>
      <c r="G6" s="7">
        <v>9.6500000000000002E-2</v>
      </c>
      <c r="H6" s="1">
        <v>6.4999999999999997E-3</v>
      </c>
      <c r="I6" s="1">
        <v>0.03</v>
      </c>
      <c r="J6" s="1">
        <v>0.18</v>
      </c>
      <c r="K6" s="1">
        <v>0.04</v>
      </c>
      <c r="L6" s="1">
        <v>0.14000000000000001</v>
      </c>
      <c r="M6" s="1">
        <v>1.4999999999999999E-2</v>
      </c>
      <c r="N6" s="2" t="s">
        <v>175</v>
      </c>
      <c r="O6" s="105">
        <v>9200</v>
      </c>
      <c r="P6" s="4">
        <v>4</v>
      </c>
    </row>
    <row r="7" spans="1:24" ht="15" x14ac:dyDescent="0.2">
      <c r="A7" s="4">
        <v>5</v>
      </c>
      <c r="B7" s="228" t="s">
        <v>480</v>
      </c>
      <c r="C7" s="187" t="s">
        <v>174</v>
      </c>
      <c r="D7" s="8">
        <v>0.16200000000000001</v>
      </c>
      <c r="E7" s="8">
        <v>0</v>
      </c>
      <c r="F7" s="7">
        <v>2.1000000000000001E-2</v>
      </c>
      <c r="G7" s="7">
        <v>9.6500000000000002E-2</v>
      </c>
      <c r="H7" s="1">
        <v>6.4999999999999997E-3</v>
      </c>
      <c r="I7" s="1">
        <v>0.03</v>
      </c>
      <c r="J7" s="1">
        <v>0.18</v>
      </c>
      <c r="K7" s="1">
        <v>0.04</v>
      </c>
      <c r="L7" s="1">
        <v>0.14000000000000001</v>
      </c>
      <c r="M7" s="1">
        <v>1.4999999999999999E-2</v>
      </c>
      <c r="N7" s="2" t="s">
        <v>175</v>
      </c>
      <c r="O7" s="105">
        <v>9200</v>
      </c>
      <c r="P7" s="4">
        <v>5</v>
      </c>
    </row>
    <row r="8" spans="1:24" ht="15" x14ac:dyDescent="0.2">
      <c r="A8" s="4">
        <v>6</v>
      </c>
      <c r="B8" s="228" t="s">
        <v>481</v>
      </c>
      <c r="C8" s="187" t="s">
        <v>174</v>
      </c>
      <c r="D8" s="8">
        <v>0.16200000000000001</v>
      </c>
      <c r="E8" s="8">
        <v>0</v>
      </c>
      <c r="F8" s="7">
        <v>2.1000000000000001E-2</v>
      </c>
      <c r="G8" s="7">
        <v>9.6500000000000002E-2</v>
      </c>
      <c r="H8" s="1">
        <v>6.4999999999999997E-3</v>
      </c>
      <c r="I8" s="1">
        <v>0.03</v>
      </c>
      <c r="J8" s="1">
        <v>0.18</v>
      </c>
      <c r="K8" s="1">
        <v>0.04</v>
      </c>
      <c r="L8" s="1">
        <v>0.14000000000000001</v>
      </c>
      <c r="M8" s="1">
        <v>1.4999999999999999E-2</v>
      </c>
      <c r="N8" s="2" t="s">
        <v>175</v>
      </c>
      <c r="O8" s="105">
        <v>9200</v>
      </c>
      <c r="P8" s="4">
        <v>6</v>
      </c>
    </row>
    <row r="9" spans="1:24" ht="15" x14ac:dyDescent="0.2">
      <c r="A9" s="4">
        <v>7</v>
      </c>
      <c r="B9" s="228" t="s">
        <v>482</v>
      </c>
      <c r="C9" s="187" t="s">
        <v>174</v>
      </c>
      <c r="D9" s="8">
        <v>0.16200000000000001</v>
      </c>
      <c r="E9" s="8">
        <v>0</v>
      </c>
      <c r="F9" s="7">
        <v>2.1000000000000001E-2</v>
      </c>
      <c r="G9" s="7">
        <v>9.6500000000000002E-2</v>
      </c>
      <c r="H9" s="1">
        <v>6.4999999999999997E-3</v>
      </c>
      <c r="I9" s="1">
        <v>0.03</v>
      </c>
      <c r="J9" s="1">
        <v>0.18</v>
      </c>
      <c r="K9" s="1">
        <v>0.04</v>
      </c>
      <c r="L9" s="1">
        <v>0.14000000000000001</v>
      </c>
      <c r="M9" s="1">
        <v>1.4999999999999999E-2</v>
      </c>
      <c r="N9" s="2" t="s">
        <v>175</v>
      </c>
      <c r="O9" s="105">
        <v>9200</v>
      </c>
      <c r="P9" s="4">
        <v>7</v>
      </c>
    </row>
    <row r="10" spans="1:24" ht="15" x14ac:dyDescent="0.2">
      <c r="A10" s="4">
        <v>8</v>
      </c>
      <c r="B10" s="228" t="s">
        <v>483</v>
      </c>
      <c r="C10" s="187" t="s">
        <v>174</v>
      </c>
      <c r="D10" s="8">
        <v>0.16200000000000001</v>
      </c>
      <c r="E10" s="8">
        <v>0</v>
      </c>
      <c r="F10" s="7">
        <v>2.1000000000000001E-2</v>
      </c>
      <c r="G10" s="7">
        <v>9.6500000000000002E-2</v>
      </c>
      <c r="H10" s="1">
        <v>6.4999999999999997E-3</v>
      </c>
      <c r="I10" s="1">
        <v>0.03</v>
      </c>
      <c r="J10" s="1">
        <v>0.18</v>
      </c>
      <c r="K10" s="1">
        <v>0.04</v>
      </c>
      <c r="L10" s="1">
        <v>0.14000000000000001</v>
      </c>
      <c r="M10" s="1">
        <v>1.4999999999999999E-2</v>
      </c>
      <c r="N10" s="2" t="s">
        <v>175</v>
      </c>
      <c r="O10" s="105">
        <v>9200</v>
      </c>
      <c r="P10" s="4">
        <v>8</v>
      </c>
    </row>
    <row r="11" spans="1:24" ht="15" x14ac:dyDescent="0.2">
      <c r="A11" s="4">
        <v>9</v>
      </c>
      <c r="B11" s="228" t="s">
        <v>484</v>
      </c>
      <c r="C11" s="187" t="s">
        <v>174</v>
      </c>
      <c r="D11" s="8">
        <v>0.16200000000000001</v>
      </c>
      <c r="E11" s="8">
        <v>0</v>
      </c>
      <c r="F11" s="7">
        <v>2.1000000000000001E-2</v>
      </c>
      <c r="G11" s="7">
        <v>9.6500000000000002E-2</v>
      </c>
      <c r="H11" s="1">
        <v>6.4999999999999997E-3</v>
      </c>
      <c r="I11" s="1">
        <v>0.03</v>
      </c>
      <c r="J11" s="1">
        <v>0.18</v>
      </c>
      <c r="K11" s="1">
        <v>0.04</v>
      </c>
      <c r="L11" s="1">
        <v>0.14000000000000001</v>
      </c>
      <c r="M11" s="1">
        <v>1.4999999999999999E-2</v>
      </c>
      <c r="N11" s="2" t="s">
        <v>175</v>
      </c>
      <c r="O11" s="105">
        <v>6000</v>
      </c>
      <c r="P11" s="4">
        <v>9</v>
      </c>
    </row>
    <row r="12" spans="1:24" ht="15" x14ac:dyDescent="0.2">
      <c r="A12" s="4">
        <v>10</v>
      </c>
      <c r="B12" s="228" t="s">
        <v>485</v>
      </c>
      <c r="C12" s="187" t="s">
        <v>174</v>
      </c>
      <c r="D12" s="8">
        <v>0.16200000000000001</v>
      </c>
      <c r="E12" s="8">
        <v>0</v>
      </c>
      <c r="F12" s="7">
        <v>2.1000000000000001E-2</v>
      </c>
      <c r="G12" s="7">
        <v>9.6500000000000002E-2</v>
      </c>
      <c r="H12" s="1">
        <v>6.4999999999999997E-3</v>
      </c>
      <c r="I12" s="1">
        <v>0.03</v>
      </c>
      <c r="J12" s="1">
        <v>0.18</v>
      </c>
      <c r="K12" s="1">
        <v>0.04</v>
      </c>
      <c r="L12" s="1">
        <v>0.14000000000000001</v>
      </c>
      <c r="M12" s="1">
        <v>1.4999999999999999E-2</v>
      </c>
      <c r="N12" s="2" t="s">
        <v>175</v>
      </c>
      <c r="O12" s="105">
        <v>6000</v>
      </c>
      <c r="P12" s="4">
        <v>10</v>
      </c>
    </row>
    <row r="13" spans="1:24" ht="15" x14ac:dyDescent="0.2">
      <c r="A13" s="4">
        <v>11</v>
      </c>
      <c r="B13" s="228" t="s">
        <v>486</v>
      </c>
      <c r="C13" s="187" t="s">
        <v>174</v>
      </c>
      <c r="D13" s="8">
        <v>0.16200000000000001</v>
      </c>
      <c r="E13" s="8">
        <v>0</v>
      </c>
      <c r="F13" s="7">
        <v>2.1000000000000001E-2</v>
      </c>
      <c r="G13" s="7">
        <v>9.6500000000000002E-2</v>
      </c>
      <c r="H13" s="1">
        <v>6.4999999999999997E-3</v>
      </c>
      <c r="I13" s="1">
        <v>0.03</v>
      </c>
      <c r="J13" s="1">
        <v>0.18</v>
      </c>
      <c r="K13" s="1">
        <v>0.04</v>
      </c>
      <c r="L13" s="1">
        <v>0.14000000000000001</v>
      </c>
      <c r="M13" s="1">
        <v>1.4999999999999999E-2</v>
      </c>
      <c r="N13" s="2" t="s">
        <v>175</v>
      </c>
      <c r="O13" s="105">
        <v>6000</v>
      </c>
      <c r="P13" s="4">
        <v>11</v>
      </c>
    </row>
    <row r="14" spans="1:24" ht="15" x14ac:dyDescent="0.2">
      <c r="A14" s="4">
        <v>12</v>
      </c>
      <c r="B14" s="228" t="s">
        <v>487</v>
      </c>
      <c r="C14" s="187" t="s">
        <v>174</v>
      </c>
      <c r="D14" s="8">
        <v>0.16200000000000001</v>
      </c>
      <c r="E14" s="8">
        <v>0</v>
      </c>
      <c r="F14" s="7">
        <v>2.1000000000000001E-2</v>
      </c>
      <c r="G14" s="7">
        <v>9.6500000000000002E-2</v>
      </c>
      <c r="H14" s="1">
        <v>6.4999999999999997E-3</v>
      </c>
      <c r="I14" s="1">
        <v>0.03</v>
      </c>
      <c r="J14" s="1">
        <v>0.18</v>
      </c>
      <c r="K14" s="1">
        <v>0.04</v>
      </c>
      <c r="L14" s="1">
        <v>0.14000000000000001</v>
      </c>
      <c r="M14" s="1">
        <v>1.4999999999999999E-2</v>
      </c>
      <c r="N14" s="2" t="s">
        <v>175</v>
      </c>
      <c r="O14" s="105">
        <v>6000</v>
      </c>
      <c r="P14" s="4">
        <v>12</v>
      </c>
    </row>
    <row r="15" spans="1:24" ht="15" x14ac:dyDescent="0.2">
      <c r="A15" s="4">
        <v>13</v>
      </c>
      <c r="B15" s="228" t="s">
        <v>488</v>
      </c>
      <c r="C15" s="187" t="s">
        <v>174</v>
      </c>
      <c r="D15" s="8">
        <v>0.16200000000000001</v>
      </c>
      <c r="E15" s="8">
        <v>0</v>
      </c>
      <c r="F15" s="7">
        <v>2.1000000000000001E-2</v>
      </c>
      <c r="G15" s="7">
        <v>9.6500000000000002E-2</v>
      </c>
      <c r="H15" s="1">
        <v>6.4999999999999997E-3</v>
      </c>
      <c r="I15" s="1">
        <v>0.03</v>
      </c>
      <c r="J15" s="1">
        <v>0.18</v>
      </c>
      <c r="K15" s="1">
        <v>0.04</v>
      </c>
      <c r="L15" s="1">
        <v>0.14000000000000001</v>
      </c>
      <c r="M15" s="1">
        <v>1.4999999999999999E-2</v>
      </c>
      <c r="N15" s="2" t="s">
        <v>175</v>
      </c>
      <c r="O15" s="105">
        <v>8000</v>
      </c>
      <c r="P15" s="4">
        <v>13</v>
      </c>
    </row>
    <row r="16" spans="1:24" ht="15" x14ac:dyDescent="0.2">
      <c r="A16" s="369">
        <v>14</v>
      </c>
      <c r="B16" s="228" t="s">
        <v>489</v>
      </c>
      <c r="C16" s="187" t="s">
        <v>174</v>
      </c>
      <c r="D16" s="8">
        <v>0.16200000000000001</v>
      </c>
      <c r="E16" s="8">
        <v>0</v>
      </c>
      <c r="F16" s="7">
        <v>2.1000000000000001E-2</v>
      </c>
      <c r="G16" s="7">
        <v>9.6500000000000002E-2</v>
      </c>
      <c r="H16" s="1">
        <v>6.4999999999999997E-3</v>
      </c>
      <c r="I16" s="1">
        <v>0.03</v>
      </c>
      <c r="J16" s="1">
        <v>0.18</v>
      </c>
      <c r="K16" s="1">
        <v>0.04</v>
      </c>
      <c r="L16" s="1">
        <v>0.14000000000000001</v>
      </c>
      <c r="M16" s="1">
        <v>1.4999999999999999E-2</v>
      </c>
      <c r="N16" s="2" t="s">
        <v>175</v>
      </c>
      <c r="O16" s="105">
        <v>8000</v>
      </c>
      <c r="P16" s="315">
        <v>14</v>
      </c>
      <c r="Q16" s="315"/>
      <c r="R16" s="315"/>
      <c r="S16" s="315"/>
      <c r="T16" s="315"/>
      <c r="U16" s="315"/>
      <c r="V16" s="315"/>
      <c r="W16" s="315"/>
      <c r="X16" s="315"/>
    </row>
    <row r="17" spans="1:16" ht="15" x14ac:dyDescent="0.2">
      <c r="A17" s="4">
        <v>14</v>
      </c>
      <c r="B17" s="228" t="s">
        <v>490</v>
      </c>
      <c r="C17" s="187" t="s">
        <v>174</v>
      </c>
      <c r="D17" s="8">
        <v>0.16200000000000001</v>
      </c>
      <c r="E17" s="8">
        <v>0</v>
      </c>
      <c r="F17" s="7">
        <v>2.1000000000000001E-2</v>
      </c>
      <c r="G17" s="7">
        <v>9.6500000000000002E-2</v>
      </c>
      <c r="H17" s="1">
        <v>6.4999999999999997E-3</v>
      </c>
      <c r="I17" s="1">
        <v>0.03</v>
      </c>
      <c r="J17" s="1">
        <v>0.18</v>
      </c>
      <c r="K17" s="1">
        <v>0.04</v>
      </c>
      <c r="L17" s="1">
        <v>0.14000000000000001</v>
      </c>
      <c r="M17" s="1">
        <v>1.4999999999999999E-2</v>
      </c>
      <c r="N17" s="2" t="s">
        <v>175</v>
      </c>
      <c r="O17" s="105">
        <v>8000</v>
      </c>
      <c r="P17" s="4">
        <v>14</v>
      </c>
    </row>
    <row r="18" spans="1:16" ht="15" x14ac:dyDescent="0.2">
      <c r="A18" s="4">
        <v>15</v>
      </c>
      <c r="B18" s="228" t="s">
        <v>491</v>
      </c>
      <c r="C18" s="187" t="s">
        <v>174</v>
      </c>
      <c r="D18" s="8">
        <v>0.16200000000000001</v>
      </c>
      <c r="E18" s="8">
        <v>0</v>
      </c>
      <c r="F18" s="7">
        <v>2.1000000000000001E-2</v>
      </c>
      <c r="G18" s="7">
        <v>9.6500000000000002E-2</v>
      </c>
      <c r="H18" s="1">
        <v>6.4999999999999997E-3</v>
      </c>
      <c r="I18" s="1">
        <v>0.03</v>
      </c>
      <c r="J18" s="1">
        <v>0.18</v>
      </c>
      <c r="K18" s="1">
        <v>0.04</v>
      </c>
      <c r="L18" s="1">
        <v>0.14000000000000001</v>
      </c>
      <c r="M18" s="1">
        <v>1.4999999999999999E-2</v>
      </c>
      <c r="N18" s="2" t="s">
        <v>175</v>
      </c>
      <c r="O18" s="105">
        <v>8000</v>
      </c>
    </row>
    <row r="19" spans="1:16" ht="15" x14ac:dyDescent="0.2">
      <c r="A19" s="4">
        <v>16</v>
      </c>
      <c r="B19" s="228" t="s">
        <v>492</v>
      </c>
      <c r="C19" s="187" t="s">
        <v>174</v>
      </c>
      <c r="D19" s="8">
        <v>0.16200000000000001</v>
      </c>
      <c r="E19" s="8">
        <v>0</v>
      </c>
      <c r="F19" s="7">
        <v>2.1000000000000001E-2</v>
      </c>
      <c r="G19" s="7">
        <v>9.6500000000000002E-2</v>
      </c>
      <c r="H19" s="1">
        <v>6.4999999999999997E-3</v>
      </c>
      <c r="I19" s="1">
        <v>0.03</v>
      </c>
      <c r="J19" s="1">
        <v>0.18</v>
      </c>
      <c r="K19" s="1">
        <v>0.04</v>
      </c>
      <c r="L19" s="1">
        <v>0.14000000000000001</v>
      </c>
      <c r="M19" s="1">
        <v>1.4999999999999999E-2</v>
      </c>
      <c r="N19" s="2" t="s">
        <v>175</v>
      </c>
      <c r="O19" s="105">
        <v>8500</v>
      </c>
      <c r="P19" s="4">
        <v>15</v>
      </c>
    </row>
    <row r="20" spans="1:16" ht="15" x14ac:dyDescent="0.2">
      <c r="A20" s="4">
        <v>17</v>
      </c>
      <c r="B20" s="228" t="s">
        <v>493</v>
      </c>
      <c r="C20" s="187" t="s">
        <v>174</v>
      </c>
      <c r="D20" s="8">
        <v>0.16200000000000001</v>
      </c>
      <c r="E20" s="8">
        <v>0</v>
      </c>
      <c r="F20" s="7">
        <v>2.1000000000000001E-2</v>
      </c>
      <c r="G20" s="7">
        <v>9.6500000000000002E-2</v>
      </c>
      <c r="H20" s="1">
        <v>6.4999999999999997E-3</v>
      </c>
      <c r="I20" s="1">
        <v>0.03</v>
      </c>
      <c r="J20" s="1">
        <v>0.18</v>
      </c>
      <c r="K20" s="1">
        <v>0.04</v>
      </c>
      <c r="L20" s="1">
        <v>0.14000000000000001</v>
      </c>
      <c r="M20" s="1">
        <v>1.4999999999999999E-2</v>
      </c>
      <c r="N20" s="2" t="s">
        <v>175</v>
      </c>
      <c r="O20" s="105">
        <v>8500</v>
      </c>
      <c r="P20" s="4">
        <v>16</v>
      </c>
    </row>
    <row r="21" spans="1:16" ht="15" x14ac:dyDescent="0.2">
      <c r="A21" s="4">
        <v>18</v>
      </c>
      <c r="B21" s="228" t="s">
        <v>494</v>
      </c>
      <c r="C21" s="187" t="s">
        <v>174</v>
      </c>
      <c r="D21" s="8">
        <v>0.16200000000000001</v>
      </c>
      <c r="E21" s="8">
        <v>0</v>
      </c>
      <c r="F21" s="7">
        <v>2.1000000000000001E-2</v>
      </c>
      <c r="G21" s="7">
        <v>9.6500000000000002E-2</v>
      </c>
      <c r="H21" s="1">
        <v>6.4999999999999997E-3</v>
      </c>
      <c r="I21" s="1">
        <v>0.03</v>
      </c>
      <c r="J21" s="1">
        <v>0.18</v>
      </c>
      <c r="K21" s="1">
        <v>0.04</v>
      </c>
      <c r="L21" s="1">
        <v>0.14000000000000001</v>
      </c>
      <c r="M21" s="1">
        <v>1.4999999999999999E-2</v>
      </c>
      <c r="N21" s="2" t="s">
        <v>175</v>
      </c>
      <c r="O21" s="105">
        <v>8500</v>
      </c>
      <c r="P21" s="4">
        <v>17</v>
      </c>
    </row>
    <row r="22" spans="1:16" ht="15" x14ac:dyDescent="0.2">
      <c r="A22" s="4">
        <v>19</v>
      </c>
      <c r="B22" s="228" t="s">
        <v>495</v>
      </c>
      <c r="C22" s="187" t="s">
        <v>174</v>
      </c>
      <c r="D22" s="8">
        <v>0.16200000000000001</v>
      </c>
      <c r="E22" s="8">
        <v>0</v>
      </c>
      <c r="F22" s="7">
        <v>2.1000000000000001E-2</v>
      </c>
      <c r="G22" s="7">
        <v>9.6500000000000002E-2</v>
      </c>
      <c r="H22" s="1">
        <v>6.4999999999999997E-3</v>
      </c>
      <c r="I22" s="1">
        <v>0.03</v>
      </c>
      <c r="J22" s="1">
        <v>0.18</v>
      </c>
      <c r="K22" s="1">
        <v>0.04</v>
      </c>
      <c r="L22" s="1">
        <v>0.14000000000000001</v>
      </c>
      <c r="M22" s="1">
        <v>1.4999999999999999E-2</v>
      </c>
      <c r="N22" s="2" t="s">
        <v>175</v>
      </c>
      <c r="O22" s="105">
        <v>8500</v>
      </c>
      <c r="P22" s="4">
        <v>18</v>
      </c>
    </row>
    <row r="23" spans="1:16" ht="15" x14ac:dyDescent="0.2">
      <c r="A23" s="4">
        <v>20</v>
      </c>
      <c r="B23" s="228" t="s">
        <v>496</v>
      </c>
      <c r="C23" s="187" t="s">
        <v>174</v>
      </c>
      <c r="D23" s="8">
        <v>0.16200000000000001</v>
      </c>
      <c r="E23" s="8">
        <v>0</v>
      </c>
      <c r="F23" s="7">
        <v>2.1000000000000001E-2</v>
      </c>
      <c r="G23" s="7">
        <v>9.6500000000000002E-2</v>
      </c>
      <c r="H23" s="1">
        <v>6.4999999999999997E-3</v>
      </c>
      <c r="I23" s="1">
        <v>0.03</v>
      </c>
      <c r="J23" s="1">
        <v>0.18</v>
      </c>
      <c r="K23" s="1">
        <v>0.04</v>
      </c>
      <c r="L23" s="1">
        <v>0.14000000000000001</v>
      </c>
      <c r="M23" s="1">
        <v>1.4999999999999999E-2</v>
      </c>
      <c r="N23" s="2" t="s">
        <v>175</v>
      </c>
      <c r="O23" s="105">
        <v>5000</v>
      </c>
      <c r="P23" s="4">
        <v>19</v>
      </c>
    </row>
    <row r="24" spans="1:16" ht="15" x14ac:dyDescent="0.2">
      <c r="A24" s="4">
        <v>21</v>
      </c>
      <c r="B24" s="228" t="s">
        <v>497</v>
      </c>
      <c r="C24" s="187" t="s">
        <v>174</v>
      </c>
      <c r="D24" s="8">
        <v>0.16200000000000001</v>
      </c>
      <c r="E24" s="8">
        <v>0</v>
      </c>
      <c r="F24" s="7">
        <v>2.1000000000000001E-2</v>
      </c>
      <c r="G24" s="7">
        <v>9.6500000000000002E-2</v>
      </c>
      <c r="H24" s="1">
        <v>6.4999999999999997E-3</v>
      </c>
      <c r="I24" s="1">
        <v>0.03</v>
      </c>
      <c r="J24" s="1">
        <v>0.18</v>
      </c>
      <c r="K24" s="1">
        <v>0.04</v>
      </c>
      <c r="L24" s="1">
        <v>0.14000000000000001</v>
      </c>
      <c r="M24" s="1">
        <v>1.4999999999999999E-2</v>
      </c>
      <c r="N24" s="2" t="s">
        <v>175</v>
      </c>
      <c r="O24" s="105">
        <v>6000</v>
      </c>
      <c r="P24" s="4">
        <v>20</v>
      </c>
    </row>
    <row r="25" spans="1:16" ht="15" x14ac:dyDescent="0.2">
      <c r="A25" s="4">
        <v>22</v>
      </c>
      <c r="B25" s="228" t="s">
        <v>498</v>
      </c>
      <c r="C25" s="187" t="s">
        <v>174</v>
      </c>
      <c r="D25" s="8">
        <v>0.16200000000000001</v>
      </c>
      <c r="E25" s="8">
        <v>0</v>
      </c>
      <c r="F25" s="7">
        <v>2.1000000000000001E-2</v>
      </c>
      <c r="G25" s="7">
        <v>9.6500000000000002E-2</v>
      </c>
      <c r="H25" s="1">
        <v>6.4999999999999997E-3</v>
      </c>
      <c r="I25" s="1">
        <v>0.03</v>
      </c>
      <c r="J25" s="1">
        <v>0.18</v>
      </c>
      <c r="K25" s="1">
        <v>0.04</v>
      </c>
      <c r="L25" s="1">
        <v>0.14000000000000001</v>
      </c>
      <c r="M25" s="1">
        <v>1.4999999999999999E-2</v>
      </c>
      <c r="N25" s="2" t="s">
        <v>175</v>
      </c>
      <c r="O25" s="105">
        <v>6000</v>
      </c>
      <c r="P25" s="4">
        <v>21</v>
      </c>
    </row>
    <row r="26" spans="1:16" ht="15" x14ac:dyDescent="0.2">
      <c r="A26" s="4">
        <v>23</v>
      </c>
      <c r="B26" s="228" t="s">
        <v>499</v>
      </c>
      <c r="C26" s="187" t="s">
        <v>174</v>
      </c>
      <c r="D26" s="8">
        <v>0.16200000000000001</v>
      </c>
      <c r="E26" s="8">
        <v>0</v>
      </c>
      <c r="F26" s="7">
        <v>2.1000000000000001E-2</v>
      </c>
      <c r="G26" s="7">
        <v>9.6500000000000002E-2</v>
      </c>
      <c r="H26" s="1">
        <v>6.4999999999999997E-3</v>
      </c>
      <c r="I26" s="1">
        <v>0.03</v>
      </c>
      <c r="J26" s="1">
        <v>0.18</v>
      </c>
      <c r="K26" s="1">
        <v>0.04</v>
      </c>
      <c r="L26" s="1">
        <v>0.14000000000000001</v>
      </c>
      <c r="M26" s="1">
        <v>1.4999999999999999E-2</v>
      </c>
      <c r="N26" s="2" t="s">
        <v>175</v>
      </c>
      <c r="O26" s="105">
        <v>6000</v>
      </c>
      <c r="P26" s="4">
        <v>22</v>
      </c>
    </row>
    <row r="27" spans="1:16" ht="15" x14ac:dyDescent="0.2">
      <c r="A27" s="4">
        <v>24</v>
      </c>
      <c r="B27" s="228" t="s">
        <v>500</v>
      </c>
      <c r="C27" s="187" t="s">
        <v>174</v>
      </c>
      <c r="D27" s="8">
        <v>0.16200000000000001</v>
      </c>
      <c r="E27" s="8">
        <v>0</v>
      </c>
      <c r="F27" s="7">
        <v>2.1000000000000001E-2</v>
      </c>
      <c r="G27" s="7">
        <v>9.6500000000000002E-2</v>
      </c>
      <c r="H27" s="1">
        <v>6.4999999999999997E-3</v>
      </c>
      <c r="I27" s="1">
        <v>0.03</v>
      </c>
      <c r="J27" s="1">
        <v>0.18</v>
      </c>
      <c r="K27" s="1">
        <v>0.04</v>
      </c>
      <c r="L27" s="1">
        <v>0.14000000000000001</v>
      </c>
      <c r="M27" s="1">
        <v>1.4999999999999999E-2</v>
      </c>
      <c r="N27" s="2" t="s">
        <v>175</v>
      </c>
      <c r="O27" s="105">
        <v>6700</v>
      </c>
      <c r="P27" s="4">
        <v>23</v>
      </c>
    </row>
    <row r="28" spans="1:16" ht="15" x14ac:dyDescent="0.2">
      <c r="A28" s="4">
        <v>25</v>
      </c>
      <c r="B28" s="228" t="s">
        <v>501</v>
      </c>
      <c r="C28" s="187" t="s">
        <v>174</v>
      </c>
      <c r="D28" s="8">
        <v>0.16200000000000001</v>
      </c>
      <c r="E28" s="8">
        <v>0</v>
      </c>
      <c r="F28" s="7">
        <v>2.1000000000000001E-2</v>
      </c>
      <c r="G28" s="7">
        <v>9.6500000000000002E-2</v>
      </c>
      <c r="H28" s="1">
        <v>6.4999999999999997E-3</v>
      </c>
      <c r="I28" s="1">
        <v>0.03</v>
      </c>
      <c r="J28" s="1">
        <v>0.18</v>
      </c>
      <c r="K28" s="1">
        <v>0.04</v>
      </c>
      <c r="L28" s="1">
        <v>0.14000000000000001</v>
      </c>
      <c r="M28" s="1">
        <v>1.4999999999999999E-2</v>
      </c>
      <c r="N28" s="2" t="s">
        <v>175</v>
      </c>
      <c r="O28" s="105">
        <v>6700</v>
      </c>
      <c r="P28" s="4">
        <v>24</v>
      </c>
    </row>
    <row r="29" spans="1:16" ht="15" x14ac:dyDescent="0.2">
      <c r="A29" s="4">
        <v>26</v>
      </c>
      <c r="B29" s="228" t="s">
        <v>502</v>
      </c>
      <c r="C29" s="187" t="s">
        <v>174</v>
      </c>
      <c r="D29" s="8">
        <v>0.16200000000000001</v>
      </c>
      <c r="E29" s="8">
        <v>0</v>
      </c>
      <c r="F29" s="7">
        <v>2.1000000000000001E-2</v>
      </c>
      <c r="G29" s="7">
        <v>9.6500000000000002E-2</v>
      </c>
      <c r="H29" s="1">
        <v>6.4999999999999997E-3</v>
      </c>
      <c r="I29" s="1">
        <v>0.03</v>
      </c>
      <c r="J29" s="1">
        <v>0.18</v>
      </c>
      <c r="K29" s="1">
        <v>0.04</v>
      </c>
      <c r="L29" s="1">
        <v>0.14000000000000001</v>
      </c>
      <c r="M29" s="1">
        <v>1.4999999999999999E-2</v>
      </c>
      <c r="N29" s="2" t="s">
        <v>175</v>
      </c>
      <c r="O29" s="105">
        <v>6700</v>
      </c>
      <c r="P29" s="4">
        <v>25</v>
      </c>
    </row>
    <row r="30" spans="1:16" ht="15" x14ac:dyDescent="0.2">
      <c r="A30" s="4">
        <v>27</v>
      </c>
      <c r="B30" s="228" t="s">
        <v>503</v>
      </c>
      <c r="C30" s="187" t="s">
        <v>174</v>
      </c>
      <c r="D30" s="8">
        <v>0.16200000000000001</v>
      </c>
      <c r="E30" s="8">
        <v>0</v>
      </c>
      <c r="F30" s="7">
        <v>2.1000000000000001E-2</v>
      </c>
      <c r="G30" s="7">
        <v>9.6500000000000002E-2</v>
      </c>
      <c r="H30" s="1">
        <v>6.4999999999999997E-3</v>
      </c>
      <c r="I30" s="1">
        <v>0.03</v>
      </c>
      <c r="J30" s="1">
        <v>0.18</v>
      </c>
      <c r="K30" s="1">
        <v>0.04</v>
      </c>
      <c r="L30" s="1">
        <v>0.14000000000000001</v>
      </c>
      <c r="M30" s="1">
        <v>1.4999999999999999E-2</v>
      </c>
      <c r="N30" s="2" t="s">
        <v>175</v>
      </c>
      <c r="O30" s="105">
        <v>6700</v>
      </c>
      <c r="P30" s="4">
        <v>26</v>
      </c>
    </row>
    <row r="31" spans="1:16" ht="15" x14ac:dyDescent="0.2">
      <c r="A31" s="4">
        <v>28</v>
      </c>
      <c r="B31" s="228" t="s">
        <v>504</v>
      </c>
      <c r="C31" s="187" t="s">
        <v>174</v>
      </c>
      <c r="D31" s="8">
        <v>0.16200000000000001</v>
      </c>
      <c r="E31" s="8">
        <v>0</v>
      </c>
      <c r="F31" s="7">
        <v>2.1000000000000001E-2</v>
      </c>
      <c r="G31" s="7">
        <v>9.6500000000000002E-2</v>
      </c>
      <c r="H31" s="1">
        <v>6.4999999999999997E-3</v>
      </c>
      <c r="I31" s="1">
        <v>0.03</v>
      </c>
      <c r="J31" s="1">
        <v>0.18</v>
      </c>
      <c r="K31" s="1">
        <v>0.04</v>
      </c>
      <c r="L31" s="1">
        <v>0.14000000000000001</v>
      </c>
      <c r="M31" s="1">
        <v>1.4999999999999999E-2</v>
      </c>
      <c r="N31" s="2" t="s">
        <v>175</v>
      </c>
      <c r="O31" s="105">
        <v>6700</v>
      </c>
      <c r="P31" s="4">
        <v>27</v>
      </c>
    </row>
    <row r="32" spans="1:16" ht="15" x14ac:dyDescent="0.2">
      <c r="A32" s="4">
        <v>29</v>
      </c>
      <c r="B32" s="228" t="s">
        <v>505</v>
      </c>
      <c r="C32" s="187" t="s">
        <v>174</v>
      </c>
      <c r="D32" s="8">
        <v>0.16200000000000001</v>
      </c>
      <c r="E32" s="8">
        <v>0</v>
      </c>
      <c r="F32" s="7">
        <v>2.1000000000000001E-2</v>
      </c>
      <c r="G32" s="7">
        <v>9.6500000000000002E-2</v>
      </c>
      <c r="H32" s="1">
        <v>6.4999999999999997E-3</v>
      </c>
      <c r="I32" s="1">
        <v>0.03</v>
      </c>
      <c r="J32" s="1">
        <v>0.18</v>
      </c>
      <c r="K32" s="1">
        <v>0.04</v>
      </c>
      <c r="L32" s="1">
        <v>0.14000000000000001</v>
      </c>
      <c r="M32" s="1">
        <v>1.4999999999999999E-2</v>
      </c>
      <c r="N32" s="2" t="s">
        <v>175</v>
      </c>
      <c r="O32" s="105">
        <v>6700</v>
      </c>
      <c r="P32" s="4">
        <v>28</v>
      </c>
    </row>
    <row r="33" spans="1:16" ht="15" x14ac:dyDescent="0.2">
      <c r="A33" s="4">
        <v>30</v>
      </c>
      <c r="B33" s="228" t="s">
        <v>506</v>
      </c>
      <c r="C33" s="187" t="s">
        <v>174</v>
      </c>
      <c r="D33" s="8">
        <v>0.16200000000000001</v>
      </c>
      <c r="E33" s="8">
        <v>0</v>
      </c>
      <c r="F33" s="7">
        <v>2.1000000000000001E-2</v>
      </c>
      <c r="G33" s="7">
        <v>9.6500000000000002E-2</v>
      </c>
      <c r="H33" s="1">
        <v>6.4999999999999997E-3</v>
      </c>
      <c r="I33" s="1">
        <v>0.03</v>
      </c>
      <c r="J33" s="1">
        <v>0.18</v>
      </c>
      <c r="K33" s="1">
        <v>0.04</v>
      </c>
      <c r="L33" s="1">
        <v>0.14000000000000001</v>
      </c>
      <c r="M33" s="1">
        <v>1.4999999999999999E-2</v>
      </c>
      <c r="N33" s="2" t="s">
        <v>175</v>
      </c>
      <c r="O33" s="105">
        <v>6700</v>
      </c>
      <c r="P33" s="4">
        <v>29</v>
      </c>
    </row>
    <row r="34" spans="1:16" ht="15" x14ac:dyDescent="0.2">
      <c r="A34" s="4">
        <v>31</v>
      </c>
      <c r="B34" s="228" t="s">
        <v>507</v>
      </c>
      <c r="C34" s="187" t="s">
        <v>174</v>
      </c>
      <c r="D34" s="8">
        <v>0.16200000000000001</v>
      </c>
      <c r="E34" s="8">
        <v>0</v>
      </c>
      <c r="F34" s="7">
        <v>2.1000000000000001E-2</v>
      </c>
      <c r="G34" s="7">
        <v>9.6500000000000002E-2</v>
      </c>
      <c r="H34" s="1">
        <v>6.4999999999999997E-3</v>
      </c>
      <c r="I34" s="1">
        <v>0.03</v>
      </c>
      <c r="J34" s="1">
        <v>0.18</v>
      </c>
      <c r="K34" s="1">
        <v>0.04</v>
      </c>
      <c r="L34" s="1">
        <v>0.14000000000000001</v>
      </c>
      <c r="M34" s="1">
        <v>1.4999999999999999E-2</v>
      </c>
      <c r="N34" s="2" t="s">
        <v>175</v>
      </c>
      <c r="O34" s="105">
        <v>6700</v>
      </c>
      <c r="P34" s="4">
        <v>30</v>
      </c>
    </row>
    <row r="35" spans="1:16" ht="15" x14ac:dyDescent="0.2">
      <c r="A35" s="4">
        <v>32</v>
      </c>
      <c r="B35" s="228" t="s">
        <v>508</v>
      </c>
      <c r="C35" s="187" t="s">
        <v>174</v>
      </c>
      <c r="D35" s="8">
        <v>0.16200000000000001</v>
      </c>
      <c r="E35" s="8">
        <v>0</v>
      </c>
      <c r="F35" s="7">
        <v>2.1000000000000001E-2</v>
      </c>
      <c r="G35" s="7">
        <v>9.6500000000000002E-2</v>
      </c>
      <c r="H35" s="1">
        <v>6.4999999999999997E-3</v>
      </c>
      <c r="I35" s="1">
        <v>0.03</v>
      </c>
      <c r="J35" s="1">
        <v>0.18</v>
      </c>
      <c r="K35" s="1">
        <v>0.04</v>
      </c>
      <c r="L35" s="1">
        <v>0.14000000000000001</v>
      </c>
      <c r="M35" s="1">
        <v>1.4999999999999999E-2</v>
      </c>
      <c r="N35" s="2" t="s">
        <v>175</v>
      </c>
      <c r="O35" s="105">
        <v>6700</v>
      </c>
      <c r="P35" s="4">
        <v>31</v>
      </c>
    </row>
    <row r="36" spans="1:16" ht="15" x14ac:dyDescent="0.2">
      <c r="A36" s="4">
        <v>33</v>
      </c>
      <c r="B36" s="228" t="s">
        <v>509</v>
      </c>
      <c r="C36" s="187" t="s">
        <v>174</v>
      </c>
      <c r="D36" s="8">
        <v>0.16200000000000001</v>
      </c>
      <c r="E36" s="8">
        <v>0</v>
      </c>
      <c r="F36" s="7">
        <v>2.1000000000000001E-2</v>
      </c>
      <c r="G36" s="7">
        <v>9.6500000000000002E-2</v>
      </c>
      <c r="H36" s="1">
        <v>6.4999999999999997E-3</v>
      </c>
      <c r="I36" s="1">
        <v>0.03</v>
      </c>
      <c r="J36" s="1">
        <v>0.18</v>
      </c>
      <c r="K36" s="1">
        <v>0.04</v>
      </c>
      <c r="L36" s="1">
        <v>0.14000000000000001</v>
      </c>
      <c r="M36" s="1">
        <v>1.4999999999999999E-2</v>
      </c>
      <c r="N36" s="2" t="s">
        <v>175</v>
      </c>
      <c r="O36" s="105">
        <v>6700</v>
      </c>
      <c r="P36" s="4">
        <v>32</v>
      </c>
    </row>
    <row r="37" spans="1:16" ht="15" x14ac:dyDescent="0.2">
      <c r="A37" s="4">
        <v>34</v>
      </c>
      <c r="B37" s="228" t="s">
        <v>510</v>
      </c>
      <c r="C37" s="187" t="s">
        <v>174</v>
      </c>
      <c r="D37" s="8">
        <v>0.16200000000000001</v>
      </c>
      <c r="E37" s="8">
        <v>0</v>
      </c>
      <c r="F37" s="7">
        <v>2.1000000000000001E-2</v>
      </c>
      <c r="G37" s="7">
        <v>9.6500000000000002E-2</v>
      </c>
      <c r="H37" s="1">
        <v>6.4999999999999997E-3</v>
      </c>
      <c r="I37" s="1">
        <v>0.03</v>
      </c>
      <c r="J37" s="1">
        <v>0.18</v>
      </c>
      <c r="K37" s="1">
        <v>0.04</v>
      </c>
      <c r="L37" s="1">
        <v>0.14000000000000001</v>
      </c>
      <c r="M37" s="1">
        <v>1.4999999999999999E-2</v>
      </c>
      <c r="N37" s="2" t="s">
        <v>175</v>
      </c>
      <c r="O37" s="105">
        <v>6700</v>
      </c>
      <c r="P37" s="4">
        <v>33</v>
      </c>
    </row>
    <row r="38" spans="1:16" ht="15" x14ac:dyDescent="0.2">
      <c r="A38" s="4">
        <v>35</v>
      </c>
      <c r="B38" s="228" t="s">
        <v>511</v>
      </c>
      <c r="C38" s="187" t="s">
        <v>174</v>
      </c>
      <c r="D38" s="8">
        <v>0.16200000000000001</v>
      </c>
      <c r="E38" s="8">
        <v>0</v>
      </c>
      <c r="F38" s="7">
        <v>2.1000000000000001E-2</v>
      </c>
      <c r="G38" s="7">
        <v>9.6500000000000002E-2</v>
      </c>
      <c r="H38" s="1">
        <v>6.4999999999999997E-3</v>
      </c>
      <c r="I38" s="1">
        <v>0.03</v>
      </c>
      <c r="J38" s="1">
        <v>0.18</v>
      </c>
      <c r="K38" s="1">
        <v>0.04</v>
      </c>
      <c r="L38" s="1">
        <v>0.14000000000000001</v>
      </c>
      <c r="M38" s="1">
        <v>1.4999999999999999E-2</v>
      </c>
      <c r="N38" s="2" t="s">
        <v>175</v>
      </c>
      <c r="O38" s="105">
        <v>6700</v>
      </c>
      <c r="P38" s="4">
        <v>34</v>
      </c>
    </row>
    <row r="39" spans="1:16" ht="15" x14ac:dyDescent="0.2">
      <c r="A39" s="4">
        <v>36</v>
      </c>
      <c r="B39" s="228" t="s">
        <v>512</v>
      </c>
      <c r="C39" s="187" t="s">
        <v>174</v>
      </c>
      <c r="D39" s="8">
        <v>0.16200000000000001</v>
      </c>
      <c r="E39" s="8">
        <v>0</v>
      </c>
      <c r="F39" s="7">
        <v>2.1000000000000001E-2</v>
      </c>
      <c r="G39" s="7">
        <v>9.6500000000000002E-2</v>
      </c>
      <c r="H39" s="1">
        <v>6.4999999999999997E-3</v>
      </c>
      <c r="I39" s="1">
        <v>0.03</v>
      </c>
      <c r="J39" s="1">
        <v>0.18</v>
      </c>
      <c r="K39" s="1">
        <v>0.04</v>
      </c>
      <c r="L39" s="1">
        <v>0.14000000000000001</v>
      </c>
      <c r="M39" s="1">
        <v>1.4999999999999999E-2</v>
      </c>
      <c r="N39" s="2" t="s">
        <v>175</v>
      </c>
      <c r="O39" s="105">
        <v>6700</v>
      </c>
      <c r="P39" s="4">
        <v>38</v>
      </c>
    </row>
    <row r="40" spans="1:16" ht="15" x14ac:dyDescent="0.2">
      <c r="A40" s="4">
        <v>37</v>
      </c>
      <c r="B40" s="228" t="s">
        <v>513</v>
      </c>
      <c r="C40" s="187" t="s">
        <v>174</v>
      </c>
      <c r="D40" s="8">
        <v>0.16200000000000001</v>
      </c>
      <c r="E40" s="8">
        <v>0</v>
      </c>
      <c r="F40" s="7">
        <v>2.1000000000000001E-2</v>
      </c>
      <c r="G40" s="7">
        <v>9.6500000000000002E-2</v>
      </c>
      <c r="H40" s="1">
        <v>6.4999999999999997E-3</v>
      </c>
      <c r="I40" s="1">
        <v>0.03</v>
      </c>
      <c r="J40" s="1">
        <v>0.18</v>
      </c>
      <c r="K40" s="1">
        <v>0.04</v>
      </c>
      <c r="L40" s="1">
        <v>0.14000000000000001</v>
      </c>
      <c r="M40" s="1">
        <v>1.4999999999999999E-2</v>
      </c>
      <c r="N40" s="2" t="s">
        <v>175</v>
      </c>
      <c r="O40" s="105">
        <v>6700</v>
      </c>
      <c r="P40" s="4">
        <v>35</v>
      </c>
    </row>
    <row r="41" spans="1:16" ht="15" x14ac:dyDescent="0.2">
      <c r="A41" s="4">
        <v>38</v>
      </c>
      <c r="B41" s="228" t="s">
        <v>514</v>
      </c>
      <c r="C41" s="187" t="s">
        <v>174</v>
      </c>
      <c r="D41" s="8">
        <v>0.16200000000000001</v>
      </c>
      <c r="E41" s="8">
        <v>0</v>
      </c>
      <c r="F41" s="7">
        <v>2.1000000000000001E-2</v>
      </c>
      <c r="G41" s="7">
        <v>9.6500000000000002E-2</v>
      </c>
      <c r="H41" s="1">
        <v>6.4999999999999997E-3</v>
      </c>
      <c r="I41" s="1">
        <v>0.03</v>
      </c>
      <c r="J41" s="1">
        <v>0.18</v>
      </c>
      <c r="K41" s="1">
        <v>0.04</v>
      </c>
      <c r="L41" s="1">
        <v>0.14000000000000001</v>
      </c>
      <c r="M41" s="1">
        <v>1.4999999999999999E-2</v>
      </c>
      <c r="N41" s="2" t="s">
        <v>175</v>
      </c>
      <c r="O41" s="105">
        <v>6700</v>
      </c>
      <c r="P41" s="4">
        <v>37</v>
      </c>
    </row>
    <row r="42" spans="1:16" ht="15" x14ac:dyDescent="0.2">
      <c r="A42" s="4">
        <v>39</v>
      </c>
      <c r="B42" s="228" t="s">
        <v>515</v>
      </c>
      <c r="C42" s="187" t="s">
        <v>174</v>
      </c>
      <c r="D42" s="8">
        <v>0.16200000000000001</v>
      </c>
      <c r="E42" s="8">
        <v>0</v>
      </c>
      <c r="F42" s="7">
        <v>2.1000000000000001E-2</v>
      </c>
      <c r="G42" s="7">
        <v>9.6500000000000002E-2</v>
      </c>
      <c r="H42" s="1">
        <v>6.4999999999999997E-3</v>
      </c>
      <c r="I42" s="1">
        <v>0.03</v>
      </c>
      <c r="J42" s="1">
        <v>0.18</v>
      </c>
      <c r="K42" s="1">
        <v>0.04</v>
      </c>
      <c r="L42" s="1">
        <v>0.14000000000000001</v>
      </c>
      <c r="M42" s="1">
        <v>1.4999999999999999E-2</v>
      </c>
      <c r="N42" s="2" t="s">
        <v>175</v>
      </c>
      <c r="O42" s="105">
        <v>6700</v>
      </c>
      <c r="P42" s="4">
        <v>36</v>
      </c>
    </row>
    <row r="43" spans="1:16" ht="15" x14ac:dyDescent="0.2">
      <c r="A43" s="4">
        <v>40</v>
      </c>
      <c r="B43" s="228" t="s">
        <v>187</v>
      </c>
      <c r="C43" s="187" t="s">
        <v>188</v>
      </c>
      <c r="D43" s="8">
        <v>0.35</v>
      </c>
      <c r="E43" s="8">
        <v>0</v>
      </c>
      <c r="F43" s="7">
        <v>2.1000000000000001E-2</v>
      </c>
      <c r="G43" s="7">
        <v>0.1065</v>
      </c>
      <c r="H43" s="1">
        <v>6.4999999999999997E-3</v>
      </c>
      <c r="I43" s="1">
        <v>0.03</v>
      </c>
      <c r="J43" s="1">
        <v>0.18</v>
      </c>
      <c r="K43" s="1">
        <v>0.04</v>
      </c>
      <c r="L43" s="1">
        <v>0.14000000000000001</v>
      </c>
      <c r="M43" s="1">
        <v>1.4999999999999999E-2</v>
      </c>
      <c r="N43" s="2" t="s">
        <v>175</v>
      </c>
      <c r="O43" s="105">
        <v>24000</v>
      </c>
      <c r="P43" s="4">
        <v>42</v>
      </c>
    </row>
    <row r="44" spans="1:16" ht="15" x14ac:dyDescent="0.2">
      <c r="A44" s="4">
        <v>40</v>
      </c>
      <c r="B44" s="228" t="s">
        <v>189</v>
      </c>
      <c r="C44" s="187" t="s">
        <v>190</v>
      </c>
      <c r="D44" s="8">
        <v>0.125</v>
      </c>
      <c r="E44" s="8">
        <v>0</v>
      </c>
      <c r="F44" s="7">
        <v>2.1000000000000001E-2</v>
      </c>
      <c r="G44" s="7">
        <v>0.1065</v>
      </c>
      <c r="H44" s="1">
        <v>6.4999999999999997E-3</v>
      </c>
      <c r="I44" s="1">
        <v>0.03</v>
      </c>
      <c r="J44" s="1">
        <v>0.18</v>
      </c>
      <c r="K44" s="1">
        <v>0.04</v>
      </c>
      <c r="L44" s="1">
        <v>0.14000000000000001</v>
      </c>
      <c r="M44" s="1">
        <v>1.4999999999999999E-2</v>
      </c>
      <c r="N44" s="2" t="s">
        <v>175</v>
      </c>
      <c r="O44" s="105">
        <v>24000</v>
      </c>
      <c r="P44" s="4">
        <v>42</v>
      </c>
    </row>
    <row r="45" spans="1:16" ht="15" x14ac:dyDescent="0.2">
      <c r="A45" s="4">
        <v>40</v>
      </c>
      <c r="B45" s="228" t="s">
        <v>468</v>
      </c>
      <c r="C45" s="187" t="s">
        <v>469</v>
      </c>
      <c r="D45" s="8">
        <v>0.02</v>
      </c>
      <c r="E45" s="8">
        <v>0</v>
      </c>
      <c r="F45" s="7">
        <v>2.1000000000000001E-2</v>
      </c>
      <c r="G45" s="7">
        <v>0.1065</v>
      </c>
      <c r="H45" s="1">
        <v>6.4999999999999997E-3</v>
      </c>
      <c r="I45" s="1">
        <v>0.03</v>
      </c>
      <c r="J45" s="1">
        <v>0.18</v>
      </c>
      <c r="K45" s="1">
        <v>0.04</v>
      </c>
      <c r="L45" s="1">
        <v>0.14000000000000001</v>
      </c>
      <c r="M45" s="1">
        <v>1.4999999999999999E-2</v>
      </c>
      <c r="N45" s="2" t="s">
        <v>175</v>
      </c>
      <c r="O45" s="105">
        <v>24000</v>
      </c>
      <c r="P45" s="4">
        <v>42</v>
      </c>
    </row>
    <row r="46" spans="1:16" ht="15" x14ac:dyDescent="0.2">
      <c r="A46" s="4">
        <v>40</v>
      </c>
      <c r="B46" s="228" t="s">
        <v>191</v>
      </c>
      <c r="C46" s="187" t="s">
        <v>192</v>
      </c>
      <c r="D46" s="6">
        <v>0.18</v>
      </c>
      <c r="E46" s="8">
        <v>0</v>
      </c>
      <c r="F46" s="7">
        <v>2.1000000000000001E-2</v>
      </c>
      <c r="G46" s="7">
        <v>9.6500000000000002E-2</v>
      </c>
      <c r="H46" s="1">
        <v>6.4999999999999997E-3</v>
      </c>
      <c r="I46" s="1">
        <v>0.03</v>
      </c>
      <c r="J46" s="1">
        <v>0.18</v>
      </c>
      <c r="K46" s="1">
        <v>0.04</v>
      </c>
      <c r="L46" s="1">
        <v>0.14000000000000001</v>
      </c>
      <c r="M46" s="1">
        <v>1.4999999999999999E-2</v>
      </c>
      <c r="N46" s="2" t="s">
        <v>175</v>
      </c>
      <c r="O46" s="105">
        <v>22000</v>
      </c>
      <c r="P46" s="4">
        <v>42</v>
      </c>
    </row>
    <row r="47" spans="1:16" ht="15" x14ac:dyDescent="0.2">
      <c r="A47" s="4">
        <v>41</v>
      </c>
      <c r="B47" s="344" t="s">
        <v>562</v>
      </c>
      <c r="C47" s="338" t="s">
        <v>194</v>
      </c>
      <c r="D47" s="346">
        <v>0.35</v>
      </c>
      <c r="E47" s="346">
        <v>0</v>
      </c>
      <c r="F47" s="339">
        <v>2.1000000000000001E-2</v>
      </c>
      <c r="G47" s="339">
        <v>0.1065</v>
      </c>
      <c r="H47" s="1">
        <v>6.4999999999999997E-3</v>
      </c>
      <c r="I47" s="1">
        <v>0.03</v>
      </c>
      <c r="J47" s="1">
        <v>0.18</v>
      </c>
      <c r="K47" s="1">
        <v>0.04</v>
      </c>
      <c r="L47" s="1">
        <v>0.14000000000000001</v>
      </c>
      <c r="M47" s="1">
        <v>1.4999999999999999E-2</v>
      </c>
      <c r="N47" s="2" t="s">
        <v>175</v>
      </c>
      <c r="O47" s="105">
        <v>9000</v>
      </c>
      <c r="P47" s="4">
        <v>39</v>
      </c>
    </row>
    <row r="48" spans="1:16" ht="15" x14ac:dyDescent="0.2">
      <c r="A48" s="4">
        <v>42</v>
      </c>
      <c r="B48" s="344" t="s">
        <v>563</v>
      </c>
      <c r="C48" s="338" t="s">
        <v>194</v>
      </c>
      <c r="D48" s="346">
        <v>0.35</v>
      </c>
      <c r="E48" s="346">
        <v>0</v>
      </c>
      <c r="F48" s="339">
        <v>2.1000000000000001E-2</v>
      </c>
      <c r="G48" s="339">
        <v>0.1065</v>
      </c>
      <c r="H48" s="1">
        <v>6.4999999999999997E-3</v>
      </c>
      <c r="I48" s="1">
        <v>0.03</v>
      </c>
      <c r="J48" s="1">
        <v>0.18</v>
      </c>
      <c r="K48" s="1">
        <v>0.04</v>
      </c>
      <c r="L48" s="1">
        <v>0.14000000000000001</v>
      </c>
      <c r="M48" s="1">
        <v>1.4999999999999999E-2</v>
      </c>
      <c r="N48" s="2" t="s">
        <v>175</v>
      </c>
      <c r="O48" s="105">
        <v>9000</v>
      </c>
      <c r="P48" s="4">
        <v>41</v>
      </c>
    </row>
    <row r="49" spans="1:24" ht="15" x14ac:dyDescent="0.2">
      <c r="A49" s="4">
        <v>43</v>
      </c>
      <c r="B49" s="344" t="s">
        <v>564</v>
      </c>
      <c r="C49" s="338" t="s">
        <v>194</v>
      </c>
      <c r="D49" s="346">
        <v>0.35</v>
      </c>
      <c r="E49" s="346">
        <v>0</v>
      </c>
      <c r="F49" s="339">
        <v>2.1000000000000001E-2</v>
      </c>
      <c r="G49" s="339">
        <v>0.1065</v>
      </c>
      <c r="H49" s="1">
        <v>6.4999999999999997E-3</v>
      </c>
      <c r="I49" s="1">
        <v>0.03</v>
      </c>
      <c r="J49" s="1">
        <v>0.18</v>
      </c>
      <c r="K49" s="1">
        <v>0.04</v>
      </c>
      <c r="L49" s="1">
        <v>0.14000000000000001</v>
      </c>
      <c r="M49" s="1">
        <v>1.4999999999999999E-2</v>
      </c>
      <c r="N49" s="2" t="s">
        <v>175</v>
      </c>
      <c r="O49" s="105">
        <v>9000</v>
      </c>
      <c r="P49" s="4">
        <v>40</v>
      </c>
    </row>
    <row r="50" spans="1:24" ht="15" x14ac:dyDescent="0.2">
      <c r="B50" s="344" t="s">
        <v>565</v>
      </c>
      <c r="C50" s="338" t="s">
        <v>194</v>
      </c>
      <c r="D50" s="346">
        <v>0.35</v>
      </c>
      <c r="E50" s="346">
        <v>0</v>
      </c>
      <c r="F50" s="339">
        <v>2.1000000000000001E-2</v>
      </c>
      <c r="G50" s="339">
        <v>0.1065</v>
      </c>
      <c r="H50" s="1">
        <v>6.4999999999999997E-3</v>
      </c>
      <c r="I50" s="1">
        <v>0.03</v>
      </c>
      <c r="J50" s="1">
        <v>0.18</v>
      </c>
      <c r="K50" s="1">
        <v>0.04</v>
      </c>
      <c r="L50" s="1">
        <v>0.14000000000000001</v>
      </c>
      <c r="M50" s="1">
        <v>1.4999999999999999E-2</v>
      </c>
      <c r="N50" s="2" t="s">
        <v>175</v>
      </c>
      <c r="O50" s="105">
        <v>9000</v>
      </c>
    </row>
    <row r="51" spans="1:24" ht="15" x14ac:dyDescent="0.2">
      <c r="B51" s="228" t="s">
        <v>193</v>
      </c>
      <c r="C51" s="187" t="s">
        <v>194</v>
      </c>
      <c r="D51" s="8">
        <v>0.35</v>
      </c>
      <c r="E51" s="8">
        <v>0</v>
      </c>
      <c r="F51" s="7">
        <v>2.1000000000000001E-2</v>
      </c>
      <c r="G51" s="7">
        <v>0.1065</v>
      </c>
      <c r="H51" s="1">
        <v>6.4999999999999997E-3</v>
      </c>
      <c r="I51" s="1">
        <v>0.03</v>
      </c>
      <c r="J51" s="1">
        <v>0.18</v>
      </c>
      <c r="K51" s="1">
        <v>0.04</v>
      </c>
      <c r="L51" s="1">
        <v>0.14000000000000001</v>
      </c>
      <c r="M51" s="1">
        <v>1.4999999999999999E-2</v>
      </c>
      <c r="N51" s="2" t="s">
        <v>175</v>
      </c>
      <c r="O51" s="105">
        <v>16000</v>
      </c>
    </row>
    <row r="52" spans="1:24" ht="15" x14ac:dyDescent="0.2">
      <c r="B52" s="228" t="s">
        <v>195</v>
      </c>
      <c r="C52" s="187" t="s">
        <v>194</v>
      </c>
      <c r="D52" s="8">
        <v>0.35</v>
      </c>
      <c r="E52" s="8">
        <v>0</v>
      </c>
      <c r="F52" s="7">
        <v>2.1000000000000001E-2</v>
      </c>
      <c r="G52" s="7">
        <v>0.1065</v>
      </c>
      <c r="H52" s="1">
        <v>6.4999999999999997E-3</v>
      </c>
      <c r="I52" s="1">
        <v>0.03</v>
      </c>
      <c r="J52" s="1">
        <v>0.18</v>
      </c>
      <c r="K52" s="1">
        <v>0.04</v>
      </c>
      <c r="L52" s="1">
        <v>0.14000000000000001</v>
      </c>
      <c r="M52" s="1">
        <v>1.4999999999999999E-2</v>
      </c>
      <c r="N52" s="2" t="s">
        <v>175</v>
      </c>
      <c r="O52" s="105">
        <v>16000</v>
      </c>
    </row>
    <row r="53" spans="1:24" ht="15" x14ac:dyDescent="0.2">
      <c r="B53" s="228" t="s">
        <v>196</v>
      </c>
      <c r="C53" s="187" t="s">
        <v>194</v>
      </c>
      <c r="D53" s="8">
        <v>0.35</v>
      </c>
      <c r="E53" s="8">
        <v>0</v>
      </c>
      <c r="F53" s="7">
        <v>2.1000000000000001E-2</v>
      </c>
      <c r="G53" s="7">
        <v>0.1065</v>
      </c>
      <c r="H53" s="1">
        <v>6.4999999999999997E-3</v>
      </c>
      <c r="I53" s="1">
        <v>0.03</v>
      </c>
      <c r="J53" s="1">
        <v>0.18</v>
      </c>
      <c r="K53" s="1">
        <v>0.04</v>
      </c>
      <c r="L53" s="1">
        <v>0.14000000000000001</v>
      </c>
      <c r="M53" s="1">
        <v>1.4999999999999999E-2</v>
      </c>
      <c r="N53" s="2" t="s">
        <v>175</v>
      </c>
      <c r="O53" s="105">
        <v>16000</v>
      </c>
    </row>
    <row r="54" spans="1:24" ht="15" x14ac:dyDescent="0.2">
      <c r="A54" s="4">
        <v>44</v>
      </c>
      <c r="B54" s="228" t="s">
        <v>197</v>
      </c>
      <c r="C54" s="187" t="s">
        <v>194</v>
      </c>
      <c r="D54" s="8">
        <v>0.35</v>
      </c>
      <c r="E54" s="8">
        <v>0</v>
      </c>
      <c r="F54" s="7">
        <v>2.1000000000000001E-2</v>
      </c>
      <c r="G54" s="7">
        <v>0.1065</v>
      </c>
      <c r="H54" s="1">
        <v>6.4999999999999997E-3</v>
      </c>
      <c r="I54" s="1">
        <v>0.03</v>
      </c>
      <c r="J54" s="1">
        <v>0.18</v>
      </c>
      <c r="K54" s="1">
        <v>0.04</v>
      </c>
      <c r="L54" s="1">
        <v>0.14000000000000001</v>
      </c>
      <c r="M54" s="1">
        <v>1.4999999999999999E-2</v>
      </c>
      <c r="N54" s="2" t="s">
        <v>175</v>
      </c>
      <c r="O54" s="105">
        <v>16000</v>
      </c>
      <c r="P54" s="4">
        <v>43</v>
      </c>
    </row>
    <row r="55" spans="1:24" ht="15" x14ac:dyDescent="0.2">
      <c r="A55" s="4">
        <v>45</v>
      </c>
      <c r="B55" s="228" t="s">
        <v>516</v>
      </c>
      <c r="C55" s="187" t="s">
        <v>194</v>
      </c>
      <c r="D55" s="8">
        <v>0.35</v>
      </c>
      <c r="E55" s="8">
        <v>0</v>
      </c>
      <c r="F55" s="7">
        <v>2.1000000000000001E-2</v>
      </c>
      <c r="G55" s="7">
        <v>0.1065</v>
      </c>
      <c r="H55" s="1">
        <v>6.4999999999999997E-3</v>
      </c>
      <c r="I55" s="1">
        <v>0.03</v>
      </c>
      <c r="J55" s="1">
        <v>0.18</v>
      </c>
      <c r="K55" s="1">
        <v>0.04</v>
      </c>
      <c r="L55" s="1">
        <v>0.14000000000000001</v>
      </c>
      <c r="M55" s="1">
        <v>1.4999999999999999E-2</v>
      </c>
      <c r="N55" s="2" t="s">
        <v>175</v>
      </c>
      <c r="O55" s="105">
        <v>16000</v>
      </c>
      <c r="P55" s="4">
        <v>44</v>
      </c>
    </row>
    <row r="56" spans="1:24" ht="15" x14ac:dyDescent="0.2">
      <c r="A56" s="4">
        <v>46</v>
      </c>
      <c r="B56" s="228" t="s">
        <v>517</v>
      </c>
      <c r="C56" s="187" t="s">
        <v>194</v>
      </c>
      <c r="D56" s="8">
        <v>0.35</v>
      </c>
      <c r="E56" s="8">
        <v>0</v>
      </c>
      <c r="F56" s="7">
        <v>2.1000000000000001E-2</v>
      </c>
      <c r="G56" s="7">
        <v>0.1065</v>
      </c>
      <c r="H56" s="1">
        <v>6.4999999999999997E-3</v>
      </c>
      <c r="I56" s="1">
        <v>0.03</v>
      </c>
      <c r="J56" s="1">
        <v>0.18</v>
      </c>
      <c r="K56" s="1">
        <v>0.04</v>
      </c>
      <c r="L56" s="1">
        <v>0.14000000000000001</v>
      </c>
      <c r="M56" s="1">
        <v>1.4999999999999999E-2</v>
      </c>
      <c r="N56" s="2" t="s">
        <v>175</v>
      </c>
      <c r="O56" s="105">
        <v>16000</v>
      </c>
    </row>
    <row r="57" spans="1:24" ht="15" x14ac:dyDescent="0.2">
      <c r="A57" s="4">
        <v>46</v>
      </c>
      <c r="B57" s="228" t="s">
        <v>518</v>
      </c>
      <c r="C57" s="187" t="s">
        <v>194</v>
      </c>
      <c r="D57" s="8">
        <v>0.35</v>
      </c>
      <c r="E57" s="8">
        <v>0</v>
      </c>
      <c r="F57" s="7">
        <v>2.1000000000000001E-2</v>
      </c>
      <c r="G57" s="7">
        <v>0.1065</v>
      </c>
      <c r="H57" s="1">
        <v>6.4999999999999997E-3</v>
      </c>
      <c r="I57" s="1">
        <v>0.03</v>
      </c>
      <c r="J57" s="1">
        <v>0.18</v>
      </c>
      <c r="K57" s="1">
        <v>0.04</v>
      </c>
      <c r="L57" s="1">
        <v>0.14000000000000001</v>
      </c>
      <c r="M57" s="1">
        <v>1.4999999999999999E-2</v>
      </c>
      <c r="N57" s="2" t="s">
        <v>175</v>
      </c>
      <c r="O57" s="105">
        <v>16000</v>
      </c>
    </row>
    <row r="58" spans="1:24" ht="15" x14ac:dyDescent="0.2">
      <c r="A58" s="4">
        <v>47</v>
      </c>
      <c r="B58" s="228" t="s">
        <v>519</v>
      </c>
      <c r="C58" s="187" t="s">
        <v>194</v>
      </c>
      <c r="D58" s="8">
        <v>0.35</v>
      </c>
      <c r="E58" s="8">
        <v>0</v>
      </c>
      <c r="F58" s="7">
        <v>2.1000000000000001E-2</v>
      </c>
      <c r="G58" s="7">
        <v>0.1065</v>
      </c>
      <c r="H58" s="1">
        <v>6.4999999999999997E-3</v>
      </c>
      <c r="I58" s="1">
        <v>0.03</v>
      </c>
      <c r="J58" s="1">
        <v>0.18</v>
      </c>
      <c r="K58" s="1">
        <v>0.04</v>
      </c>
      <c r="L58" s="1">
        <v>0.14000000000000001</v>
      </c>
      <c r="M58" s="1">
        <v>1.4999999999999999E-2</v>
      </c>
      <c r="N58" s="2" t="s">
        <v>175</v>
      </c>
      <c r="O58" s="105">
        <v>16000</v>
      </c>
      <c r="P58" s="4">
        <v>45</v>
      </c>
    </row>
    <row r="59" spans="1:24" ht="15" x14ac:dyDescent="0.2">
      <c r="A59" s="4">
        <v>48</v>
      </c>
      <c r="B59" s="228" t="s">
        <v>520</v>
      </c>
      <c r="C59" s="187" t="s">
        <v>194</v>
      </c>
      <c r="D59" s="8">
        <v>0.35</v>
      </c>
      <c r="E59" s="8">
        <v>0</v>
      </c>
      <c r="F59" s="7">
        <v>2.1000000000000001E-2</v>
      </c>
      <c r="G59" s="7">
        <v>0.1065</v>
      </c>
      <c r="H59" s="1">
        <v>6.4999999999999997E-3</v>
      </c>
      <c r="I59" s="1">
        <v>0.03</v>
      </c>
      <c r="J59" s="1">
        <v>0.18</v>
      </c>
      <c r="K59" s="1">
        <v>0.04</v>
      </c>
      <c r="L59" s="1">
        <v>0.14000000000000001</v>
      </c>
      <c r="M59" s="1">
        <v>1.4999999999999999E-2</v>
      </c>
      <c r="N59" s="2" t="s">
        <v>175</v>
      </c>
      <c r="O59" s="105">
        <v>16000</v>
      </c>
      <c r="P59" s="4">
        <v>46</v>
      </c>
    </row>
    <row r="60" spans="1:24" ht="15" x14ac:dyDescent="0.2">
      <c r="A60" s="4">
        <v>49</v>
      </c>
      <c r="B60" s="228" t="s">
        <v>521</v>
      </c>
      <c r="C60" s="187" t="s">
        <v>194</v>
      </c>
      <c r="D60" s="8">
        <v>0.35</v>
      </c>
      <c r="E60" s="8">
        <v>0</v>
      </c>
      <c r="F60" s="7">
        <v>2.1000000000000001E-2</v>
      </c>
      <c r="G60" s="7">
        <v>0.1065</v>
      </c>
      <c r="H60" s="1">
        <v>6.4999999999999997E-3</v>
      </c>
      <c r="I60" s="1">
        <v>0.03</v>
      </c>
      <c r="J60" s="1">
        <v>0.18</v>
      </c>
      <c r="K60" s="1">
        <v>0.04</v>
      </c>
      <c r="L60" s="1">
        <v>0.14000000000000001</v>
      </c>
      <c r="M60" s="1">
        <v>1.4999999999999999E-2</v>
      </c>
      <c r="N60" s="2" t="s">
        <v>175</v>
      </c>
      <c r="O60" s="105">
        <v>16000</v>
      </c>
      <c r="P60" s="4">
        <v>47</v>
      </c>
    </row>
    <row r="61" spans="1:24" ht="15" x14ac:dyDescent="0.2">
      <c r="A61" s="369">
        <v>50</v>
      </c>
      <c r="B61" s="228" t="s">
        <v>522</v>
      </c>
      <c r="C61" s="187" t="s">
        <v>194</v>
      </c>
      <c r="D61" s="8">
        <v>0.35</v>
      </c>
      <c r="E61" s="8">
        <v>0</v>
      </c>
      <c r="F61" s="7">
        <v>2.1000000000000001E-2</v>
      </c>
      <c r="G61" s="7">
        <v>0.1065</v>
      </c>
      <c r="H61" s="1">
        <v>6.4999999999999997E-3</v>
      </c>
      <c r="I61" s="1">
        <v>0.03</v>
      </c>
      <c r="J61" s="1">
        <v>0.18</v>
      </c>
      <c r="K61" s="1">
        <v>0.04</v>
      </c>
      <c r="L61" s="1">
        <v>0.14000000000000001</v>
      </c>
      <c r="M61" s="1">
        <v>1.4999999999999999E-2</v>
      </c>
      <c r="N61" s="2" t="s">
        <v>175</v>
      </c>
      <c r="O61" s="105">
        <v>14500</v>
      </c>
      <c r="P61" s="315">
        <v>48</v>
      </c>
      <c r="Q61" s="315"/>
      <c r="R61" s="315"/>
      <c r="S61" s="315"/>
      <c r="T61" s="315"/>
      <c r="U61" s="315"/>
      <c r="V61" s="315"/>
      <c r="W61" s="315"/>
      <c r="X61" s="315"/>
    </row>
    <row r="62" spans="1:24" ht="15" x14ac:dyDescent="0.2">
      <c r="A62" s="4">
        <v>50</v>
      </c>
      <c r="B62" s="228" t="s">
        <v>523</v>
      </c>
      <c r="C62" s="187" t="s">
        <v>194</v>
      </c>
      <c r="D62" s="8">
        <v>0.35</v>
      </c>
      <c r="E62" s="8">
        <v>0</v>
      </c>
      <c r="F62" s="7">
        <v>2.1000000000000001E-2</v>
      </c>
      <c r="G62" s="7">
        <v>0.1065</v>
      </c>
      <c r="H62" s="1">
        <v>6.4999999999999997E-3</v>
      </c>
      <c r="I62" s="1">
        <v>0.03</v>
      </c>
      <c r="J62" s="1">
        <v>0.18</v>
      </c>
      <c r="K62" s="1">
        <v>0.04</v>
      </c>
      <c r="L62" s="1">
        <v>0.14000000000000001</v>
      </c>
      <c r="M62" s="1">
        <v>1.4999999999999999E-2</v>
      </c>
      <c r="N62" s="2" t="s">
        <v>175</v>
      </c>
      <c r="O62" s="105">
        <v>12500</v>
      </c>
      <c r="P62" s="4">
        <v>48</v>
      </c>
    </row>
    <row r="63" spans="1:24" ht="15" x14ac:dyDescent="0.2">
      <c r="A63" s="4">
        <v>51</v>
      </c>
      <c r="B63" s="228" t="s">
        <v>198</v>
      </c>
      <c r="C63" s="187" t="s">
        <v>194</v>
      </c>
      <c r="D63" s="8">
        <v>0.35</v>
      </c>
      <c r="E63" s="8">
        <v>0</v>
      </c>
      <c r="F63" s="7">
        <v>2.1000000000000001E-2</v>
      </c>
      <c r="G63" s="7">
        <v>0.1065</v>
      </c>
      <c r="H63" s="1">
        <v>6.4999999999999997E-3</v>
      </c>
      <c r="I63" s="1">
        <v>0.03</v>
      </c>
      <c r="J63" s="1">
        <v>0.18</v>
      </c>
      <c r="K63" s="1">
        <v>0.04</v>
      </c>
      <c r="L63" s="1">
        <v>0.14000000000000001</v>
      </c>
      <c r="M63" s="1">
        <v>1.4999999999999999E-2</v>
      </c>
      <c r="N63" s="2" t="s">
        <v>175</v>
      </c>
      <c r="O63" s="105">
        <v>10500</v>
      </c>
      <c r="P63" s="4">
        <v>49</v>
      </c>
    </row>
    <row r="64" spans="1:24" ht="15" x14ac:dyDescent="0.2">
      <c r="A64" s="4">
        <v>52</v>
      </c>
      <c r="B64" s="228" t="s">
        <v>199</v>
      </c>
      <c r="C64" s="187" t="s">
        <v>194</v>
      </c>
      <c r="D64" s="8">
        <v>0.35</v>
      </c>
      <c r="E64" s="8">
        <v>0</v>
      </c>
      <c r="F64" s="7">
        <v>2.1000000000000001E-2</v>
      </c>
      <c r="G64" s="7">
        <v>0.1065</v>
      </c>
      <c r="H64" s="1">
        <v>6.4999999999999997E-3</v>
      </c>
      <c r="I64" s="1">
        <v>0.03</v>
      </c>
      <c r="J64" s="1">
        <v>0.18</v>
      </c>
      <c r="K64" s="1">
        <v>0.04</v>
      </c>
      <c r="L64" s="1">
        <v>0.14000000000000001</v>
      </c>
      <c r="M64" s="1">
        <v>1.4999999999999999E-2</v>
      </c>
      <c r="N64" s="2" t="s">
        <v>175</v>
      </c>
      <c r="O64" s="105">
        <v>10500</v>
      </c>
      <c r="P64" s="4">
        <v>50</v>
      </c>
    </row>
    <row r="65" spans="1:24" ht="15" x14ac:dyDescent="0.2">
      <c r="A65" s="4">
        <v>53</v>
      </c>
      <c r="B65" s="228" t="s">
        <v>200</v>
      </c>
      <c r="C65" s="187" t="s">
        <v>194</v>
      </c>
      <c r="D65" s="8">
        <v>0.35</v>
      </c>
      <c r="E65" s="8">
        <v>0</v>
      </c>
      <c r="F65" s="7">
        <v>2.1000000000000001E-2</v>
      </c>
      <c r="G65" s="7">
        <v>0.1065</v>
      </c>
      <c r="H65" s="1">
        <v>6.4999999999999997E-3</v>
      </c>
      <c r="I65" s="1">
        <v>0.03</v>
      </c>
      <c r="J65" s="1">
        <v>0.18</v>
      </c>
      <c r="K65" s="1">
        <v>0.04</v>
      </c>
      <c r="L65" s="1">
        <v>0.14000000000000001</v>
      </c>
      <c r="M65" s="1">
        <v>1.4999999999999999E-2</v>
      </c>
      <c r="N65" s="2" t="s">
        <v>175</v>
      </c>
      <c r="O65" s="105">
        <v>8500</v>
      </c>
      <c r="P65" s="4">
        <v>51</v>
      </c>
    </row>
    <row r="66" spans="1:24" ht="15" x14ac:dyDescent="0.2">
      <c r="A66" s="4">
        <v>54</v>
      </c>
      <c r="B66" s="228" t="s">
        <v>201</v>
      </c>
      <c r="C66" s="187" t="s">
        <v>194</v>
      </c>
      <c r="D66" s="8">
        <v>0.35</v>
      </c>
      <c r="E66" s="8">
        <v>0</v>
      </c>
      <c r="F66" s="7">
        <v>2.1000000000000001E-2</v>
      </c>
      <c r="G66" s="7">
        <v>0.1065</v>
      </c>
      <c r="H66" s="1">
        <v>6.4999999999999997E-3</v>
      </c>
      <c r="I66" s="1">
        <v>0.03</v>
      </c>
      <c r="J66" s="1">
        <v>0.18</v>
      </c>
      <c r="K66" s="1">
        <v>0.04</v>
      </c>
      <c r="L66" s="1">
        <v>0.14000000000000001</v>
      </c>
      <c r="M66" s="1">
        <v>1.4999999999999999E-2</v>
      </c>
      <c r="N66" s="2" t="s">
        <v>175</v>
      </c>
      <c r="O66" s="105">
        <v>7000</v>
      </c>
      <c r="P66" s="4">
        <v>52</v>
      </c>
      <c r="Q66" s="4" t="s">
        <v>242</v>
      </c>
    </row>
    <row r="67" spans="1:24" ht="15" x14ac:dyDescent="0.2">
      <c r="A67" s="4">
        <v>50</v>
      </c>
      <c r="B67" s="228" t="s">
        <v>202</v>
      </c>
      <c r="C67" s="187" t="s">
        <v>194</v>
      </c>
      <c r="D67" s="8">
        <v>0.35</v>
      </c>
      <c r="E67" s="8">
        <v>0</v>
      </c>
      <c r="F67" s="7">
        <v>2.1000000000000001E-2</v>
      </c>
      <c r="G67" s="7">
        <v>0.1065</v>
      </c>
      <c r="H67" s="1">
        <v>6.4999999999999997E-3</v>
      </c>
      <c r="I67" s="1">
        <v>0.03</v>
      </c>
      <c r="J67" s="1">
        <v>0.18</v>
      </c>
      <c r="K67" s="1">
        <v>0.04</v>
      </c>
      <c r="L67" s="1">
        <v>0.14000000000000001</v>
      </c>
      <c r="M67" s="1">
        <v>1.4999999999999999E-2</v>
      </c>
      <c r="N67" s="2" t="s">
        <v>175</v>
      </c>
      <c r="O67" s="105">
        <v>7000</v>
      </c>
      <c r="P67" s="4">
        <v>48</v>
      </c>
    </row>
    <row r="68" spans="1:24" ht="15" x14ac:dyDescent="0.2">
      <c r="A68" s="4">
        <v>55</v>
      </c>
      <c r="B68" s="228" t="s">
        <v>203</v>
      </c>
      <c r="C68" s="187" t="s">
        <v>194</v>
      </c>
      <c r="D68" s="8">
        <v>0.35</v>
      </c>
      <c r="E68" s="8">
        <v>0</v>
      </c>
      <c r="F68" s="7">
        <v>2.1000000000000001E-2</v>
      </c>
      <c r="G68" s="7">
        <v>0.1065</v>
      </c>
      <c r="H68" s="1">
        <v>6.4999999999999997E-3</v>
      </c>
      <c r="I68" s="1">
        <v>0.03</v>
      </c>
      <c r="J68" s="1">
        <v>0.18</v>
      </c>
      <c r="K68" s="1">
        <v>0.04</v>
      </c>
      <c r="L68" s="1">
        <v>0.14000000000000001</v>
      </c>
      <c r="M68" s="1">
        <v>1.4999999999999999E-2</v>
      </c>
      <c r="N68" s="2" t="s">
        <v>175</v>
      </c>
      <c r="O68" s="105">
        <v>7000</v>
      </c>
    </row>
    <row r="69" spans="1:24" ht="15" x14ac:dyDescent="0.2">
      <c r="B69" s="228" t="s">
        <v>204</v>
      </c>
      <c r="C69" s="187" t="s">
        <v>194</v>
      </c>
      <c r="D69" s="8">
        <v>0.35</v>
      </c>
      <c r="E69" s="8">
        <v>0</v>
      </c>
      <c r="F69" s="7">
        <v>2.1000000000000001E-2</v>
      </c>
      <c r="G69" s="7">
        <v>0.1065</v>
      </c>
      <c r="H69" s="1">
        <v>6.4999999999999997E-3</v>
      </c>
      <c r="I69" s="1">
        <v>0.03</v>
      </c>
      <c r="J69" s="1">
        <v>0.18</v>
      </c>
      <c r="K69" s="1">
        <v>0.04</v>
      </c>
      <c r="L69" s="1">
        <v>0.14000000000000001</v>
      </c>
      <c r="M69" s="1">
        <v>1.4999999999999999E-2</v>
      </c>
      <c r="N69" s="2" t="s">
        <v>175</v>
      </c>
      <c r="O69" s="105">
        <v>7000</v>
      </c>
    </row>
    <row r="70" spans="1:24" ht="15" x14ac:dyDescent="0.2">
      <c r="B70" s="228" t="s">
        <v>205</v>
      </c>
      <c r="C70" s="187" t="s">
        <v>194</v>
      </c>
      <c r="D70" s="8">
        <v>0.35</v>
      </c>
      <c r="E70" s="8">
        <v>0</v>
      </c>
      <c r="F70" s="7">
        <v>2.1000000000000001E-2</v>
      </c>
      <c r="G70" s="7">
        <v>0.1065</v>
      </c>
      <c r="H70" s="1">
        <v>6.4999999999999997E-3</v>
      </c>
      <c r="I70" s="1">
        <v>0.03</v>
      </c>
      <c r="J70" s="1">
        <v>0.18</v>
      </c>
      <c r="K70" s="1">
        <v>0.04</v>
      </c>
      <c r="L70" s="1">
        <v>0.14000000000000001</v>
      </c>
      <c r="M70" s="1">
        <v>1.4999999999999999E-2</v>
      </c>
      <c r="N70" s="2" t="s">
        <v>175</v>
      </c>
      <c r="O70" s="105">
        <v>7000</v>
      </c>
    </row>
    <row r="71" spans="1:24" ht="15" x14ac:dyDescent="0.2">
      <c r="B71" s="228" t="s">
        <v>206</v>
      </c>
      <c r="C71" s="187" t="s">
        <v>194</v>
      </c>
      <c r="D71" s="8">
        <v>0.35</v>
      </c>
      <c r="E71" s="8">
        <v>0</v>
      </c>
      <c r="F71" s="7">
        <v>2.1000000000000001E-2</v>
      </c>
      <c r="G71" s="7">
        <v>0.1065</v>
      </c>
      <c r="H71" s="1">
        <v>6.4999999999999997E-3</v>
      </c>
      <c r="I71" s="1">
        <v>0.03</v>
      </c>
      <c r="J71" s="1">
        <v>0.18</v>
      </c>
      <c r="K71" s="1">
        <v>0.04</v>
      </c>
      <c r="L71" s="1">
        <v>0.14000000000000001</v>
      </c>
      <c r="M71" s="1">
        <v>1.4999999999999999E-2</v>
      </c>
      <c r="N71" s="2" t="s">
        <v>175</v>
      </c>
      <c r="O71" s="105">
        <v>16000</v>
      </c>
    </row>
    <row r="72" spans="1:24" ht="15" x14ac:dyDescent="0.2">
      <c r="A72" s="4">
        <v>55</v>
      </c>
      <c r="B72" s="228" t="s">
        <v>207</v>
      </c>
      <c r="C72" s="187" t="s">
        <v>194</v>
      </c>
      <c r="D72" s="8">
        <v>0.35</v>
      </c>
      <c r="E72" s="8">
        <v>0</v>
      </c>
      <c r="F72" s="7">
        <v>2.1000000000000001E-2</v>
      </c>
      <c r="G72" s="7">
        <v>0.1065</v>
      </c>
      <c r="H72" s="1">
        <v>6.4999999999999997E-3</v>
      </c>
      <c r="I72" s="1">
        <v>0.03</v>
      </c>
      <c r="J72" s="1">
        <v>0.18</v>
      </c>
      <c r="K72" s="1">
        <v>0.04</v>
      </c>
      <c r="L72" s="1">
        <v>0.14000000000000001</v>
      </c>
      <c r="M72" s="1">
        <v>1.4999999999999999E-2</v>
      </c>
      <c r="N72" s="2" t="s">
        <v>175</v>
      </c>
      <c r="O72" s="105">
        <v>14500</v>
      </c>
    </row>
    <row r="73" spans="1:24" ht="15" x14ac:dyDescent="0.2">
      <c r="A73" s="4">
        <v>55</v>
      </c>
      <c r="B73" s="228" t="s">
        <v>208</v>
      </c>
      <c r="C73" s="187" t="s">
        <v>194</v>
      </c>
      <c r="D73" s="8">
        <v>0.35</v>
      </c>
      <c r="E73" s="8">
        <v>0</v>
      </c>
      <c r="F73" s="7">
        <v>2.1000000000000001E-2</v>
      </c>
      <c r="G73" s="7">
        <v>0.1065</v>
      </c>
      <c r="H73" s="1">
        <v>6.4999999999999997E-3</v>
      </c>
      <c r="I73" s="1">
        <v>0.03</v>
      </c>
      <c r="J73" s="1">
        <v>0.18</v>
      </c>
      <c r="K73" s="1">
        <v>0.04</v>
      </c>
      <c r="L73" s="1">
        <v>0.14000000000000001</v>
      </c>
      <c r="M73" s="1">
        <v>1.4999999999999999E-2</v>
      </c>
      <c r="N73" s="2" t="s">
        <v>175</v>
      </c>
      <c r="O73" s="105">
        <v>12500</v>
      </c>
    </row>
    <row r="74" spans="1:24" ht="15" x14ac:dyDescent="0.2">
      <c r="A74" s="4">
        <v>56</v>
      </c>
      <c r="B74" s="228" t="s">
        <v>209</v>
      </c>
      <c r="C74" s="187" t="s">
        <v>194</v>
      </c>
      <c r="D74" s="8">
        <v>0.35</v>
      </c>
      <c r="E74" s="8">
        <v>0</v>
      </c>
      <c r="F74" s="7">
        <v>2.1000000000000001E-2</v>
      </c>
      <c r="G74" s="7">
        <v>0.1065</v>
      </c>
      <c r="H74" s="1">
        <v>6.4999999999999997E-3</v>
      </c>
      <c r="I74" s="1">
        <v>0.03</v>
      </c>
      <c r="J74" s="1">
        <v>0.18</v>
      </c>
      <c r="K74" s="1">
        <v>0.04</v>
      </c>
      <c r="L74" s="1">
        <v>0.14000000000000001</v>
      </c>
      <c r="M74" s="1">
        <v>1.4999999999999999E-2</v>
      </c>
      <c r="N74" s="2" t="s">
        <v>175</v>
      </c>
      <c r="O74" s="105">
        <v>10500</v>
      </c>
      <c r="P74" s="4">
        <v>53</v>
      </c>
    </row>
    <row r="75" spans="1:24" ht="15" x14ac:dyDescent="0.2">
      <c r="A75" s="4">
        <v>57</v>
      </c>
      <c r="B75" s="228" t="s">
        <v>524</v>
      </c>
      <c r="C75" s="187" t="s">
        <v>211</v>
      </c>
      <c r="D75" s="8">
        <v>0.35</v>
      </c>
      <c r="E75" s="8">
        <v>0</v>
      </c>
      <c r="F75" s="7">
        <v>2.1000000000000001E-2</v>
      </c>
      <c r="G75" s="7">
        <v>0.1065</v>
      </c>
      <c r="H75" s="1">
        <v>6.4999999999999997E-3</v>
      </c>
      <c r="I75" s="1">
        <v>0.03</v>
      </c>
      <c r="J75" s="1">
        <v>0.18</v>
      </c>
      <c r="K75" s="1">
        <v>0.04</v>
      </c>
      <c r="L75" s="1">
        <v>0.14000000000000001</v>
      </c>
      <c r="M75" s="1">
        <v>1.4999999999999999E-2</v>
      </c>
      <c r="N75" s="2" t="s">
        <v>175</v>
      </c>
      <c r="O75" s="105">
        <v>10500</v>
      </c>
      <c r="P75" s="4">
        <v>54</v>
      </c>
    </row>
    <row r="76" spans="1:24" ht="15" x14ac:dyDescent="0.2">
      <c r="A76" s="4">
        <v>58</v>
      </c>
      <c r="B76" s="228" t="s">
        <v>525</v>
      </c>
      <c r="C76" s="187" t="s">
        <v>211</v>
      </c>
      <c r="D76" s="8">
        <v>0.35</v>
      </c>
      <c r="E76" s="8">
        <v>0</v>
      </c>
      <c r="F76" s="7">
        <v>2.1000000000000001E-2</v>
      </c>
      <c r="G76" s="7">
        <v>0.1065</v>
      </c>
      <c r="H76" s="1">
        <v>6.4999999999999997E-3</v>
      </c>
      <c r="I76" s="1">
        <v>0.03</v>
      </c>
      <c r="J76" s="1">
        <v>0.18</v>
      </c>
      <c r="K76" s="1">
        <v>0.04</v>
      </c>
      <c r="L76" s="1">
        <v>0.14000000000000001</v>
      </c>
      <c r="M76" s="1">
        <v>1.4999999999999999E-2</v>
      </c>
      <c r="N76" s="2" t="s">
        <v>175</v>
      </c>
      <c r="O76" s="105">
        <v>8500</v>
      </c>
    </row>
    <row r="77" spans="1:24" ht="15" x14ac:dyDescent="0.2">
      <c r="A77" s="4">
        <v>59</v>
      </c>
      <c r="B77" s="228" t="s">
        <v>526</v>
      </c>
      <c r="C77" s="187" t="s">
        <v>211</v>
      </c>
      <c r="D77" s="8">
        <v>0.35</v>
      </c>
      <c r="E77" s="8">
        <v>0</v>
      </c>
      <c r="F77" s="7">
        <v>2.1000000000000001E-2</v>
      </c>
      <c r="G77" s="7">
        <v>0.1065</v>
      </c>
      <c r="H77" s="1">
        <v>6.4999999999999997E-3</v>
      </c>
      <c r="I77" s="1">
        <v>0.03</v>
      </c>
      <c r="J77" s="1">
        <v>0.18</v>
      </c>
      <c r="K77" s="1">
        <v>0.04</v>
      </c>
      <c r="L77" s="1">
        <v>0.14000000000000001</v>
      </c>
      <c r="M77" s="1">
        <v>1.4999999999999999E-2</v>
      </c>
      <c r="N77" s="2" t="s">
        <v>175</v>
      </c>
      <c r="O77" s="105">
        <v>7000</v>
      </c>
    </row>
    <row r="78" spans="1:24" ht="15" x14ac:dyDescent="0.2">
      <c r="A78" s="4">
        <v>60</v>
      </c>
      <c r="B78" s="228" t="s">
        <v>527</v>
      </c>
      <c r="C78" s="187" t="s">
        <v>211</v>
      </c>
      <c r="D78" s="8">
        <v>0.35</v>
      </c>
      <c r="E78" s="8">
        <v>0</v>
      </c>
      <c r="F78" s="7">
        <v>2.1000000000000001E-2</v>
      </c>
      <c r="G78" s="7">
        <v>0.1065</v>
      </c>
      <c r="H78" s="1">
        <v>6.4999999999999997E-3</v>
      </c>
      <c r="I78" s="1">
        <v>0.03</v>
      </c>
      <c r="J78" s="1">
        <v>0.18</v>
      </c>
      <c r="K78" s="1">
        <v>0.04</v>
      </c>
      <c r="L78" s="1">
        <v>0.14000000000000001</v>
      </c>
      <c r="M78" s="1">
        <v>1.4999999999999999E-2</v>
      </c>
      <c r="N78" s="2" t="s">
        <v>175</v>
      </c>
      <c r="O78" s="105">
        <v>6200</v>
      </c>
    </row>
    <row r="79" spans="1:24" ht="15" x14ac:dyDescent="0.2">
      <c r="A79" s="4">
        <v>61</v>
      </c>
      <c r="B79" s="228" t="s">
        <v>528</v>
      </c>
      <c r="C79" s="187" t="s">
        <v>211</v>
      </c>
      <c r="D79" s="8">
        <v>0.35</v>
      </c>
      <c r="E79" s="8">
        <v>0</v>
      </c>
      <c r="F79" s="7">
        <v>2.1000000000000001E-2</v>
      </c>
      <c r="G79" s="7">
        <v>0.1065</v>
      </c>
      <c r="H79" s="1">
        <v>6.4999999999999997E-3</v>
      </c>
      <c r="I79" s="1">
        <v>0.03</v>
      </c>
      <c r="J79" s="1">
        <v>0.18</v>
      </c>
      <c r="K79" s="1">
        <v>0.04</v>
      </c>
      <c r="L79" s="1">
        <v>0.14000000000000001</v>
      </c>
      <c r="M79" s="1">
        <v>1.4999999999999999E-2</v>
      </c>
      <c r="N79" s="2" t="s">
        <v>175</v>
      </c>
      <c r="O79" s="105">
        <v>10000</v>
      </c>
    </row>
    <row r="80" spans="1:24" ht="15" x14ac:dyDescent="0.2">
      <c r="A80" s="4">
        <v>61</v>
      </c>
      <c r="B80" s="228" t="s">
        <v>529</v>
      </c>
      <c r="C80" s="187" t="s">
        <v>211</v>
      </c>
      <c r="D80" s="8">
        <v>0.35</v>
      </c>
      <c r="E80" s="8">
        <v>0</v>
      </c>
      <c r="F80" s="7">
        <v>2.1000000000000001E-2</v>
      </c>
      <c r="G80" s="7">
        <v>0.1065</v>
      </c>
      <c r="H80" s="1">
        <v>6.4999999999999997E-3</v>
      </c>
      <c r="I80" s="1">
        <v>0.03</v>
      </c>
      <c r="J80" s="1">
        <v>0.18</v>
      </c>
      <c r="K80" s="1">
        <v>0.04</v>
      </c>
      <c r="L80" s="1">
        <v>0.14000000000000001</v>
      </c>
      <c r="M80" s="1">
        <v>1.4999999999999999E-2</v>
      </c>
      <c r="N80" s="2" t="s">
        <v>175</v>
      </c>
      <c r="O80" s="105">
        <v>10000</v>
      </c>
      <c r="Q80" s="4">
        <v>1</v>
      </c>
      <c r="R80" s="4">
        <v>150</v>
      </c>
      <c r="S80" s="4">
        <v>15</v>
      </c>
      <c r="T80" s="4">
        <v>25</v>
      </c>
      <c r="U80" s="4">
        <v>54</v>
      </c>
      <c r="V80" s="4">
        <f>S80*T80*U80/1000000</f>
        <v>2.0250000000000001E-2</v>
      </c>
      <c r="W80" s="4">
        <f>68/V80</f>
        <v>3358.0246913580245</v>
      </c>
      <c r="X80" s="4">
        <f>W80*R80</f>
        <v>503703.70370370365</v>
      </c>
    </row>
    <row r="81" spans="1:24" ht="15" x14ac:dyDescent="0.2">
      <c r="A81" s="4">
        <v>61</v>
      </c>
      <c r="B81" s="228" t="s">
        <v>530</v>
      </c>
      <c r="C81" s="187" t="s">
        <v>211</v>
      </c>
      <c r="D81" s="8">
        <v>0.35</v>
      </c>
      <c r="E81" s="8">
        <v>0</v>
      </c>
      <c r="F81" s="7">
        <v>2.1000000000000001E-2</v>
      </c>
      <c r="G81" s="7">
        <v>0.1065</v>
      </c>
      <c r="H81" s="1">
        <v>6.4999999999999997E-3</v>
      </c>
      <c r="I81" s="1">
        <v>0.03</v>
      </c>
      <c r="J81" s="1">
        <v>0.18</v>
      </c>
      <c r="K81" s="1">
        <v>0.04</v>
      </c>
      <c r="L81" s="1">
        <v>0.14000000000000001</v>
      </c>
      <c r="M81" s="1">
        <v>1.4999999999999999E-2</v>
      </c>
      <c r="N81" s="2" t="s">
        <v>175</v>
      </c>
      <c r="O81" s="105">
        <v>10000</v>
      </c>
      <c r="Q81" s="4">
        <v>1</v>
      </c>
      <c r="R81" s="4">
        <v>150</v>
      </c>
      <c r="S81" s="4">
        <v>15</v>
      </c>
      <c r="T81" s="4">
        <v>25</v>
      </c>
      <c r="U81" s="4">
        <v>54</v>
      </c>
      <c r="V81" s="4">
        <f>S81*T81*U81/1000000</f>
        <v>2.0250000000000001E-2</v>
      </c>
      <c r="W81" s="4">
        <f>68/V81</f>
        <v>3358.0246913580245</v>
      </c>
      <c r="X81" s="4">
        <f>W81*R81</f>
        <v>503703.70370370365</v>
      </c>
    </row>
    <row r="82" spans="1:24" ht="15" x14ac:dyDescent="0.2">
      <c r="B82" s="228" t="s">
        <v>531</v>
      </c>
      <c r="C82" s="187" t="s">
        <v>211</v>
      </c>
      <c r="D82" s="8">
        <v>0.35</v>
      </c>
      <c r="E82" s="8">
        <v>0</v>
      </c>
      <c r="F82" s="7">
        <v>2.1000000000000001E-2</v>
      </c>
      <c r="G82" s="7">
        <v>0.1065</v>
      </c>
      <c r="H82" s="1">
        <v>6.4999999999999997E-3</v>
      </c>
      <c r="I82" s="1">
        <v>0.03</v>
      </c>
      <c r="J82" s="1">
        <v>0.18</v>
      </c>
      <c r="K82" s="1">
        <v>0.04</v>
      </c>
      <c r="L82" s="1">
        <v>0.14000000000000001</v>
      </c>
      <c r="M82" s="1">
        <v>1.4999999999999999E-2</v>
      </c>
      <c r="N82" s="2" t="s">
        <v>175</v>
      </c>
      <c r="O82" s="105">
        <v>10000</v>
      </c>
    </row>
    <row r="83" spans="1:24" ht="15" x14ac:dyDescent="0.2">
      <c r="B83" s="228" t="s">
        <v>215</v>
      </c>
      <c r="C83" s="187" t="s">
        <v>174</v>
      </c>
      <c r="D83" s="8">
        <v>0.14399999999999999</v>
      </c>
      <c r="E83" s="8">
        <v>0</v>
      </c>
      <c r="F83" s="7">
        <v>2.1000000000000001E-2</v>
      </c>
      <c r="G83" s="7">
        <v>0.1065</v>
      </c>
      <c r="H83" s="1">
        <v>6.4999999999999997E-3</v>
      </c>
      <c r="I83" s="1">
        <v>0.03</v>
      </c>
      <c r="J83" s="1">
        <v>0.18</v>
      </c>
      <c r="K83" s="1">
        <v>0.04</v>
      </c>
      <c r="L83" s="1">
        <v>0.14000000000000001</v>
      </c>
      <c r="M83" s="1">
        <v>1.4999999999999999E-2</v>
      </c>
      <c r="N83" s="2" t="s">
        <v>175</v>
      </c>
      <c r="O83" s="105">
        <v>4600</v>
      </c>
      <c r="Q83" s="4">
        <v>1</v>
      </c>
      <c r="R83" s="4">
        <v>100</v>
      </c>
      <c r="S83" s="4">
        <v>15</v>
      </c>
      <c r="T83" s="4">
        <v>25</v>
      </c>
      <c r="U83" s="4">
        <v>54</v>
      </c>
      <c r="V83" s="4">
        <f>S83*T83*U83/1000000</f>
        <v>2.0250000000000001E-2</v>
      </c>
      <c r="W83" s="4">
        <f>68/V83</f>
        <v>3358.0246913580245</v>
      </c>
      <c r="X83" s="4">
        <f>W83*R83</f>
        <v>335802.46913580247</v>
      </c>
    </row>
    <row r="84" spans="1:24" ht="15" x14ac:dyDescent="0.2">
      <c r="B84" s="228" t="s">
        <v>216</v>
      </c>
      <c r="C84" s="187" t="s">
        <v>174</v>
      </c>
      <c r="D84" s="8">
        <v>0.14399999999999999</v>
      </c>
      <c r="E84" s="8">
        <v>0</v>
      </c>
      <c r="F84" s="7">
        <v>2.1000000000000001E-2</v>
      </c>
      <c r="G84" s="7">
        <v>0.1065</v>
      </c>
      <c r="H84" s="1">
        <v>6.4999999999999997E-3</v>
      </c>
      <c r="I84" s="1">
        <v>0.03</v>
      </c>
      <c r="J84" s="1">
        <v>0.18</v>
      </c>
      <c r="K84" s="1">
        <v>0.04</v>
      </c>
      <c r="L84" s="1">
        <v>0.14000000000000001</v>
      </c>
      <c r="M84" s="1">
        <v>1.4999999999999999E-2</v>
      </c>
      <c r="N84" s="2" t="s">
        <v>175</v>
      </c>
      <c r="O84" s="105">
        <v>3840</v>
      </c>
      <c r="S84" s="4">
        <f>500/1.24</f>
        <v>403.22580645161293</v>
      </c>
    </row>
    <row r="85" spans="1:24" ht="15" x14ac:dyDescent="0.2">
      <c r="B85" s="228" t="s">
        <v>217</v>
      </c>
      <c r="C85" s="187" t="s">
        <v>174</v>
      </c>
      <c r="D85" s="8">
        <v>0.14399999999999999</v>
      </c>
      <c r="E85" s="8">
        <v>0</v>
      </c>
      <c r="F85" s="7">
        <v>2.1000000000000001E-2</v>
      </c>
      <c r="G85" s="7">
        <v>0.1065</v>
      </c>
      <c r="H85" s="1">
        <v>6.4999999999999997E-3</v>
      </c>
      <c r="I85" s="1">
        <v>0.03</v>
      </c>
      <c r="J85" s="1">
        <v>0.18</v>
      </c>
      <c r="K85" s="1">
        <v>0.04</v>
      </c>
      <c r="L85" s="1">
        <v>0.14000000000000001</v>
      </c>
      <c r="M85" s="1">
        <v>1.4999999999999999E-2</v>
      </c>
      <c r="N85" s="2" t="s">
        <v>175</v>
      </c>
      <c r="O85" s="105">
        <v>2944</v>
      </c>
      <c r="S85" s="4">
        <f>500/1.24</f>
        <v>403.22580645161293</v>
      </c>
    </row>
    <row r="86" spans="1:24" ht="15" x14ac:dyDescent="0.2">
      <c r="A86" s="4">
        <v>62</v>
      </c>
      <c r="B86" s="228" t="s">
        <v>218</v>
      </c>
      <c r="C86" s="187" t="s">
        <v>174</v>
      </c>
      <c r="D86" s="8">
        <v>0.14399999999999999</v>
      </c>
      <c r="E86" s="8">
        <v>0</v>
      </c>
      <c r="F86" s="7">
        <v>2.1000000000000001E-2</v>
      </c>
      <c r="G86" s="7">
        <v>0.1065</v>
      </c>
      <c r="H86" s="1">
        <v>6.4999999999999997E-3</v>
      </c>
      <c r="I86" s="1">
        <v>0.03</v>
      </c>
      <c r="J86" s="1">
        <v>0.18</v>
      </c>
      <c r="K86" s="1">
        <v>0.04</v>
      </c>
      <c r="L86" s="1">
        <v>0.14000000000000001</v>
      </c>
      <c r="M86" s="1">
        <v>1.4999999999999999E-2</v>
      </c>
      <c r="N86" s="2" t="s">
        <v>175</v>
      </c>
      <c r="O86" s="105">
        <v>1920</v>
      </c>
      <c r="X86" s="4">
        <f>X83*1.65</f>
        <v>554074.07407407404</v>
      </c>
    </row>
    <row r="87" spans="1:24" ht="15" x14ac:dyDescent="0.2">
      <c r="A87" s="4">
        <v>62</v>
      </c>
      <c r="B87" s="228" t="s">
        <v>219</v>
      </c>
      <c r="C87" s="187" t="s">
        <v>174</v>
      </c>
      <c r="D87" s="8">
        <v>0.16200000000000001</v>
      </c>
      <c r="E87" s="8">
        <v>0</v>
      </c>
      <c r="F87" s="7">
        <v>2.1000000000000001E-2</v>
      </c>
      <c r="G87" s="7">
        <v>0.1065</v>
      </c>
      <c r="H87" s="1">
        <v>6.4999999999999997E-3</v>
      </c>
      <c r="I87" s="1">
        <v>0.03</v>
      </c>
      <c r="J87" s="1">
        <v>0.18</v>
      </c>
      <c r="K87" s="1">
        <v>0.04</v>
      </c>
      <c r="L87" s="1">
        <v>0.14000000000000001</v>
      </c>
      <c r="M87" s="1">
        <v>1.4999999999999999E-2</v>
      </c>
      <c r="N87" s="2" t="s">
        <v>175</v>
      </c>
      <c r="O87" s="105">
        <v>4600</v>
      </c>
      <c r="X87" s="4">
        <f>X84*1.65</f>
        <v>0</v>
      </c>
    </row>
    <row r="88" spans="1:24" ht="15" x14ac:dyDescent="0.2">
      <c r="A88" s="4">
        <v>63</v>
      </c>
      <c r="B88" s="228" t="s">
        <v>220</v>
      </c>
      <c r="C88" s="187" t="s">
        <v>174</v>
      </c>
      <c r="D88" s="8">
        <v>0.16200000000000001</v>
      </c>
      <c r="E88" s="8">
        <v>0</v>
      </c>
      <c r="F88" s="7">
        <v>2.1000000000000001E-2</v>
      </c>
      <c r="G88" s="7">
        <v>0.1065</v>
      </c>
      <c r="H88" s="1">
        <v>6.4999999999999997E-3</v>
      </c>
      <c r="I88" s="1">
        <v>0.03</v>
      </c>
      <c r="J88" s="1">
        <v>0.18</v>
      </c>
      <c r="K88" s="1">
        <v>0.04</v>
      </c>
      <c r="L88" s="1">
        <v>0.14000000000000001</v>
      </c>
      <c r="M88" s="1">
        <v>1.4999999999999999E-2</v>
      </c>
      <c r="N88" s="2" t="s">
        <v>175</v>
      </c>
      <c r="O88" s="105">
        <v>3840</v>
      </c>
      <c r="X88" s="4">
        <f>X80*1.65</f>
        <v>831111.11111111101</v>
      </c>
    </row>
    <row r="89" spans="1:24" ht="15" x14ac:dyDescent="0.2">
      <c r="B89" s="228" t="s">
        <v>221</v>
      </c>
      <c r="C89" s="187" t="s">
        <v>174</v>
      </c>
      <c r="D89" s="8">
        <v>0.16200000000000001</v>
      </c>
      <c r="E89" s="8">
        <v>0</v>
      </c>
      <c r="F89" s="7">
        <v>2.1000000000000001E-2</v>
      </c>
      <c r="G89" s="7">
        <v>0.1065</v>
      </c>
      <c r="H89" s="1">
        <v>6.4999999999999997E-3</v>
      </c>
      <c r="I89" s="1">
        <v>0.03</v>
      </c>
      <c r="J89" s="1">
        <v>0.18</v>
      </c>
      <c r="K89" s="1">
        <v>0.04</v>
      </c>
      <c r="L89" s="1">
        <v>0.14000000000000001</v>
      </c>
      <c r="M89" s="1">
        <v>1.4999999999999999E-2</v>
      </c>
      <c r="N89" s="2" t="s">
        <v>175</v>
      </c>
      <c r="O89" s="105">
        <v>2944</v>
      </c>
    </row>
    <row r="90" spans="1:24" ht="15" x14ac:dyDescent="0.2">
      <c r="B90" s="228" t="s">
        <v>222</v>
      </c>
      <c r="C90" s="187" t="s">
        <v>174</v>
      </c>
      <c r="D90" s="8">
        <v>0.16200000000000001</v>
      </c>
      <c r="E90" s="8">
        <v>0</v>
      </c>
      <c r="F90" s="7">
        <v>2.1000000000000001E-2</v>
      </c>
      <c r="G90" s="7">
        <v>0.1065</v>
      </c>
      <c r="H90" s="1">
        <v>6.4999999999999997E-3</v>
      </c>
      <c r="I90" s="1">
        <v>0.03</v>
      </c>
      <c r="J90" s="1">
        <v>0.18</v>
      </c>
      <c r="K90" s="1">
        <v>0.04</v>
      </c>
      <c r="L90" s="1">
        <v>0.14000000000000001</v>
      </c>
      <c r="M90" s="1">
        <v>1.4999999999999999E-2</v>
      </c>
      <c r="N90" s="2" t="s">
        <v>175</v>
      </c>
      <c r="O90" s="105">
        <v>1920</v>
      </c>
    </row>
    <row r="91" spans="1:24" ht="15" x14ac:dyDescent="0.2">
      <c r="B91" s="340" t="s">
        <v>548</v>
      </c>
      <c r="C91" s="338" t="s">
        <v>540</v>
      </c>
      <c r="D91" s="339">
        <v>0.18</v>
      </c>
      <c r="E91" s="339">
        <v>0.35</v>
      </c>
      <c r="F91" s="339">
        <v>2.1000000000000001E-2</v>
      </c>
      <c r="G91" s="339">
        <v>9.6500000000000002E-2</v>
      </c>
      <c r="H91" s="1">
        <v>6.4999999999999997E-3</v>
      </c>
      <c r="I91" s="1">
        <v>0.03</v>
      </c>
      <c r="J91" s="1">
        <v>0.18</v>
      </c>
      <c r="K91" s="1">
        <v>0.04</v>
      </c>
      <c r="L91" s="1">
        <v>0.14000000000000001</v>
      </c>
      <c r="M91" s="1">
        <v>1.4999999999999999E-2</v>
      </c>
      <c r="N91" s="2" t="s">
        <v>175</v>
      </c>
      <c r="O91" s="105">
        <v>70</v>
      </c>
    </row>
    <row r="92" spans="1:24" ht="15" x14ac:dyDescent="0.2">
      <c r="B92" s="340" t="s">
        <v>549</v>
      </c>
      <c r="C92" s="338" t="s">
        <v>541</v>
      </c>
      <c r="D92" s="339">
        <v>0.18</v>
      </c>
      <c r="E92" s="339">
        <v>0</v>
      </c>
      <c r="F92" s="339">
        <v>2.1000000000000001E-2</v>
      </c>
      <c r="G92" s="339">
        <v>9.6500000000000002E-2</v>
      </c>
      <c r="H92" s="1">
        <v>6.4999999999999997E-3</v>
      </c>
      <c r="I92" s="1">
        <v>0.03</v>
      </c>
      <c r="J92" s="1">
        <v>0.18</v>
      </c>
      <c r="K92" s="1">
        <v>0.04</v>
      </c>
      <c r="L92" s="1">
        <v>0.14000000000000001</v>
      </c>
      <c r="M92" s="1">
        <v>1.4999999999999999E-2</v>
      </c>
      <c r="N92" s="2" t="s">
        <v>175</v>
      </c>
      <c r="O92" s="105">
        <v>2790</v>
      </c>
    </row>
    <row r="93" spans="1:24" ht="15" x14ac:dyDescent="0.2">
      <c r="B93" s="340" t="s">
        <v>550</v>
      </c>
      <c r="C93" s="338" t="s">
        <v>542</v>
      </c>
      <c r="D93" s="339">
        <v>3.5999999999999997E-2</v>
      </c>
      <c r="E93" s="339">
        <v>0</v>
      </c>
      <c r="F93" s="339">
        <v>2.1000000000000001E-2</v>
      </c>
      <c r="G93" s="339">
        <v>9.6500000000000002E-2</v>
      </c>
      <c r="H93" s="1">
        <v>6.4999999999999997E-3</v>
      </c>
      <c r="I93" s="1">
        <v>0.03</v>
      </c>
      <c r="J93" s="1">
        <v>0.18</v>
      </c>
      <c r="K93" s="1">
        <v>0.04</v>
      </c>
      <c r="L93" s="1">
        <v>0.14000000000000001</v>
      </c>
      <c r="M93" s="1">
        <v>1.4999999999999999E-2</v>
      </c>
      <c r="N93" s="2" t="s">
        <v>175</v>
      </c>
      <c r="O93" s="105">
        <v>2790</v>
      </c>
    </row>
    <row r="94" spans="1:24" ht="15" x14ac:dyDescent="0.2">
      <c r="B94" s="340" t="s">
        <v>551</v>
      </c>
      <c r="C94" s="338" t="s">
        <v>543</v>
      </c>
      <c r="D94" s="339">
        <v>0.16</v>
      </c>
      <c r="E94" s="339">
        <v>0.11310000000000001</v>
      </c>
      <c r="F94" s="339">
        <v>2.1000000000000001E-2</v>
      </c>
      <c r="G94" s="339">
        <v>9.6500000000000002E-2</v>
      </c>
      <c r="H94" s="1">
        <v>6.4999999999999997E-3</v>
      </c>
      <c r="I94" s="1">
        <v>0.03</v>
      </c>
      <c r="J94" s="1">
        <v>0.18</v>
      </c>
      <c r="K94" s="1">
        <v>0.04</v>
      </c>
      <c r="L94" s="1">
        <v>0.14000000000000001</v>
      </c>
      <c r="M94" s="1">
        <v>1.4999999999999999E-2</v>
      </c>
      <c r="N94" s="2" t="s">
        <v>175</v>
      </c>
      <c r="O94" s="105">
        <v>28</v>
      </c>
    </row>
    <row r="95" spans="1:24" ht="15" x14ac:dyDescent="0.2">
      <c r="B95" s="349" t="s">
        <v>566</v>
      </c>
      <c r="C95" s="187" t="s">
        <v>567</v>
      </c>
      <c r="D95" s="7">
        <v>0.126</v>
      </c>
      <c r="E95" s="7">
        <v>0</v>
      </c>
      <c r="F95" s="7">
        <v>2.1000000000000001E-2</v>
      </c>
      <c r="G95" s="7">
        <v>0.1045</v>
      </c>
      <c r="H95" s="1">
        <v>6.4999999999999997E-3</v>
      </c>
      <c r="I95" s="1">
        <v>0.03</v>
      </c>
      <c r="J95" s="1">
        <v>0.18</v>
      </c>
      <c r="K95" s="1">
        <v>0.04</v>
      </c>
      <c r="L95" s="1">
        <v>0.14000000000000001</v>
      </c>
      <c r="M95" s="1">
        <v>1.4999999999999999E-2</v>
      </c>
      <c r="N95" s="2" t="s">
        <v>175</v>
      </c>
      <c r="O95" s="105">
        <v>1</v>
      </c>
    </row>
    <row r="96" spans="1:24" ht="15" x14ac:dyDescent="0.2">
      <c r="B96" s="349" t="s">
        <v>596</v>
      </c>
      <c r="C96" s="187" t="s">
        <v>595</v>
      </c>
      <c r="D96" s="7">
        <v>0</v>
      </c>
      <c r="E96" s="7">
        <v>0</v>
      </c>
      <c r="F96" s="7">
        <v>2.1000000000000001E-2</v>
      </c>
      <c r="G96" s="7">
        <v>0.10249999999999999</v>
      </c>
      <c r="H96" s="1">
        <v>6.4999999999999997E-3</v>
      </c>
      <c r="I96" s="1">
        <v>0.03</v>
      </c>
      <c r="J96" s="1">
        <v>0.18</v>
      </c>
      <c r="K96" s="1">
        <v>0.04</v>
      </c>
      <c r="L96" s="1">
        <v>0.14000000000000001</v>
      </c>
      <c r="M96" s="1">
        <v>1.4999999999999999E-2</v>
      </c>
      <c r="N96" s="2" t="s">
        <v>175</v>
      </c>
      <c r="O96" s="105">
        <v>1</v>
      </c>
    </row>
    <row r="97" spans="1:24" ht="15" x14ac:dyDescent="0.2">
      <c r="B97" s="340" t="s">
        <v>559</v>
      </c>
      <c r="C97" s="338" t="s">
        <v>558</v>
      </c>
      <c r="D97" s="339">
        <v>0.128</v>
      </c>
      <c r="E97" s="339">
        <v>0.1099</v>
      </c>
      <c r="F97" s="339">
        <v>2.1000000000000001E-2</v>
      </c>
      <c r="G97" s="339">
        <v>9.6500000000000002E-2</v>
      </c>
      <c r="H97" s="1">
        <v>6.4999999999999997E-3</v>
      </c>
      <c r="I97" s="1">
        <v>0.03</v>
      </c>
      <c r="J97" s="1">
        <v>0.18</v>
      </c>
      <c r="K97" s="1">
        <v>0.04</v>
      </c>
      <c r="L97" s="1">
        <v>0.14000000000000001</v>
      </c>
      <c r="M97" s="1">
        <v>1.4999999999999999E-2</v>
      </c>
      <c r="N97" s="2" t="s">
        <v>175</v>
      </c>
      <c r="O97" s="105">
        <v>1300</v>
      </c>
    </row>
    <row r="98" spans="1:24" ht="15" x14ac:dyDescent="0.2">
      <c r="A98" s="369"/>
      <c r="B98" s="340" t="s">
        <v>539</v>
      </c>
      <c r="C98" s="338" t="s">
        <v>538</v>
      </c>
      <c r="D98" s="339">
        <v>0.16</v>
      </c>
      <c r="E98" s="339">
        <v>0.25559999999999999</v>
      </c>
      <c r="F98" s="339">
        <v>3.5200000000000002E-2</v>
      </c>
      <c r="G98" s="339">
        <v>0.1648</v>
      </c>
      <c r="H98" s="1">
        <v>6.4999999999999997E-3</v>
      </c>
      <c r="I98" s="1">
        <v>0.03</v>
      </c>
      <c r="J98" s="1">
        <v>0.18</v>
      </c>
      <c r="K98" s="1">
        <v>0.04</v>
      </c>
      <c r="L98" s="1">
        <v>0.14000000000000001</v>
      </c>
      <c r="M98" s="1">
        <v>1.4999999999999999E-2</v>
      </c>
      <c r="N98" s="2" t="s">
        <v>175</v>
      </c>
      <c r="O98" s="105">
        <v>100</v>
      </c>
      <c r="P98" s="354"/>
      <c r="Q98" s="354"/>
      <c r="R98" s="354"/>
      <c r="S98" s="354"/>
      <c r="T98" s="354"/>
      <c r="U98" s="354"/>
      <c r="V98" s="354"/>
      <c r="W98" s="354"/>
      <c r="X98" s="354"/>
    </row>
    <row r="99" spans="1:24" ht="15" x14ac:dyDescent="0.2">
      <c r="B99" s="340" t="s">
        <v>552</v>
      </c>
      <c r="C99" s="338" t="s">
        <v>544</v>
      </c>
      <c r="D99" s="339">
        <v>0.16200000000000001</v>
      </c>
      <c r="E99" s="339">
        <v>0.1132</v>
      </c>
      <c r="F99" s="339">
        <v>2.1000000000000001E-2</v>
      </c>
      <c r="G99" s="339">
        <v>9.6500000000000002E-2</v>
      </c>
      <c r="H99" s="1">
        <v>6.4999999999999997E-3</v>
      </c>
      <c r="I99" s="1">
        <v>0.03</v>
      </c>
      <c r="J99" s="1">
        <v>0.18</v>
      </c>
      <c r="K99" s="1">
        <v>0.04</v>
      </c>
      <c r="L99" s="1">
        <v>0.14000000000000001</v>
      </c>
      <c r="M99" s="1">
        <v>1.4999999999999999E-2</v>
      </c>
      <c r="N99" s="2" t="s">
        <v>175</v>
      </c>
      <c r="O99" s="105">
        <v>250000</v>
      </c>
    </row>
    <row r="100" spans="1:24" ht="15" x14ac:dyDescent="0.2">
      <c r="B100" s="340" t="s">
        <v>553</v>
      </c>
      <c r="C100" s="338" t="s">
        <v>545</v>
      </c>
      <c r="D100" s="339">
        <v>0.18</v>
      </c>
      <c r="E100" s="339">
        <v>7.6700000000000004E-2</v>
      </c>
      <c r="F100" s="339">
        <v>2.1000000000000001E-2</v>
      </c>
      <c r="G100" s="339">
        <v>9.6500000000000002E-2</v>
      </c>
      <c r="H100" s="1">
        <v>6.4999999999999997E-3</v>
      </c>
      <c r="I100" s="1">
        <v>0.03</v>
      </c>
      <c r="J100" s="1">
        <v>0.18</v>
      </c>
      <c r="K100" s="1">
        <v>0.04</v>
      </c>
      <c r="L100" s="1">
        <v>0.14000000000000001</v>
      </c>
      <c r="M100" s="1">
        <v>1.4999999999999999E-2</v>
      </c>
      <c r="N100" s="2" t="s">
        <v>175</v>
      </c>
      <c r="O100" s="105">
        <v>750</v>
      </c>
    </row>
    <row r="101" spans="1:24" ht="15" x14ac:dyDescent="0.2">
      <c r="B101" s="351" t="s">
        <v>570</v>
      </c>
      <c r="C101" s="352" t="s">
        <v>571</v>
      </c>
      <c r="D101" s="356">
        <v>0.35</v>
      </c>
      <c r="E101" s="356">
        <v>8.77E-2</v>
      </c>
      <c r="F101" s="353">
        <v>2.1000000000000001E-2</v>
      </c>
      <c r="G101" s="353">
        <v>0.1065</v>
      </c>
      <c r="H101" s="1">
        <v>6.4999999999999997E-3</v>
      </c>
      <c r="I101" s="1">
        <v>0.03</v>
      </c>
      <c r="J101" s="1">
        <v>0.18</v>
      </c>
      <c r="K101" s="1">
        <v>0.04</v>
      </c>
      <c r="L101" s="1">
        <v>0.14000000000000001</v>
      </c>
      <c r="M101" s="1">
        <v>1.4999999999999999E-2</v>
      </c>
      <c r="N101" s="2" t="s">
        <v>175</v>
      </c>
      <c r="O101" s="105">
        <v>10860</v>
      </c>
    </row>
    <row r="102" spans="1:24" ht="15" x14ac:dyDescent="0.2">
      <c r="B102" s="340" t="s">
        <v>556</v>
      </c>
      <c r="C102" s="338" t="s">
        <v>557</v>
      </c>
      <c r="D102" s="339">
        <v>0.112</v>
      </c>
      <c r="E102" s="339">
        <v>0</v>
      </c>
      <c r="F102" s="339">
        <v>2.1000000000000001E-2</v>
      </c>
      <c r="G102" s="339">
        <v>0.1045</v>
      </c>
      <c r="H102" s="1">
        <v>6.4999999999999997E-3</v>
      </c>
      <c r="I102" s="1">
        <v>0.03</v>
      </c>
      <c r="J102" s="1">
        <v>0.18</v>
      </c>
      <c r="K102" s="1">
        <v>0.04</v>
      </c>
      <c r="L102" s="1">
        <v>0.14000000000000001</v>
      </c>
      <c r="M102" s="1">
        <v>1.4999999999999999E-2</v>
      </c>
      <c r="N102" s="2" t="s">
        <v>175</v>
      </c>
      <c r="O102" s="105">
        <v>25</v>
      </c>
    </row>
    <row r="103" spans="1:24" ht="15" x14ac:dyDescent="0.2">
      <c r="B103" s="349" t="s">
        <v>578</v>
      </c>
      <c r="C103" s="187" t="s">
        <v>579</v>
      </c>
      <c r="D103" s="339">
        <v>0.14000000000000001</v>
      </c>
      <c r="E103" s="339">
        <v>0</v>
      </c>
      <c r="F103" s="339">
        <v>2.6200000000000001E-2</v>
      </c>
      <c r="G103" s="339">
        <v>0.13370000000000001</v>
      </c>
      <c r="H103" s="1">
        <v>6.4999999999999997E-3</v>
      </c>
      <c r="I103" s="1">
        <v>0.03</v>
      </c>
      <c r="J103" s="1">
        <v>0.18</v>
      </c>
      <c r="K103" s="1">
        <v>0.04</v>
      </c>
      <c r="L103" s="1">
        <v>0.14000000000000001</v>
      </c>
      <c r="M103" s="1">
        <v>1.4999999999999999E-2</v>
      </c>
      <c r="N103" s="2" t="s">
        <v>175</v>
      </c>
      <c r="O103" s="105">
        <v>25</v>
      </c>
    </row>
    <row r="104" spans="1:24" ht="15" x14ac:dyDescent="0.2">
      <c r="B104" s="351" t="s">
        <v>568</v>
      </c>
      <c r="C104" s="352" t="s">
        <v>569</v>
      </c>
      <c r="D104" s="353">
        <v>0.126</v>
      </c>
      <c r="E104" s="353">
        <v>5.8500000000000003E-2</v>
      </c>
      <c r="F104" s="353">
        <v>2.1000000000000001E-2</v>
      </c>
      <c r="G104" s="353">
        <v>9.6500000000000002E-2</v>
      </c>
      <c r="H104" s="1">
        <v>6.4999999999999997E-3</v>
      </c>
      <c r="I104" s="1">
        <v>0.03</v>
      </c>
      <c r="J104" s="1">
        <v>0.18</v>
      </c>
      <c r="K104" s="1">
        <v>0.04</v>
      </c>
      <c r="L104" s="1">
        <v>0.14000000000000001</v>
      </c>
      <c r="M104" s="1">
        <v>1.4999999999999999E-2</v>
      </c>
      <c r="N104" s="2" t="s">
        <v>175</v>
      </c>
      <c r="O104" s="105">
        <v>70</v>
      </c>
    </row>
    <row r="105" spans="1:24" ht="14.25" customHeight="1" x14ac:dyDescent="0.2">
      <c r="B105" s="340" t="s">
        <v>554</v>
      </c>
      <c r="C105" s="338" t="s">
        <v>546</v>
      </c>
      <c r="D105" s="339">
        <v>0.16200000000000001</v>
      </c>
      <c r="E105" s="339">
        <v>0.1132</v>
      </c>
      <c r="F105" s="339">
        <v>2.1000000000000001E-2</v>
      </c>
      <c r="G105" s="339">
        <v>9.6500000000000002E-2</v>
      </c>
      <c r="H105" s="1">
        <v>6.4999999999999997E-3</v>
      </c>
      <c r="I105" s="1">
        <v>0.03</v>
      </c>
      <c r="J105" s="1">
        <v>0.18</v>
      </c>
      <c r="K105" s="1">
        <v>0.04</v>
      </c>
      <c r="L105" s="1">
        <v>0.14000000000000001</v>
      </c>
      <c r="M105" s="1">
        <v>1.4999999999999999E-2</v>
      </c>
      <c r="N105" s="2" t="s">
        <v>175</v>
      </c>
      <c r="O105" s="105"/>
    </row>
    <row r="106" spans="1:24" ht="14.25" customHeight="1" x14ac:dyDescent="0.2">
      <c r="B106" s="340" t="s">
        <v>555</v>
      </c>
      <c r="C106" s="187" t="s">
        <v>547</v>
      </c>
      <c r="D106" s="339">
        <v>0.14399999999999999</v>
      </c>
      <c r="E106" s="339">
        <v>0.1115</v>
      </c>
      <c r="F106" s="7">
        <v>2.1000000000000001E-2</v>
      </c>
      <c r="G106" s="7">
        <v>9.6500000000000002E-2</v>
      </c>
      <c r="H106" s="1">
        <v>6.4999999999999997E-3</v>
      </c>
      <c r="I106" s="1">
        <v>0.03</v>
      </c>
      <c r="J106" s="1">
        <v>0.18</v>
      </c>
      <c r="K106" s="1">
        <v>0.04</v>
      </c>
      <c r="L106" s="1">
        <v>0.14000000000000001</v>
      </c>
      <c r="M106" s="1">
        <v>1.4999999999999999E-2</v>
      </c>
      <c r="N106" s="2" t="s">
        <v>175</v>
      </c>
      <c r="O106" s="105"/>
    </row>
    <row r="107" spans="1:24" ht="13.5" customHeight="1" x14ac:dyDescent="0.2">
      <c r="B107" s="344" t="s">
        <v>560</v>
      </c>
      <c r="C107" s="345" t="s">
        <v>561</v>
      </c>
      <c r="D107" s="346">
        <v>0.14399999999999999</v>
      </c>
      <c r="E107" s="346">
        <v>3.7100000000000001E-2</v>
      </c>
      <c r="F107" s="339">
        <v>2.1000000000000001E-2</v>
      </c>
      <c r="G107" s="339">
        <v>9.6500000000000002E-2</v>
      </c>
      <c r="H107" s="1">
        <v>6.4999999999999997E-3</v>
      </c>
      <c r="I107" s="1">
        <v>0.03</v>
      </c>
      <c r="J107" s="1">
        <v>0.18</v>
      </c>
      <c r="K107" s="1">
        <v>0.04</v>
      </c>
      <c r="L107" s="1">
        <v>0.14000000000000001</v>
      </c>
      <c r="M107" s="1">
        <v>1.4999999999999999E-2</v>
      </c>
      <c r="N107" s="2" t="s">
        <v>175</v>
      </c>
      <c r="O107" s="105">
        <v>200000</v>
      </c>
    </row>
    <row r="108" spans="1:24" ht="15" x14ac:dyDescent="0.2">
      <c r="B108" s="228" t="s">
        <v>224</v>
      </c>
      <c r="C108" s="188" t="s">
        <v>225</v>
      </c>
      <c r="D108" s="8">
        <v>0.35</v>
      </c>
      <c r="E108" s="8">
        <v>6.5000000000000002E-2</v>
      </c>
      <c r="F108" s="7">
        <v>2.1000000000000001E-2</v>
      </c>
      <c r="G108" s="7">
        <v>0.1065</v>
      </c>
      <c r="H108" s="1">
        <v>6.4999999999999997E-3</v>
      </c>
      <c r="I108" s="1">
        <v>0.03</v>
      </c>
      <c r="J108" s="1">
        <v>0.18</v>
      </c>
      <c r="K108" s="1">
        <v>0.04</v>
      </c>
      <c r="L108" s="1">
        <v>0.14000000000000001</v>
      </c>
      <c r="M108" s="1">
        <v>1.4999999999999999E-2</v>
      </c>
      <c r="N108" s="2" t="s">
        <v>175</v>
      </c>
      <c r="O108" s="105">
        <v>49500</v>
      </c>
    </row>
    <row r="109" spans="1:24" ht="15" x14ac:dyDescent="0.2">
      <c r="B109" s="311" t="s">
        <v>470</v>
      </c>
      <c r="C109" s="316" t="s">
        <v>471</v>
      </c>
      <c r="D109" s="313">
        <v>0.35</v>
      </c>
      <c r="E109" s="313">
        <v>0</v>
      </c>
      <c r="F109" s="314">
        <v>2.1000000000000001E-2</v>
      </c>
      <c r="G109" s="314">
        <v>0.1065</v>
      </c>
      <c r="H109" s="1">
        <v>6.4999999999999997E-3</v>
      </c>
      <c r="I109" s="1">
        <v>0.03</v>
      </c>
      <c r="J109" s="1">
        <v>0.18</v>
      </c>
      <c r="K109" s="1">
        <v>0.04</v>
      </c>
      <c r="L109" s="1">
        <v>0.14000000000000001</v>
      </c>
      <c r="M109" s="1">
        <v>1.4999999999999999E-2</v>
      </c>
      <c r="N109" s="2" t="s">
        <v>175</v>
      </c>
      <c r="O109" s="105">
        <v>100000</v>
      </c>
    </row>
    <row r="110" spans="1:24" ht="15" x14ac:dyDescent="0.2">
      <c r="A110" s="369">
        <v>64</v>
      </c>
      <c r="B110" s="228" t="s">
        <v>226</v>
      </c>
      <c r="C110" s="188" t="s">
        <v>227</v>
      </c>
      <c r="D110" s="8">
        <v>0.35</v>
      </c>
      <c r="E110" s="8">
        <v>6.5000000000000002E-2</v>
      </c>
      <c r="F110" s="7">
        <v>2.1000000000000001E-2</v>
      </c>
      <c r="G110" s="7">
        <v>0.1065</v>
      </c>
      <c r="H110" s="1">
        <v>6.4999999999999997E-3</v>
      </c>
      <c r="I110" s="1">
        <v>0.03</v>
      </c>
      <c r="J110" s="1">
        <v>0.18</v>
      </c>
      <c r="K110" s="1">
        <v>0.04</v>
      </c>
      <c r="L110" s="1">
        <v>0.14000000000000001</v>
      </c>
      <c r="M110" s="1">
        <v>1.4999999999999999E-2</v>
      </c>
      <c r="N110" s="2" t="s">
        <v>175</v>
      </c>
      <c r="O110" s="105">
        <v>60000</v>
      </c>
      <c r="P110" s="347">
        <v>55</v>
      </c>
      <c r="Q110" s="347"/>
      <c r="R110" s="347"/>
      <c r="S110" s="347"/>
      <c r="T110" s="347"/>
      <c r="U110" s="347"/>
      <c r="V110" s="347"/>
      <c r="W110" s="347"/>
      <c r="X110" s="347"/>
    </row>
    <row r="111" spans="1:24" ht="15" x14ac:dyDescent="0.2">
      <c r="A111" s="4">
        <v>64</v>
      </c>
      <c r="B111" s="228" t="s">
        <v>228</v>
      </c>
      <c r="C111" s="188" t="s">
        <v>227</v>
      </c>
      <c r="D111" s="8">
        <v>0.35</v>
      </c>
      <c r="E111" s="8">
        <v>6.5000000000000002E-2</v>
      </c>
      <c r="F111" s="7">
        <v>2.1000000000000001E-2</v>
      </c>
      <c r="G111" s="7">
        <v>0.1065</v>
      </c>
      <c r="H111" s="1">
        <v>6.4999999999999997E-3</v>
      </c>
      <c r="I111" s="1">
        <v>0.03</v>
      </c>
      <c r="J111" s="1">
        <v>0.18</v>
      </c>
      <c r="K111" s="1">
        <v>0.04</v>
      </c>
      <c r="L111" s="1">
        <v>0.14000000000000001</v>
      </c>
      <c r="M111" s="1">
        <v>1.4999999999999999E-2</v>
      </c>
      <c r="N111" s="2" t="s">
        <v>175</v>
      </c>
      <c r="O111" s="105">
        <v>970000</v>
      </c>
      <c r="P111" s="4">
        <v>55</v>
      </c>
    </row>
    <row r="112" spans="1:24" ht="15" x14ac:dyDescent="0.2">
      <c r="A112" s="4">
        <v>65</v>
      </c>
      <c r="B112" s="228" t="s">
        <v>229</v>
      </c>
      <c r="C112" s="187" t="s">
        <v>230</v>
      </c>
      <c r="D112" s="8">
        <v>0.35</v>
      </c>
      <c r="E112" s="8">
        <v>0</v>
      </c>
      <c r="F112" s="7">
        <v>2.1000000000000001E-2</v>
      </c>
      <c r="G112" s="7">
        <v>0.1065</v>
      </c>
      <c r="H112" s="1">
        <v>6.4999999999999997E-3</v>
      </c>
      <c r="I112" s="1">
        <v>0.03</v>
      </c>
      <c r="J112" s="1">
        <v>0.18</v>
      </c>
      <c r="K112" s="1">
        <v>0.04</v>
      </c>
      <c r="L112" s="1">
        <v>0.14000000000000001</v>
      </c>
      <c r="M112" s="1">
        <v>1.4999999999999999E-2</v>
      </c>
      <c r="N112" s="2" t="s">
        <v>175</v>
      </c>
      <c r="O112" s="105">
        <v>18000</v>
      </c>
      <c r="P112" s="4">
        <v>56</v>
      </c>
    </row>
    <row r="113" spans="1:16" ht="14.25" customHeight="1" x14ac:dyDescent="0.2">
      <c r="A113" s="4">
        <v>66</v>
      </c>
      <c r="B113" s="228" t="s">
        <v>231</v>
      </c>
      <c r="C113" s="187" t="s">
        <v>230</v>
      </c>
      <c r="D113" s="8">
        <v>0.35</v>
      </c>
      <c r="E113" s="8">
        <v>0</v>
      </c>
      <c r="F113" s="7">
        <v>2.1000000000000001E-2</v>
      </c>
      <c r="G113" s="7">
        <v>0.1065</v>
      </c>
      <c r="H113" s="1">
        <v>6.4999999999999997E-3</v>
      </c>
      <c r="I113" s="1">
        <v>0.03</v>
      </c>
      <c r="J113" s="1">
        <v>0.18</v>
      </c>
      <c r="K113" s="1">
        <v>0.04</v>
      </c>
      <c r="L113" s="1">
        <v>0.14000000000000001</v>
      </c>
      <c r="M113" s="1">
        <v>1.4999999999999999E-2</v>
      </c>
      <c r="N113" s="2" t="s">
        <v>175</v>
      </c>
      <c r="O113" s="105">
        <v>18000</v>
      </c>
      <c r="P113" s="4">
        <v>57</v>
      </c>
    </row>
    <row r="114" spans="1:16" ht="15" x14ac:dyDescent="0.2">
      <c r="A114" s="4">
        <v>67</v>
      </c>
      <c r="B114" s="228" t="s">
        <v>232</v>
      </c>
      <c r="C114" s="187" t="s">
        <v>230</v>
      </c>
      <c r="D114" s="8">
        <v>0.35</v>
      </c>
      <c r="E114" s="8">
        <v>0</v>
      </c>
      <c r="F114" s="7">
        <v>2.1000000000000001E-2</v>
      </c>
      <c r="G114" s="7">
        <v>0.1065</v>
      </c>
      <c r="H114" s="1">
        <v>6.4999999999999997E-3</v>
      </c>
      <c r="I114" s="1">
        <v>0.03</v>
      </c>
      <c r="J114" s="1">
        <v>0.18</v>
      </c>
      <c r="K114" s="1">
        <v>0.04</v>
      </c>
      <c r="L114" s="1">
        <v>0.14000000000000001</v>
      </c>
      <c r="M114" s="1">
        <v>1.4999999999999999E-2</v>
      </c>
      <c r="N114" s="2" t="s">
        <v>175</v>
      </c>
      <c r="O114" s="105">
        <v>27200</v>
      </c>
      <c r="P114" s="4">
        <v>58</v>
      </c>
    </row>
    <row r="115" spans="1:16" ht="15" x14ac:dyDescent="0.2">
      <c r="A115" s="4">
        <v>68</v>
      </c>
      <c r="B115" s="228" t="s">
        <v>233</v>
      </c>
      <c r="C115" s="187" t="s">
        <v>234</v>
      </c>
      <c r="D115" s="8">
        <v>0.35</v>
      </c>
      <c r="E115" s="8">
        <v>0</v>
      </c>
      <c r="F115" s="7">
        <v>2.1000000000000001E-2</v>
      </c>
      <c r="G115" s="7">
        <v>0.1065</v>
      </c>
      <c r="H115" s="1">
        <v>6.4999999999999997E-3</v>
      </c>
      <c r="I115" s="1">
        <v>0.03</v>
      </c>
      <c r="J115" s="1">
        <v>0.18</v>
      </c>
      <c r="K115" s="1">
        <v>0.04</v>
      </c>
      <c r="L115" s="1">
        <v>0.14000000000000001</v>
      </c>
      <c r="M115" s="1">
        <v>1.4999999999999999E-2</v>
      </c>
      <c r="N115" s="2" t="s">
        <v>175</v>
      </c>
      <c r="O115" s="105">
        <v>25822</v>
      </c>
      <c r="P115" s="4">
        <v>59</v>
      </c>
    </row>
    <row r="116" spans="1:16" ht="15" x14ac:dyDescent="0.2">
      <c r="A116" s="4">
        <v>69</v>
      </c>
      <c r="B116" s="228" t="s">
        <v>235</v>
      </c>
      <c r="C116" s="187" t="s">
        <v>236</v>
      </c>
      <c r="D116" s="8">
        <v>0.2</v>
      </c>
      <c r="E116" s="8">
        <v>6.5000000000000002E-2</v>
      </c>
      <c r="F116" s="7">
        <v>2.1000000000000001E-2</v>
      </c>
      <c r="G116" s="7">
        <v>9.6500000000000002E-2</v>
      </c>
      <c r="H116" s="1">
        <v>6.4999999999999997E-3</v>
      </c>
      <c r="I116" s="1">
        <v>0.03</v>
      </c>
      <c r="J116" s="1">
        <v>0.18</v>
      </c>
      <c r="K116" s="1">
        <v>0.04</v>
      </c>
      <c r="L116" s="1">
        <v>0.14000000000000001</v>
      </c>
      <c r="M116" s="1">
        <v>1.4999999999999999E-2</v>
      </c>
      <c r="N116" s="2" t="s">
        <v>175</v>
      </c>
      <c r="O116" s="105">
        <v>59000</v>
      </c>
      <c r="P116" s="4">
        <v>60</v>
      </c>
    </row>
    <row r="117" spans="1:16" ht="15" x14ac:dyDescent="0.2">
      <c r="A117" s="4">
        <v>70</v>
      </c>
      <c r="B117" s="228" t="s">
        <v>237</v>
      </c>
      <c r="C117" s="187" t="s">
        <v>236</v>
      </c>
      <c r="D117" s="8">
        <v>0.2</v>
      </c>
      <c r="E117" s="8">
        <v>6.5000000000000002E-2</v>
      </c>
      <c r="F117" s="7">
        <v>2.1000000000000001E-2</v>
      </c>
      <c r="G117" s="7">
        <v>9.6500000000000002E-2</v>
      </c>
      <c r="H117" s="1">
        <v>6.4999999999999997E-3</v>
      </c>
      <c r="I117" s="1">
        <v>0.03</v>
      </c>
      <c r="J117" s="1">
        <v>0.18</v>
      </c>
      <c r="K117" s="1">
        <v>0.04</v>
      </c>
      <c r="L117" s="1">
        <v>0.14000000000000001</v>
      </c>
      <c r="M117" s="1">
        <v>1.4999999999999999E-2</v>
      </c>
      <c r="N117" s="2" t="s">
        <v>175</v>
      </c>
      <c r="O117" s="105">
        <v>59000</v>
      </c>
      <c r="P117" s="4">
        <v>61</v>
      </c>
    </row>
    <row r="118" spans="1:16" ht="15" x14ac:dyDescent="0.2">
      <c r="A118" s="4">
        <v>71</v>
      </c>
      <c r="B118" s="228" t="s">
        <v>238</v>
      </c>
      <c r="C118" s="187" t="s">
        <v>239</v>
      </c>
      <c r="D118" s="8">
        <v>0.35</v>
      </c>
      <c r="E118" s="8">
        <v>0</v>
      </c>
      <c r="F118" s="7">
        <v>2.1000000000000001E-2</v>
      </c>
      <c r="G118" s="7">
        <v>0.1065</v>
      </c>
      <c r="H118" s="1">
        <v>6.4999999999999997E-3</v>
      </c>
      <c r="I118" s="1">
        <v>0.03</v>
      </c>
      <c r="J118" s="1">
        <v>0.18</v>
      </c>
      <c r="K118" s="1">
        <v>0.04</v>
      </c>
      <c r="L118" s="1">
        <v>0.14000000000000001</v>
      </c>
      <c r="M118" s="1">
        <v>1.4999999999999999E-2</v>
      </c>
      <c r="N118" s="2" t="s">
        <v>175</v>
      </c>
      <c r="O118" s="105">
        <v>163000</v>
      </c>
      <c r="P118" s="4">
        <v>62</v>
      </c>
    </row>
    <row r="119" spans="1:16" ht="15" x14ac:dyDescent="0.2">
      <c r="A119" s="4">
        <v>72</v>
      </c>
      <c r="B119" s="228" t="s">
        <v>240</v>
      </c>
      <c r="C119" s="187" t="s">
        <v>241</v>
      </c>
      <c r="D119" s="8">
        <v>0.14399999999999999</v>
      </c>
      <c r="E119" s="8">
        <v>3.2500000000000001E-2</v>
      </c>
      <c r="F119" s="7">
        <v>2.1000000000000001E-2</v>
      </c>
      <c r="G119" s="7">
        <v>0.1065</v>
      </c>
      <c r="H119" s="1">
        <v>6.4999999999999997E-3</v>
      </c>
      <c r="I119" s="1">
        <v>0.03</v>
      </c>
      <c r="J119" s="1">
        <v>0.18</v>
      </c>
      <c r="K119" s="1">
        <v>0.04</v>
      </c>
      <c r="L119" s="1">
        <v>0.14000000000000001</v>
      </c>
      <c r="M119" s="1">
        <v>1.4999999999999999E-2</v>
      </c>
      <c r="N119" s="2" t="s">
        <v>175</v>
      </c>
      <c r="O119" s="105">
        <v>135000</v>
      </c>
      <c r="P119" s="4">
        <v>63</v>
      </c>
    </row>
    <row r="120" spans="1:16" ht="15" x14ac:dyDescent="0.2">
      <c r="A120" s="4">
        <v>72</v>
      </c>
      <c r="B120" s="228" t="s">
        <v>242</v>
      </c>
      <c r="C120" s="187" t="s">
        <v>243</v>
      </c>
      <c r="D120" s="8">
        <v>0.35</v>
      </c>
      <c r="E120" s="8">
        <v>0</v>
      </c>
      <c r="F120" s="7">
        <v>2.1000000000000001E-2</v>
      </c>
      <c r="G120" s="7">
        <v>9.6500000000000002E-2</v>
      </c>
      <c r="H120" s="1">
        <v>6.4999999999999997E-3</v>
      </c>
      <c r="I120" s="1">
        <v>0.03</v>
      </c>
      <c r="J120" s="1">
        <v>0.18</v>
      </c>
      <c r="K120" s="1">
        <v>0.04</v>
      </c>
      <c r="L120" s="1">
        <v>0.14000000000000001</v>
      </c>
      <c r="M120" s="1">
        <v>1.4999999999999999E-2</v>
      </c>
      <c r="N120" s="2" t="s">
        <v>175</v>
      </c>
      <c r="O120" s="105">
        <v>100000</v>
      </c>
      <c r="P120" s="4">
        <v>63</v>
      </c>
    </row>
    <row r="121" spans="1:16" ht="15" x14ac:dyDescent="0.2">
      <c r="A121" s="4">
        <v>73</v>
      </c>
      <c r="B121" s="228" t="s">
        <v>244</v>
      </c>
      <c r="C121" s="188" t="s">
        <v>245</v>
      </c>
      <c r="D121" s="8">
        <v>0</v>
      </c>
      <c r="E121" s="8">
        <v>7.8E-2</v>
      </c>
      <c r="F121" s="7">
        <v>2.1000000000000001E-2</v>
      </c>
      <c r="G121" s="7">
        <v>9.6500000000000002E-2</v>
      </c>
      <c r="H121" s="1">
        <v>6.4999999999999997E-3</v>
      </c>
      <c r="I121" s="1">
        <v>0.03</v>
      </c>
      <c r="J121" s="1">
        <v>0.18</v>
      </c>
      <c r="K121" s="1">
        <v>0.04</v>
      </c>
      <c r="L121" s="1">
        <v>0.14000000000000001</v>
      </c>
      <c r="M121" s="1">
        <v>1.4999999999999999E-2</v>
      </c>
      <c r="N121" s="2" t="s">
        <v>175</v>
      </c>
      <c r="O121" s="105">
        <v>100000</v>
      </c>
      <c r="P121" s="4">
        <v>64</v>
      </c>
    </row>
    <row r="122" spans="1:16" ht="15" x14ac:dyDescent="0.2">
      <c r="A122" s="4">
        <v>74</v>
      </c>
      <c r="B122" s="228" t="s">
        <v>246</v>
      </c>
      <c r="C122" s="188" t="s">
        <v>247</v>
      </c>
      <c r="D122" s="8">
        <v>0.16200000000000001</v>
      </c>
      <c r="E122" s="8">
        <v>0.1394</v>
      </c>
      <c r="F122" s="7">
        <v>2.1000000000000001E-2</v>
      </c>
      <c r="G122" s="7">
        <v>9.6500000000000002E-2</v>
      </c>
      <c r="H122" s="1">
        <v>6.4999999999999997E-3</v>
      </c>
      <c r="I122" s="1">
        <v>0.03</v>
      </c>
      <c r="J122" s="1">
        <v>0.18</v>
      </c>
      <c r="K122" s="1">
        <v>0.04</v>
      </c>
      <c r="L122" s="1">
        <v>0.14000000000000001</v>
      </c>
      <c r="M122" s="1">
        <v>1.4999999999999999E-2</v>
      </c>
      <c r="N122" s="2"/>
      <c r="O122" s="105"/>
      <c r="P122" s="4">
        <v>65</v>
      </c>
    </row>
    <row r="123" spans="1:16" ht="15" x14ac:dyDescent="0.2">
      <c r="A123" s="4">
        <v>75</v>
      </c>
      <c r="B123" s="311" t="s">
        <v>472</v>
      </c>
      <c r="C123" s="312" t="s">
        <v>473</v>
      </c>
      <c r="D123" s="313">
        <v>0.14399999999999999</v>
      </c>
      <c r="E123" s="313">
        <v>0</v>
      </c>
      <c r="F123" s="314">
        <v>2.1000000000000001E-2</v>
      </c>
      <c r="G123" s="314">
        <v>9.6500000000000002E-2</v>
      </c>
      <c r="H123" s="1">
        <v>6.4999999999999997E-3</v>
      </c>
      <c r="I123" s="1">
        <v>0.03</v>
      </c>
      <c r="J123" s="1">
        <v>0.18</v>
      </c>
      <c r="K123" s="1">
        <v>0.04</v>
      </c>
      <c r="L123" s="1">
        <v>0.14000000000000001</v>
      </c>
      <c r="M123" s="1">
        <v>1.4999999999999999E-2</v>
      </c>
      <c r="N123" s="2" t="s">
        <v>175</v>
      </c>
      <c r="O123" s="105">
        <v>1000</v>
      </c>
      <c r="P123" s="4">
        <v>66</v>
      </c>
    </row>
    <row r="124" spans="1:16" ht="15" x14ac:dyDescent="0.2">
      <c r="A124" s="4">
        <v>76</v>
      </c>
      <c r="B124" s="228" t="s">
        <v>248</v>
      </c>
      <c r="C124" s="187" t="s">
        <v>249</v>
      </c>
      <c r="D124" s="8">
        <v>0.14399999999999999</v>
      </c>
      <c r="E124" s="8">
        <v>0.1115</v>
      </c>
      <c r="F124" s="7">
        <v>2.1000000000000001E-2</v>
      </c>
      <c r="G124" s="7">
        <v>9.6500000000000002E-2</v>
      </c>
      <c r="H124" s="1">
        <v>6.4999999999999997E-3</v>
      </c>
      <c r="I124" s="1">
        <v>0.03</v>
      </c>
      <c r="J124" s="1">
        <v>0.18</v>
      </c>
      <c r="K124" s="1">
        <v>0.04</v>
      </c>
      <c r="L124" s="1">
        <v>0.14000000000000001</v>
      </c>
      <c r="M124" s="1">
        <v>1.4999999999999999E-2</v>
      </c>
      <c r="N124" s="2" t="s">
        <v>175</v>
      </c>
      <c r="O124" s="105"/>
      <c r="P124" s="4">
        <v>67</v>
      </c>
    </row>
    <row r="125" spans="1:16" ht="15" x14ac:dyDescent="0.2">
      <c r="A125" s="4">
        <v>77</v>
      </c>
      <c r="B125" s="269" t="s">
        <v>250</v>
      </c>
      <c r="C125" s="187" t="s">
        <v>251</v>
      </c>
      <c r="D125" s="6">
        <v>0.128</v>
      </c>
      <c r="E125" s="8">
        <v>0.05</v>
      </c>
      <c r="F125" s="7">
        <v>2.1000000000000001E-2</v>
      </c>
      <c r="G125" s="7">
        <v>0.1065</v>
      </c>
      <c r="H125" s="1">
        <v>6.4999999999999997E-3</v>
      </c>
      <c r="I125" s="1">
        <v>0.03</v>
      </c>
      <c r="J125" s="1">
        <v>0.18</v>
      </c>
      <c r="K125" s="1">
        <v>0.04</v>
      </c>
      <c r="L125" s="1">
        <v>0.14000000000000001</v>
      </c>
      <c r="M125" s="1">
        <v>1.4999999999999999E-2</v>
      </c>
      <c r="N125" s="2" t="s">
        <v>175</v>
      </c>
      <c r="O125" s="105">
        <v>1440</v>
      </c>
      <c r="P125" s="4">
        <v>68</v>
      </c>
    </row>
    <row r="126" spans="1:16" ht="15" x14ac:dyDescent="0.2">
      <c r="A126" s="4">
        <v>78</v>
      </c>
      <c r="B126" s="269" t="s">
        <v>252</v>
      </c>
      <c r="C126" s="187" t="s">
        <v>251</v>
      </c>
      <c r="D126" s="6">
        <v>0.128</v>
      </c>
      <c r="E126" s="8">
        <v>0.05</v>
      </c>
      <c r="F126" s="7">
        <v>2.1000000000000001E-2</v>
      </c>
      <c r="G126" s="7">
        <v>0.1065</v>
      </c>
      <c r="H126" s="1">
        <v>6.4999999999999997E-3</v>
      </c>
      <c r="I126" s="1">
        <v>0.03</v>
      </c>
      <c r="J126" s="1">
        <v>0.18</v>
      </c>
      <c r="K126" s="1">
        <v>0.04</v>
      </c>
      <c r="L126" s="1">
        <v>0.14000000000000001</v>
      </c>
      <c r="M126" s="1">
        <v>1.4999999999999999E-2</v>
      </c>
      <c r="N126" s="2" t="s">
        <v>175</v>
      </c>
      <c r="O126" s="105">
        <v>840</v>
      </c>
      <c r="P126" s="4">
        <v>69</v>
      </c>
    </row>
    <row r="127" spans="1:16" ht="15" x14ac:dyDescent="0.2">
      <c r="A127" s="4">
        <v>79</v>
      </c>
      <c r="B127" s="471" t="s">
        <v>253</v>
      </c>
      <c r="C127" s="366" t="s">
        <v>251</v>
      </c>
      <c r="D127" s="472">
        <v>0.128</v>
      </c>
      <c r="E127" s="367">
        <v>0.05</v>
      </c>
      <c r="F127" s="368">
        <v>2.1000000000000001E-2</v>
      </c>
      <c r="G127" s="368">
        <v>0.1065</v>
      </c>
      <c r="H127" s="1">
        <v>6.4999999999999997E-3</v>
      </c>
      <c r="I127" s="1">
        <v>0.03</v>
      </c>
      <c r="J127" s="1">
        <v>0.18</v>
      </c>
      <c r="K127" s="1">
        <v>0.04</v>
      </c>
      <c r="L127" s="1">
        <v>0.14000000000000001</v>
      </c>
      <c r="M127" s="1">
        <v>1.4999999999999999E-2</v>
      </c>
      <c r="N127" s="2" t="s">
        <v>175</v>
      </c>
      <c r="O127" s="105">
        <v>2880</v>
      </c>
      <c r="P127" s="4">
        <v>70</v>
      </c>
    </row>
    <row r="128" spans="1:16" ht="15" x14ac:dyDescent="0.2">
      <c r="A128" s="4">
        <v>80</v>
      </c>
      <c r="B128" s="269" t="s">
        <v>591</v>
      </c>
      <c r="C128" s="187" t="s">
        <v>590</v>
      </c>
      <c r="D128" s="6">
        <v>0.16200000000000001</v>
      </c>
      <c r="E128" s="8">
        <v>0.1132</v>
      </c>
      <c r="F128" s="7">
        <v>2.1000000000000001E-2</v>
      </c>
      <c r="G128" s="7">
        <v>0.1065</v>
      </c>
      <c r="H128" s="1">
        <v>6.4999999999999997E-3</v>
      </c>
      <c r="I128" s="1">
        <v>0.03</v>
      </c>
      <c r="J128" s="1">
        <v>0.18</v>
      </c>
      <c r="K128" s="1">
        <v>0.04</v>
      </c>
      <c r="L128" s="1">
        <v>0.14000000000000001</v>
      </c>
      <c r="M128" s="1">
        <v>1.4999999999999999E-2</v>
      </c>
      <c r="N128" s="2" t="s">
        <v>175</v>
      </c>
      <c r="O128" s="105">
        <v>2880</v>
      </c>
      <c r="P128" s="4">
        <v>71</v>
      </c>
    </row>
    <row r="129" spans="1:24" ht="15" x14ac:dyDescent="0.2">
      <c r="A129" s="4">
        <v>81</v>
      </c>
      <c r="B129" s="473" t="s">
        <v>593</v>
      </c>
      <c r="C129" s="366" t="s">
        <v>592</v>
      </c>
      <c r="D129" s="472">
        <v>0.2</v>
      </c>
      <c r="E129" s="367">
        <v>0</v>
      </c>
      <c r="F129" s="368">
        <v>2.1000000000000001E-2</v>
      </c>
      <c r="G129" s="368">
        <v>0.10249999999999999</v>
      </c>
      <c r="H129" s="1">
        <v>6.4999999999999997E-3</v>
      </c>
      <c r="I129" s="1">
        <v>0.03</v>
      </c>
      <c r="J129" s="1">
        <v>0.18</v>
      </c>
      <c r="K129" s="1">
        <v>0.04</v>
      </c>
      <c r="L129" s="1">
        <v>0.14000000000000001</v>
      </c>
      <c r="M129" s="1">
        <v>1.4999999999999999E-2</v>
      </c>
      <c r="N129" s="2" t="s">
        <v>175</v>
      </c>
      <c r="O129" s="105">
        <v>1</v>
      </c>
      <c r="P129" s="4">
        <v>72</v>
      </c>
    </row>
    <row r="130" spans="1:24" ht="15" x14ac:dyDescent="0.2">
      <c r="A130" s="4">
        <v>82</v>
      </c>
      <c r="B130" s="473" t="s">
        <v>594</v>
      </c>
      <c r="C130" s="366" t="s">
        <v>595</v>
      </c>
      <c r="D130" s="472">
        <v>0</v>
      </c>
      <c r="E130" s="367">
        <v>0</v>
      </c>
      <c r="F130" s="368">
        <v>2.1000000000000001E-2</v>
      </c>
      <c r="G130" s="368">
        <v>0.10249999999999999</v>
      </c>
      <c r="H130" s="1">
        <v>6.4999999999999997E-3</v>
      </c>
      <c r="I130" s="1">
        <v>0.03</v>
      </c>
      <c r="J130" s="1">
        <v>0.18</v>
      </c>
      <c r="K130" s="1">
        <v>0.04</v>
      </c>
      <c r="L130" s="1">
        <v>0.14000000000000001</v>
      </c>
      <c r="M130" s="1">
        <v>1.4999999999999999E-2</v>
      </c>
      <c r="N130" s="2" t="s">
        <v>175</v>
      </c>
      <c r="O130" s="105">
        <v>1</v>
      </c>
      <c r="P130" s="4">
        <v>73</v>
      </c>
    </row>
    <row r="131" spans="1:24" ht="15" x14ac:dyDescent="0.2">
      <c r="B131" s="125" t="s">
        <v>254</v>
      </c>
      <c r="C131" s="187" t="s">
        <v>255</v>
      </c>
      <c r="D131" s="6">
        <v>7.1999999999999995E-2</v>
      </c>
      <c r="E131" s="8">
        <v>0</v>
      </c>
      <c r="F131" s="7">
        <v>2.1000000000000001E-2</v>
      </c>
      <c r="G131" s="7">
        <v>9.6500000000000002E-2</v>
      </c>
      <c r="H131" s="1">
        <v>6.4999999999999997E-3</v>
      </c>
      <c r="I131" s="1">
        <v>0.03</v>
      </c>
      <c r="J131" s="1">
        <v>0.18</v>
      </c>
      <c r="K131" s="1">
        <v>0.04</v>
      </c>
      <c r="L131" s="1">
        <v>0.14000000000000001</v>
      </c>
      <c r="M131" s="1">
        <v>1.4999999999999999E-2</v>
      </c>
      <c r="N131" s="2" t="s">
        <v>175</v>
      </c>
      <c r="O131" s="105">
        <v>2200</v>
      </c>
    </row>
    <row r="132" spans="1:24" ht="15" x14ac:dyDescent="0.2">
      <c r="A132" s="369"/>
      <c r="B132" s="125" t="s">
        <v>256</v>
      </c>
      <c r="C132" s="187" t="s">
        <v>580</v>
      </c>
      <c r="D132" s="6">
        <v>3.5999999999999997E-2</v>
      </c>
      <c r="E132" s="8">
        <v>0</v>
      </c>
      <c r="F132" s="7">
        <v>2.1000000000000001E-2</v>
      </c>
      <c r="G132" s="7">
        <v>9.6500000000000002E-2</v>
      </c>
      <c r="H132" s="1">
        <v>6.4999999999999997E-3</v>
      </c>
      <c r="I132" s="1">
        <v>0.03</v>
      </c>
      <c r="J132" s="1">
        <v>0.18</v>
      </c>
      <c r="K132" s="1">
        <v>0.04</v>
      </c>
      <c r="L132" s="1">
        <v>0.14000000000000001</v>
      </c>
      <c r="M132" s="1">
        <v>1.4999999999999999E-2</v>
      </c>
      <c r="N132" s="2" t="s">
        <v>175</v>
      </c>
      <c r="O132" s="105">
        <v>530</v>
      </c>
      <c r="P132" s="369"/>
      <c r="Q132" s="369"/>
      <c r="R132" s="369"/>
      <c r="S132" s="369"/>
      <c r="T132" s="369"/>
      <c r="U132" s="369"/>
      <c r="V132" s="369"/>
      <c r="W132" s="369"/>
      <c r="X132" s="369"/>
    </row>
    <row r="133" spans="1:24" ht="15" x14ac:dyDescent="0.2">
      <c r="B133" s="125" t="s">
        <v>257</v>
      </c>
      <c r="C133" s="187" t="s">
        <v>258</v>
      </c>
      <c r="D133" s="6">
        <v>9.6000000000000002E-2</v>
      </c>
      <c r="E133" s="8">
        <v>0</v>
      </c>
      <c r="F133" s="7">
        <v>2.1000000000000001E-2</v>
      </c>
      <c r="G133" s="7">
        <v>9.6500000000000002E-2</v>
      </c>
      <c r="H133" s="1">
        <v>6.4999999999999997E-3</v>
      </c>
      <c r="I133" s="1">
        <v>0.03</v>
      </c>
      <c r="J133" s="1">
        <v>0.18</v>
      </c>
      <c r="K133" s="1">
        <v>0.04</v>
      </c>
      <c r="L133" s="1">
        <v>0.14000000000000001</v>
      </c>
      <c r="M133" s="1">
        <v>1.4999999999999999E-2</v>
      </c>
      <c r="N133" s="2" t="s">
        <v>175</v>
      </c>
      <c r="O133" s="105">
        <v>1200</v>
      </c>
    </row>
    <row r="134" spans="1:24" ht="15" x14ac:dyDescent="0.2">
      <c r="A134" s="4">
        <v>83</v>
      </c>
      <c r="B134" s="125" t="s">
        <v>259</v>
      </c>
      <c r="C134" s="187" t="s">
        <v>260</v>
      </c>
      <c r="D134" s="6">
        <v>0.25</v>
      </c>
      <c r="E134" s="8">
        <v>0</v>
      </c>
      <c r="F134" s="7">
        <v>2.1000000000000001E-2</v>
      </c>
      <c r="G134" s="7">
        <v>9.6500000000000002E-2</v>
      </c>
      <c r="H134" s="1">
        <v>6.4999999999999997E-3</v>
      </c>
      <c r="I134" s="1">
        <v>0.03</v>
      </c>
      <c r="J134" s="1">
        <v>0.18</v>
      </c>
      <c r="K134" s="1">
        <v>0.04</v>
      </c>
      <c r="L134" s="1">
        <v>0.14000000000000001</v>
      </c>
      <c r="M134" s="1">
        <v>1.4999999999999999E-2</v>
      </c>
      <c r="N134" s="2" t="s">
        <v>175</v>
      </c>
      <c r="O134" s="105">
        <v>2200</v>
      </c>
      <c r="P134" s="4">
        <v>74</v>
      </c>
    </row>
    <row r="135" spans="1:24" ht="15" x14ac:dyDescent="0.2">
      <c r="A135" s="4">
        <v>84</v>
      </c>
      <c r="B135" s="125" t="s">
        <v>40</v>
      </c>
      <c r="C135" s="187" t="s">
        <v>260</v>
      </c>
      <c r="D135" s="6">
        <v>0.25</v>
      </c>
      <c r="E135" s="8">
        <v>0</v>
      </c>
      <c r="F135" s="7">
        <v>2.1000000000000001E-2</v>
      </c>
      <c r="G135" s="7">
        <v>9.6500000000000002E-2</v>
      </c>
      <c r="H135" s="1">
        <v>6.4999999999999997E-3</v>
      </c>
      <c r="I135" s="1">
        <v>0.03</v>
      </c>
      <c r="J135" s="1">
        <v>0.18</v>
      </c>
      <c r="K135" s="1">
        <v>0.04</v>
      </c>
      <c r="L135" s="1">
        <v>0.14000000000000001</v>
      </c>
      <c r="M135" s="1">
        <v>1.4999999999999999E-2</v>
      </c>
      <c r="N135" s="2" t="s">
        <v>175</v>
      </c>
      <c r="O135" s="105">
        <v>1250</v>
      </c>
      <c r="P135" s="4">
        <v>75</v>
      </c>
    </row>
    <row r="136" spans="1:24" ht="15" x14ac:dyDescent="0.2">
      <c r="A136" s="4">
        <v>85</v>
      </c>
      <c r="B136" s="125" t="s">
        <v>474</v>
      </c>
      <c r="C136" s="187" t="s">
        <v>475</v>
      </c>
      <c r="D136" s="6">
        <v>0.09</v>
      </c>
      <c r="E136" s="8">
        <v>0</v>
      </c>
      <c r="F136" s="7">
        <v>2.1000000000000001E-2</v>
      </c>
      <c r="G136" s="7">
        <v>9.6500000000000002E-2</v>
      </c>
      <c r="H136" s="1">
        <v>6.4999999999999997E-3</v>
      </c>
      <c r="I136" s="1">
        <v>0.03</v>
      </c>
      <c r="J136" s="1">
        <v>0.18</v>
      </c>
      <c r="K136" s="1">
        <v>0.04</v>
      </c>
      <c r="L136" s="1">
        <v>0.14000000000000001</v>
      </c>
      <c r="M136" s="1">
        <v>1.4999999999999999E-2</v>
      </c>
      <c r="N136" s="2" t="s">
        <v>175</v>
      </c>
      <c r="O136" s="105">
        <v>5000</v>
      </c>
      <c r="P136" s="4">
        <v>76</v>
      </c>
    </row>
    <row r="137" spans="1:24" ht="15" x14ac:dyDescent="0.2">
      <c r="A137" s="4">
        <v>86</v>
      </c>
      <c r="B137" s="125" t="s">
        <v>261</v>
      </c>
      <c r="C137" s="187" t="s">
        <v>262</v>
      </c>
      <c r="D137" s="6">
        <v>0.112</v>
      </c>
      <c r="E137" s="8">
        <v>3.61E-2</v>
      </c>
      <c r="F137" s="7">
        <v>2.1000000000000001E-2</v>
      </c>
      <c r="G137" s="7">
        <v>9.6500000000000002E-2</v>
      </c>
      <c r="H137" s="1">
        <v>6.4999999999999997E-3</v>
      </c>
      <c r="I137" s="1">
        <v>0.03</v>
      </c>
      <c r="J137" s="1">
        <v>0.18</v>
      </c>
      <c r="K137" s="1">
        <v>0.04</v>
      </c>
      <c r="L137" s="1">
        <v>0.14000000000000001</v>
      </c>
      <c r="M137" s="1">
        <v>1.4999999999999999E-2</v>
      </c>
      <c r="N137" s="2" t="s">
        <v>175</v>
      </c>
      <c r="O137" s="105">
        <v>5000</v>
      </c>
      <c r="P137" s="4">
        <v>77</v>
      </c>
    </row>
    <row r="138" spans="1:24" ht="15" x14ac:dyDescent="0.2">
      <c r="A138" s="4">
        <v>87</v>
      </c>
      <c r="B138" s="125" t="s">
        <v>263</v>
      </c>
      <c r="C138" s="187" t="s">
        <v>264</v>
      </c>
      <c r="D138" s="6">
        <v>0.126</v>
      </c>
      <c r="E138" s="8">
        <v>0</v>
      </c>
      <c r="F138" s="7">
        <v>2.1000000000000001E-2</v>
      </c>
      <c r="G138" s="7">
        <v>9.6500000000000002E-2</v>
      </c>
      <c r="H138" s="1">
        <v>6.4999999999999997E-3</v>
      </c>
      <c r="I138" s="1">
        <v>0.03</v>
      </c>
      <c r="J138" s="1">
        <v>0.18</v>
      </c>
      <c r="K138" s="1">
        <v>0.04</v>
      </c>
      <c r="L138" s="1">
        <v>0.14000000000000001</v>
      </c>
      <c r="M138" s="1">
        <v>1.4999999999999999E-2</v>
      </c>
      <c r="N138" s="2" t="s">
        <v>175</v>
      </c>
      <c r="O138" s="105">
        <v>458000</v>
      </c>
    </row>
    <row r="139" spans="1:24" ht="15" x14ac:dyDescent="0.2">
      <c r="A139" s="4">
        <v>88</v>
      </c>
      <c r="B139" s="125" t="s">
        <v>265</v>
      </c>
      <c r="C139" s="187" t="s">
        <v>266</v>
      </c>
      <c r="D139" s="6">
        <v>0.126</v>
      </c>
      <c r="E139" s="8">
        <v>3.6499999999999998E-2</v>
      </c>
      <c r="F139" s="7">
        <v>2.1000000000000001E-2</v>
      </c>
      <c r="G139" s="7">
        <v>9.6500000000000002E-2</v>
      </c>
      <c r="H139" s="1">
        <v>6.4999999999999997E-3</v>
      </c>
      <c r="I139" s="1">
        <v>0.03</v>
      </c>
      <c r="J139" s="1">
        <v>0.18</v>
      </c>
      <c r="K139" s="1">
        <v>0.04</v>
      </c>
      <c r="L139" s="1">
        <v>0.14000000000000001</v>
      </c>
      <c r="M139" s="1">
        <v>1.4999999999999999E-2</v>
      </c>
      <c r="N139" s="2" t="s">
        <v>175</v>
      </c>
      <c r="O139" s="105">
        <v>25000</v>
      </c>
      <c r="P139" s="4">
        <v>78</v>
      </c>
    </row>
    <row r="140" spans="1:24" ht="15" x14ac:dyDescent="0.2">
      <c r="A140" s="4">
        <v>89</v>
      </c>
      <c r="B140" s="125" t="s">
        <v>267</v>
      </c>
      <c r="C140" s="187" t="s">
        <v>268</v>
      </c>
      <c r="D140" s="6">
        <v>0.112</v>
      </c>
      <c r="E140" s="8">
        <v>0</v>
      </c>
      <c r="F140" s="7">
        <v>2.1000000000000001E-2</v>
      </c>
      <c r="G140" s="7">
        <v>0.1065</v>
      </c>
      <c r="H140" s="1">
        <v>6.4999999999999997E-3</v>
      </c>
      <c r="I140" s="1">
        <v>0.03</v>
      </c>
      <c r="J140" s="1">
        <v>0.18</v>
      </c>
      <c r="K140" s="1">
        <v>0.04</v>
      </c>
      <c r="L140" s="1">
        <v>0.14000000000000001</v>
      </c>
      <c r="M140" s="1">
        <v>1.4999999999999999E-2</v>
      </c>
      <c r="N140" s="2" t="s">
        <v>175</v>
      </c>
      <c r="O140" s="105">
        <v>1</v>
      </c>
      <c r="P140" s="4">
        <v>79</v>
      </c>
    </row>
    <row r="141" spans="1:24" ht="15" x14ac:dyDescent="0.2">
      <c r="A141" s="4">
        <v>90</v>
      </c>
      <c r="B141" s="125" t="s">
        <v>269</v>
      </c>
      <c r="C141" s="187" t="s">
        <v>270</v>
      </c>
      <c r="D141" s="6">
        <v>0.112</v>
      </c>
      <c r="E141" s="8">
        <v>0</v>
      </c>
      <c r="F141" s="7">
        <v>2.1000000000000001E-2</v>
      </c>
      <c r="G141" s="7">
        <v>0.1065</v>
      </c>
      <c r="H141" s="1">
        <v>6.4999999999999997E-3</v>
      </c>
      <c r="I141" s="1">
        <v>0.03</v>
      </c>
      <c r="J141" s="1">
        <v>0.18</v>
      </c>
      <c r="K141" s="1">
        <v>0.04</v>
      </c>
      <c r="L141" s="1">
        <v>0.14000000000000001</v>
      </c>
      <c r="M141" s="1">
        <v>1.4999999999999999E-2</v>
      </c>
      <c r="N141" s="2" t="s">
        <v>175</v>
      </c>
      <c r="O141" s="105">
        <v>1</v>
      </c>
      <c r="P141" s="4">
        <v>79</v>
      </c>
    </row>
    <row r="142" spans="1:24" ht="15" x14ac:dyDescent="0.2">
      <c r="A142" s="4">
        <v>91</v>
      </c>
      <c r="B142" s="125" t="s">
        <v>599</v>
      </c>
      <c r="C142" s="187" t="s">
        <v>600</v>
      </c>
      <c r="D142" s="6">
        <v>0.12</v>
      </c>
      <c r="E142" s="8">
        <v>6.5000000000000002E-2</v>
      </c>
      <c r="F142" s="7">
        <v>2.1000000000000001E-2</v>
      </c>
      <c r="G142" s="7">
        <v>9.6500000000000002E-2</v>
      </c>
      <c r="H142" s="1">
        <v>6.4999999999999997E-3</v>
      </c>
      <c r="I142" s="1">
        <v>0.03</v>
      </c>
      <c r="J142" s="1">
        <v>0.18</v>
      </c>
      <c r="K142" s="1">
        <v>0.04</v>
      </c>
      <c r="L142" s="1">
        <v>0.14000000000000001</v>
      </c>
      <c r="M142" s="1">
        <v>1.4999999999999999E-2</v>
      </c>
      <c r="N142" s="2" t="s">
        <v>175</v>
      </c>
      <c r="O142" s="105"/>
      <c r="P142" s="4">
        <v>80</v>
      </c>
    </row>
    <row r="143" spans="1:24" ht="15" x14ac:dyDescent="0.2">
      <c r="B143" s="125" t="s">
        <v>681</v>
      </c>
      <c r="C143" s="187" t="s">
        <v>682</v>
      </c>
      <c r="D143" s="472">
        <v>0.16200000000000001</v>
      </c>
      <c r="E143" s="367">
        <v>0</v>
      </c>
      <c r="F143" s="368">
        <v>2.1000000000000001E-2</v>
      </c>
      <c r="G143" s="368">
        <v>0.10249999999999999</v>
      </c>
      <c r="H143" s="1">
        <v>1.6500000000000001E-2</v>
      </c>
      <c r="I143" s="1">
        <v>7.5999999999999998E-2</v>
      </c>
      <c r="J143" s="1">
        <v>0.18</v>
      </c>
      <c r="K143" s="1">
        <v>0.04</v>
      </c>
      <c r="L143" s="1">
        <v>0.14000000000000001</v>
      </c>
      <c r="M143" s="1">
        <v>1.4999999999999999E-2</v>
      </c>
      <c r="N143" s="2"/>
      <c r="O143" s="105"/>
    </row>
    <row r="144" spans="1:24" ht="15" x14ac:dyDescent="0.2">
      <c r="A144" s="4">
        <v>92</v>
      </c>
      <c r="B144" s="125" t="s">
        <v>601</v>
      </c>
      <c r="C144" s="187" t="s">
        <v>602</v>
      </c>
      <c r="D144" s="6">
        <v>0.18</v>
      </c>
      <c r="E144" s="8">
        <v>5.8999999999999997E-2</v>
      </c>
      <c r="F144" s="7">
        <v>2.1000000000000001E-2</v>
      </c>
      <c r="G144" s="7">
        <v>9.6500000000000002E-2</v>
      </c>
      <c r="H144" s="1">
        <v>6.4999999999999997E-3</v>
      </c>
      <c r="I144" s="1">
        <v>0.03</v>
      </c>
      <c r="J144" s="1">
        <v>0.18</v>
      </c>
      <c r="K144" s="1">
        <v>0.04</v>
      </c>
      <c r="L144" s="1">
        <v>0.14000000000000001</v>
      </c>
      <c r="M144" s="1">
        <v>1.4999999999999999E-2</v>
      </c>
      <c r="N144" s="2" t="s">
        <v>175</v>
      </c>
      <c r="O144" s="105"/>
    </row>
    <row r="145" spans="1:16" ht="15" x14ac:dyDescent="0.2">
      <c r="A145" s="4">
        <v>93</v>
      </c>
      <c r="B145" s="125" t="s">
        <v>603</v>
      </c>
      <c r="C145" s="187" t="s">
        <v>604</v>
      </c>
      <c r="D145" s="6">
        <v>0.16200000000000001</v>
      </c>
      <c r="E145" s="8">
        <v>0</v>
      </c>
      <c r="F145" s="7">
        <v>2.1000000000000001E-2</v>
      </c>
      <c r="G145" s="7">
        <v>9.6500000000000002E-2</v>
      </c>
      <c r="H145" s="1">
        <v>6.4999999999999997E-3</v>
      </c>
      <c r="I145" s="1">
        <v>0.03</v>
      </c>
      <c r="J145" s="1">
        <v>0.18</v>
      </c>
      <c r="K145" s="1">
        <v>0.04</v>
      </c>
      <c r="L145" s="1">
        <v>0.14000000000000001</v>
      </c>
      <c r="M145" s="1">
        <v>1.4999999999999999E-2</v>
      </c>
      <c r="N145" s="2" t="s">
        <v>175</v>
      </c>
      <c r="O145" s="105"/>
    </row>
    <row r="146" spans="1:16" ht="15" x14ac:dyDescent="0.2">
      <c r="A146" s="4">
        <v>94</v>
      </c>
      <c r="B146" s="125" t="s">
        <v>605</v>
      </c>
      <c r="C146" s="187" t="s">
        <v>606</v>
      </c>
      <c r="D146" s="6">
        <v>0.16200000000000001</v>
      </c>
      <c r="E146" s="8">
        <v>3.7699999999999997E-2</v>
      </c>
      <c r="F146" s="7">
        <v>2.1000000000000001E-2</v>
      </c>
      <c r="G146" s="7">
        <v>9.6500000000000002E-2</v>
      </c>
      <c r="H146" s="1">
        <v>6.4999999999999997E-3</v>
      </c>
      <c r="I146" s="1">
        <v>0.03</v>
      </c>
      <c r="J146" s="1">
        <v>0.18</v>
      </c>
      <c r="K146" s="1">
        <v>0.04</v>
      </c>
      <c r="L146" s="1">
        <v>0.14000000000000001</v>
      </c>
      <c r="M146" s="1">
        <v>1.4999999999999999E-2</v>
      </c>
      <c r="N146" s="2" t="s">
        <v>175</v>
      </c>
      <c r="O146" s="105">
        <v>1000000</v>
      </c>
      <c r="P146" s="4">
        <v>78</v>
      </c>
    </row>
    <row r="147" spans="1:16" ht="15" x14ac:dyDescent="0.2">
      <c r="A147" s="4">
        <v>95</v>
      </c>
      <c r="B147" s="125" t="s">
        <v>607</v>
      </c>
      <c r="C147" s="188" t="s">
        <v>608</v>
      </c>
      <c r="D147" s="6">
        <v>0.18</v>
      </c>
      <c r="E147" s="8">
        <v>0.115</v>
      </c>
      <c r="F147" s="7">
        <v>2.1000000000000001E-2</v>
      </c>
      <c r="G147" s="7">
        <v>9.6500000000000002E-2</v>
      </c>
      <c r="H147" s="1">
        <v>6.4999999999999997E-3</v>
      </c>
      <c r="I147" s="1">
        <v>0.03</v>
      </c>
      <c r="J147" s="1">
        <v>0.18</v>
      </c>
      <c r="K147" s="1">
        <v>0.04</v>
      </c>
      <c r="L147" s="1">
        <v>0.14000000000000001</v>
      </c>
      <c r="M147" s="1">
        <v>1.4999999999999999E-2</v>
      </c>
      <c r="N147" s="2" t="s">
        <v>175</v>
      </c>
      <c r="O147" s="105">
        <v>25000</v>
      </c>
      <c r="P147" s="4">
        <v>79</v>
      </c>
    </row>
    <row r="148" spans="1:16" ht="15" x14ac:dyDescent="0.2">
      <c r="A148" s="4">
        <v>96</v>
      </c>
      <c r="B148" s="125" t="s">
        <v>273</v>
      </c>
      <c r="C148" s="187" t="s">
        <v>274</v>
      </c>
      <c r="D148" s="6">
        <v>0.128</v>
      </c>
      <c r="E148" s="8">
        <v>0</v>
      </c>
      <c r="F148" s="7">
        <v>2.1000000000000001E-2</v>
      </c>
      <c r="G148" s="7">
        <v>9.6500000000000002E-2</v>
      </c>
      <c r="H148" s="1">
        <v>6.4999999999999997E-3</v>
      </c>
      <c r="I148" s="1">
        <v>0.03</v>
      </c>
      <c r="J148" s="1">
        <v>0.18</v>
      </c>
      <c r="K148" s="1">
        <v>0.04</v>
      </c>
      <c r="L148" s="1">
        <v>0.14000000000000001</v>
      </c>
      <c r="M148" s="1">
        <v>1.4999999999999999E-2</v>
      </c>
      <c r="N148" s="2" t="s">
        <v>175</v>
      </c>
      <c r="O148" s="105">
        <v>76800</v>
      </c>
      <c r="P148" s="4">
        <v>79</v>
      </c>
    </row>
    <row r="149" spans="1:16" ht="15" x14ac:dyDescent="0.2">
      <c r="A149" s="4">
        <v>97</v>
      </c>
      <c r="B149" s="125" t="s">
        <v>275</v>
      </c>
      <c r="C149" s="187" t="s">
        <v>274</v>
      </c>
      <c r="D149" s="6">
        <v>0.128</v>
      </c>
      <c r="E149" s="8">
        <v>0</v>
      </c>
      <c r="F149" s="7">
        <v>2.1000000000000001E-2</v>
      </c>
      <c r="G149" s="7">
        <v>9.6500000000000002E-2</v>
      </c>
      <c r="H149" s="1">
        <v>6.4999999999999997E-3</v>
      </c>
      <c r="I149" s="1">
        <v>0.03</v>
      </c>
      <c r="J149" s="1">
        <v>0.18</v>
      </c>
      <c r="K149" s="1">
        <v>0.04</v>
      </c>
      <c r="L149" s="1">
        <v>0.14000000000000001</v>
      </c>
      <c r="M149" s="1">
        <v>1.4999999999999999E-2</v>
      </c>
      <c r="N149" s="2" t="s">
        <v>175</v>
      </c>
      <c r="O149" s="105">
        <v>32200</v>
      </c>
      <c r="P149" s="4">
        <v>80</v>
      </c>
    </row>
    <row r="150" spans="1:16" ht="15" x14ac:dyDescent="0.2">
      <c r="B150" s="125" t="s">
        <v>276</v>
      </c>
      <c r="C150" s="187" t="s">
        <v>274</v>
      </c>
      <c r="D150" s="6">
        <v>0.128</v>
      </c>
      <c r="E150" s="8">
        <v>0</v>
      </c>
      <c r="F150" s="7">
        <v>2.1000000000000001E-2</v>
      </c>
      <c r="G150" s="7">
        <v>9.6500000000000002E-2</v>
      </c>
      <c r="H150" s="1">
        <v>6.4999999999999997E-3</v>
      </c>
      <c r="I150" s="1">
        <v>0.03</v>
      </c>
      <c r="J150" s="1">
        <v>0.18</v>
      </c>
      <c r="K150" s="1">
        <v>0.04</v>
      </c>
      <c r="L150" s="1">
        <v>0.14000000000000001</v>
      </c>
      <c r="M150" s="1">
        <v>1.4999999999999999E-2</v>
      </c>
      <c r="N150" s="2" t="s">
        <v>175</v>
      </c>
      <c r="O150" s="105">
        <v>32200</v>
      </c>
    </row>
    <row r="151" spans="1:16" ht="15" x14ac:dyDescent="0.2">
      <c r="A151" s="4">
        <v>98</v>
      </c>
      <c r="B151" s="125" t="s">
        <v>277</v>
      </c>
      <c r="C151" s="187" t="s">
        <v>274</v>
      </c>
      <c r="D151" s="6">
        <v>0.128</v>
      </c>
      <c r="E151" s="8">
        <v>0</v>
      </c>
      <c r="F151" s="7">
        <v>2.1000000000000001E-2</v>
      </c>
      <c r="G151" s="7">
        <v>9.6500000000000002E-2</v>
      </c>
      <c r="H151" s="1">
        <v>6.4999999999999997E-3</v>
      </c>
      <c r="I151" s="1">
        <v>0.03</v>
      </c>
      <c r="J151" s="1">
        <v>0.18</v>
      </c>
      <c r="K151" s="1">
        <v>0.04</v>
      </c>
      <c r="L151" s="1">
        <v>0.14000000000000001</v>
      </c>
      <c r="M151" s="1">
        <v>1.4999999999999999E-2</v>
      </c>
      <c r="N151" s="2" t="s">
        <v>175</v>
      </c>
      <c r="O151" s="105">
        <v>38600</v>
      </c>
    </row>
    <row r="152" spans="1:16" ht="15" x14ac:dyDescent="0.2">
      <c r="A152" s="4">
        <v>99</v>
      </c>
      <c r="B152" s="125" t="s">
        <v>278</v>
      </c>
      <c r="C152" s="187" t="s">
        <v>279</v>
      </c>
      <c r="D152" s="6">
        <v>0.16200000000000001</v>
      </c>
      <c r="E152" s="8">
        <v>9.7500000000000003E-2</v>
      </c>
      <c r="F152" s="7">
        <v>2.1000000000000001E-2</v>
      </c>
      <c r="G152" s="7">
        <v>0.1065</v>
      </c>
      <c r="H152" s="1">
        <v>6.4999999999999997E-3</v>
      </c>
      <c r="I152" s="1">
        <v>0.03</v>
      </c>
      <c r="J152" s="1">
        <v>0.18</v>
      </c>
      <c r="K152" s="1">
        <v>0.04</v>
      </c>
      <c r="L152" s="1">
        <v>0.14000000000000001</v>
      </c>
      <c r="M152" s="1">
        <v>1.4999999999999999E-2</v>
      </c>
      <c r="N152" s="2" t="s">
        <v>175</v>
      </c>
      <c r="O152" s="105">
        <v>490</v>
      </c>
      <c r="P152" s="4">
        <v>81</v>
      </c>
    </row>
    <row r="153" spans="1:16" ht="15" x14ac:dyDescent="0.2">
      <c r="B153" s="125" t="s">
        <v>532</v>
      </c>
      <c r="C153" s="187" t="s">
        <v>533</v>
      </c>
      <c r="D153" s="6">
        <v>3.5999999999999997E-2</v>
      </c>
      <c r="E153" s="8">
        <v>0</v>
      </c>
      <c r="F153" s="7">
        <v>2.1000000000000001E-2</v>
      </c>
      <c r="G153" s="7">
        <v>9.6500000000000002E-2</v>
      </c>
      <c r="H153" s="1">
        <v>6.4999999999999997E-3</v>
      </c>
      <c r="I153" s="1">
        <v>0.03</v>
      </c>
      <c r="J153" s="1">
        <v>0.18</v>
      </c>
      <c r="K153" s="1">
        <v>0.04</v>
      </c>
      <c r="L153" s="1">
        <v>0.14000000000000001</v>
      </c>
      <c r="M153" s="1">
        <v>1.4999999999999999E-2</v>
      </c>
      <c r="N153" s="2" t="s">
        <v>175</v>
      </c>
      <c r="O153" s="105">
        <v>385</v>
      </c>
    </row>
    <row r="154" spans="1:16" ht="15" x14ac:dyDescent="0.2">
      <c r="A154" s="4">
        <v>100</v>
      </c>
      <c r="B154" s="125" t="s">
        <v>280</v>
      </c>
      <c r="C154" s="187" t="s">
        <v>281</v>
      </c>
      <c r="D154" s="6">
        <v>0.128</v>
      </c>
      <c r="E154" s="8">
        <v>0</v>
      </c>
      <c r="F154" s="7">
        <v>2.1000000000000001E-2</v>
      </c>
      <c r="G154" s="7">
        <v>9.6500000000000002E-2</v>
      </c>
      <c r="H154" s="1">
        <v>6.4999999999999997E-3</v>
      </c>
      <c r="I154" s="1">
        <v>0.03</v>
      </c>
      <c r="J154" s="1">
        <v>0.18</v>
      </c>
      <c r="K154" s="1">
        <v>0.04</v>
      </c>
      <c r="L154" s="1">
        <v>0.14000000000000001</v>
      </c>
      <c r="M154" s="1">
        <v>1.4999999999999999E-2</v>
      </c>
      <c r="N154" s="2" t="s">
        <v>175</v>
      </c>
      <c r="O154" s="105">
        <f>100*24</f>
        <v>2400</v>
      </c>
      <c r="P154" s="4">
        <v>82</v>
      </c>
    </row>
    <row r="155" spans="1:16" ht="15" x14ac:dyDescent="0.2">
      <c r="A155" s="4">
        <v>101</v>
      </c>
      <c r="B155" s="125" t="s">
        <v>466</v>
      </c>
      <c r="C155" s="187" t="s">
        <v>467</v>
      </c>
      <c r="D155" s="6">
        <v>0.14399999999999999</v>
      </c>
      <c r="E155" s="8">
        <v>0.1115</v>
      </c>
      <c r="F155" s="7">
        <v>2.1000000000000001E-2</v>
      </c>
      <c r="G155" s="7">
        <v>9.6500000000000002E-2</v>
      </c>
      <c r="H155" s="1">
        <v>6.4999999999999997E-3</v>
      </c>
      <c r="I155" s="1">
        <v>0.03</v>
      </c>
      <c r="J155" s="1">
        <v>0.18</v>
      </c>
      <c r="K155" s="1">
        <v>0.04</v>
      </c>
      <c r="L155" s="1">
        <v>0.14000000000000001</v>
      </c>
      <c r="M155" s="1">
        <v>1.4999999999999999E-2</v>
      </c>
      <c r="N155" s="2" t="s">
        <v>175</v>
      </c>
      <c r="O155" s="105">
        <v>25000</v>
      </c>
      <c r="P155" s="4">
        <v>83</v>
      </c>
    </row>
    <row r="156" spans="1:16" ht="15" x14ac:dyDescent="0.2">
      <c r="A156" s="4">
        <v>102</v>
      </c>
      <c r="B156" s="125" t="s">
        <v>282</v>
      </c>
      <c r="C156" s="187" t="s">
        <v>283</v>
      </c>
      <c r="D156" s="6">
        <v>0.128</v>
      </c>
      <c r="E156" s="8">
        <v>0.05</v>
      </c>
      <c r="F156" s="7">
        <v>2.1000000000000001E-2</v>
      </c>
      <c r="G156" s="7">
        <v>0.1065</v>
      </c>
      <c r="H156" s="1">
        <v>6.4999999999999997E-3</v>
      </c>
      <c r="I156" s="1">
        <v>0.03</v>
      </c>
      <c r="J156" s="1">
        <v>0.18</v>
      </c>
      <c r="K156" s="1">
        <v>0.04</v>
      </c>
      <c r="L156" s="1">
        <v>0.14000000000000001</v>
      </c>
      <c r="M156" s="1">
        <v>1.4999999999999999E-2</v>
      </c>
      <c r="N156" s="2" t="s">
        <v>175</v>
      </c>
      <c r="O156" s="105">
        <v>160000</v>
      </c>
      <c r="P156" s="4">
        <v>84</v>
      </c>
    </row>
    <row r="157" spans="1:16" ht="15" x14ac:dyDescent="0.2">
      <c r="A157" s="4">
        <v>103</v>
      </c>
      <c r="B157" s="125" t="s">
        <v>284</v>
      </c>
      <c r="C157" s="187" t="s">
        <v>283</v>
      </c>
      <c r="D157" s="6">
        <v>0.128</v>
      </c>
      <c r="E157" s="8">
        <v>0.05</v>
      </c>
      <c r="F157" s="7">
        <v>2.1000000000000001E-2</v>
      </c>
      <c r="G157" s="7">
        <v>0.1065</v>
      </c>
      <c r="H157" s="1">
        <v>6.4999999999999997E-3</v>
      </c>
      <c r="I157" s="1">
        <v>0.03</v>
      </c>
      <c r="J157" s="1">
        <v>0.18</v>
      </c>
      <c r="K157" s="1">
        <v>0.04</v>
      </c>
      <c r="L157" s="1">
        <v>0.14000000000000001</v>
      </c>
      <c r="M157" s="1">
        <v>1.4999999999999999E-2</v>
      </c>
      <c r="N157" s="2" t="s">
        <v>175</v>
      </c>
      <c r="O157" s="105">
        <v>105000</v>
      </c>
      <c r="P157" s="4">
        <v>85</v>
      </c>
    </row>
    <row r="158" spans="1:16" ht="15" x14ac:dyDescent="0.2">
      <c r="A158" s="4">
        <v>104</v>
      </c>
      <c r="B158" s="125" t="s">
        <v>285</v>
      </c>
      <c r="C158" s="187" t="s">
        <v>283</v>
      </c>
      <c r="D158" s="6">
        <v>0.128</v>
      </c>
      <c r="E158" s="8">
        <v>0.05</v>
      </c>
      <c r="F158" s="7">
        <v>2.1000000000000001E-2</v>
      </c>
      <c r="G158" s="7">
        <v>0.1065</v>
      </c>
      <c r="H158" s="1">
        <v>6.4999999999999997E-3</v>
      </c>
      <c r="I158" s="1">
        <v>0.03</v>
      </c>
      <c r="J158" s="1">
        <v>0.18</v>
      </c>
      <c r="K158" s="1">
        <v>0.04</v>
      </c>
      <c r="L158" s="1">
        <v>0.14000000000000001</v>
      </c>
      <c r="M158" s="1">
        <v>1.4999999999999999E-2</v>
      </c>
      <c r="N158" s="2" t="s">
        <v>175</v>
      </c>
      <c r="O158" s="105">
        <v>95000</v>
      </c>
      <c r="P158" s="4">
        <v>86</v>
      </c>
    </row>
    <row r="159" spans="1:16" ht="15" x14ac:dyDescent="0.2">
      <c r="A159" s="4">
        <v>105</v>
      </c>
      <c r="B159" s="125" t="s">
        <v>286</v>
      </c>
      <c r="C159" s="187" t="s">
        <v>287</v>
      </c>
      <c r="D159" s="8">
        <v>0.26</v>
      </c>
      <c r="E159" s="8">
        <v>0</v>
      </c>
      <c r="F159" s="7">
        <v>2.1000000000000001E-2</v>
      </c>
      <c r="G159" s="7">
        <v>0.1065</v>
      </c>
      <c r="H159" s="1">
        <v>6.4999999999999997E-3</v>
      </c>
      <c r="I159" s="1">
        <v>0.03</v>
      </c>
      <c r="J159" s="1">
        <v>0.18</v>
      </c>
      <c r="K159" s="1">
        <v>0.04</v>
      </c>
      <c r="L159" s="1">
        <v>0.14000000000000001</v>
      </c>
      <c r="M159" s="1">
        <v>1.4999999999999999E-2</v>
      </c>
      <c r="N159" s="2" t="s">
        <v>175</v>
      </c>
      <c r="O159" s="105">
        <v>50000</v>
      </c>
      <c r="P159" s="4">
        <v>87</v>
      </c>
    </row>
    <row r="160" spans="1:16" ht="15" x14ac:dyDescent="0.2">
      <c r="A160" s="4">
        <v>106</v>
      </c>
      <c r="B160" s="125" t="s">
        <v>288</v>
      </c>
      <c r="C160" s="187" t="s">
        <v>287</v>
      </c>
      <c r="D160" s="8">
        <v>0.26</v>
      </c>
      <c r="E160" s="8">
        <v>0</v>
      </c>
      <c r="F160" s="7">
        <v>2.1000000000000001E-2</v>
      </c>
      <c r="G160" s="7">
        <v>0.1065</v>
      </c>
      <c r="H160" s="1">
        <v>6.4999999999999997E-3</v>
      </c>
      <c r="I160" s="1">
        <v>0.03</v>
      </c>
      <c r="J160" s="1">
        <v>0.18</v>
      </c>
      <c r="K160" s="1">
        <v>0.04</v>
      </c>
      <c r="L160" s="1">
        <v>0.14000000000000001</v>
      </c>
      <c r="M160" s="1">
        <v>1.4999999999999999E-2</v>
      </c>
      <c r="N160" s="2" t="s">
        <v>175</v>
      </c>
      <c r="O160" s="105">
        <v>50000</v>
      </c>
      <c r="P160" s="4">
        <v>88</v>
      </c>
    </row>
    <row r="161" spans="1:16" ht="15" x14ac:dyDescent="0.2">
      <c r="A161" s="4">
        <v>107</v>
      </c>
      <c r="B161" s="125" t="s">
        <v>289</v>
      </c>
      <c r="C161" s="187" t="s">
        <v>287</v>
      </c>
      <c r="D161" s="8">
        <v>0.26</v>
      </c>
      <c r="E161" s="8">
        <v>0</v>
      </c>
      <c r="F161" s="7">
        <v>2.1000000000000001E-2</v>
      </c>
      <c r="G161" s="7">
        <v>0.1065</v>
      </c>
      <c r="H161" s="1">
        <v>6.4999999999999997E-3</v>
      </c>
      <c r="I161" s="1">
        <v>0.03</v>
      </c>
      <c r="J161" s="1">
        <v>0.18</v>
      </c>
      <c r="K161" s="1">
        <v>0.04</v>
      </c>
      <c r="L161" s="1">
        <v>0.14000000000000001</v>
      </c>
      <c r="M161" s="1">
        <v>1.4999999999999999E-2</v>
      </c>
      <c r="N161" s="2" t="s">
        <v>175</v>
      </c>
      <c r="O161" s="105">
        <v>37500</v>
      </c>
      <c r="P161" s="4">
        <v>89</v>
      </c>
    </row>
    <row r="162" spans="1:16" ht="15" x14ac:dyDescent="0.2">
      <c r="A162" s="4">
        <v>108</v>
      </c>
      <c r="B162" s="125" t="s">
        <v>290</v>
      </c>
      <c r="C162" s="187" t="s">
        <v>287</v>
      </c>
      <c r="D162" s="8">
        <v>0.26</v>
      </c>
      <c r="E162" s="8">
        <v>0</v>
      </c>
      <c r="F162" s="7">
        <v>2.1000000000000001E-2</v>
      </c>
      <c r="G162" s="7">
        <v>0.1065</v>
      </c>
      <c r="H162" s="1">
        <v>6.4999999999999997E-3</v>
      </c>
      <c r="I162" s="1">
        <v>0.03</v>
      </c>
      <c r="J162" s="1">
        <v>0.18</v>
      </c>
      <c r="K162" s="1">
        <v>0.04</v>
      </c>
      <c r="L162" s="1">
        <v>0.14000000000000001</v>
      </c>
      <c r="M162" s="1">
        <v>1.4999999999999999E-2</v>
      </c>
      <c r="N162" s="2" t="s">
        <v>175</v>
      </c>
      <c r="O162" s="105">
        <v>45000</v>
      </c>
      <c r="P162" s="4">
        <v>90</v>
      </c>
    </row>
    <row r="163" spans="1:16" ht="15" x14ac:dyDescent="0.2">
      <c r="A163" s="4">
        <v>109</v>
      </c>
      <c r="B163" s="125" t="s">
        <v>291</v>
      </c>
      <c r="C163" s="187" t="s">
        <v>287</v>
      </c>
      <c r="D163" s="8">
        <v>0.26</v>
      </c>
      <c r="E163" s="8">
        <v>0</v>
      </c>
      <c r="F163" s="7">
        <v>2.1000000000000001E-2</v>
      </c>
      <c r="G163" s="7">
        <v>0.1065</v>
      </c>
      <c r="H163" s="1">
        <v>6.4999999999999997E-3</v>
      </c>
      <c r="I163" s="1">
        <v>0.03</v>
      </c>
      <c r="J163" s="1">
        <v>0.18</v>
      </c>
      <c r="K163" s="1">
        <v>0.04</v>
      </c>
      <c r="L163" s="1">
        <v>0.14000000000000001</v>
      </c>
      <c r="M163" s="1">
        <v>1.4999999999999999E-2</v>
      </c>
      <c r="N163" s="2" t="s">
        <v>175</v>
      </c>
      <c r="O163" s="105">
        <v>27000</v>
      </c>
      <c r="P163" s="4">
        <v>91</v>
      </c>
    </row>
    <row r="164" spans="1:16" ht="15" x14ac:dyDescent="0.2">
      <c r="A164" s="4">
        <v>110</v>
      </c>
      <c r="B164" s="125" t="s">
        <v>292</v>
      </c>
      <c r="C164" s="187" t="s">
        <v>287</v>
      </c>
      <c r="D164" s="8">
        <v>0.26</v>
      </c>
      <c r="E164" s="8">
        <v>0</v>
      </c>
      <c r="F164" s="7">
        <v>2.1000000000000001E-2</v>
      </c>
      <c r="G164" s="7">
        <v>0.1065</v>
      </c>
      <c r="H164" s="1">
        <v>6.4999999999999997E-3</v>
      </c>
      <c r="I164" s="1">
        <v>0.03</v>
      </c>
      <c r="J164" s="1">
        <v>0.18</v>
      </c>
      <c r="K164" s="1">
        <v>0.04</v>
      </c>
      <c r="L164" s="1">
        <v>0.14000000000000001</v>
      </c>
      <c r="M164" s="1">
        <v>1.4999999999999999E-2</v>
      </c>
      <c r="N164" s="2" t="s">
        <v>175</v>
      </c>
      <c r="O164" s="105">
        <v>39000</v>
      </c>
      <c r="P164" s="4">
        <v>92</v>
      </c>
    </row>
    <row r="165" spans="1:16" ht="15" x14ac:dyDescent="0.2">
      <c r="A165" s="4">
        <v>111</v>
      </c>
      <c r="B165" s="125" t="s">
        <v>293</v>
      </c>
      <c r="C165" s="187" t="s">
        <v>287</v>
      </c>
      <c r="D165" s="8">
        <v>0.26</v>
      </c>
      <c r="E165" s="8">
        <v>0</v>
      </c>
      <c r="F165" s="7">
        <v>2.1000000000000001E-2</v>
      </c>
      <c r="G165" s="7">
        <v>0.1065</v>
      </c>
      <c r="H165" s="1">
        <v>6.4999999999999997E-3</v>
      </c>
      <c r="I165" s="1">
        <v>0.03</v>
      </c>
      <c r="J165" s="1">
        <v>0.18</v>
      </c>
      <c r="K165" s="1">
        <v>0.04</v>
      </c>
      <c r="L165" s="1">
        <v>0.14000000000000001</v>
      </c>
      <c r="M165" s="1">
        <v>1.4999999999999999E-2</v>
      </c>
      <c r="N165" s="2" t="s">
        <v>175</v>
      </c>
      <c r="O165" s="105">
        <v>39000</v>
      </c>
      <c r="P165" s="4">
        <v>93</v>
      </c>
    </row>
    <row r="166" spans="1:16" ht="15" x14ac:dyDescent="0.2">
      <c r="A166" s="4">
        <v>112</v>
      </c>
      <c r="B166" s="125" t="s">
        <v>296</v>
      </c>
      <c r="C166" s="187" t="s">
        <v>297</v>
      </c>
      <c r="D166" s="8">
        <v>0.26</v>
      </c>
      <c r="E166" s="8">
        <v>0</v>
      </c>
      <c r="F166" s="7">
        <v>2.1000000000000001E-2</v>
      </c>
      <c r="G166" s="7">
        <v>0.1065</v>
      </c>
      <c r="H166" s="1">
        <v>6.4999999999999997E-3</v>
      </c>
      <c r="I166" s="1">
        <v>0.03</v>
      </c>
      <c r="J166" s="1">
        <v>0.18</v>
      </c>
      <c r="K166" s="1">
        <v>0.04</v>
      </c>
      <c r="L166" s="1">
        <v>0.14000000000000001</v>
      </c>
      <c r="M166" s="1">
        <v>1.4999999999999999E-2</v>
      </c>
      <c r="N166" s="2" t="s">
        <v>175</v>
      </c>
      <c r="O166" s="105">
        <v>62000</v>
      </c>
      <c r="P166" s="4">
        <v>94</v>
      </c>
    </row>
    <row r="167" spans="1:16" ht="15" x14ac:dyDescent="0.2">
      <c r="A167" s="4">
        <v>113</v>
      </c>
      <c r="B167" s="125" t="s">
        <v>298</v>
      </c>
      <c r="C167" s="187" t="s">
        <v>297</v>
      </c>
      <c r="D167" s="8">
        <v>0.26</v>
      </c>
      <c r="E167" s="8">
        <v>0</v>
      </c>
      <c r="F167" s="7">
        <v>2.1000000000000001E-2</v>
      </c>
      <c r="G167" s="7">
        <v>0.1065</v>
      </c>
      <c r="H167" s="1">
        <v>6.4999999999999997E-3</v>
      </c>
      <c r="I167" s="1">
        <v>0.03</v>
      </c>
      <c r="J167" s="1">
        <v>0.18</v>
      </c>
      <c r="K167" s="1">
        <v>0.04</v>
      </c>
      <c r="L167" s="1">
        <v>0.14000000000000001</v>
      </c>
      <c r="M167" s="1">
        <v>1.4999999999999999E-2</v>
      </c>
      <c r="N167" s="2" t="s">
        <v>175</v>
      </c>
      <c r="O167" s="105">
        <v>62000</v>
      </c>
      <c r="P167" s="4">
        <v>95</v>
      </c>
    </row>
    <row r="168" spans="1:16" ht="15" x14ac:dyDescent="0.2">
      <c r="A168" s="4">
        <v>114</v>
      </c>
      <c r="B168" s="125" t="s">
        <v>299</v>
      </c>
      <c r="C168" s="187" t="s">
        <v>297</v>
      </c>
      <c r="D168" s="8">
        <v>0.26</v>
      </c>
      <c r="E168" s="8">
        <v>0</v>
      </c>
      <c r="F168" s="7">
        <v>2.1000000000000001E-2</v>
      </c>
      <c r="G168" s="7">
        <v>0.1065</v>
      </c>
      <c r="H168" s="1">
        <v>6.4999999999999997E-3</v>
      </c>
      <c r="I168" s="1">
        <v>0.03</v>
      </c>
      <c r="J168" s="1">
        <v>0.18</v>
      </c>
      <c r="K168" s="1">
        <v>0.04</v>
      </c>
      <c r="L168" s="1">
        <v>0.14000000000000001</v>
      </c>
      <c r="M168" s="1">
        <v>1.4999999999999999E-2</v>
      </c>
      <c r="N168" s="2" t="s">
        <v>175</v>
      </c>
      <c r="O168" s="105">
        <v>62000</v>
      </c>
      <c r="P168" s="4">
        <v>96</v>
      </c>
    </row>
    <row r="169" spans="1:16" ht="15" x14ac:dyDescent="0.2">
      <c r="A169" s="4">
        <v>115</v>
      </c>
      <c r="B169" s="125" t="s">
        <v>300</v>
      </c>
      <c r="C169" s="187" t="s">
        <v>297</v>
      </c>
      <c r="D169" s="8">
        <v>0.26</v>
      </c>
      <c r="E169" s="8">
        <v>0</v>
      </c>
      <c r="F169" s="7">
        <v>2.1000000000000001E-2</v>
      </c>
      <c r="G169" s="7">
        <v>0.1065</v>
      </c>
      <c r="H169" s="1">
        <v>6.4999999999999997E-3</v>
      </c>
      <c r="I169" s="1">
        <v>0.03</v>
      </c>
      <c r="J169" s="1">
        <v>0.18</v>
      </c>
      <c r="K169" s="1">
        <v>0.04</v>
      </c>
      <c r="L169" s="1">
        <v>0.14000000000000001</v>
      </c>
      <c r="M169" s="1">
        <v>1.4999999999999999E-2</v>
      </c>
      <c r="N169" s="2" t="s">
        <v>175</v>
      </c>
      <c r="O169" s="105">
        <v>62000</v>
      </c>
      <c r="P169" s="4">
        <v>97</v>
      </c>
    </row>
    <row r="170" spans="1:16" ht="15" x14ac:dyDescent="0.2">
      <c r="A170" s="4">
        <v>116</v>
      </c>
      <c r="B170" s="125" t="s">
        <v>301</v>
      </c>
      <c r="C170" s="187" t="s">
        <v>302</v>
      </c>
      <c r="D170" s="8">
        <v>0.26</v>
      </c>
      <c r="E170" s="8">
        <v>0</v>
      </c>
      <c r="F170" s="7">
        <v>2.1000000000000001E-2</v>
      </c>
      <c r="G170" s="7">
        <v>0.1065</v>
      </c>
      <c r="H170" s="1">
        <v>6.4999999999999997E-3</v>
      </c>
      <c r="I170" s="1">
        <v>0.03</v>
      </c>
      <c r="J170" s="1">
        <v>0.18</v>
      </c>
      <c r="K170" s="1">
        <v>0.04</v>
      </c>
      <c r="L170" s="1">
        <v>0.14000000000000001</v>
      </c>
      <c r="M170" s="1">
        <v>1.4999999999999999E-2</v>
      </c>
      <c r="N170" s="2" t="s">
        <v>175</v>
      </c>
      <c r="O170" s="105">
        <v>17500</v>
      </c>
      <c r="P170" s="4">
        <v>98</v>
      </c>
    </row>
    <row r="171" spans="1:16" ht="15" x14ac:dyDescent="0.2">
      <c r="A171" s="4">
        <v>117</v>
      </c>
      <c r="B171" s="125" t="s">
        <v>303</v>
      </c>
      <c r="C171" s="187" t="s">
        <v>304</v>
      </c>
      <c r="D171" s="8">
        <v>0.26</v>
      </c>
      <c r="E171" s="8">
        <v>0</v>
      </c>
      <c r="F171" s="7">
        <v>2.1000000000000001E-2</v>
      </c>
      <c r="G171" s="7">
        <v>0.1065</v>
      </c>
      <c r="H171" s="1">
        <v>6.4999999999999997E-3</v>
      </c>
      <c r="I171" s="1">
        <v>0.03</v>
      </c>
      <c r="J171" s="1">
        <v>0.18</v>
      </c>
      <c r="K171" s="1">
        <v>0.04</v>
      </c>
      <c r="L171" s="1">
        <v>0.14000000000000001</v>
      </c>
      <c r="M171" s="1">
        <v>1.4999999999999999E-2</v>
      </c>
      <c r="N171" s="2" t="s">
        <v>175</v>
      </c>
      <c r="O171" s="105">
        <v>17500</v>
      </c>
      <c r="P171" s="4">
        <v>99</v>
      </c>
    </row>
    <row r="172" spans="1:16" ht="15" x14ac:dyDescent="0.2">
      <c r="A172" s="4">
        <v>118</v>
      </c>
      <c r="B172" s="125" t="s">
        <v>305</v>
      </c>
      <c r="C172" s="187" t="s">
        <v>302</v>
      </c>
      <c r="D172" s="8">
        <v>0.26</v>
      </c>
      <c r="E172" s="8">
        <v>0</v>
      </c>
      <c r="F172" s="7">
        <v>2.1000000000000001E-2</v>
      </c>
      <c r="G172" s="7">
        <v>0.1065</v>
      </c>
      <c r="H172" s="1">
        <v>6.4999999999999997E-3</v>
      </c>
      <c r="I172" s="1">
        <v>0.03</v>
      </c>
      <c r="J172" s="1">
        <v>0.18</v>
      </c>
      <c r="K172" s="1">
        <v>0.04</v>
      </c>
      <c r="L172" s="1">
        <v>0.14000000000000001</v>
      </c>
      <c r="M172" s="1">
        <v>1.4999999999999999E-2</v>
      </c>
      <c r="N172" s="2" t="s">
        <v>175</v>
      </c>
      <c r="O172" s="105">
        <v>17500</v>
      </c>
      <c r="P172" s="4">
        <v>100</v>
      </c>
    </row>
    <row r="173" spans="1:16" ht="15" x14ac:dyDescent="0.2">
      <c r="A173" s="4">
        <v>119</v>
      </c>
      <c r="B173" s="125" t="s">
        <v>306</v>
      </c>
      <c r="C173" s="187" t="s">
        <v>304</v>
      </c>
      <c r="D173" s="8">
        <v>0.26</v>
      </c>
      <c r="E173" s="8">
        <v>0</v>
      </c>
      <c r="F173" s="7">
        <v>2.1000000000000001E-2</v>
      </c>
      <c r="G173" s="7">
        <v>0.1065</v>
      </c>
      <c r="H173" s="1">
        <v>6.4999999999999997E-3</v>
      </c>
      <c r="I173" s="1">
        <v>0.03</v>
      </c>
      <c r="J173" s="1">
        <v>0.18</v>
      </c>
      <c r="K173" s="1">
        <v>0.04</v>
      </c>
      <c r="L173" s="1">
        <v>0.14000000000000001</v>
      </c>
      <c r="M173" s="1">
        <v>1.4999999999999999E-2</v>
      </c>
      <c r="N173" s="2" t="s">
        <v>175</v>
      </c>
      <c r="O173" s="105">
        <v>17500</v>
      </c>
      <c r="P173" s="4">
        <v>101</v>
      </c>
    </row>
    <row r="174" spans="1:16" ht="15" x14ac:dyDescent="0.2">
      <c r="B174" s="125" t="s">
        <v>307</v>
      </c>
      <c r="C174" s="187" t="s">
        <v>304</v>
      </c>
      <c r="D174" s="8">
        <v>0.26</v>
      </c>
      <c r="E174" s="8">
        <v>0</v>
      </c>
      <c r="F174" s="7">
        <v>2.1000000000000001E-2</v>
      </c>
      <c r="G174" s="7">
        <v>0.1065</v>
      </c>
      <c r="H174" s="1">
        <v>6.4999999999999997E-3</v>
      </c>
      <c r="I174" s="1">
        <v>0.03</v>
      </c>
      <c r="J174" s="1">
        <v>0.18</v>
      </c>
      <c r="K174" s="1">
        <v>0.04</v>
      </c>
      <c r="L174" s="1">
        <v>0.14000000000000001</v>
      </c>
      <c r="M174" s="1">
        <v>1.4999999999999999E-2</v>
      </c>
      <c r="N174" s="2" t="s">
        <v>175</v>
      </c>
      <c r="O174" s="105">
        <v>17000</v>
      </c>
      <c r="P174" s="4">
        <v>101</v>
      </c>
    </row>
    <row r="175" spans="1:16" ht="15" x14ac:dyDescent="0.2">
      <c r="A175" s="4">
        <v>120</v>
      </c>
      <c r="B175" s="125" t="s">
        <v>308</v>
      </c>
      <c r="C175" s="366" t="s">
        <v>573</v>
      </c>
      <c r="D175" s="367">
        <v>0.26</v>
      </c>
      <c r="E175" s="367">
        <v>4.0899999999999999E-2</v>
      </c>
      <c r="F175" s="368">
        <v>2.1000000000000001E-2</v>
      </c>
      <c r="G175" s="368">
        <v>0.1045</v>
      </c>
      <c r="H175" s="1">
        <v>6.4999999999999997E-3</v>
      </c>
      <c r="I175" s="1">
        <v>0.03</v>
      </c>
      <c r="J175" s="1">
        <v>0.18</v>
      </c>
      <c r="K175" s="1">
        <v>0.04</v>
      </c>
      <c r="L175" s="1">
        <v>0.14000000000000001</v>
      </c>
      <c r="M175" s="1">
        <v>1.4999999999999999E-2</v>
      </c>
      <c r="N175" s="2" t="s">
        <v>175</v>
      </c>
      <c r="O175" s="105">
        <v>29000</v>
      </c>
      <c r="P175" s="4">
        <v>102</v>
      </c>
    </row>
    <row r="176" spans="1:16" ht="15" x14ac:dyDescent="0.2">
      <c r="A176" s="4">
        <v>121</v>
      </c>
      <c r="B176" s="357" t="s">
        <v>572</v>
      </c>
      <c r="C176" s="352" t="s">
        <v>573</v>
      </c>
      <c r="D176" s="356">
        <v>0.26</v>
      </c>
      <c r="E176" s="356">
        <v>4.0899999999999999E-2</v>
      </c>
      <c r="F176" s="353">
        <v>2.1000000000000001E-2</v>
      </c>
      <c r="G176" s="353">
        <v>0.1045</v>
      </c>
      <c r="H176" s="1">
        <v>6.4999999999999997E-3</v>
      </c>
      <c r="I176" s="1">
        <v>0.03</v>
      </c>
      <c r="J176" s="1">
        <v>0.18</v>
      </c>
      <c r="K176" s="1">
        <v>0.04</v>
      </c>
      <c r="L176" s="1">
        <v>0.14000000000000001</v>
      </c>
      <c r="M176" s="1">
        <v>1.4999999999999999E-2</v>
      </c>
      <c r="N176" s="2" t="s">
        <v>175</v>
      </c>
      <c r="O176" s="105">
        <v>85000</v>
      </c>
      <c r="P176" s="4">
        <v>103</v>
      </c>
    </row>
    <row r="177" spans="1:16" ht="15" x14ac:dyDescent="0.2">
      <c r="A177" s="4">
        <v>122</v>
      </c>
      <c r="B177" s="125" t="s">
        <v>309</v>
      </c>
      <c r="C177" s="187" t="s">
        <v>302</v>
      </c>
      <c r="D177" s="8">
        <v>0.26</v>
      </c>
      <c r="E177" s="8">
        <v>0</v>
      </c>
      <c r="F177" s="7">
        <v>2.1000000000000001E-2</v>
      </c>
      <c r="G177" s="7">
        <v>0.1065</v>
      </c>
      <c r="H177" s="1">
        <v>6.4999999999999997E-3</v>
      </c>
      <c r="I177" s="1">
        <v>0.03</v>
      </c>
      <c r="J177" s="1">
        <v>0.18</v>
      </c>
      <c r="K177" s="1">
        <v>0.04</v>
      </c>
      <c r="L177" s="1">
        <v>0.14000000000000001</v>
      </c>
      <c r="M177" s="1">
        <v>1.4999999999999999E-2</v>
      </c>
      <c r="N177" s="2" t="s">
        <v>175</v>
      </c>
      <c r="O177" s="105">
        <v>25000</v>
      </c>
      <c r="P177" s="4">
        <v>104</v>
      </c>
    </row>
    <row r="178" spans="1:16" ht="15" x14ac:dyDescent="0.2">
      <c r="A178" s="369"/>
      <c r="B178" s="125" t="s">
        <v>310</v>
      </c>
      <c r="C178" s="187" t="s">
        <v>304</v>
      </c>
      <c r="D178" s="8">
        <v>0.26</v>
      </c>
      <c r="E178" s="8">
        <v>0</v>
      </c>
      <c r="F178" s="7">
        <v>2.1000000000000001E-2</v>
      </c>
      <c r="G178" s="7">
        <v>0.1065</v>
      </c>
      <c r="H178" s="1">
        <v>6.4999999999999997E-3</v>
      </c>
      <c r="I178" s="1">
        <v>0.03</v>
      </c>
      <c r="J178" s="1">
        <v>0.18</v>
      </c>
      <c r="K178" s="1">
        <v>0.04</v>
      </c>
      <c r="L178" s="1">
        <v>0.14000000000000001</v>
      </c>
      <c r="M178" s="1">
        <v>1.4999999999999999E-2</v>
      </c>
      <c r="N178" s="2" t="s">
        <v>175</v>
      </c>
      <c r="O178" s="105">
        <v>25000</v>
      </c>
    </row>
    <row r="179" spans="1:16" ht="15" x14ac:dyDescent="0.2">
      <c r="A179" s="4">
        <v>121</v>
      </c>
      <c r="B179" s="125" t="s">
        <v>311</v>
      </c>
      <c r="C179" s="187" t="s">
        <v>297</v>
      </c>
      <c r="D179" s="8">
        <v>0.26</v>
      </c>
      <c r="E179" s="8">
        <v>0</v>
      </c>
      <c r="F179" s="7">
        <v>2.1000000000000001E-2</v>
      </c>
      <c r="G179" s="7">
        <v>0.1065</v>
      </c>
      <c r="H179" s="1">
        <v>6.4999999999999997E-3</v>
      </c>
      <c r="I179" s="1">
        <v>0.03</v>
      </c>
      <c r="J179" s="1">
        <v>0.18</v>
      </c>
      <c r="K179" s="1">
        <v>0.04</v>
      </c>
      <c r="L179" s="1">
        <v>0.14000000000000001</v>
      </c>
      <c r="M179" s="1">
        <v>1.4999999999999999E-2</v>
      </c>
      <c r="N179" s="2" t="s">
        <v>175</v>
      </c>
      <c r="O179" s="105">
        <v>15000</v>
      </c>
      <c r="P179" s="4">
        <v>103</v>
      </c>
    </row>
    <row r="180" spans="1:16" ht="15" x14ac:dyDescent="0.2">
      <c r="A180" s="4">
        <v>122</v>
      </c>
      <c r="B180" s="269" t="s">
        <v>312</v>
      </c>
      <c r="C180" s="187" t="s">
        <v>297</v>
      </c>
      <c r="D180" s="8">
        <v>0.26</v>
      </c>
      <c r="E180" s="8">
        <v>0</v>
      </c>
      <c r="F180" s="7">
        <v>2.1000000000000001E-2</v>
      </c>
      <c r="G180" s="7">
        <v>0.1065</v>
      </c>
      <c r="H180" s="1">
        <v>6.4999999999999997E-3</v>
      </c>
      <c r="I180" s="1">
        <v>0.03</v>
      </c>
      <c r="J180" s="1">
        <v>0.18</v>
      </c>
      <c r="K180" s="1">
        <v>0.04</v>
      </c>
      <c r="L180" s="1">
        <v>0.14000000000000001</v>
      </c>
      <c r="M180" s="1">
        <v>1.4999999999999999E-2</v>
      </c>
      <c r="N180" s="2" t="s">
        <v>175</v>
      </c>
      <c r="O180" s="105">
        <v>80000</v>
      </c>
      <c r="P180" s="4">
        <v>104</v>
      </c>
    </row>
    <row r="181" spans="1:16" ht="15" x14ac:dyDescent="0.2">
      <c r="A181" s="4">
        <v>123</v>
      </c>
      <c r="B181" s="269" t="s">
        <v>313</v>
      </c>
      <c r="C181" s="187" t="s">
        <v>297</v>
      </c>
      <c r="D181" s="8">
        <v>0.26</v>
      </c>
      <c r="E181" s="8">
        <v>0</v>
      </c>
      <c r="F181" s="7">
        <v>2.1000000000000001E-2</v>
      </c>
      <c r="G181" s="7">
        <v>0.1065</v>
      </c>
      <c r="H181" s="1">
        <v>6.4999999999999997E-3</v>
      </c>
      <c r="I181" s="1">
        <v>0.03</v>
      </c>
      <c r="J181" s="1">
        <v>0.18</v>
      </c>
      <c r="K181" s="1">
        <v>0.04</v>
      </c>
      <c r="L181" s="1">
        <v>0.14000000000000001</v>
      </c>
      <c r="M181" s="1">
        <v>1.4999999999999999E-2</v>
      </c>
      <c r="N181" s="2" t="s">
        <v>175</v>
      </c>
      <c r="O181" s="105">
        <v>60000</v>
      </c>
      <c r="P181" s="4">
        <v>105</v>
      </c>
    </row>
    <row r="182" spans="1:16" ht="15" x14ac:dyDescent="0.2">
      <c r="A182" s="4">
        <v>124</v>
      </c>
      <c r="B182" s="269" t="s">
        <v>314</v>
      </c>
      <c r="C182" s="187" t="s">
        <v>297</v>
      </c>
      <c r="D182" s="8">
        <v>0.26</v>
      </c>
      <c r="E182" s="8">
        <v>0</v>
      </c>
      <c r="F182" s="7">
        <v>2.1000000000000001E-2</v>
      </c>
      <c r="G182" s="7">
        <v>0.1065</v>
      </c>
      <c r="H182" s="1">
        <v>6.4999999999999997E-3</v>
      </c>
      <c r="I182" s="1">
        <v>0.03</v>
      </c>
      <c r="J182" s="1">
        <v>0.18</v>
      </c>
      <c r="K182" s="1">
        <v>0.04</v>
      </c>
      <c r="L182" s="1">
        <v>0.14000000000000001</v>
      </c>
      <c r="M182" s="1">
        <v>1.4999999999999999E-2</v>
      </c>
      <c r="N182" s="2" t="s">
        <v>175</v>
      </c>
      <c r="O182" s="105">
        <v>75000</v>
      </c>
      <c r="P182" s="4">
        <v>106</v>
      </c>
    </row>
    <row r="183" spans="1:16" ht="15" x14ac:dyDescent="0.2">
      <c r="A183" s="4">
        <v>125</v>
      </c>
      <c r="B183" s="269" t="s">
        <v>315</v>
      </c>
      <c r="C183" s="187" t="s">
        <v>297</v>
      </c>
      <c r="D183" s="8">
        <v>0.26</v>
      </c>
      <c r="E183" s="8">
        <v>0</v>
      </c>
      <c r="F183" s="7">
        <v>2.1000000000000001E-2</v>
      </c>
      <c r="G183" s="7">
        <v>0.1065</v>
      </c>
      <c r="H183" s="1">
        <v>6.4999999999999997E-3</v>
      </c>
      <c r="I183" s="1">
        <v>0.03</v>
      </c>
      <c r="J183" s="1">
        <v>0.18</v>
      </c>
      <c r="K183" s="1">
        <v>0.04</v>
      </c>
      <c r="L183" s="1">
        <v>0.14000000000000001</v>
      </c>
      <c r="M183" s="1">
        <v>1.4999999999999999E-2</v>
      </c>
      <c r="N183" s="2" t="s">
        <v>175</v>
      </c>
      <c r="O183" s="105">
        <v>60000</v>
      </c>
      <c r="P183" s="4">
        <v>107</v>
      </c>
    </row>
    <row r="184" spans="1:16" ht="15" x14ac:dyDescent="0.2">
      <c r="A184" s="4">
        <v>126</v>
      </c>
      <c r="B184" s="269" t="s">
        <v>316</v>
      </c>
      <c r="C184" s="187" t="s">
        <v>297</v>
      </c>
      <c r="D184" s="8">
        <v>0.26</v>
      </c>
      <c r="E184" s="8">
        <v>0</v>
      </c>
      <c r="F184" s="7">
        <v>2.1000000000000001E-2</v>
      </c>
      <c r="G184" s="7">
        <v>0.1065</v>
      </c>
      <c r="H184" s="1">
        <v>6.4999999999999997E-3</v>
      </c>
      <c r="I184" s="1">
        <v>0.03</v>
      </c>
      <c r="J184" s="1">
        <v>0.18</v>
      </c>
      <c r="K184" s="1">
        <v>0.04</v>
      </c>
      <c r="L184" s="1">
        <v>0.14000000000000001</v>
      </c>
      <c r="M184" s="1">
        <v>1.4999999999999999E-2</v>
      </c>
      <c r="N184" s="2" t="s">
        <v>175</v>
      </c>
      <c r="O184" s="105">
        <v>60000</v>
      </c>
      <c r="P184" s="4">
        <v>108</v>
      </c>
    </row>
    <row r="185" spans="1:16" ht="15" x14ac:dyDescent="0.2">
      <c r="A185" s="4">
        <v>127</v>
      </c>
      <c r="B185" s="269" t="s">
        <v>317</v>
      </c>
      <c r="C185" s="187" t="s">
        <v>297</v>
      </c>
      <c r="D185" s="8">
        <v>0.26</v>
      </c>
      <c r="E185" s="8">
        <v>0</v>
      </c>
      <c r="F185" s="7">
        <v>2.1000000000000001E-2</v>
      </c>
      <c r="G185" s="7">
        <v>0.1065</v>
      </c>
      <c r="H185" s="1">
        <v>6.4999999999999997E-3</v>
      </c>
      <c r="I185" s="1">
        <v>0.03</v>
      </c>
      <c r="J185" s="1">
        <v>0.18</v>
      </c>
      <c r="K185" s="1">
        <v>0.04</v>
      </c>
      <c r="L185" s="1">
        <v>0.14000000000000001</v>
      </c>
      <c r="M185" s="1">
        <v>1.4999999999999999E-2</v>
      </c>
      <c r="N185" s="2" t="s">
        <v>175</v>
      </c>
      <c r="O185" s="105">
        <v>80000</v>
      </c>
      <c r="P185" s="4">
        <v>109</v>
      </c>
    </row>
    <row r="186" spans="1:16" ht="15" x14ac:dyDescent="0.2">
      <c r="A186" s="4">
        <v>128</v>
      </c>
      <c r="B186" s="269" t="s">
        <v>318</v>
      </c>
      <c r="C186" s="187" t="s">
        <v>297</v>
      </c>
      <c r="D186" s="8">
        <v>0.26</v>
      </c>
      <c r="E186" s="8">
        <v>0</v>
      </c>
      <c r="F186" s="7">
        <v>2.1000000000000001E-2</v>
      </c>
      <c r="G186" s="7">
        <v>0.1065</v>
      </c>
      <c r="H186" s="1">
        <v>6.4999999999999997E-3</v>
      </c>
      <c r="I186" s="1">
        <v>0.03</v>
      </c>
      <c r="J186" s="1">
        <v>0.18</v>
      </c>
      <c r="K186" s="1">
        <v>0.04</v>
      </c>
      <c r="L186" s="1">
        <v>0.14000000000000001</v>
      </c>
      <c r="M186" s="1">
        <v>1.4999999999999999E-2</v>
      </c>
      <c r="N186" s="2" t="s">
        <v>175</v>
      </c>
      <c r="O186" s="105">
        <v>60000</v>
      </c>
      <c r="P186" s="4">
        <v>110</v>
      </c>
    </row>
    <row r="187" spans="1:16" ht="15" x14ac:dyDescent="0.2">
      <c r="B187" s="269" t="s">
        <v>319</v>
      </c>
      <c r="C187" s="187" t="s">
        <v>297</v>
      </c>
      <c r="D187" s="8">
        <v>0.26</v>
      </c>
      <c r="E187" s="8">
        <v>0</v>
      </c>
      <c r="F187" s="7">
        <v>2.1000000000000001E-2</v>
      </c>
      <c r="G187" s="7">
        <v>0.1065</v>
      </c>
      <c r="H187" s="1">
        <v>6.4999999999999997E-3</v>
      </c>
      <c r="I187" s="1">
        <v>0.03</v>
      </c>
      <c r="J187" s="1">
        <v>0.18</v>
      </c>
      <c r="K187" s="1">
        <v>0.04</v>
      </c>
      <c r="L187" s="1">
        <v>0.14000000000000001</v>
      </c>
      <c r="M187" s="1">
        <v>1.4999999999999999E-2</v>
      </c>
      <c r="N187" s="2" t="s">
        <v>175</v>
      </c>
      <c r="O187" s="105">
        <v>75000</v>
      </c>
      <c r="P187" s="4">
        <v>101</v>
      </c>
    </row>
    <row r="188" spans="1:16" ht="15" x14ac:dyDescent="0.2">
      <c r="A188" s="4">
        <v>129</v>
      </c>
      <c r="B188" s="269" t="s">
        <v>320</v>
      </c>
      <c r="C188" s="187" t="s">
        <v>297</v>
      </c>
      <c r="D188" s="8">
        <v>0.26</v>
      </c>
      <c r="E188" s="8">
        <v>0</v>
      </c>
      <c r="F188" s="7">
        <v>2.1000000000000001E-2</v>
      </c>
      <c r="G188" s="7">
        <v>0.1065</v>
      </c>
      <c r="H188" s="1">
        <v>6.4999999999999997E-3</v>
      </c>
      <c r="I188" s="1">
        <v>0.03</v>
      </c>
      <c r="J188" s="1">
        <v>0.18</v>
      </c>
      <c r="K188" s="1">
        <v>0.04</v>
      </c>
      <c r="L188" s="1">
        <v>0.14000000000000001</v>
      </c>
      <c r="M188" s="1">
        <v>1.4999999999999999E-2</v>
      </c>
      <c r="N188" s="2" t="s">
        <v>175</v>
      </c>
      <c r="O188" s="105">
        <v>60000</v>
      </c>
      <c r="P188" s="4">
        <v>111</v>
      </c>
    </row>
    <row r="189" spans="1:16" ht="15" x14ac:dyDescent="0.2">
      <c r="A189" s="4">
        <v>130</v>
      </c>
      <c r="B189" s="269" t="s">
        <v>321</v>
      </c>
      <c r="C189" s="187" t="s">
        <v>297</v>
      </c>
      <c r="D189" s="8">
        <v>0.26</v>
      </c>
      <c r="E189" s="8">
        <v>0</v>
      </c>
      <c r="F189" s="7">
        <v>2.1000000000000001E-2</v>
      </c>
      <c r="G189" s="7">
        <v>0.1065</v>
      </c>
      <c r="H189" s="1">
        <v>6.4999999999999997E-3</v>
      </c>
      <c r="I189" s="1">
        <v>0.03</v>
      </c>
      <c r="J189" s="1">
        <v>0.18</v>
      </c>
      <c r="K189" s="1">
        <v>0.04</v>
      </c>
      <c r="L189" s="1">
        <v>0.14000000000000001</v>
      </c>
      <c r="M189" s="1">
        <v>1.4999999999999999E-2</v>
      </c>
      <c r="N189" s="2" t="s">
        <v>175</v>
      </c>
      <c r="O189" s="105">
        <v>60000</v>
      </c>
      <c r="P189" s="4">
        <v>112</v>
      </c>
    </row>
    <row r="190" spans="1:16" ht="15" x14ac:dyDescent="0.2">
      <c r="A190" s="4">
        <v>131</v>
      </c>
      <c r="B190" s="269" t="s">
        <v>322</v>
      </c>
      <c r="C190" s="187" t="s">
        <v>297</v>
      </c>
      <c r="D190" s="8">
        <v>0.26</v>
      </c>
      <c r="E190" s="8">
        <v>0</v>
      </c>
      <c r="F190" s="7">
        <v>2.1000000000000001E-2</v>
      </c>
      <c r="G190" s="7">
        <v>0.1065</v>
      </c>
      <c r="H190" s="1">
        <v>6.4999999999999997E-3</v>
      </c>
      <c r="I190" s="1">
        <v>0.03</v>
      </c>
      <c r="J190" s="1">
        <v>0.18</v>
      </c>
      <c r="K190" s="1">
        <v>0.04</v>
      </c>
      <c r="L190" s="1">
        <v>0.14000000000000001</v>
      </c>
      <c r="M190" s="1">
        <v>1.4999999999999999E-2</v>
      </c>
      <c r="N190" s="2" t="s">
        <v>175</v>
      </c>
      <c r="O190" s="105">
        <v>60000</v>
      </c>
      <c r="P190" s="4">
        <v>113</v>
      </c>
    </row>
    <row r="191" spans="1:16" ht="15" x14ac:dyDescent="0.2">
      <c r="A191" s="4">
        <v>132</v>
      </c>
      <c r="B191" s="125" t="s">
        <v>323</v>
      </c>
      <c r="C191" s="187" t="s">
        <v>297</v>
      </c>
      <c r="D191" s="8">
        <v>0.26</v>
      </c>
      <c r="E191" s="8">
        <v>0</v>
      </c>
      <c r="F191" s="7">
        <v>2.1000000000000001E-2</v>
      </c>
      <c r="G191" s="7">
        <v>0.1045</v>
      </c>
      <c r="H191" s="1">
        <v>6.4999999999999997E-3</v>
      </c>
      <c r="I191" s="1">
        <v>0.03</v>
      </c>
      <c r="J191" s="1">
        <v>0.18</v>
      </c>
      <c r="K191" s="1">
        <v>0.04</v>
      </c>
      <c r="L191" s="1">
        <v>0.14000000000000001</v>
      </c>
      <c r="M191" s="1">
        <v>1.4999999999999999E-2</v>
      </c>
      <c r="N191" s="2" t="s">
        <v>175</v>
      </c>
      <c r="O191" s="105">
        <v>54000</v>
      </c>
      <c r="P191" s="4">
        <v>114</v>
      </c>
    </row>
    <row r="192" spans="1:16" ht="15" x14ac:dyDescent="0.2">
      <c r="A192" s="4">
        <v>133</v>
      </c>
      <c r="B192" s="125" t="s">
        <v>324</v>
      </c>
      <c r="C192" s="187" t="s">
        <v>325</v>
      </c>
      <c r="D192" s="8">
        <v>0.26</v>
      </c>
      <c r="E192" s="8">
        <v>0</v>
      </c>
      <c r="F192" s="7">
        <v>2.1000000000000001E-2</v>
      </c>
      <c r="G192" s="7">
        <v>0.1045</v>
      </c>
      <c r="H192" s="1">
        <v>6.4999999999999997E-3</v>
      </c>
      <c r="I192" s="1">
        <v>0.03</v>
      </c>
      <c r="J192" s="1">
        <v>0.18</v>
      </c>
      <c r="K192" s="1">
        <v>0.04</v>
      </c>
      <c r="L192" s="1">
        <v>0.14000000000000001</v>
      </c>
      <c r="M192" s="1">
        <v>1.4999999999999999E-2</v>
      </c>
      <c r="N192" s="2" t="s">
        <v>175</v>
      </c>
      <c r="O192" s="105">
        <v>180000</v>
      </c>
      <c r="P192" s="4">
        <v>115</v>
      </c>
    </row>
    <row r="193" spans="1:16" ht="15" x14ac:dyDescent="0.2">
      <c r="A193" s="4">
        <v>134</v>
      </c>
      <c r="B193" s="125" t="s">
        <v>326</v>
      </c>
      <c r="C193" s="187" t="s">
        <v>325</v>
      </c>
      <c r="D193" s="8">
        <v>0.26</v>
      </c>
      <c r="E193" s="8">
        <v>0</v>
      </c>
      <c r="F193" s="7">
        <v>2.1000000000000001E-2</v>
      </c>
      <c r="G193" s="7">
        <v>0.1045</v>
      </c>
      <c r="H193" s="1">
        <v>6.4999999999999997E-3</v>
      </c>
      <c r="I193" s="1">
        <v>0.03</v>
      </c>
      <c r="J193" s="1">
        <v>0.18</v>
      </c>
      <c r="K193" s="1">
        <v>0.04</v>
      </c>
      <c r="L193" s="1">
        <v>0.14000000000000001</v>
      </c>
      <c r="M193" s="1">
        <v>1.4999999999999999E-2</v>
      </c>
      <c r="N193" s="2" t="s">
        <v>175</v>
      </c>
      <c r="O193" s="105">
        <v>180000</v>
      </c>
      <c r="P193" s="4">
        <v>116</v>
      </c>
    </row>
    <row r="194" spans="1:16" ht="15" x14ac:dyDescent="0.2">
      <c r="A194" s="4">
        <v>135</v>
      </c>
      <c r="B194" s="125" t="s">
        <v>327</v>
      </c>
      <c r="C194" s="187" t="s">
        <v>325</v>
      </c>
      <c r="D194" s="8">
        <v>0.26</v>
      </c>
      <c r="E194" s="8">
        <v>0</v>
      </c>
      <c r="F194" s="7">
        <v>2.1000000000000001E-2</v>
      </c>
      <c r="G194" s="7">
        <v>0.1045</v>
      </c>
      <c r="H194" s="1">
        <v>6.4999999999999997E-3</v>
      </c>
      <c r="I194" s="1">
        <v>0.03</v>
      </c>
      <c r="J194" s="1">
        <v>0.18</v>
      </c>
      <c r="K194" s="1">
        <v>0.04</v>
      </c>
      <c r="L194" s="1">
        <v>0.14000000000000001</v>
      </c>
      <c r="M194" s="1">
        <v>1.4999999999999999E-2</v>
      </c>
      <c r="N194" s="2" t="s">
        <v>175</v>
      </c>
      <c r="O194" s="105">
        <v>175000</v>
      </c>
      <c r="P194" s="4">
        <v>117</v>
      </c>
    </row>
    <row r="195" spans="1:16" ht="15" x14ac:dyDescent="0.2">
      <c r="A195" s="4">
        <v>136</v>
      </c>
      <c r="B195" s="125" t="s">
        <v>328</v>
      </c>
      <c r="C195" s="187" t="s">
        <v>325</v>
      </c>
      <c r="D195" s="8">
        <v>0.26</v>
      </c>
      <c r="E195" s="8">
        <v>0</v>
      </c>
      <c r="F195" s="7">
        <v>2.1000000000000001E-2</v>
      </c>
      <c r="G195" s="7">
        <v>0.1045</v>
      </c>
      <c r="H195" s="1">
        <v>6.4999999999999997E-3</v>
      </c>
      <c r="I195" s="1">
        <v>0.03</v>
      </c>
      <c r="J195" s="1">
        <v>0.18</v>
      </c>
      <c r="K195" s="1">
        <v>0.04</v>
      </c>
      <c r="L195" s="1">
        <v>0.14000000000000001</v>
      </c>
      <c r="M195" s="1">
        <v>1.4999999999999999E-2</v>
      </c>
      <c r="N195" s="2" t="s">
        <v>175</v>
      </c>
      <c r="O195" s="105">
        <v>165000</v>
      </c>
      <c r="P195" s="4">
        <v>118</v>
      </c>
    </row>
    <row r="196" spans="1:16" ht="15" x14ac:dyDescent="0.2">
      <c r="B196" s="125" t="s">
        <v>329</v>
      </c>
      <c r="C196" s="187" t="s">
        <v>325</v>
      </c>
      <c r="D196" s="8">
        <v>0.26</v>
      </c>
      <c r="E196" s="8">
        <v>0</v>
      </c>
      <c r="F196" s="7">
        <v>2.1000000000000001E-2</v>
      </c>
      <c r="G196" s="7">
        <v>0.1045</v>
      </c>
      <c r="H196" s="1">
        <v>6.4999999999999997E-3</v>
      </c>
      <c r="I196" s="1">
        <v>0.03</v>
      </c>
      <c r="J196" s="1">
        <v>0.18</v>
      </c>
      <c r="K196" s="1">
        <v>0.04</v>
      </c>
      <c r="L196" s="1">
        <v>0.14000000000000001</v>
      </c>
      <c r="M196" s="1">
        <v>1.4999999999999999E-2</v>
      </c>
      <c r="N196" s="2" t="s">
        <v>175</v>
      </c>
      <c r="O196" s="105">
        <v>160000</v>
      </c>
    </row>
    <row r="197" spans="1:16" ht="15" x14ac:dyDescent="0.2">
      <c r="B197" s="125" t="s">
        <v>330</v>
      </c>
      <c r="C197" s="187" t="s">
        <v>297</v>
      </c>
      <c r="D197" s="8">
        <v>0.26</v>
      </c>
      <c r="E197" s="8">
        <v>0</v>
      </c>
      <c r="F197" s="7">
        <v>2.1000000000000001E-2</v>
      </c>
      <c r="G197" s="7">
        <v>0.1045</v>
      </c>
      <c r="H197" s="1">
        <v>6.4999999999999997E-3</v>
      </c>
      <c r="I197" s="1">
        <v>0.03</v>
      </c>
      <c r="J197" s="1">
        <v>0.18</v>
      </c>
      <c r="K197" s="1">
        <v>0.04</v>
      </c>
      <c r="L197" s="1">
        <v>0.14000000000000001</v>
      </c>
      <c r="M197" s="1">
        <v>1.4999999999999999E-2</v>
      </c>
      <c r="N197" s="2" t="s">
        <v>175</v>
      </c>
      <c r="O197" s="105">
        <v>140000</v>
      </c>
    </row>
    <row r="198" spans="1:16" ht="15" x14ac:dyDescent="0.2">
      <c r="B198" s="125" t="s">
        <v>332</v>
      </c>
      <c r="C198" s="187" t="s">
        <v>297</v>
      </c>
      <c r="D198" s="8">
        <v>0.26</v>
      </c>
      <c r="E198" s="8">
        <v>0</v>
      </c>
      <c r="F198" s="7">
        <v>2.1000000000000001E-2</v>
      </c>
      <c r="G198" s="7">
        <v>0.1045</v>
      </c>
      <c r="H198" s="1">
        <v>6.4999999999999997E-3</v>
      </c>
      <c r="I198" s="1">
        <v>0.03</v>
      </c>
      <c r="J198" s="1">
        <v>0.18</v>
      </c>
      <c r="K198" s="1">
        <v>0.04</v>
      </c>
      <c r="L198" s="1">
        <v>0.14000000000000001</v>
      </c>
      <c r="M198" s="1">
        <v>1.4999999999999999E-2</v>
      </c>
      <c r="N198" s="2" t="s">
        <v>175</v>
      </c>
      <c r="O198" s="105">
        <v>175000</v>
      </c>
    </row>
    <row r="199" spans="1:16" ht="15" x14ac:dyDescent="0.2">
      <c r="B199" s="125" t="s">
        <v>333</v>
      </c>
      <c r="C199" s="187" t="s">
        <v>297</v>
      </c>
      <c r="D199" s="8">
        <v>0.26</v>
      </c>
      <c r="E199" s="8">
        <v>0</v>
      </c>
      <c r="F199" s="7">
        <v>2.1000000000000001E-2</v>
      </c>
      <c r="G199" s="7">
        <v>0.1045</v>
      </c>
      <c r="H199" s="1">
        <v>6.4999999999999997E-3</v>
      </c>
      <c r="I199" s="1">
        <v>0.03</v>
      </c>
      <c r="J199" s="1">
        <v>0.18</v>
      </c>
      <c r="K199" s="1">
        <v>0.04</v>
      </c>
      <c r="L199" s="1">
        <v>0.14000000000000001</v>
      </c>
      <c r="M199" s="1">
        <v>1.4999999999999999E-2</v>
      </c>
      <c r="N199" s="2" t="s">
        <v>175</v>
      </c>
      <c r="O199" s="105">
        <v>165000</v>
      </c>
    </row>
    <row r="200" spans="1:16" ht="15" x14ac:dyDescent="0.2">
      <c r="B200" s="125" t="s">
        <v>334</v>
      </c>
      <c r="C200" s="187" t="s">
        <v>297</v>
      </c>
      <c r="D200" s="8">
        <v>0.26</v>
      </c>
      <c r="E200" s="8">
        <v>0</v>
      </c>
      <c r="F200" s="7">
        <v>2.1000000000000001E-2</v>
      </c>
      <c r="G200" s="7">
        <v>0.1045</v>
      </c>
      <c r="H200" s="1">
        <v>6.4999999999999997E-3</v>
      </c>
      <c r="I200" s="1">
        <v>0.03</v>
      </c>
      <c r="J200" s="1">
        <v>0.18</v>
      </c>
      <c r="K200" s="1">
        <v>0.04</v>
      </c>
      <c r="L200" s="1">
        <v>0.14000000000000001</v>
      </c>
      <c r="M200" s="1">
        <v>1.4999999999999999E-2</v>
      </c>
      <c r="N200" s="2" t="s">
        <v>175</v>
      </c>
      <c r="O200" s="105">
        <v>160000</v>
      </c>
    </row>
    <row r="201" spans="1:16" ht="15" x14ac:dyDescent="0.2">
      <c r="A201" s="4">
        <v>137</v>
      </c>
      <c r="B201" s="125" t="s">
        <v>335</v>
      </c>
      <c r="C201" s="187" t="s">
        <v>297</v>
      </c>
      <c r="D201" s="8">
        <v>0.26</v>
      </c>
      <c r="E201" s="8">
        <v>0</v>
      </c>
      <c r="F201" s="7">
        <v>2.1000000000000001E-2</v>
      </c>
      <c r="G201" s="7">
        <v>0.1045</v>
      </c>
      <c r="H201" s="1">
        <v>6.4999999999999997E-3</v>
      </c>
      <c r="I201" s="1">
        <v>0.03</v>
      </c>
      <c r="J201" s="1">
        <v>0.18</v>
      </c>
      <c r="K201" s="1">
        <v>0.04</v>
      </c>
      <c r="L201" s="1">
        <v>0.14000000000000001</v>
      </c>
      <c r="M201" s="1">
        <v>1.4999999999999999E-2</v>
      </c>
      <c r="N201" s="2" t="s">
        <v>175</v>
      </c>
      <c r="O201" s="105">
        <v>140000</v>
      </c>
      <c r="P201" s="4">
        <v>119</v>
      </c>
    </row>
    <row r="202" spans="1:16" ht="15" x14ac:dyDescent="0.2">
      <c r="A202" s="4">
        <v>138</v>
      </c>
      <c r="B202" s="125" t="s">
        <v>336</v>
      </c>
      <c r="C202" s="187" t="s">
        <v>297</v>
      </c>
      <c r="D202" s="8">
        <v>0.26</v>
      </c>
      <c r="E202" s="8">
        <v>0</v>
      </c>
      <c r="F202" s="7">
        <v>2.1000000000000001E-2</v>
      </c>
      <c r="G202" s="7">
        <v>0.1045</v>
      </c>
      <c r="H202" s="1">
        <v>6.4999999999999997E-3</v>
      </c>
      <c r="I202" s="1">
        <v>0.03</v>
      </c>
      <c r="J202" s="1">
        <v>0.18</v>
      </c>
      <c r="K202" s="1">
        <v>0.04</v>
      </c>
      <c r="L202" s="1">
        <v>0.14000000000000001</v>
      </c>
      <c r="M202" s="1">
        <v>1.4999999999999999E-2</v>
      </c>
      <c r="N202" s="2" t="s">
        <v>175</v>
      </c>
      <c r="O202" s="105">
        <v>130000</v>
      </c>
      <c r="P202" s="4">
        <v>120</v>
      </c>
    </row>
    <row r="203" spans="1:16" ht="15" x14ac:dyDescent="0.2">
      <c r="A203" s="4">
        <v>139</v>
      </c>
      <c r="B203" s="125" t="s">
        <v>337</v>
      </c>
      <c r="C203" s="187" t="s">
        <v>325</v>
      </c>
      <c r="D203" s="8">
        <v>0.26</v>
      </c>
      <c r="E203" s="8">
        <v>0</v>
      </c>
      <c r="F203" s="7">
        <v>2.1000000000000001E-2</v>
      </c>
      <c r="G203" s="7">
        <v>0.1045</v>
      </c>
      <c r="H203" s="1">
        <v>6.4999999999999997E-3</v>
      </c>
      <c r="I203" s="1">
        <v>0.03</v>
      </c>
      <c r="J203" s="1">
        <v>0.18</v>
      </c>
      <c r="K203" s="1">
        <v>0.04</v>
      </c>
      <c r="L203" s="1">
        <v>0.14000000000000001</v>
      </c>
      <c r="M203" s="1">
        <v>1.4999999999999999E-2</v>
      </c>
      <c r="N203" s="2" t="s">
        <v>175</v>
      </c>
      <c r="O203" s="105">
        <v>165000</v>
      </c>
      <c r="P203" s="4">
        <v>121</v>
      </c>
    </row>
    <row r="204" spans="1:16" ht="15" x14ac:dyDescent="0.2">
      <c r="A204" s="4">
        <v>140</v>
      </c>
      <c r="B204" s="125" t="s">
        <v>338</v>
      </c>
      <c r="C204" s="187" t="s">
        <v>325</v>
      </c>
      <c r="D204" s="8">
        <v>0.26</v>
      </c>
      <c r="E204" s="8">
        <v>0</v>
      </c>
      <c r="F204" s="7">
        <v>2.1000000000000001E-2</v>
      </c>
      <c r="G204" s="7">
        <v>0.1045</v>
      </c>
      <c r="H204" s="1">
        <v>6.4999999999999997E-3</v>
      </c>
      <c r="I204" s="1">
        <v>0.03</v>
      </c>
      <c r="J204" s="1">
        <v>0.18</v>
      </c>
      <c r="K204" s="1">
        <v>0.04</v>
      </c>
      <c r="L204" s="1">
        <v>0.14000000000000001</v>
      </c>
      <c r="M204" s="1">
        <v>1.4999999999999999E-2</v>
      </c>
      <c r="N204" s="2" t="s">
        <v>175</v>
      </c>
      <c r="O204" s="105">
        <v>145000</v>
      </c>
      <c r="P204" s="4">
        <v>119</v>
      </c>
    </row>
    <row r="205" spans="1:16" ht="15" x14ac:dyDescent="0.2">
      <c r="A205" s="4">
        <v>141</v>
      </c>
      <c r="B205" s="125" t="s">
        <v>339</v>
      </c>
      <c r="C205" s="187" t="s">
        <v>297</v>
      </c>
      <c r="D205" s="8">
        <v>0.26</v>
      </c>
      <c r="E205" s="8">
        <v>0</v>
      </c>
      <c r="F205" s="7">
        <v>2.1000000000000001E-2</v>
      </c>
      <c r="G205" s="7">
        <v>0.1045</v>
      </c>
      <c r="H205" s="1">
        <v>6.4999999999999997E-3</v>
      </c>
      <c r="I205" s="1">
        <v>0.03</v>
      </c>
      <c r="J205" s="1">
        <v>0.18</v>
      </c>
      <c r="K205" s="1">
        <v>0.04</v>
      </c>
      <c r="L205" s="1">
        <v>0.14000000000000001</v>
      </c>
      <c r="M205" s="1">
        <v>1.4999999999999999E-2</v>
      </c>
      <c r="N205" s="2" t="s">
        <v>175</v>
      </c>
      <c r="O205" s="105">
        <v>165000</v>
      </c>
      <c r="P205" s="4">
        <v>119</v>
      </c>
    </row>
    <row r="206" spans="1:16" ht="15" x14ac:dyDescent="0.2">
      <c r="A206" s="4">
        <v>142</v>
      </c>
      <c r="B206" s="125" t="s">
        <v>340</v>
      </c>
      <c r="C206" s="187" t="s">
        <v>297</v>
      </c>
      <c r="D206" s="8">
        <v>0.26</v>
      </c>
      <c r="E206" s="8">
        <v>0</v>
      </c>
      <c r="F206" s="7">
        <v>2.1000000000000001E-2</v>
      </c>
      <c r="G206" s="7">
        <v>0.1045</v>
      </c>
      <c r="H206" s="1">
        <v>6.4999999999999997E-3</v>
      </c>
      <c r="I206" s="1">
        <v>0.03</v>
      </c>
      <c r="J206" s="1">
        <v>0.18</v>
      </c>
      <c r="K206" s="1">
        <v>0.04</v>
      </c>
      <c r="L206" s="1">
        <v>0.14000000000000001</v>
      </c>
      <c r="M206" s="1">
        <v>1.4999999999999999E-2</v>
      </c>
      <c r="N206" s="2" t="s">
        <v>175</v>
      </c>
      <c r="O206" s="105">
        <v>145000</v>
      </c>
      <c r="P206" s="4">
        <v>122</v>
      </c>
    </row>
    <row r="207" spans="1:16" ht="15" x14ac:dyDescent="0.2">
      <c r="A207" s="4">
        <v>143</v>
      </c>
      <c r="B207" s="125" t="s">
        <v>341</v>
      </c>
      <c r="C207" s="187" t="s">
        <v>325</v>
      </c>
      <c r="D207" s="8">
        <v>0.26</v>
      </c>
      <c r="E207" s="8">
        <v>0</v>
      </c>
      <c r="F207" s="7">
        <v>2.1000000000000001E-2</v>
      </c>
      <c r="G207" s="7">
        <v>0.1045</v>
      </c>
      <c r="H207" s="1">
        <v>6.4999999999999997E-3</v>
      </c>
      <c r="I207" s="1">
        <v>0.03</v>
      </c>
      <c r="J207" s="1">
        <v>0.18</v>
      </c>
      <c r="K207" s="1">
        <v>0.04</v>
      </c>
      <c r="L207" s="1">
        <v>0.14000000000000001</v>
      </c>
      <c r="M207" s="1">
        <v>1.4999999999999999E-2</v>
      </c>
      <c r="N207" s="2" t="s">
        <v>175</v>
      </c>
      <c r="O207" s="105">
        <v>165000</v>
      </c>
      <c r="P207" s="4">
        <v>123</v>
      </c>
    </row>
    <row r="208" spans="1:16" ht="15" x14ac:dyDescent="0.2">
      <c r="A208" s="4">
        <v>144</v>
      </c>
      <c r="B208" s="125" t="s">
        <v>342</v>
      </c>
      <c r="C208" s="187" t="s">
        <v>325</v>
      </c>
      <c r="D208" s="8">
        <v>0.26</v>
      </c>
      <c r="E208" s="8">
        <v>0</v>
      </c>
      <c r="F208" s="7">
        <v>2.1000000000000001E-2</v>
      </c>
      <c r="G208" s="7">
        <v>0.1045</v>
      </c>
      <c r="H208" s="1">
        <v>6.4999999999999997E-3</v>
      </c>
      <c r="I208" s="1">
        <v>0.03</v>
      </c>
      <c r="J208" s="1">
        <v>0.18</v>
      </c>
      <c r="K208" s="1">
        <v>0.04</v>
      </c>
      <c r="L208" s="1">
        <v>0.14000000000000001</v>
      </c>
      <c r="M208" s="1">
        <v>1.4999999999999999E-2</v>
      </c>
      <c r="N208" s="2" t="s">
        <v>175</v>
      </c>
      <c r="O208" s="105">
        <v>154000</v>
      </c>
      <c r="P208" s="4">
        <v>124</v>
      </c>
    </row>
    <row r="209" spans="1:16" ht="15" x14ac:dyDescent="0.2">
      <c r="A209" s="4">
        <v>145</v>
      </c>
      <c r="B209" s="125" t="s">
        <v>343</v>
      </c>
      <c r="C209" s="187" t="s">
        <v>325</v>
      </c>
      <c r="D209" s="8">
        <v>0.26</v>
      </c>
      <c r="E209" s="8">
        <v>0</v>
      </c>
      <c r="F209" s="7">
        <v>2.1000000000000001E-2</v>
      </c>
      <c r="G209" s="7">
        <v>0.1045</v>
      </c>
      <c r="H209" s="1">
        <v>6.4999999999999997E-3</v>
      </c>
      <c r="I209" s="1">
        <v>0.03</v>
      </c>
      <c r="J209" s="1">
        <v>0.18</v>
      </c>
      <c r="K209" s="1">
        <v>0.04</v>
      </c>
      <c r="L209" s="1">
        <v>0.14000000000000001</v>
      </c>
      <c r="M209" s="1">
        <v>1.4999999999999999E-2</v>
      </c>
      <c r="N209" s="2" t="s">
        <v>175</v>
      </c>
      <c r="O209" s="105">
        <v>138000</v>
      </c>
      <c r="P209" s="4">
        <v>125</v>
      </c>
    </row>
    <row r="210" spans="1:16" ht="15" x14ac:dyDescent="0.2">
      <c r="A210" s="4">
        <v>146</v>
      </c>
      <c r="B210" s="125" t="s">
        <v>344</v>
      </c>
      <c r="C210" s="187" t="s">
        <v>325</v>
      </c>
      <c r="D210" s="8">
        <v>0.26</v>
      </c>
      <c r="E210" s="8">
        <v>0</v>
      </c>
      <c r="F210" s="7">
        <v>2.1000000000000001E-2</v>
      </c>
      <c r="G210" s="7">
        <v>0.1045</v>
      </c>
      <c r="H210" s="1">
        <v>6.4999999999999997E-3</v>
      </c>
      <c r="I210" s="1">
        <v>0.03</v>
      </c>
      <c r="J210" s="1">
        <v>0.18</v>
      </c>
      <c r="K210" s="1">
        <v>0.04</v>
      </c>
      <c r="L210" s="1">
        <v>0.14000000000000001</v>
      </c>
      <c r="M210" s="1">
        <v>1.4999999999999999E-2</v>
      </c>
      <c r="N210" s="2" t="s">
        <v>175</v>
      </c>
      <c r="O210" s="105">
        <v>165000</v>
      </c>
      <c r="P210" s="4">
        <v>126</v>
      </c>
    </row>
    <row r="211" spans="1:16" ht="15" x14ac:dyDescent="0.2">
      <c r="A211" s="4">
        <v>147</v>
      </c>
      <c r="B211" s="125" t="s">
        <v>345</v>
      </c>
      <c r="C211" s="187" t="s">
        <v>325</v>
      </c>
      <c r="D211" s="8">
        <v>0.26</v>
      </c>
      <c r="E211" s="8">
        <v>0</v>
      </c>
      <c r="F211" s="7">
        <v>2.1000000000000001E-2</v>
      </c>
      <c r="G211" s="7">
        <v>0.1045</v>
      </c>
      <c r="H211" s="1">
        <v>6.4999999999999997E-3</v>
      </c>
      <c r="I211" s="1">
        <v>0.03</v>
      </c>
      <c r="J211" s="1">
        <v>0.18</v>
      </c>
      <c r="K211" s="1">
        <v>0.04</v>
      </c>
      <c r="L211" s="1">
        <v>0.14000000000000001</v>
      </c>
      <c r="M211" s="1">
        <v>1.4999999999999999E-2</v>
      </c>
      <c r="N211" s="2" t="s">
        <v>175</v>
      </c>
      <c r="O211" s="105">
        <v>154000</v>
      </c>
      <c r="P211" s="4">
        <v>127</v>
      </c>
    </row>
    <row r="212" spans="1:16" ht="15" x14ac:dyDescent="0.2">
      <c r="A212" s="4">
        <v>148</v>
      </c>
      <c r="B212" s="125" t="s">
        <v>346</v>
      </c>
      <c r="C212" s="187" t="s">
        <v>325</v>
      </c>
      <c r="D212" s="8">
        <v>0.26</v>
      </c>
      <c r="E212" s="8">
        <v>0</v>
      </c>
      <c r="F212" s="7">
        <v>2.1000000000000001E-2</v>
      </c>
      <c r="G212" s="7">
        <v>0.1045</v>
      </c>
      <c r="H212" s="1">
        <v>6.4999999999999997E-3</v>
      </c>
      <c r="I212" s="1">
        <v>0.03</v>
      </c>
      <c r="J212" s="1">
        <v>0.18</v>
      </c>
      <c r="K212" s="1">
        <v>0.04</v>
      </c>
      <c r="L212" s="1">
        <v>0.14000000000000001</v>
      </c>
      <c r="M212" s="1">
        <v>1.4999999999999999E-2</v>
      </c>
      <c r="N212" s="2" t="s">
        <v>175</v>
      </c>
      <c r="O212" s="105">
        <v>138000</v>
      </c>
      <c r="P212" s="4">
        <v>128</v>
      </c>
    </row>
    <row r="213" spans="1:16" ht="15" x14ac:dyDescent="0.2">
      <c r="A213" s="4">
        <v>148</v>
      </c>
      <c r="B213" s="125" t="s">
        <v>347</v>
      </c>
      <c r="C213" s="187" t="s">
        <v>325</v>
      </c>
      <c r="D213" s="8">
        <v>0.26</v>
      </c>
      <c r="E213" s="8">
        <v>0</v>
      </c>
      <c r="F213" s="7">
        <v>2.1000000000000001E-2</v>
      </c>
      <c r="G213" s="7">
        <v>0.1045</v>
      </c>
      <c r="H213" s="1">
        <v>6.4999999999999997E-3</v>
      </c>
      <c r="I213" s="1">
        <v>0.03</v>
      </c>
      <c r="J213" s="1">
        <v>0.18</v>
      </c>
      <c r="K213" s="1">
        <v>0.04</v>
      </c>
      <c r="L213" s="1">
        <v>0.14000000000000001</v>
      </c>
      <c r="M213" s="1">
        <v>1.4999999999999999E-2</v>
      </c>
      <c r="N213" s="2" t="s">
        <v>175</v>
      </c>
      <c r="O213" s="105">
        <v>138000</v>
      </c>
      <c r="P213" s="4">
        <v>128</v>
      </c>
    </row>
    <row r="214" spans="1:16" ht="15" x14ac:dyDescent="0.2">
      <c r="A214" s="4">
        <v>149</v>
      </c>
      <c r="B214" s="125" t="s">
        <v>348</v>
      </c>
      <c r="C214" s="187" t="s">
        <v>325</v>
      </c>
      <c r="D214" s="8">
        <v>0.26</v>
      </c>
      <c r="E214" s="8">
        <v>0</v>
      </c>
      <c r="F214" s="7">
        <v>2.1000000000000001E-2</v>
      </c>
      <c r="G214" s="7">
        <v>0.1045</v>
      </c>
      <c r="H214" s="1">
        <v>6.4999999999999997E-3</v>
      </c>
      <c r="I214" s="1">
        <v>0.03</v>
      </c>
      <c r="J214" s="1">
        <v>0.18</v>
      </c>
      <c r="K214" s="1">
        <v>0.04</v>
      </c>
      <c r="L214" s="1">
        <v>0.14000000000000001</v>
      </c>
      <c r="M214" s="1">
        <v>1.4999999999999999E-2</v>
      </c>
      <c r="N214" s="2" t="s">
        <v>175</v>
      </c>
      <c r="O214" s="105">
        <v>130000</v>
      </c>
      <c r="P214" s="4">
        <v>129</v>
      </c>
    </row>
    <row r="215" spans="1:16" ht="15" x14ac:dyDescent="0.2">
      <c r="A215" s="4">
        <v>150</v>
      </c>
      <c r="B215" s="125" t="s">
        <v>349</v>
      </c>
      <c r="C215" s="187" t="s">
        <v>297</v>
      </c>
      <c r="D215" s="8">
        <v>0.26</v>
      </c>
      <c r="E215" s="8">
        <v>0</v>
      </c>
      <c r="F215" s="7">
        <v>2.1000000000000001E-2</v>
      </c>
      <c r="G215" s="7">
        <v>0.1045</v>
      </c>
      <c r="H215" s="1">
        <v>6.4999999999999997E-3</v>
      </c>
      <c r="I215" s="1">
        <v>0.03</v>
      </c>
      <c r="J215" s="1">
        <v>0.18</v>
      </c>
      <c r="K215" s="1">
        <v>0.04</v>
      </c>
      <c r="L215" s="1">
        <v>0.14000000000000001</v>
      </c>
      <c r="M215" s="1">
        <v>1.4999999999999999E-2</v>
      </c>
      <c r="N215" s="2" t="s">
        <v>175</v>
      </c>
      <c r="O215" s="105">
        <v>128000</v>
      </c>
      <c r="P215" s="4">
        <v>129</v>
      </c>
    </row>
    <row r="216" spans="1:16" ht="15" x14ac:dyDescent="0.2">
      <c r="A216" s="4">
        <v>151</v>
      </c>
      <c r="B216" s="125" t="s">
        <v>350</v>
      </c>
      <c r="C216" s="187" t="s">
        <v>297</v>
      </c>
      <c r="D216" s="8">
        <v>0.26</v>
      </c>
      <c r="E216" s="8">
        <v>0</v>
      </c>
      <c r="F216" s="7">
        <v>2.1000000000000001E-2</v>
      </c>
      <c r="G216" s="7">
        <v>0.1045</v>
      </c>
      <c r="H216" s="1">
        <v>6.4999999999999997E-3</v>
      </c>
      <c r="I216" s="1">
        <v>0.03</v>
      </c>
      <c r="J216" s="1">
        <v>0.18</v>
      </c>
      <c r="K216" s="1">
        <v>0.04</v>
      </c>
      <c r="L216" s="1">
        <v>0.14000000000000001</v>
      </c>
      <c r="M216" s="1">
        <v>1.4999999999999999E-2</v>
      </c>
      <c r="N216" s="2" t="s">
        <v>175</v>
      </c>
      <c r="O216" s="105">
        <v>120000</v>
      </c>
      <c r="P216" s="4">
        <v>130</v>
      </c>
    </row>
    <row r="217" spans="1:16" ht="15" x14ac:dyDescent="0.2">
      <c r="A217" s="4">
        <v>152</v>
      </c>
      <c r="B217" s="125" t="s">
        <v>351</v>
      </c>
      <c r="C217" s="187" t="s">
        <v>297</v>
      </c>
      <c r="D217" s="8">
        <v>0.26</v>
      </c>
      <c r="E217" s="8">
        <v>0</v>
      </c>
      <c r="F217" s="7">
        <v>2.1000000000000001E-2</v>
      </c>
      <c r="G217" s="7">
        <v>0.1045</v>
      </c>
      <c r="H217" s="1">
        <v>6.4999999999999997E-3</v>
      </c>
      <c r="I217" s="1">
        <v>0.03</v>
      </c>
      <c r="J217" s="1">
        <v>0.18</v>
      </c>
      <c r="K217" s="1">
        <v>0.04</v>
      </c>
      <c r="L217" s="1">
        <v>0.14000000000000001</v>
      </c>
      <c r="M217" s="1">
        <v>1.4999999999999999E-2</v>
      </c>
      <c r="N217" s="2" t="s">
        <v>175</v>
      </c>
      <c r="O217" s="105">
        <v>135000</v>
      </c>
      <c r="P217" s="4">
        <v>131</v>
      </c>
    </row>
    <row r="218" spans="1:16" ht="15" x14ac:dyDescent="0.2">
      <c r="A218" s="4">
        <v>153</v>
      </c>
      <c r="B218" s="125" t="s">
        <v>352</v>
      </c>
      <c r="C218" s="187" t="s">
        <v>297</v>
      </c>
      <c r="D218" s="8">
        <v>0.26</v>
      </c>
      <c r="E218" s="8">
        <v>0</v>
      </c>
      <c r="F218" s="7">
        <v>2.1000000000000001E-2</v>
      </c>
      <c r="G218" s="7">
        <v>0.1045</v>
      </c>
      <c r="H218" s="1">
        <v>6.4999999999999997E-3</v>
      </c>
      <c r="I218" s="1">
        <v>0.03</v>
      </c>
      <c r="J218" s="1">
        <v>0.18</v>
      </c>
      <c r="K218" s="1">
        <v>0.04</v>
      </c>
      <c r="L218" s="1">
        <v>0.14000000000000001</v>
      </c>
      <c r="M218" s="1">
        <v>1.4999999999999999E-2</v>
      </c>
      <c r="N218" s="2" t="s">
        <v>175</v>
      </c>
      <c r="O218" s="105">
        <v>120000</v>
      </c>
      <c r="P218" s="4">
        <v>132</v>
      </c>
    </row>
    <row r="219" spans="1:16" ht="15" x14ac:dyDescent="0.2">
      <c r="A219" s="4">
        <v>154</v>
      </c>
      <c r="B219" s="125" t="s">
        <v>353</v>
      </c>
      <c r="C219" s="187" t="s">
        <v>297</v>
      </c>
      <c r="D219" s="8">
        <v>0.26</v>
      </c>
      <c r="E219" s="8">
        <v>0</v>
      </c>
      <c r="F219" s="7">
        <v>2.1000000000000001E-2</v>
      </c>
      <c r="G219" s="7">
        <v>0.1045</v>
      </c>
      <c r="H219" s="1">
        <v>6.4999999999999997E-3</v>
      </c>
      <c r="I219" s="1">
        <v>0.03</v>
      </c>
      <c r="J219" s="1">
        <v>0.18</v>
      </c>
      <c r="K219" s="1">
        <v>0.04</v>
      </c>
      <c r="L219" s="1">
        <v>0.14000000000000001</v>
      </c>
      <c r="M219" s="1">
        <v>1.4999999999999999E-2</v>
      </c>
      <c r="N219" s="2" t="s">
        <v>175</v>
      </c>
      <c r="O219" s="105">
        <v>135000</v>
      </c>
      <c r="P219" s="4">
        <v>133</v>
      </c>
    </row>
    <row r="220" spans="1:16" ht="15" x14ac:dyDescent="0.2">
      <c r="A220" s="4">
        <v>155</v>
      </c>
      <c r="B220" s="125" t="s">
        <v>354</v>
      </c>
      <c r="C220" s="187" t="s">
        <v>297</v>
      </c>
      <c r="D220" s="8">
        <v>0.26</v>
      </c>
      <c r="E220" s="8">
        <v>0</v>
      </c>
      <c r="F220" s="7">
        <v>2.1000000000000001E-2</v>
      </c>
      <c r="G220" s="7">
        <v>0.1045</v>
      </c>
      <c r="H220" s="1">
        <v>6.4999999999999997E-3</v>
      </c>
      <c r="I220" s="1">
        <v>0.03</v>
      </c>
      <c r="J220" s="1">
        <v>0.18</v>
      </c>
      <c r="K220" s="1">
        <v>0.04</v>
      </c>
      <c r="L220" s="1">
        <v>0.14000000000000001</v>
      </c>
      <c r="M220" s="1">
        <v>1.4999999999999999E-2</v>
      </c>
      <c r="N220" s="2" t="s">
        <v>175</v>
      </c>
      <c r="O220" s="105">
        <v>120000</v>
      </c>
      <c r="P220" s="4">
        <v>134</v>
      </c>
    </row>
    <row r="221" spans="1:16" ht="15" x14ac:dyDescent="0.2">
      <c r="A221" s="4">
        <v>156</v>
      </c>
      <c r="B221" s="125" t="s">
        <v>355</v>
      </c>
      <c r="C221" s="187" t="s">
        <v>325</v>
      </c>
      <c r="D221" s="8">
        <v>0.26</v>
      </c>
      <c r="E221" s="8">
        <v>0</v>
      </c>
      <c r="F221" s="7">
        <v>2.1000000000000001E-2</v>
      </c>
      <c r="G221" s="7">
        <v>0.1045</v>
      </c>
      <c r="H221" s="1">
        <v>6.4999999999999997E-3</v>
      </c>
      <c r="I221" s="1">
        <v>0.03</v>
      </c>
      <c r="J221" s="1">
        <v>0.18</v>
      </c>
      <c r="K221" s="1">
        <v>0.04</v>
      </c>
      <c r="L221" s="1">
        <v>0.14000000000000001</v>
      </c>
      <c r="M221" s="1">
        <v>1.4999999999999999E-2</v>
      </c>
      <c r="N221" s="2" t="s">
        <v>175</v>
      </c>
      <c r="O221" s="105">
        <v>115000</v>
      </c>
      <c r="P221" s="4">
        <v>135</v>
      </c>
    </row>
    <row r="222" spans="1:16" ht="15" x14ac:dyDescent="0.2">
      <c r="A222" s="4">
        <v>157</v>
      </c>
      <c r="B222" s="125" t="s">
        <v>356</v>
      </c>
      <c r="C222" s="187" t="s">
        <v>325</v>
      </c>
      <c r="D222" s="8">
        <v>0.26</v>
      </c>
      <c r="E222" s="8">
        <v>0</v>
      </c>
      <c r="F222" s="7">
        <v>2.1000000000000001E-2</v>
      </c>
      <c r="G222" s="7">
        <v>0.1045</v>
      </c>
      <c r="H222" s="1">
        <v>6.4999999999999997E-3</v>
      </c>
      <c r="I222" s="1">
        <v>0.03</v>
      </c>
      <c r="J222" s="1">
        <v>0.18</v>
      </c>
      <c r="K222" s="1">
        <v>0.04</v>
      </c>
      <c r="L222" s="1">
        <v>0.14000000000000001</v>
      </c>
      <c r="M222" s="1">
        <v>1.4999999999999999E-2</v>
      </c>
      <c r="N222" s="2" t="s">
        <v>175</v>
      </c>
      <c r="O222" s="105">
        <v>100000</v>
      </c>
      <c r="P222" s="4">
        <v>136</v>
      </c>
    </row>
    <row r="223" spans="1:16" ht="15" x14ac:dyDescent="0.2">
      <c r="A223" s="4">
        <v>158</v>
      </c>
      <c r="B223" s="125" t="s">
        <v>92</v>
      </c>
      <c r="C223" s="187" t="s">
        <v>297</v>
      </c>
      <c r="D223" s="8">
        <v>0.26</v>
      </c>
      <c r="E223" s="8">
        <v>0</v>
      </c>
      <c r="F223" s="7">
        <v>2.1000000000000001E-2</v>
      </c>
      <c r="G223" s="7">
        <v>0.1045</v>
      </c>
      <c r="H223" s="1">
        <v>6.4999999999999997E-3</v>
      </c>
      <c r="I223" s="1">
        <v>0.03</v>
      </c>
      <c r="J223" s="1">
        <v>0.18</v>
      </c>
      <c r="K223" s="1">
        <v>0.04</v>
      </c>
      <c r="L223" s="1">
        <v>0.14000000000000001</v>
      </c>
      <c r="M223" s="1">
        <v>1.4999999999999999E-2</v>
      </c>
      <c r="N223" s="2" t="s">
        <v>175</v>
      </c>
      <c r="O223" s="105">
        <v>120000</v>
      </c>
      <c r="P223" s="4">
        <v>137</v>
      </c>
    </row>
    <row r="224" spans="1:16" ht="15" x14ac:dyDescent="0.2">
      <c r="A224" s="4">
        <v>159</v>
      </c>
      <c r="B224" s="125" t="s">
        <v>537</v>
      </c>
      <c r="C224" s="187" t="s">
        <v>297</v>
      </c>
      <c r="D224" s="8">
        <v>0.26</v>
      </c>
      <c r="E224" s="8">
        <v>0</v>
      </c>
      <c r="F224" s="7">
        <v>2.1000000000000001E-2</v>
      </c>
      <c r="G224" s="7">
        <v>0.1045</v>
      </c>
      <c r="H224" s="1">
        <v>6.4999999999999997E-3</v>
      </c>
      <c r="I224" s="1">
        <v>0.03</v>
      </c>
      <c r="J224" s="1">
        <v>0.18</v>
      </c>
      <c r="K224" s="1">
        <v>0.04</v>
      </c>
      <c r="L224" s="1">
        <v>0.14000000000000001</v>
      </c>
      <c r="M224" s="1">
        <v>1.4999999999999999E-2</v>
      </c>
      <c r="N224" s="2" t="s">
        <v>175</v>
      </c>
      <c r="O224" s="105">
        <v>115000</v>
      </c>
      <c r="P224" s="4">
        <v>138</v>
      </c>
    </row>
    <row r="225" spans="1:16" ht="15" x14ac:dyDescent="0.2">
      <c r="A225" s="4">
        <v>160</v>
      </c>
      <c r="B225" s="125" t="s">
        <v>357</v>
      </c>
      <c r="C225" s="187" t="s">
        <v>297</v>
      </c>
      <c r="D225" s="8">
        <v>0.26</v>
      </c>
      <c r="E225" s="8">
        <v>0</v>
      </c>
      <c r="F225" s="7">
        <v>2.1000000000000001E-2</v>
      </c>
      <c r="G225" s="7">
        <v>0.1045</v>
      </c>
      <c r="H225" s="1">
        <v>6.4999999999999997E-3</v>
      </c>
      <c r="I225" s="1">
        <v>0.03</v>
      </c>
      <c r="J225" s="1">
        <v>0.18</v>
      </c>
      <c r="K225" s="1">
        <v>0.04</v>
      </c>
      <c r="L225" s="1">
        <v>0.14000000000000001</v>
      </c>
      <c r="M225" s="1">
        <v>1.4999999999999999E-2</v>
      </c>
      <c r="N225" s="2" t="s">
        <v>175</v>
      </c>
      <c r="O225" s="105">
        <v>100000</v>
      </c>
      <c r="P225" s="4">
        <v>139</v>
      </c>
    </row>
    <row r="226" spans="1:16" ht="15" x14ac:dyDescent="0.2">
      <c r="A226" s="4">
        <v>161</v>
      </c>
      <c r="B226" s="125" t="s">
        <v>358</v>
      </c>
      <c r="C226" s="187" t="s">
        <v>325</v>
      </c>
      <c r="D226" s="8">
        <v>0.26</v>
      </c>
      <c r="E226" s="8">
        <v>0</v>
      </c>
      <c r="F226" s="7">
        <v>2.1000000000000001E-2</v>
      </c>
      <c r="G226" s="7">
        <v>0.1045</v>
      </c>
      <c r="H226" s="1">
        <v>6.4999999999999997E-3</v>
      </c>
      <c r="I226" s="1">
        <v>0.03</v>
      </c>
      <c r="J226" s="1">
        <v>0.18</v>
      </c>
      <c r="K226" s="1">
        <v>0.04</v>
      </c>
      <c r="L226" s="1">
        <v>0.14000000000000001</v>
      </c>
      <c r="M226" s="1">
        <v>1.4999999999999999E-2</v>
      </c>
      <c r="N226" s="2" t="s">
        <v>175</v>
      </c>
      <c r="O226" s="105">
        <v>115000</v>
      </c>
      <c r="P226" s="4">
        <v>140</v>
      </c>
    </row>
    <row r="227" spans="1:16" ht="15" x14ac:dyDescent="0.2">
      <c r="A227" s="4">
        <v>161</v>
      </c>
      <c r="B227" s="125" t="s">
        <v>359</v>
      </c>
      <c r="C227" s="187" t="s">
        <v>325</v>
      </c>
      <c r="D227" s="8">
        <v>0.26</v>
      </c>
      <c r="E227" s="8">
        <v>0</v>
      </c>
      <c r="F227" s="7">
        <v>2.1000000000000001E-2</v>
      </c>
      <c r="G227" s="7">
        <v>0.1045</v>
      </c>
      <c r="H227" s="1">
        <v>6.4999999999999997E-3</v>
      </c>
      <c r="I227" s="1">
        <v>0.03</v>
      </c>
      <c r="J227" s="1">
        <v>0.18</v>
      </c>
      <c r="K227" s="1">
        <v>0.04</v>
      </c>
      <c r="L227" s="1">
        <v>0.14000000000000001</v>
      </c>
      <c r="M227" s="1">
        <v>1.4999999999999999E-2</v>
      </c>
      <c r="N227" s="2" t="s">
        <v>175</v>
      </c>
      <c r="O227" s="105">
        <v>160000</v>
      </c>
      <c r="P227" s="4">
        <v>140</v>
      </c>
    </row>
    <row r="228" spans="1:16" ht="15" x14ac:dyDescent="0.2">
      <c r="A228" s="4">
        <v>162</v>
      </c>
      <c r="B228" s="125" t="s">
        <v>360</v>
      </c>
      <c r="C228" s="187" t="s">
        <v>325</v>
      </c>
      <c r="D228" s="8">
        <v>0.26</v>
      </c>
      <c r="E228" s="8">
        <v>0</v>
      </c>
      <c r="F228" s="7">
        <v>2.1000000000000001E-2</v>
      </c>
      <c r="G228" s="7">
        <v>0.1045</v>
      </c>
      <c r="H228" s="1">
        <v>6.4999999999999997E-3</v>
      </c>
      <c r="I228" s="1">
        <v>0.03</v>
      </c>
      <c r="J228" s="1">
        <v>0.18</v>
      </c>
      <c r="K228" s="1">
        <v>0.04</v>
      </c>
      <c r="L228" s="1">
        <v>0.14000000000000001</v>
      </c>
      <c r="M228" s="1">
        <v>1.4999999999999999E-2</v>
      </c>
      <c r="N228" s="2" t="s">
        <v>175</v>
      </c>
      <c r="O228" s="105">
        <v>115000</v>
      </c>
      <c r="P228" s="4">
        <v>141</v>
      </c>
    </row>
    <row r="229" spans="1:16" ht="15" x14ac:dyDescent="0.2">
      <c r="A229" s="4">
        <v>163</v>
      </c>
      <c r="B229" s="125" t="s">
        <v>361</v>
      </c>
      <c r="C229" s="187" t="s">
        <v>325</v>
      </c>
      <c r="D229" s="8">
        <v>0.26</v>
      </c>
      <c r="E229" s="8">
        <v>0</v>
      </c>
      <c r="F229" s="7">
        <v>2.1000000000000001E-2</v>
      </c>
      <c r="G229" s="7">
        <v>0.1045</v>
      </c>
      <c r="H229" s="1">
        <v>6.4999999999999997E-3</v>
      </c>
      <c r="I229" s="1">
        <v>0.03</v>
      </c>
      <c r="J229" s="1">
        <v>0.18</v>
      </c>
      <c r="K229" s="1">
        <v>0.04</v>
      </c>
      <c r="L229" s="1">
        <v>0.14000000000000001</v>
      </c>
      <c r="M229" s="1">
        <v>1.4999999999999999E-2</v>
      </c>
      <c r="N229" s="2" t="s">
        <v>175</v>
      </c>
      <c r="O229" s="105">
        <v>108000</v>
      </c>
      <c r="P229" s="4">
        <v>142</v>
      </c>
    </row>
    <row r="230" spans="1:16" ht="15" x14ac:dyDescent="0.2">
      <c r="A230" s="4">
        <v>164</v>
      </c>
      <c r="B230" s="125" t="s">
        <v>362</v>
      </c>
      <c r="C230" s="187" t="s">
        <v>325</v>
      </c>
      <c r="D230" s="8">
        <v>0.26</v>
      </c>
      <c r="E230" s="8">
        <v>0</v>
      </c>
      <c r="F230" s="7">
        <v>2.1000000000000001E-2</v>
      </c>
      <c r="G230" s="7">
        <v>0.1045</v>
      </c>
      <c r="H230" s="1">
        <v>6.4999999999999997E-3</v>
      </c>
      <c r="I230" s="1">
        <v>0.03</v>
      </c>
      <c r="J230" s="1">
        <v>0.18</v>
      </c>
      <c r="K230" s="1">
        <v>0.04</v>
      </c>
      <c r="L230" s="1">
        <v>0.14000000000000001</v>
      </c>
      <c r="M230" s="1">
        <v>1.4999999999999999E-2</v>
      </c>
      <c r="N230" s="2" t="s">
        <v>175</v>
      </c>
      <c r="O230" s="105">
        <v>104000</v>
      </c>
      <c r="P230" s="4">
        <v>143</v>
      </c>
    </row>
    <row r="231" spans="1:16" ht="15" x14ac:dyDescent="0.2">
      <c r="A231" s="4">
        <v>164</v>
      </c>
      <c r="B231" s="125" t="s">
        <v>363</v>
      </c>
      <c r="C231" s="187" t="s">
        <v>297</v>
      </c>
      <c r="D231" s="8">
        <v>0.26</v>
      </c>
      <c r="E231" s="8">
        <v>0</v>
      </c>
      <c r="F231" s="7">
        <v>2.1000000000000001E-2</v>
      </c>
      <c r="G231" s="7">
        <v>0.1045</v>
      </c>
      <c r="H231" s="1">
        <v>6.4999999999999997E-3</v>
      </c>
      <c r="I231" s="1">
        <v>0.03</v>
      </c>
      <c r="J231" s="1">
        <v>0.18</v>
      </c>
      <c r="K231" s="1">
        <v>0.04</v>
      </c>
      <c r="L231" s="1">
        <v>0.14000000000000001</v>
      </c>
      <c r="M231" s="1">
        <v>1.4999999999999999E-2</v>
      </c>
      <c r="N231" s="2" t="s">
        <v>175</v>
      </c>
      <c r="O231" s="105">
        <v>160000</v>
      </c>
      <c r="P231" s="4">
        <v>143</v>
      </c>
    </row>
    <row r="232" spans="1:16" ht="15" x14ac:dyDescent="0.2">
      <c r="A232" s="4">
        <v>165</v>
      </c>
      <c r="B232" s="125" t="s">
        <v>364</v>
      </c>
      <c r="C232" s="187" t="s">
        <v>297</v>
      </c>
      <c r="D232" s="8">
        <v>0.26</v>
      </c>
      <c r="E232" s="8">
        <v>0</v>
      </c>
      <c r="F232" s="7">
        <v>2.1000000000000001E-2</v>
      </c>
      <c r="G232" s="7">
        <v>0.1045</v>
      </c>
      <c r="H232" s="1">
        <v>6.4999999999999997E-3</v>
      </c>
      <c r="I232" s="1">
        <v>0.03</v>
      </c>
      <c r="J232" s="1">
        <v>0.18</v>
      </c>
      <c r="K232" s="1">
        <v>0.04</v>
      </c>
      <c r="L232" s="1">
        <v>0.14000000000000001</v>
      </c>
      <c r="M232" s="1">
        <v>1.4999999999999999E-2</v>
      </c>
      <c r="N232" s="2" t="s">
        <v>175</v>
      </c>
      <c r="O232" s="105">
        <v>115000</v>
      </c>
      <c r="P232" s="4">
        <v>144</v>
      </c>
    </row>
    <row r="233" spans="1:16" ht="15" x14ac:dyDescent="0.2">
      <c r="A233" s="4">
        <v>166</v>
      </c>
      <c r="B233" s="125" t="s">
        <v>365</v>
      </c>
      <c r="C233" s="187" t="s">
        <v>297</v>
      </c>
      <c r="D233" s="8">
        <v>0.26</v>
      </c>
      <c r="E233" s="8">
        <v>0</v>
      </c>
      <c r="F233" s="7">
        <v>2.1000000000000001E-2</v>
      </c>
      <c r="G233" s="7">
        <v>0.1045</v>
      </c>
      <c r="H233" s="1">
        <v>6.4999999999999997E-3</v>
      </c>
      <c r="I233" s="1">
        <v>0.03</v>
      </c>
      <c r="J233" s="1">
        <v>0.18</v>
      </c>
      <c r="K233" s="1">
        <v>0.04</v>
      </c>
      <c r="L233" s="1">
        <v>0.14000000000000001</v>
      </c>
      <c r="M233" s="1">
        <v>1.4999999999999999E-2</v>
      </c>
      <c r="N233" s="2" t="s">
        <v>175</v>
      </c>
      <c r="O233" s="105">
        <v>108000</v>
      </c>
      <c r="P233" s="4">
        <v>145</v>
      </c>
    </row>
    <row r="234" spans="1:16" ht="15" x14ac:dyDescent="0.2">
      <c r="A234" s="4">
        <v>167</v>
      </c>
      <c r="B234" s="125" t="s">
        <v>366</v>
      </c>
      <c r="C234" s="187" t="s">
        <v>297</v>
      </c>
      <c r="D234" s="8">
        <v>0.26</v>
      </c>
      <c r="E234" s="8">
        <v>0</v>
      </c>
      <c r="F234" s="7">
        <v>2.1000000000000001E-2</v>
      </c>
      <c r="G234" s="7">
        <v>0.1045</v>
      </c>
      <c r="H234" s="1">
        <v>6.4999999999999997E-3</v>
      </c>
      <c r="I234" s="1">
        <v>0.03</v>
      </c>
      <c r="J234" s="1">
        <v>0.18</v>
      </c>
      <c r="K234" s="1">
        <v>0.04</v>
      </c>
      <c r="L234" s="1">
        <v>0.14000000000000001</v>
      </c>
      <c r="M234" s="1">
        <v>1.4999999999999999E-2</v>
      </c>
      <c r="N234" s="2" t="s">
        <v>175</v>
      </c>
      <c r="O234" s="105">
        <v>104000</v>
      </c>
      <c r="P234" s="4">
        <v>146</v>
      </c>
    </row>
    <row r="235" spans="1:16" ht="15" x14ac:dyDescent="0.2">
      <c r="A235" s="4">
        <v>168</v>
      </c>
      <c r="B235" s="125" t="s">
        <v>367</v>
      </c>
      <c r="C235" s="187" t="s">
        <v>297</v>
      </c>
      <c r="D235" s="8">
        <v>0.26</v>
      </c>
      <c r="E235" s="8">
        <v>0</v>
      </c>
      <c r="F235" s="7">
        <v>2.1000000000000001E-2</v>
      </c>
      <c r="G235" s="7">
        <v>0.1045</v>
      </c>
      <c r="H235" s="1">
        <v>6.4999999999999997E-3</v>
      </c>
      <c r="I235" s="1">
        <v>0.03</v>
      </c>
      <c r="J235" s="1">
        <v>0.18</v>
      </c>
      <c r="K235" s="1">
        <v>0.04</v>
      </c>
      <c r="L235" s="1">
        <v>0.14000000000000001</v>
      </c>
      <c r="M235" s="1">
        <v>1.4999999999999999E-2</v>
      </c>
      <c r="N235" s="2" t="s">
        <v>175</v>
      </c>
      <c r="O235" s="105">
        <v>81000</v>
      </c>
      <c r="P235" s="4">
        <v>147</v>
      </c>
    </row>
    <row r="236" spans="1:16" ht="15" x14ac:dyDescent="0.2">
      <c r="A236" s="4">
        <v>169</v>
      </c>
      <c r="B236" s="125" t="s">
        <v>368</v>
      </c>
      <c r="C236" s="187" t="s">
        <v>325</v>
      </c>
      <c r="D236" s="8">
        <v>0.26</v>
      </c>
      <c r="E236" s="8">
        <v>0</v>
      </c>
      <c r="F236" s="7">
        <v>2.1000000000000001E-2</v>
      </c>
      <c r="G236" s="7">
        <v>0.1045</v>
      </c>
      <c r="H236" s="1">
        <v>6.4999999999999997E-3</v>
      </c>
      <c r="I236" s="1">
        <v>0.03</v>
      </c>
      <c r="J236" s="1">
        <v>0.18</v>
      </c>
      <c r="K236" s="1">
        <v>0.04</v>
      </c>
      <c r="L236" s="1">
        <v>0.14000000000000001</v>
      </c>
      <c r="M236" s="1">
        <v>1.4999999999999999E-2</v>
      </c>
      <c r="N236" s="2" t="s">
        <v>175</v>
      </c>
      <c r="O236" s="105">
        <v>81000</v>
      </c>
      <c r="P236" s="4">
        <v>148</v>
      </c>
    </row>
    <row r="237" spans="1:16" ht="15" x14ac:dyDescent="0.2">
      <c r="A237" s="4">
        <v>170</v>
      </c>
      <c r="B237" s="125" t="s">
        <v>369</v>
      </c>
      <c r="C237" s="187" t="s">
        <v>297</v>
      </c>
      <c r="D237" s="8">
        <v>0.26</v>
      </c>
      <c r="E237" s="8">
        <v>0</v>
      </c>
      <c r="F237" s="7">
        <v>2.1000000000000001E-2</v>
      </c>
      <c r="G237" s="7">
        <v>0.1045</v>
      </c>
      <c r="H237" s="1">
        <v>6.4999999999999997E-3</v>
      </c>
      <c r="I237" s="1">
        <v>0.03</v>
      </c>
      <c r="J237" s="1">
        <v>0.18</v>
      </c>
      <c r="K237" s="1">
        <v>0.04</v>
      </c>
      <c r="L237" s="1">
        <v>0.14000000000000001</v>
      </c>
      <c r="M237" s="1">
        <v>1.4999999999999999E-2</v>
      </c>
      <c r="N237" s="2" t="s">
        <v>175</v>
      </c>
      <c r="O237" s="105">
        <v>81000</v>
      </c>
      <c r="P237" s="4">
        <v>149</v>
      </c>
    </row>
    <row r="238" spans="1:16" ht="15" x14ac:dyDescent="0.2">
      <c r="A238" s="4">
        <v>171</v>
      </c>
      <c r="B238" s="125" t="s">
        <v>370</v>
      </c>
      <c r="C238" s="187" t="s">
        <v>297</v>
      </c>
      <c r="D238" s="8">
        <v>0.26</v>
      </c>
      <c r="E238" s="8">
        <v>0</v>
      </c>
      <c r="F238" s="7">
        <v>2.1000000000000001E-2</v>
      </c>
      <c r="G238" s="7">
        <v>0.1045</v>
      </c>
      <c r="H238" s="1">
        <v>6.4999999999999997E-3</v>
      </c>
      <c r="I238" s="1">
        <v>0.03</v>
      </c>
      <c r="J238" s="1">
        <v>0.18</v>
      </c>
      <c r="K238" s="1">
        <v>0.04</v>
      </c>
      <c r="L238" s="1">
        <v>0.14000000000000001</v>
      </c>
      <c r="M238" s="1">
        <v>1.4999999999999999E-2</v>
      </c>
      <c r="N238" s="2" t="s">
        <v>175</v>
      </c>
      <c r="O238" s="105">
        <v>74000</v>
      </c>
      <c r="P238" s="4">
        <v>150</v>
      </c>
    </row>
    <row r="239" spans="1:16" ht="15" x14ac:dyDescent="0.2">
      <c r="A239" s="4">
        <v>172</v>
      </c>
      <c r="B239" s="125" t="s">
        <v>371</v>
      </c>
      <c r="C239" s="187" t="s">
        <v>297</v>
      </c>
      <c r="D239" s="8">
        <v>0.26</v>
      </c>
      <c r="E239" s="8">
        <v>0</v>
      </c>
      <c r="F239" s="7">
        <v>2.1000000000000001E-2</v>
      </c>
      <c r="G239" s="7">
        <v>0.1045</v>
      </c>
      <c r="H239" s="1">
        <v>6.4999999999999997E-3</v>
      </c>
      <c r="I239" s="1">
        <v>0.03</v>
      </c>
      <c r="J239" s="1">
        <v>0.18</v>
      </c>
      <c r="K239" s="1">
        <v>0.04</v>
      </c>
      <c r="L239" s="1">
        <v>0.14000000000000001</v>
      </c>
      <c r="M239" s="1">
        <v>1.4999999999999999E-2</v>
      </c>
      <c r="N239" s="2" t="s">
        <v>175</v>
      </c>
      <c r="O239" s="105">
        <v>78000</v>
      </c>
      <c r="P239" s="4">
        <v>151</v>
      </c>
    </row>
    <row r="240" spans="1:16" ht="15" x14ac:dyDescent="0.2">
      <c r="A240" s="4">
        <v>173</v>
      </c>
      <c r="B240" s="125" t="s">
        <v>372</v>
      </c>
      <c r="C240" s="187" t="s">
        <v>297</v>
      </c>
      <c r="D240" s="8">
        <v>0.26</v>
      </c>
      <c r="E240" s="8">
        <v>0</v>
      </c>
      <c r="F240" s="7">
        <v>2.1000000000000001E-2</v>
      </c>
      <c r="G240" s="7">
        <v>0.1045</v>
      </c>
      <c r="H240" s="1">
        <v>6.4999999999999997E-3</v>
      </c>
      <c r="I240" s="1">
        <v>0.03</v>
      </c>
      <c r="J240" s="1">
        <v>0.18</v>
      </c>
      <c r="K240" s="1">
        <v>0.04</v>
      </c>
      <c r="L240" s="1">
        <v>0.14000000000000001</v>
      </c>
      <c r="M240" s="1">
        <v>1.4999999999999999E-2</v>
      </c>
      <c r="N240" s="2" t="s">
        <v>175</v>
      </c>
      <c r="O240" s="105">
        <v>70000</v>
      </c>
      <c r="P240" s="4">
        <v>152</v>
      </c>
    </row>
    <row r="241" spans="1:16" ht="15" x14ac:dyDescent="0.2">
      <c r="A241" s="4">
        <v>174</v>
      </c>
      <c r="B241" s="125" t="s">
        <v>373</v>
      </c>
      <c r="C241" s="187" t="s">
        <v>297</v>
      </c>
      <c r="D241" s="8">
        <v>0.26</v>
      </c>
      <c r="E241" s="8">
        <v>0</v>
      </c>
      <c r="F241" s="7">
        <v>2.1000000000000001E-2</v>
      </c>
      <c r="G241" s="7">
        <v>0.1045</v>
      </c>
      <c r="H241" s="1">
        <v>6.4999999999999997E-3</v>
      </c>
      <c r="I241" s="1">
        <v>0.03</v>
      </c>
      <c r="J241" s="1">
        <v>0.18</v>
      </c>
      <c r="K241" s="1">
        <v>0.04</v>
      </c>
      <c r="L241" s="1">
        <v>0.14000000000000001</v>
      </c>
      <c r="M241" s="1">
        <v>1.4999999999999999E-2</v>
      </c>
      <c r="N241" s="2" t="s">
        <v>175</v>
      </c>
      <c r="O241" s="105">
        <v>65000</v>
      </c>
      <c r="P241" s="4">
        <v>153</v>
      </c>
    </row>
    <row r="242" spans="1:16" ht="15" x14ac:dyDescent="0.2">
      <c r="A242" s="4">
        <v>175</v>
      </c>
      <c r="B242" s="5" t="s">
        <v>374</v>
      </c>
      <c r="C242" s="187" t="s">
        <v>297</v>
      </c>
      <c r="D242" s="8">
        <v>0.26</v>
      </c>
      <c r="E242" s="8">
        <v>0</v>
      </c>
      <c r="F242" s="7">
        <v>2.1000000000000001E-2</v>
      </c>
      <c r="G242" s="7">
        <v>0.1045</v>
      </c>
      <c r="H242" s="1">
        <v>6.4999999999999997E-3</v>
      </c>
      <c r="I242" s="1">
        <v>0.03</v>
      </c>
      <c r="J242" s="1">
        <v>0.18</v>
      </c>
      <c r="K242" s="1">
        <v>0.04</v>
      </c>
      <c r="L242" s="1">
        <v>0.14000000000000001</v>
      </c>
      <c r="M242" s="1">
        <v>1.4999999999999999E-2</v>
      </c>
      <c r="N242" s="2" t="s">
        <v>175</v>
      </c>
      <c r="O242" s="105">
        <v>60000</v>
      </c>
      <c r="P242" s="4">
        <v>154</v>
      </c>
    </row>
    <row r="243" spans="1:16" ht="15" x14ac:dyDescent="0.2">
      <c r="A243" s="4">
        <v>176</v>
      </c>
      <c r="B243" s="125" t="s">
        <v>375</v>
      </c>
      <c r="C243" s="187" t="s">
        <v>297</v>
      </c>
      <c r="D243" s="8">
        <v>0.26</v>
      </c>
      <c r="E243" s="8">
        <v>0</v>
      </c>
      <c r="F243" s="7">
        <v>2.1000000000000001E-2</v>
      </c>
      <c r="G243" s="7">
        <v>0.1045</v>
      </c>
      <c r="H243" s="1">
        <v>6.4999999999999997E-3</v>
      </c>
      <c r="I243" s="1">
        <v>0.03</v>
      </c>
      <c r="J243" s="1">
        <v>0.18</v>
      </c>
      <c r="K243" s="1">
        <v>0.04</v>
      </c>
      <c r="L243" s="1">
        <v>0.14000000000000001</v>
      </c>
      <c r="M243" s="1">
        <v>1.4999999999999999E-2</v>
      </c>
      <c r="N243" s="2" t="s">
        <v>175</v>
      </c>
      <c r="O243" s="105">
        <v>75000</v>
      </c>
      <c r="P243" s="4">
        <v>155</v>
      </c>
    </row>
    <row r="244" spans="1:16" ht="15" x14ac:dyDescent="0.2">
      <c r="A244" s="4">
        <v>177</v>
      </c>
      <c r="B244" s="125" t="s">
        <v>376</v>
      </c>
      <c r="C244" s="187" t="s">
        <v>297</v>
      </c>
      <c r="D244" s="8">
        <v>0.26</v>
      </c>
      <c r="E244" s="8">
        <v>0</v>
      </c>
      <c r="F244" s="7">
        <v>2.1000000000000001E-2</v>
      </c>
      <c r="G244" s="7">
        <v>0.1045</v>
      </c>
      <c r="H244" s="1">
        <v>6.4999999999999997E-3</v>
      </c>
      <c r="I244" s="1">
        <v>0.03</v>
      </c>
      <c r="J244" s="1">
        <v>0.18</v>
      </c>
      <c r="K244" s="1">
        <v>0.04</v>
      </c>
      <c r="L244" s="1">
        <v>0.14000000000000001</v>
      </c>
      <c r="M244" s="1">
        <v>1.4999999999999999E-2</v>
      </c>
      <c r="N244" s="2" t="s">
        <v>175</v>
      </c>
      <c r="O244" s="105">
        <v>70000</v>
      </c>
      <c r="P244" s="4">
        <v>156</v>
      </c>
    </row>
    <row r="245" spans="1:16" ht="15" x14ac:dyDescent="0.2">
      <c r="A245" s="4">
        <v>178</v>
      </c>
      <c r="B245" s="5" t="s">
        <v>377</v>
      </c>
      <c r="C245" s="187" t="s">
        <v>325</v>
      </c>
      <c r="D245" s="8">
        <v>0.26</v>
      </c>
      <c r="E245" s="8">
        <v>0</v>
      </c>
      <c r="F245" s="7">
        <v>2.1000000000000001E-2</v>
      </c>
      <c r="G245" s="7">
        <v>0.1045</v>
      </c>
      <c r="H245" s="1">
        <v>6.4999999999999997E-3</v>
      </c>
      <c r="I245" s="1">
        <v>0.03</v>
      </c>
      <c r="J245" s="1">
        <v>0.18</v>
      </c>
      <c r="K245" s="1">
        <v>0.04</v>
      </c>
      <c r="L245" s="1">
        <v>0.14000000000000001</v>
      </c>
      <c r="M245" s="1">
        <v>1.4999999999999999E-2</v>
      </c>
      <c r="N245" s="2" t="s">
        <v>175</v>
      </c>
      <c r="O245" s="105">
        <v>160000</v>
      </c>
      <c r="P245" s="4">
        <v>157</v>
      </c>
    </row>
    <row r="246" spans="1:16" ht="15" x14ac:dyDescent="0.2">
      <c r="A246" s="4">
        <v>179</v>
      </c>
      <c r="B246" s="5" t="s">
        <v>378</v>
      </c>
      <c r="C246" s="187" t="s">
        <v>325</v>
      </c>
      <c r="D246" s="8">
        <v>0.26</v>
      </c>
      <c r="E246" s="8">
        <v>0</v>
      </c>
      <c r="F246" s="7">
        <v>2.1000000000000001E-2</v>
      </c>
      <c r="G246" s="7">
        <v>0.1045</v>
      </c>
      <c r="H246" s="1">
        <v>6.4999999999999997E-3</v>
      </c>
      <c r="I246" s="1">
        <v>0.03</v>
      </c>
      <c r="J246" s="1">
        <v>0.18</v>
      </c>
      <c r="K246" s="1">
        <v>0.04</v>
      </c>
      <c r="L246" s="1">
        <v>0.14000000000000001</v>
      </c>
      <c r="M246" s="1">
        <v>1.4999999999999999E-2</v>
      </c>
      <c r="N246" s="2" t="s">
        <v>175</v>
      </c>
      <c r="O246" s="105">
        <v>74000</v>
      </c>
      <c r="P246" s="4">
        <v>158</v>
      </c>
    </row>
    <row r="247" spans="1:16" ht="15" x14ac:dyDescent="0.2">
      <c r="A247" s="4">
        <v>180</v>
      </c>
      <c r="B247" s="5" t="s">
        <v>379</v>
      </c>
      <c r="C247" s="187" t="s">
        <v>325</v>
      </c>
      <c r="D247" s="8">
        <v>0.26</v>
      </c>
      <c r="E247" s="8">
        <v>0</v>
      </c>
      <c r="F247" s="7">
        <v>2.1000000000000001E-2</v>
      </c>
      <c r="G247" s="7">
        <v>0.1045</v>
      </c>
      <c r="H247" s="1">
        <v>6.4999999999999997E-3</v>
      </c>
      <c r="I247" s="1">
        <v>0.03</v>
      </c>
      <c r="J247" s="1">
        <v>0.18</v>
      </c>
      <c r="K247" s="1">
        <v>0.04</v>
      </c>
      <c r="L247" s="1">
        <v>0.14000000000000001</v>
      </c>
      <c r="M247" s="1">
        <v>1.4999999999999999E-2</v>
      </c>
      <c r="N247" s="2" t="s">
        <v>175</v>
      </c>
      <c r="O247" s="105">
        <v>130000</v>
      </c>
      <c r="P247" s="4">
        <v>159</v>
      </c>
    </row>
    <row r="248" spans="1:16" ht="15" x14ac:dyDescent="0.2">
      <c r="A248" s="4">
        <v>181</v>
      </c>
      <c r="B248" s="5" t="s">
        <v>380</v>
      </c>
      <c r="C248" s="187" t="s">
        <v>297</v>
      </c>
      <c r="D248" s="8">
        <v>0.26</v>
      </c>
      <c r="E248" s="8">
        <v>0</v>
      </c>
      <c r="F248" s="7">
        <v>2.1000000000000001E-2</v>
      </c>
      <c r="G248" s="7">
        <v>0.1045</v>
      </c>
      <c r="H248" s="1">
        <v>6.4999999999999997E-3</v>
      </c>
      <c r="I248" s="1">
        <v>0.03</v>
      </c>
      <c r="J248" s="1">
        <v>0.18</v>
      </c>
      <c r="K248" s="1">
        <v>0.04</v>
      </c>
      <c r="L248" s="1">
        <v>0.14000000000000001</v>
      </c>
      <c r="M248" s="1">
        <v>1.4999999999999999E-2</v>
      </c>
      <c r="N248" s="2" t="s">
        <v>175</v>
      </c>
      <c r="O248" s="105">
        <v>120000</v>
      </c>
      <c r="P248" s="4">
        <v>160</v>
      </c>
    </row>
    <row r="249" spans="1:16" ht="15" x14ac:dyDescent="0.2">
      <c r="A249" s="4">
        <v>182</v>
      </c>
      <c r="B249" s="5" t="s">
        <v>381</v>
      </c>
      <c r="C249" s="187" t="s">
        <v>297</v>
      </c>
      <c r="D249" s="8">
        <v>0.26</v>
      </c>
      <c r="E249" s="8">
        <v>0</v>
      </c>
      <c r="F249" s="7">
        <v>2.1000000000000001E-2</v>
      </c>
      <c r="G249" s="7">
        <v>0.1045</v>
      </c>
      <c r="H249" s="1">
        <v>6.4999999999999997E-3</v>
      </c>
      <c r="I249" s="1">
        <v>0.03</v>
      </c>
      <c r="J249" s="1">
        <v>0.18</v>
      </c>
      <c r="K249" s="1">
        <v>0.04</v>
      </c>
      <c r="L249" s="1">
        <v>0.14000000000000001</v>
      </c>
      <c r="M249" s="1">
        <v>1.4999999999999999E-2</v>
      </c>
      <c r="N249" s="2" t="s">
        <v>175</v>
      </c>
      <c r="O249" s="105">
        <v>90000</v>
      </c>
      <c r="P249" s="4">
        <v>161</v>
      </c>
    </row>
    <row r="250" spans="1:16" ht="15" x14ac:dyDescent="0.2">
      <c r="A250" s="4">
        <v>183</v>
      </c>
      <c r="B250" s="5" t="s">
        <v>382</v>
      </c>
      <c r="C250" s="187" t="s">
        <v>383</v>
      </c>
      <c r="D250" s="6">
        <v>0</v>
      </c>
      <c r="E250" s="8">
        <v>0</v>
      </c>
      <c r="F250" s="7">
        <v>2.1000000000000001E-2</v>
      </c>
      <c r="G250" s="7">
        <v>0.1045</v>
      </c>
      <c r="H250" s="1">
        <v>6.4999999999999997E-3</v>
      </c>
      <c r="I250" s="1">
        <v>0.03</v>
      </c>
      <c r="J250" s="1">
        <v>0.18</v>
      </c>
      <c r="K250" s="1">
        <v>0.04</v>
      </c>
      <c r="L250" s="1">
        <v>0.14000000000000001</v>
      </c>
      <c r="M250" s="1">
        <v>1.4999999999999999E-2</v>
      </c>
      <c r="N250" s="2" t="s">
        <v>175</v>
      </c>
      <c r="O250" s="105">
        <v>17000</v>
      </c>
      <c r="P250" s="4">
        <v>162</v>
      </c>
    </row>
    <row r="251" spans="1:16" ht="15" x14ac:dyDescent="0.2">
      <c r="A251" s="4">
        <v>184</v>
      </c>
      <c r="B251" s="5" t="s">
        <v>384</v>
      </c>
      <c r="C251" s="187" t="s">
        <v>383</v>
      </c>
      <c r="D251" s="6">
        <v>0</v>
      </c>
      <c r="E251" s="8">
        <v>0</v>
      </c>
      <c r="F251" s="7">
        <v>2.1000000000000001E-2</v>
      </c>
      <c r="G251" s="7">
        <v>0.1045</v>
      </c>
      <c r="H251" s="1">
        <v>6.4999999999999997E-3</v>
      </c>
      <c r="I251" s="1">
        <v>0.03</v>
      </c>
      <c r="J251" s="1">
        <v>0.18</v>
      </c>
      <c r="K251" s="1">
        <v>0.04</v>
      </c>
      <c r="L251" s="1">
        <v>0.14000000000000001</v>
      </c>
      <c r="M251" s="1">
        <v>1.4999999999999999E-2</v>
      </c>
      <c r="N251" s="2" t="s">
        <v>175</v>
      </c>
      <c r="O251" s="105">
        <v>17000</v>
      </c>
      <c r="P251" s="4">
        <v>163</v>
      </c>
    </row>
    <row r="252" spans="1:16" ht="15" x14ac:dyDescent="0.2">
      <c r="A252" s="4">
        <v>185</v>
      </c>
      <c r="B252" s="5" t="s">
        <v>385</v>
      </c>
      <c r="C252" s="187" t="s">
        <v>383</v>
      </c>
      <c r="D252" s="8">
        <v>0.26</v>
      </c>
      <c r="E252" s="8">
        <v>0</v>
      </c>
      <c r="F252" s="7">
        <v>2.1000000000000001E-2</v>
      </c>
      <c r="G252" s="7">
        <v>0.1045</v>
      </c>
      <c r="H252" s="1">
        <v>6.4999999999999997E-3</v>
      </c>
      <c r="I252" s="1">
        <v>0.03</v>
      </c>
      <c r="J252" s="1">
        <v>0.18</v>
      </c>
      <c r="K252" s="1">
        <v>0.04</v>
      </c>
      <c r="L252" s="1">
        <v>0.14000000000000001</v>
      </c>
      <c r="M252" s="1">
        <v>1.4999999999999999E-2</v>
      </c>
      <c r="N252" s="2" t="s">
        <v>175</v>
      </c>
      <c r="O252" s="105">
        <v>22000</v>
      </c>
      <c r="P252" s="4">
        <v>164</v>
      </c>
    </row>
    <row r="253" spans="1:16" ht="15" x14ac:dyDescent="0.2">
      <c r="A253" s="4">
        <v>186</v>
      </c>
      <c r="B253" s="5" t="s">
        <v>386</v>
      </c>
      <c r="C253" s="187" t="s">
        <v>383</v>
      </c>
      <c r="D253" s="6">
        <v>0</v>
      </c>
      <c r="E253" s="8">
        <v>0</v>
      </c>
      <c r="F253" s="7">
        <v>2.1000000000000001E-2</v>
      </c>
      <c r="G253" s="7">
        <v>0.1045</v>
      </c>
      <c r="H253" s="1">
        <v>6.4999999999999997E-3</v>
      </c>
      <c r="I253" s="1">
        <v>0.03</v>
      </c>
      <c r="J253" s="1">
        <v>0.18</v>
      </c>
      <c r="K253" s="1">
        <v>0.04</v>
      </c>
      <c r="L253" s="1">
        <v>0.14000000000000001</v>
      </c>
      <c r="M253" s="1">
        <v>1.4999999999999999E-2</v>
      </c>
      <c r="N253" s="2" t="s">
        <v>175</v>
      </c>
      <c r="O253" s="105">
        <v>17000</v>
      </c>
      <c r="P253" s="4">
        <v>165</v>
      </c>
    </row>
    <row r="254" spans="1:16" ht="15" x14ac:dyDescent="0.2">
      <c r="B254" s="5" t="s">
        <v>387</v>
      </c>
      <c r="C254" s="187" t="s">
        <v>383</v>
      </c>
      <c r="D254" s="8">
        <v>0.26</v>
      </c>
      <c r="E254" s="8">
        <v>0</v>
      </c>
      <c r="F254" s="7">
        <v>2.1000000000000001E-2</v>
      </c>
      <c r="G254" s="7">
        <v>0.1065</v>
      </c>
      <c r="H254" s="1">
        <v>6.4999999999999997E-3</v>
      </c>
      <c r="I254" s="1">
        <v>0.03</v>
      </c>
      <c r="J254" s="1">
        <v>0.18</v>
      </c>
      <c r="K254" s="1">
        <v>0.04</v>
      </c>
      <c r="L254" s="1">
        <v>0.14000000000000001</v>
      </c>
      <c r="M254" s="1">
        <v>1.4999999999999999E-2</v>
      </c>
      <c r="N254" s="2" t="s">
        <v>175</v>
      </c>
      <c r="O254" s="105">
        <v>20000</v>
      </c>
    </row>
    <row r="255" spans="1:16" ht="15" x14ac:dyDescent="0.2">
      <c r="B255" s="5" t="s">
        <v>388</v>
      </c>
      <c r="C255" s="187" t="s">
        <v>383</v>
      </c>
      <c r="D255" s="8">
        <v>0.26</v>
      </c>
      <c r="E255" s="8">
        <v>0</v>
      </c>
      <c r="F255" s="7">
        <v>2.1000000000000001E-2</v>
      </c>
      <c r="G255" s="7">
        <v>0.1065</v>
      </c>
      <c r="H255" s="1">
        <v>6.4999999999999997E-3</v>
      </c>
      <c r="I255" s="1">
        <v>0.03</v>
      </c>
      <c r="J255" s="1">
        <v>0.18</v>
      </c>
      <c r="K255" s="1">
        <v>0.04</v>
      </c>
      <c r="L255" s="1">
        <v>0.14000000000000001</v>
      </c>
      <c r="M255" s="1">
        <v>1.4999999999999999E-2</v>
      </c>
      <c r="N255" s="2" t="s">
        <v>175</v>
      </c>
      <c r="O255" s="105">
        <v>20000</v>
      </c>
    </row>
    <row r="256" spans="1:16" ht="15" x14ac:dyDescent="0.2">
      <c r="B256" s="5" t="s">
        <v>389</v>
      </c>
      <c r="C256" s="187" t="s">
        <v>383</v>
      </c>
      <c r="D256" s="8">
        <v>0.26</v>
      </c>
      <c r="E256" s="8">
        <v>0</v>
      </c>
      <c r="F256" s="7">
        <v>2.1000000000000001E-2</v>
      </c>
      <c r="G256" s="7">
        <v>0.1065</v>
      </c>
      <c r="H256" s="1">
        <v>6.4999999999999997E-3</v>
      </c>
      <c r="I256" s="1">
        <v>0.03</v>
      </c>
      <c r="J256" s="1">
        <v>0.18</v>
      </c>
      <c r="K256" s="1">
        <v>0.04</v>
      </c>
      <c r="L256" s="1">
        <v>0.14000000000000001</v>
      </c>
      <c r="M256" s="1">
        <v>1.4999999999999999E-2</v>
      </c>
      <c r="N256" s="2" t="s">
        <v>175</v>
      </c>
      <c r="O256" s="105">
        <v>80000</v>
      </c>
    </row>
    <row r="257" spans="2:15" ht="15" x14ac:dyDescent="0.2">
      <c r="B257" s="5" t="s">
        <v>390</v>
      </c>
      <c r="C257" s="187" t="s">
        <v>383</v>
      </c>
      <c r="D257" s="8">
        <v>0.26</v>
      </c>
      <c r="E257" s="8">
        <v>0</v>
      </c>
      <c r="F257" s="7">
        <v>2.1000000000000001E-2</v>
      </c>
      <c r="G257" s="7">
        <v>0.1065</v>
      </c>
      <c r="H257" s="1">
        <v>6.4999999999999997E-3</v>
      </c>
      <c r="I257" s="1">
        <v>0.03</v>
      </c>
      <c r="J257" s="1">
        <v>0.18</v>
      </c>
      <c r="K257" s="1">
        <v>0.04</v>
      </c>
      <c r="L257" s="1">
        <v>0.14000000000000001</v>
      </c>
      <c r="M257" s="1">
        <v>1.4999999999999999E-2</v>
      </c>
      <c r="N257" s="2" t="s">
        <v>175</v>
      </c>
      <c r="O257" s="105">
        <v>19000</v>
      </c>
    </row>
    <row r="258" spans="2:15" ht="15" x14ac:dyDescent="0.2">
      <c r="B258" s="5" t="s">
        <v>391</v>
      </c>
      <c r="C258" s="187" t="s">
        <v>383</v>
      </c>
      <c r="D258" s="8">
        <v>0.26</v>
      </c>
      <c r="E258" s="8">
        <v>0</v>
      </c>
      <c r="F258" s="7">
        <v>2.1000000000000001E-2</v>
      </c>
      <c r="G258" s="7">
        <v>0.1065</v>
      </c>
      <c r="H258" s="1">
        <v>6.4999999999999997E-3</v>
      </c>
      <c r="I258" s="1">
        <v>0.03</v>
      </c>
      <c r="J258" s="1">
        <v>0.18</v>
      </c>
      <c r="K258" s="1">
        <v>0.04</v>
      </c>
      <c r="L258" s="1">
        <v>0.14000000000000001</v>
      </c>
      <c r="M258" s="1">
        <v>1.4999999999999999E-2</v>
      </c>
      <c r="N258" s="2" t="s">
        <v>175</v>
      </c>
      <c r="O258" s="105">
        <v>13000</v>
      </c>
    </row>
    <row r="259" spans="2:15" ht="15" x14ac:dyDescent="0.2">
      <c r="B259" s="5" t="s">
        <v>392</v>
      </c>
      <c r="C259" s="187" t="s">
        <v>383</v>
      </c>
      <c r="D259" s="8">
        <v>0.26</v>
      </c>
      <c r="E259" s="8">
        <v>0</v>
      </c>
      <c r="F259" s="7">
        <v>2.1000000000000001E-2</v>
      </c>
      <c r="G259" s="7">
        <v>0.1065</v>
      </c>
      <c r="H259" s="1">
        <v>6.4999999999999997E-3</v>
      </c>
      <c r="I259" s="1">
        <v>0.03</v>
      </c>
      <c r="J259" s="1">
        <v>0.18</v>
      </c>
      <c r="K259" s="1">
        <v>0.04</v>
      </c>
      <c r="L259" s="1">
        <v>0.14000000000000001</v>
      </c>
      <c r="M259" s="1">
        <v>1.4999999999999999E-2</v>
      </c>
      <c r="N259" s="2" t="s">
        <v>175</v>
      </c>
      <c r="O259" s="105">
        <v>13000</v>
      </c>
    </row>
    <row r="260" spans="2:15" ht="15" x14ac:dyDescent="0.2">
      <c r="B260" s="5" t="s">
        <v>393</v>
      </c>
      <c r="C260" s="187" t="s">
        <v>383</v>
      </c>
      <c r="D260" s="8">
        <v>0.26</v>
      </c>
      <c r="E260" s="8">
        <v>0</v>
      </c>
      <c r="F260" s="7">
        <v>2.1000000000000001E-2</v>
      </c>
      <c r="G260" s="7">
        <v>0.1065</v>
      </c>
      <c r="H260" s="1">
        <v>6.4999999999999997E-3</v>
      </c>
      <c r="I260" s="1">
        <v>0.03</v>
      </c>
      <c r="J260" s="1">
        <v>0.18</v>
      </c>
      <c r="K260" s="1">
        <v>0.04</v>
      </c>
      <c r="L260" s="1">
        <v>0.14000000000000001</v>
      </c>
      <c r="M260" s="1">
        <v>1.4999999999999999E-2</v>
      </c>
      <c r="N260" s="2" t="s">
        <v>175</v>
      </c>
      <c r="O260" s="105">
        <v>14000</v>
      </c>
    </row>
    <row r="261" spans="2:15" ht="15" x14ac:dyDescent="0.2">
      <c r="B261" s="5" t="s">
        <v>394</v>
      </c>
      <c r="C261" s="187" t="s">
        <v>383</v>
      </c>
      <c r="D261" s="8">
        <v>0.26</v>
      </c>
      <c r="E261" s="8">
        <v>0</v>
      </c>
      <c r="F261" s="7">
        <v>2.1000000000000001E-2</v>
      </c>
      <c r="G261" s="7">
        <v>0.1065</v>
      </c>
      <c r="H261" s="1">
        <v>6.4999999999999997E-3</v>
      </c>
      <c r="I261" s="1">
        <v>0.03</v>
      </c>
      <c r="J261" s="1">
        <v>0.18</v>
      </c>
      <c r="K261" s="1">
        <v>0.04</v>
      </c>
      <c r="L261" s="1">
        <v>0.14000000000000001</v>
      </c>
      <c r="M261" s="1">
        <v>1.4999999999999999E-2</v>
      </c>
      <c r="N261" s="2" t="s">
        <v>175</v>
      </c>
      <c r="O261" s="105">
        <v>14000</v>
      </c>
    </row>
    <row r="262" spans="2:15" ht="15" x14ac:dyDescent="0.2">
      <c r="B262" s="229" t="s">
        <v>395</v>
      </c>
      <c r="C262" s="250" t="s">
        <v>383</v>
      </c>
      <c r="D262" s="251">
        <v>0.26</v>
      </c>
      <c r="E262" s="251">
        <v>0</v>
      </c>
      <c r="F262" s="252">
        <v>2.1000000000000001E-2</v>
      </c>
      <c r="G262" s="252">
        <v>0.1065</v>
      </c>
      <c r="H262" s="253">
        <v>6.4999999999999997E-3</v>
      </c>
      <c r="I262" s="253">
        <v>0.03</v>
      </c>
      <c r="J262" s="253">
        <v>0.18</v>
      </c>
      <c r="K262" s="253">
        <v>0.04</v>
      </c>
      <c r="L262" s="253">
        <v>0.14000000000000001</v>
      </c>
      <c r="M262" s="253">
        <v>1.4999999999999999E-2</v>
      </c>
      <c r="N262" s="254" t="s">
        <v>175</v>
      </c>
      <c r="O262" s="255">
        <v>60000</v>
      </c>
    </row>
    <row r="263" spans="2:15" ht="15" x14ac:dyDescent="0.2">
      <c r="B263" s="229" t="s">
        <v>396</v>
      </c>
      <c r="C263" s="250" t="s">
        <v>383</v>
      </c>
      <c r="D263" s="251">
        <v>0.26</v>
      </c>
      <c r="E263" s="251">
        <v>0</v>
      </c>
      <c r="F263" s="252">
        <v>2.1000000000000001E-2</v>
      </c>
      <c r="G263" s="252">
        <v>0.1065</v>
      </c>
      <c r="H263" s="253">
        <v>6.4999999999999997E-3</v>
      </c>
      <c r="I263" s="253">
        <v>0.03</v>
      </c>
      <c r="J263" s="253">
        <v>0.18</v>
      </c>
      <c r="K263" s="253">
        <v>0.04</v>
      </c>
      <c r="L263" s="253">
        <v>0.14000000000000001</v>
      </c>
      <c r="M263" s="253">
        <v>1.4999999999999999E-2</v>
      </c>
      <c r="N263" s="254" t="s">
        <v>175</v>
      </c>
      <c r="O263" s="255">
        <v>58000</v>
      </c>
    </row>
    <row r="264" spans="2:15" ht="15" x14ac:dyDescent="0.2">
      <c r="B264" s="229" t="s">
        <v>397</v>
      </c>
      <c r="C264" s="250" t="s">
        <v>383</v>
      </c>
      <c r="D264" s="251">
        <v>0.26</v>
      </c>
      <c r="E264" s="251">
        <v>0</v>
      </c>
      <c r="F264" s="252">
        <v>2.1000000000000001E-2</v>
      </c>
      <c r="G264" s="252">
        <v>0.1065</v>
      </c>
      <c r="H264" s="253">
        <v>6.4999999999999997E-3</v>
      </c>
      <c r="I264" s="253">
        <v>0.03</v>
      </c>
      <c r="J264" s="253">
        <v>0.18</v>
      </c>
      <c r="K264" s="253">
        <v>0.04</v>
      </c>
      <c r="L264" s="253">
        <v>0.14000000000000001</v>
      </c>
      <c r="M264" s="253">
        <v>1.4999999999999999E-2</v>
      </c>
      <c r="N264" s="254" t="s">
        <v>175</v>
      </c>
      <c r="O264" s="255">
        <v>80000</v>
      </c>
    </row>
    <row r="265" spans="2:15" ht="15" x14ac:dyDescent="0.2">
      <c r="B265" s="5" t="s">
        <v>398</v>
      </c>
      <c r="C265" s="187" t="s">
        <v>399</v>
      </c>
      <c r="D265" s="8">
        <v>0.26</v>
      </c>
      <c r="E265" s="8">
        <v>0</v>
      </c>
      <c r="F265" s="7">
        <v>2.1000000000000001E-2</v>
      </c>
      <c r="G265" s="7">
        <v>0.1065</v>
      </c>
      <c r="H265" s="1">
        <v>6.4999999999999997E-3</v>
      </c>
      <c r="I265" s="1">
        <v>0.03</v>
      </c>
      <c r="J265" s="1">
        <v>0.18</v>
      </c>
      <c r="K265" s="1">
        <v>0.04</v>
      </c>
      <c r="L265" s="1">
        <v>0.14000000000000001</v>
      </c>
      <c r="M265" s="1">
        <v>1.4999999999999999E-2</v>
      </c>
      <c r="N265" s="2" t="s">
        <v>175</v>
      </c>
      <c r="O265" s="105">
        <v>180000</v>
      </c>
    </row>
    <row r="266" spans="2:15" ht="15" x14ac:dyDescent="0.2">
      <c r="B266" s="5" t="s">
        <v>400</v>
      </c>
      <c r="C266" s="187" t="s">
        <v>399</v>
      </c>
      <c r="D266" s="8">
        <v>0.26</v>
      </c>
      <c r="E266" s="8">
        <v>0</v>
      </c>
      <c r="F266" s="7">
        <v>2.1000000000000001E-2</v>
      </c>
      <c r="G266" s="7">
        <v>0.1065</v>
      </c>
      <c r="H266" s="1">
        <v>6.4999999999999997E-3</v>
      </c>
      <c r="I266" s="1">
        <v>0.03</v>
      </c>
      <c r="J266" s="1">
        <v>0.18</v>
      </c>
      <c r="K266" s="1">
        <v>0.04</v>
      </c>
      <c r="L266" s="1">
        <v>0.14000000000000001</v>
      </c>
      <c r="M266" s="1">
        <v>1.4999999999999999E-2</v>
      </c>
      <c r="N266" s="2" t="s">
        <v>175</v>
      </c>
      <c r="O266" s="105">
        <v>180000</v>
      </c>
    </row>
    <row r="267" spans="2:15" ht="15" x14ac:dyDescent="0.2">
      <c r="B267" s="5" t="s">
        <v>401</v>
      </c>
      <c r="C267" s="187" t="s">
        <v>399</v>
      </c>
      <c r="D267" s="8">
        <v>0.26</v>
      </c>
      <c r="E267" s="8">
        <v>0</v>
      </c>
      <c r="F267" s="7">
        <v>2.1000000000000001E-2</v>
      </c>
      <c r="G267" s="7">
        <v>0.1065</v>
      </c>
      <c r="H267" s="1">
        <v>6.4999999999999997E-3</v>
      </c>
      <c r="I267" s="1">
        <v>0.03</v>
      </c>
      <c r="J267" s="1">
        <v>0.18</v>
      </c>
      <c r="K267" s="1">
        <v>0.04</v>
      </c>
      <c r="L267" s="1">
        <v>0.14000000000000001</v>
      </c>
      <c r="M267" s="1">
        <v>1.4999999999999999E-2</v>
      </c>
      <c r="N267" s="2" t="s">
        <v>175</v>
      </c>
      <c r="O267" s="105">
        <v>70000</v>
      </c>
    </row>
    <row r="268" spans="2:15" ht="15" x14ac:dyDescent="0.2">
      <c r="B268" s="5" t="s">
        <v>402</v>
      </c>
      <c r="C268" s="187" t="s">
        <v>399</v>
      </c>
      <c r="D268" s="8">
        <v>0.26</v>
      </c>
      <c r="E268" s="8">
        <v>0</v>
      </c>
      <c r="F268" s="7">
        <v>2.1000000000000001E-2</v>
      </c>
      <c r="G268" s="7">
        <v>0.1065</v>
      </c>
      <c r="H268" s="1">
        <v>6.4999999999999997E-3</v>
      </c>
      <c r="I268" s="1">
        <v>0.03</v>
      </c>
      <c r="J268" s="1">
        <v>0.18</v>
      </c>
      <c r="K268" s="1">
        <v>0.04</v>
      </c>
      <c r="L268" s="1">
        <v>0.14000000000000001</v>
      </c>
      <c r="M268" s="1">
        <v>1.4999999999999999E-2</v>
      </c>
      <c r="N268" s="2" t="s">
        <v>175</v>
      </c>
      <c r="O268" s="105">
        <v>70000</v>
      </c>
    </row>
    <row r="269" spans="2:15" ht="15" x14ac:dyDescent="0.2">
      <c r="B269" s="5" t="s">
        <v>403</v>
      </c>
      <c r="C269" s="187" t="s">
        <v>297</v>
      </c>
      <c r="D269" s="8">
        <v>0.26</v>
      </c>
      <c r="E269" s="8">
        <v>0</v>
      </c>
      <c r="F269" s="7">
        <v>2.1000000000000001E-2</v>
      </c>
      <c r="G269" s="7">
        <v>0.1065</v>
      </c>
      <c r="H269" s="1">
        <v>6.4999999999999997E-3</v>
      </c>
      <c r="I269" s="1">
        <v>0.03</v>
      </c>
      <c r="J269" s="1">
        <v>0.18</v>
      </c>
      <c r="K269" s="1">
        <v>0.04</v>
      </c>
      <c r="L269" s="1">
        <v>0.14000000000000001</v>
      </c>
      <c r="M269" s="1">
        <v>1.4999999999999999E-2</v>
      </c>
      <c r="N269" s="2" t="s">
        <v>175</v>
      </c>
      <c r="O269" s="105"/>
    </row>
    <row r="270" spans="2:15" ht="15" x14ac:dyDescent="0.2">
      <c r="B270" s="5" t="s">
        <v>404</v>
      </c>
      <c r="C270" s="187" t="s">
        <v>405</v>
      </c>
      <c r="D270" s="8">
        <v>0.26</v>
      </c>
      <c r="E270" s="8">
        <v>0</v>
      </c>
      <c r="F270" s="7">
        <v>2.1000000000000001E-2</v>
      </c>
      <c r="G270" s="7">
        <v>0.1065</v>
      </c>
      <c r="H270" s="1">
        <v>6.4999999999999997E-3</v>
      </c>
      <c r="I270" s="1">
        <v>0.03</v>
      </c>
      <c r="J270" s="1">
        <v>0.18</v>
      </c>
      <c r="K270" s="1">
        <v>0.04</v>
      </c>
      <c r="L270" s="1">
        <v>0.14000000000000001</v>
      </c>
      <c r="M270" s="1">
        <v>1.4999999999999999E-2</v>
      </c>
      <c r="N270" s="2" t="s">
        <v>175</v>
      </c>
      <c r="O270" s="105"/>
    </row>
    <row r="271" spans="2:15" ht="15" x14ac:dyDescent="0.2">
      <c r="B271" s="499" t="s">
        <v>609</v>
      </c>
      <c r="C271" s="500" t="s">
        <v>260</v>
      </c>
      <c r="D271" s="501">
        <v>0.25</v>
      </c>
      <c r="E271" s="502">
        <v>0</v>
      </c>
      <c r="F271" s="503">
        <v>2.1000000000000001E-2</v>
      </c>
      <c r="G271" s="503">
        <v>9.6500000000000002E-2</v>
      </c>
      <c r="H271" s="504">
        <v>6.4999999999999997E-3</v>
      </c>
      <c r="I271" s="504">
        <v>0.03</v>
      </c>
      <c r="J271" s="504">
        <v>0.18</v>
      </c>
      <c r="K271" s="504">
        <v>0.04</v>
      </c>
      <c r="L271" s="504">
        <v>0.14000000000000001</v>
      </c>
      <c r="M271" s="504">
        <v>1.4999999999999999E-2</v>
      </c>
      <c r="N271" s="505" t="s">
        <v>175</v>
      </c>
      <c r="O271" s="506">
        <v>2000</v>
      </c>
    </row>
    <row r="272" spans="2:15" ht="15" x14ac:dyDescent="0.2">
      <c r="B272" s="507" t="s">
        <v>610</v>
      </c>
      <c r="C272" s="508" t="s">
        <v>260</v>
      </c>
      <c r="D272" s="509">
        <v>0.25</v>
      </c>
      <c r="E272" s="510">
        <v>0</v>
      </c>
      <c r="F272" s="511">
        <v>2.1000000000000001E-2</v>
      </c>
      <c r="G272" s="511">
        <v>9.6500000000000002E-2</v>
      </c>
      <c r="H272" s="512">
        <v>6.4999999999999997E-3</v>
      </c>
      <c r="I272" s="512">
        <v>0.03</v>
      </c>
      <c r="J272" s="512">
        <v>0.18</v>
      </c>
      <c r="K272" s="512">
        <v>0.04</v>
      </c>
      <c r="L272" s="512">
        <v>0.14000000000000001</v>
      </c>
      <c r="M272" s="512">
        <v>1.4999999999999999E-2</v>
      </c>
      <c r="N272" s="513" t="s">
        <v>175</v>
      </c>
      <c r="O272" s="514">
        <v>1250</v>
      </c>
    </row>
    <row r="273" spans="2:15" ht="15" x14ac:dyDescent="0.2">
      <c r="B273" s="507" t="s">
        <v>611</v>
      </c>
      <c r="C273" s="508" t="s">
        <v>612</v>
      </c>
      <c r="D273" s="509">
        <v>0.13</v>
      </c>
      <c r="E273" s="510">
        <v>0.1</v>
      </c>
      <c r="F273" s="511">
        <v>2.1000000000000001E-2</v>
      </c>
      <c r="G273" s="511">
        <v>9.6500000000000002E-2</v>
      </c>
      <c r="H273" s="512">
        <v>6.4999999999999997E-3</v>
      </c>
      <c r="I273" s="512">
        <v>0.03</v>
      </c>
      <c r="J273" s="512">
        <v>0.18</v>
      </c>
      <c r="K273" s="512">
        <v>0.04</v>
      </c>
      <c r="L273" s="512">
        <v>0.14000000000000001</v>
      </c>
      <c r="M273" s="512">
        <v>1.4999999999999999E-2</v>
      </c>
      <c r="N273" s="513" t="s">
        <v>175</v>
      </c>
      <c r="O273" s="514">
        <v>3650</v>
      </c>
    </row>
    <row r="274" spans="2:15" ht="15" x14ac:dyDescent="0.2">
      <c r="B274" s="507" t="s">
        <v>613</v>
      </c>
      <c r="C274" s="508" t="s">
        <v>612</v>
      </c>
      <c r="D274" s="509">
        <v>0.13</v>
      </c>
      <c r="E274" s="510">
        <v>0.1</v>
      </c>
      <c r="F274" s="511">
        <v>2.1000000000000001E-2</v>
      </c>
      <c r="G274" s="511">
        <v>9.6500000000000002E-2</v>
      </c>
      <c r="H274" s="512">
        <v>6.4999999999999997E-3</v>
      </c>
      <c r="I274" s="512">
        <v>0.03</v>
      </c>
      <c r="J274" s="512">
        <v>0.18</v>
      </c>
      <c r="K274" s="512">
        <v>0.04</v>
      </c>
      <c r="L274" s="512">
        <v>0.14000000000000001</v>
      </c>
      <c r="M274" s="512">
        <v>1.4999999999999999E-2</v>
      </c>
      <c r="N274" s="513" t="s">
        <v>175</v>
      </c>
      <c r="O274" s="514">
        <v>3650</v>
      </c>
    </row>
    <row r="275" spans="2:15" ht="15" x14ac:dyDescent="0.2">
      <c r="B275" s="507" t="s">
        <v>614</v>
      </c>
      <c r="C275" s="508" t="s">
        <v>612</v>
      </c>
      <c r="D275" s="509">
        <v>0.13</v>
      </c>
      <c r="E275" s="510">
        <v>0.1</v>
      </c>
      <c r="F275" s="511">
        <v>2.1000000000000001E-2</v>
      </c>
      <c r="G275" s="511">
        <v>9.6500000000000002E-2</v>
      </c>
      <c r="H275" s="512">
        <v>6.4999999999999997E-3</v>
      </c>
      <c r="I275" s="512">
        <v>0.03</v>
      </c>
      <c r="J275" s="512">
        <v>0.18</v>
      </c>
      <c r="K275" s="512">
        <v>0.04</v>
      </c>
      <c r="L275" s="512">
        <v>0.14000000000000001</v>
      </c>
      <c r="M275" s="512">
        <v>1.4999999999999999E-2</v>
      </c>
      <c r="N275" s="513" t="s">
        <v>175</v>
      </c>
      <c r="O275" s="514">
        <v>3650</v>
      </c>
    </row>
    <row r="276" spans="2:15" ht="15" x14ac:dyDescent="0.2">
      <c r="B276" s="507" t="s">
        <v>615</v>
      </c>
      <c r="C276" s="508" t="s">
        <v>266</v>
      </c>
      <c r="D276" s="509">
        <v>0.13</v>
      </c>
      <c r="E276" s="510">
        <v>0.04</v>
      </c>
      <c r="F276" s="511">
        <v>2.1000000000000001E-2</v>
      </c>
      <c r="G276" s="511">
        <v>9.6500000000000002E-2</v>
      </c>
      <c r="H276" s="512">
        <v>6.4999999999999997E-3</v>
      </c>
      <c r="I276" s="512">
        <v>0.03</v>
      </c>
      <c r="J276" s="512">
        <v>0.18</v>
      </c>
      <c r="K276" s="512">
        <v>0.04</v>
      </c>
      <c r="L276" s="512">
        <v>0.14000000000000001</v>
      </c>
      <c r="M276" s="512">
        <v>1.4999999999999999E-2</v>
      </c>
      <c r="N276" s="513" t="s">
        <v>175</v>
      </c>
      <c r="O276" s="514">
        <v>25000</v>
      </c>
    </row>
    <row r="277" spans="2:15" ht="15" x14ac:dyDescent="0.2">
      <c r="B277" s="507" t="s">
        <v>616</v>
      </c>
      <c r="C277" s="508" t="s">
        <v>266</v>
      </c>
      <c r="D277" s="509">
        <v>0.13</v>
      </c>
      <c r="E277" s="510">
        <v>0.04</v>
      </c>
      <c r="F277" s="511">
        <v>2.1000000000000001E-2</v>
      </c>
      <c r="G277" s="511">
        <v>9.6500000000000002E-2</v>
      </c>
      <c r="H277" s="512">
        <v>6.4999999999999997E-3</v>
      </c>
      <c r="I277" s="512">
        <v>0.03</v>
      </c>
      <c r="J277" s="512">
        <v>0.18</v>
      </c>
      <c r="K277" s="512">
        <v>0.04</v>
      </c>
      <c r="L277" s="512">
        <v>0.14000000000000001</v>
      </c>
      <c r="M277" s="512">
        <v>1.4999999999999999E-2</v>
      </c>
      <c r="N277" s="513" t="s">
        <v>175</v>
      </c>
      <c r="O277" s="514">
        <v>25000</v>
      </c>
    </row>
    <row r="278" spans="2:15" ht="15" x14ac:dyDescent="0.2">
      <c r="B278" s="507" t="s">
        <v>617</v>
      </c>
      <c r="C278" s="508" t="s">
        <v>266</v>
      </c>
      <c r="D278" s="509">
        <v>0.13</v>
      </c>
      <c r="E278" s="510">
        <v>0.04</v>
      </c>
      <c r="F278" s="511">
        <v>2.1000000000000001E-2</v>
      </c>
      <c r="G278" s="511">
        <v>9.6500000000000002E-2</v>
      </c>
      <c r="H278" s="512">
        <v>6.4999999999999997E-3</v>
      </c>
      <c r="I278" s="512">
        <v>0.03</v>
      </c>
      <c r="J278" s="512">
        <v>0.18</v>
      </c>
      <c r="K278" s="512">
        <v>0.04</v>
      </c>
      <c r="L278" s="512">
        <v>0.14000000000000001</v>
      </c>
      <c r="M278" s="512">
        <v>1.4999999999999999E-2</v>
      </c>
      <c r="N278" s="513" t="s">
        <v>175</v>
      </c>
      <c r="O278" s="514">
        <v>25000</v>
      </c>
    </row>
    <row r="279" spans="2:15" ht="15" x14ac:dyDescent="0.2">
      <c r="B279" s="507" t="s">
        <v>618</v>
      </c>
      <c r="C279" s="508" t="s">
        <v>266</v>
      </c>
      <c r="D279" s="509">
        <v>0.13</v>
      </c>
      <c r="E279" s="510">
        <v>0.04</v>
      </c>
      <c r="F279" s="511">
        <v>2.1000000000000001E-2</v>
      </c>
      <c r="G279" s="511">
        <v>9.6500000000000002E-2</v>
      </c>
      <c r="H279" s="512">
        <v>6.4999999999999997E-3</v>
      </c>
      <c r="I279" s="512">
        <v>0.03</v>
      </c>
      <c r="J279" s="512">
        <v>0.18</v>
      </c>
      <c r="K279" s="512">
        <v>0.04</v>
      </c>
      <c r="L279" s="512">
        <v>0.14000000000000001</v>
      </c>
      <c r="M279" s="512">
        <v>1.4999999999999999E-2</v>
      </c>
      <c r="N279" s="513" t="s">
        <v>175</v>
      </c>
      <c r="O279" s="514">
        <v>25000</v>
      </c>
    </row>
    <row r="280" spans="2:15" ht="15" x14ac:dyDescent="0.2">
      <c r="B280" s="507" t="s">
        <v>619</v>
      </c>
      <c r="C280" s="508" t="s">
        <v>266</v>
      </c>
      <c r="D280" s="509">
        <v>0.13</v>
      </c>
      <c r="E280" s="510">
        <v>0.04</v>
      </c>
      <c r="F280" s="511">
        <v>2.1000000000000001E-2</v>
      </c>
      <c r="G280" s="511">
        <v>9.6500000000000002E-2</v>
      </c>
      <c r="H280" s="512">
        <v>6.4999999999999997E-3</v>
      </c>
      <c r="I280" s="512">
        <v>0.03</v>
      </c>
      <c r="J280" s="512">
        <v>0.18</v>
      </c>
      <c r="K280" s="512">
        <v>0.04</v>
      </c>
      <c r="L280" s="512">
        <v>0.14000000000000001</v>
      </c>
      <c r="M280" s="512">
        <v>1.4999999999999999E-2</v>
      </c>
      <c r="N280" s="513" t="s">
        <v>175</v>
      </c>
      <c r="O280" s="514">
        <v>25000</v>
      </c>
    </row>
    <row r="281" spans="2:15" ht="15" x14ac:dyDescent="0.2">
      <c r="B281" s="507" t="s">
        <v>620</v>
      </c>
      <c r="C281" s="508" t="s">
        <v>266</v>
      </c>
      <c r="D281" s="509">
        <v>0.13</v>
      </c>
      <c r="E281" s="510">
        <v>0.04</v>
      </c>
      <c r="F281" s="511">
        <v>2.1000000000000001E-2</v>
      </c>
      <c r="G281" s="511">
        <v>9.6500000000000002E-2</v>
      </c>
      <c r="H281" s="512">
        <v>6.4999999999999997E-3</v>
      </c>
      <c r="I281" s="512">
        <v>0.03</v>
      </c>
      <c r="J281" s="512">
        <v>0.18</v>
      </c>
      <c r="K281" s="512">
        <v>0.04</v>
      </c>
      <c r="L281" s="512">
        <v>0.14000000000000001</v>
      </c>
      <c r="M281" s="512">
        <v>1.4999999999999999E-2</v>
      </c>
      <c r="N281" s="513" t="s">
        <v>175</v>
      </c>
      <c r="O281" s="514">
        <v>25000</v>
      </c>
    </row>
    <row r="282" spans="2:15" ht="15" x14ac:dyDescent="0.2">
      <c r="B282" s="507" t="s">
        <v>621</v>
      </c>
      <c r="C282" s="508" t="s">
        <v>266</v>
      </c>
      <c r="D282" s="509">
        <v>0.13</v>
      </c>
      <c r="E282" s="510">
        <v>0.04</v>
      </c>
      <c r="F282" s="511">
        <v>2.1000000000000001E-2</v>
      </c>
      <c r="G282" s="511">
        <v>9.6500000000000002E-2</v>
      </c>
      <c r="H282" s="512">
        <v>6.4999999999999997E-3</v>
      </c>
      <c r="I282" s="512">
        <v>0.03</v>
      </c>
      <c r="J282" s="512">
        <v>0.18</v>
      </c>
      <c r="K282" s="512">
        <v>0.04</v>
      </c>
      <c r="L282" s="512">
        <v>0.14000000000000001</v>
      </c>
      <c r="M282" s="512">
        <v>1.4999999999999999E-2</v>
      </c>
      <c r="N282" s="513" t="s">
        <v>175</v>
      </c>
      <c r="O282" s="514">
        <v>25000</v>
      </c>
    </row>
    <row r="283" spans="2:15" ht="15" x14ac:dyDescent="0.2">
      <c r="B283" s="507" t="s">
        <v>622</v>
      </c>
      <c r="C283" s="508" t="s">
        <v>266</v>
      </c>
      <c r="D283" s="509">
        <v>0.13</v>
      </c>
      <c r="E283" s="510">
        <v>0.04</v>
      </c>
      <c r="F283" s="511">
        <v>2.1000000000000001E-2</v>
      </c>
      <c r="G283" s="511">
        <v>9.6500000000000002E-2</v>
      </c>
      <c r="H283" s="512">
        <v>6.4999999999999997E-3</v>
      </c>
      <c r="I283" s="512">
        <v>0.03</v>
      </c>
      <c r="J283" s="512">
        <v>0.18</v>
      </c>
      <c r="K283" s="512">
        <v>0.04</v>
      </c>
      <c r="L283" s="512">
        <v>0.14000000000000001</v>
      </c>
      <c r="M283" s="512">
        <v>1.4999999999999999E-2</v>
      </c>
      <c r="N283" s="513" t="s">
        <v>175</v>
      </c>
      <c r="O283" s="514">
        <v>25000</v>
      </c>
    </row>
    <row r="284" spans="2:15" ht="15" x14ac:dyDescent="0.2">
      <c r="B284" s="507" t="s">
        <v>623</v>
      </c>
      <c r="C284" s="508" t="s">
        <v>266</v>
      </c>
      <c r="D284" s="509">
        <v>0.13</v>
      </c>
      <c r="E284" s="510">
        <v>0.04</v>
      </c>
      <c r="F284" s="511">
        <v>2.1000000000000001E-2</v>
      </c>
      <c r="G284" s="511">
        <v>9.6500000000000002E-2</v>
      </c>
      <c r="H284" s="512">
        <v>6.4999999999999997E-3</v>
      </c>
      <c r="I284" s="512">
        <v>0.03</v>
      </c>
      <c r="J284" s="512">
        <v>0.18</v>
      </c>
      <c r="K284" s="512">
        <v>0.04</v>
      </c>
      <c r="L284" s="512">
        <v>0.14000000000000001</v>
      </c>
      <c r="M284" s="512">
        <v>1.4999999999999999E-2</v>
      </c>
      <c r="N284" s="513" t="s">
        <v>175</v>
      </c>
      <c r="O284" s="514">
        <v>25000</v>
      </c>
    </row>
    <row r="285" spans="2:15" ht="15" x14ac:dyDescent="0.2">
      <c r="B285" s="507" t="s">
        <v>624</v>
      </c>
      <c r="C285" s="508" t="s">
        <v>266</v>
      </c>
      <c r="D285" s="509">
        <v>0.13</v>
      </c>
      <c r="E285" s="510">
        <v>0.04</v>
      </c>
      <c r="F285" s="511">
        <v>2.1000000000000001E-2</v>
      </c>
      <c r="G285" s="511">
        <v>9.6500000000000002E-2</v>
      </c>
      <c r="H285" s="512">
        <v>6.4999999999999997E-3</v>
      </c>
      <c r="I285" s="512">
        <v>0.03</v>
      </c>
      <c r="J285" s="512">
        <v>0.18</v>
      </c>
      <c r="K285" s="512">
        <v>0.04</v>
      </c>
      <c r="L285" s="512">
        <v>0.14000000000000001</v>
      </c>
      <c r="M285" s="512">
        <v>1.4999999999999999E-2</v>
      </c>
      <c r="N285" s="513" t="s">
        <v>175</v>
      </c>
      <c r="O285" s="514">
        <v>25000</v>
      </c>
    </row>
    <row r="286" spans="2:15" ht="15" x14ac:dyDescent="0.2">
      <c r="B286" s="507" t="s">
        <v>625</v>
      </c>
      <c r="C286" s="508" t="s">
        <v>266</v>
      </c>
      <c r="D286" s="509">
        <v>0.13</v>
      </c>
      <c r="E286" s="510">
        <v>0.04</v>
      </c>
      <c r="F286" s="511">
        <v>2.1000000000000001E-2</v>
      </c>
      <c r="G286" s="511">
        <v>9.6500000000000002E-2</v>
      </c>
      <c r="H286" s="512">
        <v>6.4999999999999997E-3</v>
      </c>
      <c r="I286" s="512">
        <v>0.03</v>
      </c>
      <c r="J286" s="512">
        <v>0.18</v>
      </c>
      <c r="K286" s="512">
        <v>0.04</v>
      </c>
      <c r="L286" s="512">
        <v>0.14000000000000001</v>
      </c>
      <c r="M286" s="512">
        <v>1.4999999999999999E-2</v>
      </c>
      <c r="N286" s="513" t="s">
        <v>175</v>
      </c>
      <c r="O286" s="514">
        <v>25000</v>
      </c>
    </row>
    <row r="287" spans="2:15" ht="15" x14ac:dyDescent="0.2">
      <c r="B287" s="507" t="s">
        <v>626</v>
      </c>
      <c r="C287" s="508" t="s">
        <v>266</v>
      </c>
      <c r="D287" s="509">
        <v>0.13</v>
      </c>
      <c r="E287" s="510">
        <v>0.04</v>
      </c>
      <c r="F287" s="511">
        <v>2.1000000000000001E-2</v>
      </c>
      <c r="G287" s="511">
        <v>9.6500000000000002E-2</v>
      </c>
      <c r="H287" s="512">
        <v>6.4999999999999997E-3</v>
      </c>
      <c r="I287" s="512">
        <v>0.03</v>
      </c>
      <c r="J287" s="512">
        <v>0.18</v>
      </c>
      <c r="K287" s="512">
        <v>0.04</v>
      </c>
      <c r="L287" s="512">
        <v>0.14000000000000001</v>
      </c>
      <c r="M287" s="512">
        <v>1.4999999999999999E-2</v>
      </c>
      <c r="N287" s="513" t="s">
        <v>175</v>
      </c>
      <c r="O287" s="514">
        <v>25000</v>
      </c>
    </row>
    <row r="288" spans="2:15" ht="15" x14ac:dyDescent="0.2">
      <c r="B288" s="507" t="s">
        <v>627</v>
      </c>
      <c r="C288" s="508" t="s">
        <v>266</v>
      </c>
      <c r="D288" s="509">
        <v>0.13</v>
      </c>
      <c r="E288" s="510">
        <v>0.04</v>
      </c>
      <c r="F288" s="511">
        <v>2.1000000000000001E-2</v>
      </c>
      <c r="G288" s="511">
        <v>9.6500000000000002E-2</v>
      </c>
      <c r="H288" s="512">
        <v>6.4999999999999997E-3</v>
      </c>
      <c r="I288" s="512">
        <v>0.03</v>
      </c>
      <c r="J288" s="512">
        <v>0.18</v>
      </c>
      <c r="K288" s="512">
        <v>0.04</v>
      </c>
      <c r="L288" s="512">
        <v>0.14000000000000001</v>
      </c>
      <c r="M288" s="512">
        <v>1.4999999999999999E-2</v>
      </c>
      <c r="N288" s="513" t="s">
        <v>175</v>
      </c>
      <c r="O288" s="514">
        <v>25000</v>
      </c>
    </row>
    <row r="289" spans="2:15" ht="15" x14ac:dyDescent="0.2">
      <c r="B289" s="507" t="s">
        <v>628</v>
      </c>
      <c r="C289" s="508" t="s">
        <v>266</v>
      </c>
      <c r="D289" s="509">
        <v>0.13</v>
      </c>
      <c r="E289" s="510">
        <v>0.04</v>
      </c>
      <c r="F289" s="511">
        <v>2.1000000000000001E-2</v>
      </c>
      <c r="G289" s="511">
        <v>9.6500000000000002E-2</v>
      </c>
      <c r="H289" s="512">
        <v>6.4999999999999997E-3</v>
      </c>
      <c r="I289" s="512">
        <v>0.03</v>
      </c>
      <c r="J289" s="512">
        <v>0.18</v>
      </c>
      <c r="K289" s="512">
        <v>0.04</v>
      </c>
      <c r="L289" s="512">
        <v>0.14000000000000001</v>
      </c>
      <c r="M289" s="512">
        <v>1.4999999999999999E-2</v>
      </c>
      <c r="N289" s="513" t="s">
        <v>175</v>
      </c>
      <c r="O289" s="514">
        <v>25000</v>
      </c>
    </row>
    <row r="290" spans="2:15" ht="15" x14ac:dyDescent="0.2">
      <c r="B290" s="507" t="s">
        <v>629</v>
      </c>
      <c r="C290" s="508" t="s">
        <v>266</v>
      </c>
      <c r="D290" s="509">
        <v>0.13</v>
      </c>
      <c r="E290" s="510">
        <v>0.04</v>
      </c>
      <c r="F290" s="511">
        <v>2.1000000000000001E-2</v>
      </c>
      <c r="G290" s="511">
        <v>9.6500000000000002E-2</v>
      </c>
      <c r="H290" s="512">
        <v>6.4999999999999997E-3</v>
      </c>
      <c r="I290" s="512">
        <v>0.03</v>
      </c>
      <c r="J290" s="512">
        <v>0.18</v>
      </c>
      <c r="K290" s="512">
        <v>0.04</v>
      </c>
      <c r="L290" s="512">
        <v>0.14000000000000001</v>
      </c>
      <c r="M290" s="512">
        <v>1.4999999999999999E-2</v>
      </c>
      <c r="N290" s="513" t="s">
        <v>175</v>
      </c>
      <c r="O290" s="514">
        <v>25000</v>
      </c>
    </row>
    <row r="291" spans="2:15" ht="15" x14ac:dyDescent="0.2">
      <c r="B291" s="507" t="s">
        <v>630</v>
      </c>
      <c r="C291" s="508" t="s">
        <v>266</v>
      </c>
      <c r="D291" s="509">
        <v>0.13</v>
      </c>
      <c r="E291" s="510">
        <v>0.04</v>
      </c>
      <c r="F291" s="511">
        <v>2.1000000000000001E-2</v>
      </c>
      <c r="G291" s="511">
        <v>9.6500000000000002E-2</v>
      </c>
      <c r="H291" s="512">
        <v>6.4999999999999997E-3</v>
      </c>
      <c r="I291" s="512">
        <v>0.03</v>
      </c>
      <c r="J291" s="512">
        <v>0.18</v>
      </c>
      <c r="K291" s="512">
        <v>0.04</v>
      </c>
      <c r="L291" s="512">
        <v>0.14000000000000001</v>
      </c>
      <c r="M291" s="512">
        <v>1.4999999999999999E-2</v>
      </c>
      <c r="N291" s="513" t="s">
        <v>175</v>
      </c>
      <c r="O291" s="514">
        <v>25000</v>
      </c>
    </row>
    <row r="292" spans="2:15" ht="15" x14ac:dyDescent="0.2">
      <c r="B292" s="507" t="s">
        <v>631</v>
      </c>
      <c r="C292" s="508" t="s">
        <v>266</v>
      </c>
      <c r="D292" s="509">
        <v>0.13</v>
      </c>
      <c r="E292" s="510">
        <v>0.04</v>
      </c>
      <c r="F292" s="511">
        <v>2.1000000000000001E-2</v>
      </c>
      <c r="G292" s="511">
        <v>9.6500000000000002E-2</v>
      </c>
      <c r="H292" s="512">
        <v>6.4999999999999997E-3</v>
      </c>
      <c r="I292" s="512">
        <v>0.03</v>
      </c>
      <c r="J292" s="512">
        <v>0.18</v>
      </c>
      <c r="K292" s="512">
        <v>0.04</v>
      </c>
      <c r="L292" s="512">
        <v>0.14000000000000001</v>
      </c>
      <c r="M292" s="512">
        <v>1.4999999999999999E-2</v>
      </c>
      <c r="N292" s="513" t="s">
        <v>175</v>
      </c>
      <c r="O292" s="514">
        <v>25000</v>
      </c>
    </row>
    <row r="293" spans="2:15" ht="15" x14ac:dyDescent="0.2">
      <c r="B293" s="507" t="s">
        <v>632</v>
      </c>
      <c r="C293" s="508" t="s">
        <v>266</v>
      </c>
      <c r="D293" s="509">
        <v>0.13</v>
      </c>
      <c r="E293" s="510">
        <v>0.04</v>
      </c>
      <c r="F293" s="511">
        <v>2.1000000000000001E-2</v>
      </c>
      <c r="G293" s="511">
        <v>9.6500000000000002E-2</v>
      </c>
      <c r="H293" s="512">
        <v>6.4999999999999997E-3</v>
      </c>
      <c r="I293" s="512">
        <v>0.03</v>
      </c>
      <c r="J293" s="512">
        <v>0.18</v>
      </c>
      <c r="K293" s="512">
        <v>0.04</v>
      </c>
      <c r="L293" s="512">
        <v>0.14000000000000001</v>
      </c>
      <c r="M293" s="512">
        <v>1.4999999999999999E-2</v>
      </c>
      <c r="N293" s="513" t="s">
        <v>175</v>
      </c>
      <c r="O293" s="514">
        <v>25000</v>
      </c>
    </row>
    <row r="294" spans="2:15" ht="15" x14ac:dyDescent="0.2">
      <c r="B294" s="507" t="s">
        <v>633</v>
      </c>
      <c r="C294" s="508" t="s">
        <v>634</v>
      </c>
      <c r="D294" s="509">
        <v>0.14000000000000001</v>
      </c>
      <c r="E294" s="510">
        <v>0.03</v>
      </c>
      <c r="F294" s="511">
        <v>2.1000000000000001E-2</v>
      </c>
      <c r="G294" s="511">
        <v>9.6500000000000002E-2</v>
      </c>
      <c r="H294" s="512">
        <v>6.4999999999999997E-3</v>
      </c>
      <c r="I294" s="512">
        <v>0.03</v>
      </c>
      <c r="J294" s="512">
        <v>0.18</v>
      </c>
      <c r="K294" s="512">
        <v>0.04</v>
      </c>
      <c r="L294" s="512">
        <v>0.14000000000000001</v>
      </c>
      <c r="M294" s="512">
        <v>1.4999999999999999E-2</v>
      </c>
      <c r="N294" s="513" t="s">
        <v>175</v>
      </c>
      <c r="O294" s="514">
        <v>7000</v>
      </c>
    </row>
    <row r="295" spans="2:15" ht="15" x14ac:dyDescent="0.2">
      <c r="B295" s="507" t="s">
        <v>635</v>
      </c>
      <c r="C295" s="508" t="s">
        <v>634</v>
      </c>
      <c r="D295" s="509">
        <v>0.14000000000000001</v>
      </c>
      <c r="E295" s="510">
        <v>0.03</v>
      </c>
      <c r="F295" s="511">
        <v>2.1000000000000001E-2</v>
      </c>
      <c r="G295" s="511">
        <v>9.6500000000000002E-2</v>
      </c>
      <c r="H295" s="512">
        <v>6.4999999999999997E-3</v>
      </c>
      <c r="I295" s="512">
        <v>0.03</v>
      </c>
      <c r="J295" s="512">
        <v>0.18</v>
      </c>
      <c r="K295" s="512">
        <v>0.04</v>
      </c>
      <c r="L295" s="512">
        <v>0.14000000000000001</v>
      </c>
      <c r="M295" s="512">
        <v>1.4999999999999999E-2</v>
      </c>
      <c r="N295" s="513" t="s">
        <v>175</v>
      </c>
      <c r="O295" s="514">
        <v>7000</v>
      </c>
    </row>
    <row r="296" spans="2:15" ht="15" x14ac:dyDescent="0.2">
      <c r="B296" s="507" t="s">
        <v>636</v>
      </c>
      <c r="C296" s="508" t="s">
        <v>634</v>
      </c>
      <c r="D296" s="509">
        <v>0.14000000000000001</v>
      </c>
      <c r="E296" s="510">
        <v>0.03</v>
      </c>
      <c r="F296" s="511">
        <v>2.1000000000000001E-2</v>
      </c>
      <c r="G296" s="511">
        <v>9.6500000000000002E-2</v>
      </c>
      <c r="H296" s="512">
        <v>6.4999999999999997E-3</v>
      </c>
      <c r="I296" s="512">
        <v>0.03</v>
      </c>
      <c r="J296" s="512">
        <v>0.18</v>
      </c>
      <c r="K296" s="512">
        <v>0.04</v>
      </c>
      <c r="L296" s="512">
        <v>0.14000000000000001</v>
      </c>
      <c r="M296" s="512">
        <v>1.4999999999999999E-2</v>
      </c>
      <c r="N296" s="513" t="s">
        <v>175</v>
      </c>
      <c r="O296" s="514">
        <v>7000</v>
      </c>
    </row>
    <row r="297" spans="2:15" ht="15" x14ac:dyDescent="0.2">
      <c r="B297" s="507" t="s">
        <v>637</v>
      </c>
      <c r="C297" s="508" t="s">
        <v>634</v>
      </c>
      <c r="D297" s="509">
        <v>0.14000000000000001</v>
      </c>
      <c r="E297" s="510">
        <v>0.03</v>
      </c>
      <c r="F297" s="511">
        <v>2.1000000000000001E-2</v>
      </c>
      <c r="G297" s="511">
        <v>9.6500000000000002E-2</v>
      </c>
      <c r="H297" s="512">
        <v>6.4999999999999997E-3</v>
      </c>
      <c r="I297" s="512">
        <v>0.03</v>
      </c>
      <c r="J297" s="512">
        <v>0.18</v>
      </c>
      <c r="K297" s="512">
        <v>0.04</v>
      </c>
      <c r="L297" s="512">
        <v>0.14000000000000001</v>
      </c>
      <c r="M297" s="512">
        <v>1.4999999999999999E-2</v>
      </c>
      <c r="N297" s="513" t="s">
        <v>175</v>
      </c>
      <c r="O297" s="514">
        <v>7000</v>
      </c>
    </row>
    <row r="298" spans="2:15" ht="15" x14ac:dyDescent="0.2">
      <c r="B298" s="507" t="s">
        <v>638</v>
      </c>
      <c r="C298" s="508" t="s">
        <v>639</v>
      </c>
      <c r="D298" s="509">
        <v>0.16</v>
      </c>
      <c r="E298" s="510">
        <v>0.04</v>
      </c>
      <c r="F298" s="511">
        <v>2.1000000000000001E-2</v>
      </c>
      <c r="G298" s="511">
        <v>9.6500000000000002E-2</v>
      </c>
      <c r="H298" s="512">
        <v>6.4999999999999997E-3</v>
      </c>
      <c r="I298" s="512">
        <v>0.03</v>
      </c>
      <c r="J298" s="512">
        <v>0.18</v>
      </c>
      <c r="K298" s="512">
        <v>0.04</v>
      </c>
      <c r="L298" s="512">
        <v>0.14000000000000001</v>
      </c>
      <c r="M298" s="512">
        <v>1.4999999999999999E-2</v>
      </c>
      <c r="N298" s="513" t="s">
        <v>175</v>
      </c>
      <c r="O298" s="514">
        <v>56000</v>
      </c>
    </row>
    <row r="299" spans="2:15" ht="15" x14ac:dyDescent="0.2">
      <c r="B299" s="507" t="s">
        <v>640</v>
      </c>
      <c r="C299" s="508" t="s">
        <v>634</v>
      </c>
      <c r="D299" s="509">
        <v>0.14000000000000001</v>
      </c>
      <c r="E299" s="510">
        <v>0.03</v>
      </c>
      <c r="F299" s="511">
        <v>2.1000000000000001E-2</v>
      </c>
      <c r="G299" s="511">
        <v>9.6500000000000002E-2</v>
      </c>
      <c r="H299" s="512">
        <v>6.4999999999999997E-3</v>
      </c>
      <c r="I299" s="512">
        <v>0.03</v>
      </c>
      <c r="J299" s="512">
        <v>0.18</v>
      </c>
      <c r="K299" s="512">
        <v>0.04</v>
      </c>
      <c r="L299" s="512">
        <v>0.14000000000000001</v>
      </c>
      <c r="M299" s="512">
        <v>1.4999999999999999E-2</v>
      </c>
      <c r="N299" s="513" t="s">
        <v>175</v>
      </c>
      <c r="O299" s="514">
        <v>12000</v>
      </c>
    </row>
    <row r="300" spans="2:15" ht="15" x14ac:dyDescent="0.2">
      <c r="B300" s="507" t="s">
        <v>641</v>
      </c>
      <c r="C300" s="508" t="s">
        <v>268</v>
      </c>
      <c r="D300" s="509">
        <v>0.13</v>
      </c>
      <c r="E300" s="510">
        <v>0</v>
      </c>
      <c r="F300" s="511">
        <v>2.1000000000000001E-2</v>
      </c>
      <c r="G300" s="511">
        <v>0.1065</v>
      </c>
      <c r="H300" s="512">
        <v>6.4999999999999997E-3</v>
      </c>
      <c r="I300" s="512">
        <v>0.03</v>
      </c>
      <c r="J300" s="512">
        <v>8.7999999999999995E-2</v>
      </c>
      <c r="K300" s="512">
        <v>0.04</v>
      </c>
      <c r="L300" s="512">
        <v>0.14000000000000001</v>
      </c>
      <c r="M300" s="512">
        <v>1.4999999999999999E-2</v>
      </c>
      <c r="N300" s="513" t="s">
        <v>175</v>
      </c>
      <c r="O300" s="514">
        <v>1</v>
      </c>
    </row>
    <row r="301" spans="2:15" ht="15" x14ac:dyDescent="0.2">
      <c r="B301" s="507" t="s">
        <v>642</v>
      </c>
      <c r="C301" s="508" t="s">
        <v>270</v>
      </c>
      <c r="D301" s="509">
        <v>0.11</v>
      </c>
      <c r="E301" s="510">
        <v>0</v>
      </c>
      <c r="F301" s="511">
        <v>2.1000000000000001E-2</v>
      </c>
      <c r="G301" s="511">
        <v>0.1065</v>
      </c>
      <c r="H301" s="512">
        <v>6.4999999999999997E-3</v>
      </c>
      <c r="I301" s="512">
        <v>0.03</v>
      </c>
      <c r="J301" s="512">
        <v>0.18</v>
      </c>
      <c r="K301" s="512">
        <v>0.04</v>
      </c>
      <c r="L301" s="512">
        <v>0.14000000000000001</v>
      </c>
      <c r="M301" s="512">
        <v>1.4999999999999999E-2</v>
      </c>
      <c r="N301" s="513" t="s">
        <v>175</v>
      </c>
      <c r="O301" s="514">
        <v>1</v>
      </c>
    </row>
    <row r="302" spans="2:15" ht="15" x14ac:dyDescent="0.2">
      <c r="B302" s="507" t="s">
        <v>272</v>
      </c>
      <c r="C302" s="508" t="s">
        <v>271</v>
      </c>
      <c r="D302" s="509">
        <v>0.11</v>
      </c>
      <c r="E302" s="510">
        <v>7.0000000000000007E-2</v>
      </c>
      <c r="F302" s="511">
        <v>2.1000000000000001E-2</v>
      </c>
      <c r="G302" s="511">
        <v>9.6500000000000002E-2</v>
      </c>
      <c r="H302" s="512">
        <v>6.4999999999999997E-3</v>
      </c>
      <c r="I302" s="512">
        <v>0.03</v>
      </c>
      <c r="J302" s="512">
        <v>0.18</v>
      </c>
      <c r="K302" s="512">
        <v>0.04</v>
      </c>
      <c r="L302" s="512">
        <v>0.14000000000000001</v>
      </c>
      <c r="M302" s="512">
        <v>1.4999999999999999E-2</v>
      </c>
      <c r="N302" s="513" t="s">
        <v>175</v>
      </c>
      <c r="O302" s="514">
        <v>25000</v>
      </c>
    </row>
    <row r="303" spans="2:15" ht="15" x14ac:dyDescent="0.2">
      <c r="B303" s="507" t="s">
        <v>643</v>
      </c>
      <c r="C303" s="508" t="s">
        <v>274</v>
      </c>
      <c r="D303" s="509">
        <v>0.13</v>
      </c>
      <c r="E303" s="510">
        <v>0</v>
      </c>
      <c r="F303" s="511">
        <v>2.1000000000000001E-2</v>
      </c>
      <c r="G303" s="511">
        <v>9.6500000000000002E-2</v>
      </c>
      <c r="H303" s="512">
        <v>6.4999999999999997E-3</v>
      </c>
      <c r="I303" s="512">
        <v>0.03</v>
      </c>
      <c r="J303" s="512">
        <v>0.18</v>
      </c>
      <c r="K303" s="512">
        <v>0.04</v>
      </c>
      <c r="L303" s="512">
        <v>0.14000000000000001</v>
      </c>
      <c r="M303" s="512">
        <v>1.4999999999999999E-2</v>
      </c>
      <c r="N303" s="513" t="s">
        <v>175</v>
      </c>
      <c r="O303" s="514">
        <v>76800</v>
      </c>
    </row>
    <row r="304" spans="2:15" ht="15" x14ac:dyDescent="0.2">
      <c r="B304" s="507" t="s">
        <v>644</v>
      </c>
      <c r="C304" s="508" t="s">
        <v>274</v>
      </c>
      <c r="D304" s="509">
        <v>0.13</v>
      </c>
      <c r="E304" s="510">
        <v>0</v>
      </c>
      <c r="F304" s="511">
        <v>2.1000000000000001E-2</v>
      </c>
      <c r="G304" s="511">
        <v>9.6500000000000002E-2</v>
      </c>
      <c r="H304" s="512">
        <v>6.4999999999999997E-3</v>
      </c>
      <c r="I304" s="512">
        <v>0.03</v>
      </c>
      <c r="J304" s="512">
        <v>0.18</v>
      </c>
      <c r="K304" s="512">
        <v>0.04</v>
      </c>
      <c r="L304" s="512">
        <v>0.14000000000000001</v>
      </c>
      <c r="M304" s="512">
        <v>1.4999999999999999E-2</v>
      </c>
      <c r="N304" s="513" t="s">
        <v>175</v>
      </c>
      <c r="O304" s="514">
        <v>32200</v>
      </c>
    </row>
    <row r="305" spans="2:15" ht="15" x14ac:dyDescent="0.2">
      <c r="B305" s="507" t="s">
        <v>645</v>
      </c>
      <c r="C305" s="508" t="s">
        <v>274</v>
      </c>
      <c r="D305" s="509">
        <v>0.13</v>
      </c>
      <c r="E305" s="510">
        <v>0</v>
      </c>
      <c r="F305" s="511">
        <v>2.1000000000000001E-2</v>
      </c>
      <c r="G305" s="511">
        <v>9.6500000000000002E-2</v>
      </c>
      <c r="H305" s="512">
        <v>6.4999999999999997E-3</v>
      </c>
      <c r="I305" s="512">
        <v>0.03</v>
      </c>
      <c r="J305" s="512">
        <v>0.18</v>
      </c>
      <c r="K305" s="512">
        <v>0.04</v>
      </c>
      <c r="L305" s="512">
        <v>0.14000000000000001</v>
      </c>
      <c r="M305" s="512">
        <v>1.4999999999999999E-2</v>
      </c>
      <c r="N305" s="513" t="s">
        <v>175</v>
      </c>
      <c r="O305" s="514">
        <v>32200</v>
      </c>
    </row>
    <row r="306" spans="2:15" ht="15" x14ac:dyDescent="0.2">
      <c r="B306" s="507" t="s">
        <v>646</v>
      </c>
      <c r="C306" s="508" t="s">
        <v>274</v>
      </c>
      <c r="D306" s="509">
        <v>0.13</v>
      </c>
      <c r="E306" s="510">
        <v>0</v>
      </c>
      <c r="F306" s="511">
        <v>2.1000000000000001E-2</v>
      </c>
      <c r="G306" s="511">
        <v>9.6500000000000002E-2</v>
      </c>
      <c r="H306" s="512">
        <v>6.4999999999999997E-3</v>
      </c>
      <c r="I306" s="512">
        <v>0.03</v>
      </c>
      <c r="J306" s="512">
        <v>0.18</v>
      </c>
      <c r="K306" s="512">
        <v>0.04</v>
      </c>
      <c r="L306" s="512">
        <v>0.14000000000000001</v>
      </c>
      <c r="M306" s="512">
        <v>1.4999999999999999E-2</v>
      </c>
      <c r="N306" s="513" t="s">
        <v>175</v>
      </c>
      <c r="O306" s="514">
        <v>38600</v>
      </c>
    </row>
    <row r="307" spans="2:15" ht="15" x14ac:dyDescent="0.2">
      <c r="B307" s="507" t="s">
        <v>647</v>
      </c>
      <c r="C307" s="508" t="s">
        <v>648</v>
      </c>
      <c r="D307" s="509">
        <v>0.11</v>
      </c>
      <c r="E307" s="510">
        <v>0</v>
      </c>
      <c r="F307" s="511">
        <v>2.1000000000000001E-2</v>
      </c>
      <c r="G307" s="511">
        <v>9.6500000000000002E-2</v>
      </c>
      <c r="H307" s="512">
        <v>6.4999999999999997E-3</v>
      </c>
      <c r="I307" s="512">
        <v>0.03</v>
      </c>
      <c r="J307" s="512">
        <v>0.18</v>
      </c>
      <c r="K307" s="512">
        <v>0.04</v>
      </c>
      <c r="L307" s="512">
        <v>0.14000000000000001</v>
      </c>
      <c r="M307" s="512">
        <v>1.4999999999999999E-2</v>
      </c>
      <c r="N307" s="513" t="s">
        <v>175</v>
      </c>
      <c r="O307" s="514">
        <v>9</v>
      </c>
    </row>
    <row r="308" spans="2:15" ht="15" x14ac:dyDescent="0.2">
      <c r="B308" s="507" t="s">
        <v>649</v>
      </c>
      <c r="C308" s="508" t="s">
        <v>650</v>
      </c>
      <c r="D308" s="509">
        <v>0.05</v>
      </c>
      <c r="E308" s="510">
        <v>0</v>
      </c>
      <c r="F308" s="511">
        <v>2.1000000000000001E-2</v>
      </c>
      <c r="G308" s="511">
        <v>9.6500000000000002E-2</v>
      </c>
      <c r="H308" s="512">
        <v>6.4999999999999997E-3</v>
      </c>
      <c r="I308" s="512">
        <v>0.03</v>
      </c>
      <c r="J308" s="512">
        <v>0.18</v>
      </c>
      <c r="K308" s="512">
        <v>0.04</v>
      </c>
      <c r="L308" s="512">
        <v>0.14000000000000001</v>
      </c>
      <c r="M308" s="512">
        <v>1.4999999999999999E-2</v>
      </c>
      <c r="N308" s="513" t="s">
        <v>175</v>
      </c>
      <c r="O308" s="514">
        <v>58000</v>
      </c>
    </row>
    <row r="309" spans="2:15" ht="15" x14ac:dyDescent="0.2">
      <c r="B309" s="507" t="s">
        <v>651</v>
      </c>
      <c r="C309" s="508" t="s">
        <v>650</v>
      </c>
      <c r="D309" s="509">
        <v>0.05</v>
      </c>
      <c r="E309" s="510">
        <v>0</v>
      </c>
      <c r="F309" s="511">
        <v>2.1000000000000001E-2</v>
      </c>
      <c r="G309" s="511">
        <v>9.6500000000000002E-2</v>
      </c>
      <c r="H309" s="512">
        <v>6.4999999999999997E-3</v>
      </c>
      <c r="I309" s="512">
        <v>0.03</v>
      </c>
      <c r="J309" s="512">
        <v>0.18</v>
      </c>
      <c r="K309" s="512">
        <v>0.04</v>
      </c>
      <c r="L309" s="512">
        <v>0.14000000000000001</v>
      </c>
      <c r="M309" s="512">
        <v>1.4999999999999999E-2</v>
      </c>
      <c r="N309" s="513" t="s">
        <v>175</v>
      </c>
      <c r="O309" s="514">
        <v>45000</v>
      </c>
    </row>
    <row r="310" spans="2:15" ht="15" x14ac:dyDescent="0.2">
      <c r="B310" s="507" t="s">
        <v>652</v>
      </c>
      <c r="C310" s="508" t="s">
        <v>650</v>
      </c>
      <c r="D310" s="509">
        <v>0.05</v>
      </c>
      <c r="E310" s="510">
        <v>0</v>
      </c>
      <c r="F310" s="511">
        <v>2.1000000000000001E-2</v>
      </c>
      <c r="G310" s="511">
        <v>9.6500000000000002E-2</v>
      </c>
      <c r="H310" s="512">
        <v>6.4999999999999997E-3</v>
      </c>
      <c r="I310" s="512">
        <v>0.03</v>
      </c>
      <c r="J310" s="512">
        <v>0.18</v>
      </c>
      <c r="K310" s="512">
        <v>0.04</v>
      </c>
      <c r="L310" s="512">
        <v>0.14000000000000001</v>
      </c>
      <c r="M310" s="512">
        <v>1.4999999999999999E-2</v>
      </c>
      <c r="N310" s="513" t="s">
        <v>175</v>
      </c>
      <c r="O310" s="514">
        <v>45000</v>
      </c>
    </row>
    <row r="311" spans="2:15" ht="15" x14ac:dyDescent="0.2">
      <c r="B311" s="507" t="s">
        <v>653</v>
      </c>
      <c r="C311" s="508" t="s">
        <v>650</v>
      </c>
      <c r="D311" s="509">
        <v>0.05</v>
      </c>
      <c r="E311" s="510">
        <v>0</v>
      </c>
      <c r="F311" s="511">
        <v>2.1000000000000001E-2</v>
      </c>
      <c r="G311" s="511">
        <v>9.6500000000000002E-2</v>
      </c>
      <c r="H311" s="512">
        <v>6.4999999999999997E-3</v>
      </c>
      <c r="I311" s="512">
        <v>0.03</v>
      </c>
      <c r="J311" s="512">
        <v>0.18</v>
      </c>
      <c r="K311" s="512">
        <v>0.04</v>
      </c>
      <c r="L311" s="512">
        <v>0.14000000000000001</v>
      </c>
      <c r="M311" s="512">
        <v>1.4999999999999999E-2</v>
      </c>
      <c r="N311" s="513" t="s">
        <v>175</v>
      </c>
      <c r="O311" s="514">
        <v>58000</v>
      </c>
    </row>
    <row r="312" spans="2:15" ht="15" x14ac:dyDescent="0.2">
      <c r="B312" s="507" t="s">
        <v>654</v>
      </c>
      <c r="C312" s="508" t="s">
        <v>650</v>
      </c>
      <c r="D312" s="509">
        <v>0.05</v>
      </c>
      <c r="E312" s="510">
        <v>0</v>
      </c>
      <c r="F312" s="511">
        <v>2.1000000000000001E-2</v>
      </c>
      <c r="G312" s="511">
        <v>9.6500000000000002E-2</v>
      </c>
      <c r="H312" s="512">
        <v>6.4999999999999997E-3</v>
      </c>
      <c r="I312" s="512">
        <v>0.03</v>
      </c>
      <c r="J312" s="512">
        <v>0.18</v>
      </c>
      <c r="K312" s="512">
        <v>0.04</v>
      </c>
      <c r="L312" s="512">
        <v>0.14000000000000001</v>
      </c>
      <c r="M312" s="512">
        <v>1.4999999999999999E-2</v>
      </c>
      <c r="N312" s="513" t="s">
        <v>175</v>
      </c>
      <c r="O312" s="514">
        <v>8000</v>
      </c>
    </row>
    <row r="313" spans="2:15" ht="15" x14ac:dyDescent="0.2">
      <c r="B313" s="507" t="s">
        <v>655</v>
      </c>
      <c r="C313" s="508" t="s">
        <v>650</v>
      </c>
      <c r="D313" s="509">
        <v>0.05</v>
      </c>
      <c r="E313" s="510">
        <v>0</v>
      </c>
      <c r="F313" s="511">
        <v>2.1000000000000001E-2</v>
      </c>
      <c r="G313" s="511">
        <v>9.6500000000000002E-2</v>
      </c>
      <c r="H313" s="512">
        <v>6.4999999999999997E-3</v>
      </c>
      <c r="I313" s="512">
        <v>0.03</v>
      </c>
      <c r="J313" s="512">
        <v>0.18</v>
      </c>
      <c r="K313" s="512">
        <v>0.04</v>
      </c>
      <c r="L313" s="512">
        <v>0.14000000000000001</v>
      </c>
      <c r="M313" s="512">
        <v>1.4999999999999999E-2</v>
      </c>
      <c r="N313" s="513" t="s">
        <v>175</v>
      </c>
      <c r="O313" s="514">
        <v>50000</v>
      </c>
    </row>
    <row r="314" spans="2:15" ht="15" x14ac:dyDescent="0.2">
      <c r="B314" s="507" t="s">
        <v>656</v>
      </c>
      <c r="C314" s="508" t="s">
        <v>608</v>
      </c>
      <c r="D314" s="509">
        <v>0.18</v>
      </c>
      <c r="E314" s="510">
        <v>0.1</v>
      </c>
      <c r="F314" s="511">
        <v>2.1000000000000001E-2</v>
      </c>
      <c r="G314" s="511">
        <v>9.6500000000000002E-2</v>
      </c>
      <c r="H314" s="512">
        <v>6.4999999999999997E-3</v>
      </c>
      <c r="I314" s="512">
        <v>0.03</v>
      </c>
      <c r="J314" s="512">
        <v>0.18</v>
      </c>
      <c r="K314" s="512">
        <v>0.04</v>
      </c>
      <c r="L314" s="512">
        <v>0.14000000000000001</v>
      </c>
      <c r="M314" s="512">
        <v>1.4999999999999999E-2</v>
      </c>
      <c r="N314" s="513" t="s">
        <v>175</v>
      </c>
      <c r="O314" s="514">
        <v>57840</v>
      </c>
    </row>
    <row r="315" spans="2:15" ht="15" x14ac:dyDescent="0.2">
      <c r="B315" s="507" t="s">
        <v>657</v>
      </c>
      <c r="C315" s="508" t="s">
        <v>658</v>
      </c>
      <c r="D315" s="509">
        <v>0.09</v>
      </c>
      <c r="E315" s="510">
        <v>0.04</v>
      </c>
      <c r="F315" s="511">
        <v>2.1000000000000001E-2</v>
      </c>
      <c r="G315" s="511">
        <v>9.6500000000000002E-2</v>
      </c>
      <c r="H315" s="512">
        <v>6.4999999999999997E-3</v>
      </c>
      <c r="I315" s="512">
        <v>0.03</v>
      </c>
      <c r="J315" s="512">
        <v>0.18</v>
      </c>
      <c r="K315" s="512">
        <v>0.04</v>
      </c>
      <c r="L315" s="512">
        <v>0.14000000000000001</v>
      </c>
      <c r="M315" s="512">
        <v>1.4999999999999999E-2</v>
      </c>
      <c r="N315" s="513" t="s">
        <v>175</v>
      </c>
      <c r="O315" s="514">
        <v>3135</v>
      </c>
    </row>
    <row r="316" spans="2:15" ht="15" x14ac:dyDescent="0.2">
      <c r="B316" s="507" t="s">
        <v>659</v>
      </c>
      <c r="C316" s="508" t="s">
        <v>475</v>
      </c>
      <c r="D316" s="509">
        <v>0.18</v>
      </c>
      <c r="E316" s="510">
        <v>0.1</v>
      </c>
      <c r="F316" s="511">
        <v>2.1000000000000001E-2</v>
      </c>
      <c r="G316" s="511">
        <v>9.6500000000000002E-2</v>
      </c>
      <c r="H316" s="512">
        <v>6.4999999999999997E-3</v>
      </c>
      <c r="I316" s="512">
        <v>0.03</v>
      </c>
      <c r="J316" s="512">
        <v>0.18</v>
      </c>
      <c r="K316" s="512">
        <v>0.04</v>
      </c>
      <c r="L316" s="512">
        <v>0.14000000000000001</v>
      </c>
      <c r="M316" s="512">
        <v>1.4999999999999999E-2</v>
      </c>
      <c r="N316" s="513" t="s">
        <v>175</v>
      </c>
      <c r="O316" s="514">
        <v>2000</v>
      </c>
    </row>
    <row r="317" spans="2:15" ht="15" x14ac:dyDescent="0.2">
      <c r="B317" s="507" t="s">
        <v>660</v>
      </c>
      <c r="C317" s="508" t="s">
        <v>661</v>
      </c>
      <c r="D317" s="509">
        <v>0.16</v>
      </c>
      <c r="E317" s="510">
        <v>0</v>
      </c>
      <c r="F317" s="511">
        <v>2.1000000000000001E-2</v>
      </c>
      <c r="G317" s="511">
        <v>9.6500000000000002E-2</v>
      </c>
      <c r="H317" s="512">
        <v>6.4999999999999997E-3</v>
      </c>
      <c r="I317" s="512">
        <v>0.03</v>
      </c>
      <c r="J317" s="512">
        <v>0.18</v>
      </c>
      <c r="K317" s="512">
        <v>0.04</v>
      </c>
      <c r="L317" s="512">
        <v>0.14000000000000001</v>
      </c>
      <c r="M317" s="512">
        <v>1.4999999999999999E-2</v>
      </c>
      <c r="N317" s="513" t="s">
        <v>175</v>
      </c>
      <c r="O317" s="514"/>
    </row>
    <row r="318" spans="2:15" ht="15" x14ac:dyDescent="0.2">
      <c r="B318" s="507" t="s">
        <v>662</v>
      </c>
      <c r="C318" s="508" t="s">
        <v>663</v>
      </c>
      <c r="D318" s="509">
        <v>0.16</v>
      </c>
      <c r="E318" s="510">
        <v>0</v>
      </c>
      <c r="F318" s="511">
        <v>2.1000000000000001E-2</v>
      </c>
      <c r="G318" s="511">
        <v>9.6500000000000002E-2</v>
      </c>
      <c r="H318" s="512">
        <v>6.4999999999999997E-3</v>
      </c>
      <c r="I318" s="512">
        <v>0.03</v>
      </c>
      <c r="J318" s="512">
        <v>0.18</v>
      </c>
      <c r="K318" s="512">
        <v>0.04</v>
      </c>
      <c r="L318" s="512">
        <v>0.14000000000000001</v>
      </c>
      <c r="M318" s="512">
        <v>1.4999999999999999E-2</v>
      </c>
      <c r="N318" s="513" t="s">
        <v>175</v>
      </c>
      <c r="O318" s="514">
        <v>79000</v>
      </c>
    </row>
    <row r="319" spans="2:15" ht="15" x14ac:dyDescent="0.2">
      <c r="B319" s="507" t="s">
        <v>664</v>
      </c>
      <c r="C319" s="508" t="s">
        <v>663</v>
      </c>
      <c r="D319" s="509">
        <v>0.16</v>
      </c>
      <c r="E319" s="510">
        <v>0</v>
      </c>
      <c r="F319" s="511">
        <v>2.1000000000000001E-2</v>
      </c>
      <c r="G319" s="511">
        <v>9.6500000000000002E-2</v>
      </c>
      <c r="H319" s="512">
        <v>6.4999999999999997E-3</v>
      </c>
      <c r="I319" s="512">
        <v>0.03</v>
      </c>
      <c r="J319" s="512">
        <v>0.18</v>
      </c>
      <c r="K319" s="512">
        <v>0.04</v>
      </c>
      <c r="L319" s="512">
        <v>0.14000000000000001</v>
      </c>
      <c r="M319" s="512">
        <v>1.4999999999999999E-2</v>
      </c>
      <c r="N319" s="513" t="s">
        <v>175</v>
      </c>
      <c r="O319" s="514">
        <v>79000</v>
      </c>
    </row>
    <row r="320" spans="2:15" ht="15" x14ac:dyDescent="0.2">
      <c r="B320" s="507" t="s">
        <v>665</v>
      </c>
      <c r="C320" s="508" t="s">
        <v>666</v>
      </c>
      <c r="D320" s="509">
        <v>0.16</v>
      </c>
      <c r="E320" s="510">
        <v>0</v>
      </c>
      <c r="F320" s="511">
        <v>2.1000000000000001E-2</v>
      </c>
      <c r="G320" s="511">
        <v>9.6500000000000002E-2</v>
      </c>
      <c r="H320" s="512">
        <v>6.4999999999999997E-3</v>
      </c>
      <c r="I320" s="512">
        <v>0.03</v>
      </c>
      <c r="J320" s="512">
        <v>0.18</v>
      </c>
      <c r="K320" s="512">
        <v>0.04</v>
      </c>
      <c r="L320" s="512">
        <v>0.14000000000000001</v>
      </c>
      <c r="M320" s="512">
        <v>1.4999999999999999E-2</v>
      </c>
      <c r="N320" s="513" t="s">
        <v>175</v>
      </c>
      <c r="O320" s="514">
        <v>217000</v>
      </c>
    </row>
    <row r="321" spans="2:15" ht="15" x14ac:dyDescent="0.2">
      <c r="B321" s="507" t="s">
        <v>667</v>
      </c>
      <c r="C321" s="508" t="s">
        <v>666</v>
      </c>
      <c r="D321" s="509">
        <v>0.16</v>
      </c>
      <c r="E321" s="510">
        <v>0</v>
      </c>
      <c r="F321" s="511">
        <v>2.1000000000000001E-2</v>
      </c>
      <c r="G321" s="511">
        <v>9.6500000000000002E-2</v>
      </c>
      <c r="H321" s="512">
        <v>6.4999999999999997E-3</v>
      </c>
      <c r="I321" s="512">
        <v>0.03</v>
      </c>
      <c r="J321" s="512">
        <v>0.18</v>
      </c>
      <c r="K321" s="512">
        <v>0.04</v>
      </c>
      <c r="L321" s="512">
        <v>0.14000000000000001</v>
      </c>
      <c r="M321" s="512">
        <v>1.4999999999999999E-2</v>
      </c>
      <c r="N321" s="513" t="s">
        <v>175</v>
      </c>
      <c r="O321" s="514">
        <v>209000</v>
      </c>
    </row>
    <row r="322" spans="2:15" ht="15" x14ac:dyDescent="0.2">
      <c r="B322" s="507" t="s">
        <v>668</v>
      </c>
      <c r="C322" s="508" t="s">
        <v>666</v>
      </c>
      <c r="D322" s="509">
        <v>0.16</v>
      </c>
      <c r="E322" s="510">
        <v>0</v>
      </c>
      <c r="F322" s="511">
        <v>2.1000000000000001E-2</v>
      </c>
      <c r="G322" s="511">
        <v>9.6500000000000002E-2</v>
      </c>
      <c r="H322" s="512">
        <v>6.4999999999999997E-3</v>
      </c>
      <c r="I322" s="512">
        <v>0.03</v>
      </c>
      <c r="J322" s="512">
        <v>0.18</v>
      </c>
      <c r="K322" s="512">
        <v>0.04</v>
      </c>
      <c r="L322" s="512">
        <v>0.14000000000000001</v>
      </c>
      <c r="M322" s="512">
        <v>1.4999999999999999E-2</v>
      </c>
      <c r="N322" s="513" t="s">
        <v>175</v>
      </c>
      <c r="O322" s="514">
        <v>141000</v>
      </c>
    </row>
    <row r="323" spans="2:15" ht="15" x14ac:dyDescent="0.2">
      <c r="B323" s="507" t="s">
        <v>669</v>
      </c>
      <c r="C323" s="508" t="s">
        <v>670</v>
      </c>
      <c r="D323" s="509">
        <v>0.14000000000000001</v>
      </c>
      <c r="E323" s="510">
        <v>0</v>
      </c>
      <c r="F323" s="511">
        <v>2.1000000000000001E-2</v>
      </c>
      <c r="G323" s="511">
        <v>9.6500000000000002E-2</v>
      </c>
      <c r="H323" s="512">
        <v>6.4999999999999997E-3</v>
      </c>
      <c r="I323" s="512">
        <v>0.03</v>
      </c>
      <c r="J323" s="512">
        <v>0.18</v>
      </c>
      <c r="K323" s="512">
        <v>0.04</v>
      </c>
      <c r="L323" s="512">
        <v>0.14000000000000001</v>
      </c>
      <c r="M323" s="512">
        <v>1.4999999999999999E-2</v>
      </c>
      <c r="N323" s="513" t="s">
        <v>175</v>
      </c>
      <c r="O323" s="514">
        <v>26000</v>
      </c>
    </row>
    <row r="324" spans="2:15" ht="15" x14ac:dyDescent="0.2">
      <c r="B324" s="507" t="s">
        <v>671</v>
      </c>
      <c r="C324" s="508" t="s">
        <v>670</v>
      </c>
      <c r="D324" s="509">
        <v>0.14000000000000001</v>
      </c>
      <c r="E324" s="510">
        <v>0</v>
      </c>
      <c r="F324" s="511">
        <v>2.1000000000000001E-2</v>
      </c>
      <c r="G324" s="511">
        <v>9.6500000000000002E-2</v>
      </c>
      <c r="H324" s="512">
        <v>6.4999999999999997E-3</v>
      </c>
      <c r="I324" s="512">
        <v>0.03</v>
      </c>
      <c r="J324" s="512">
        <v>0.18</v>
      </c>
      <c r="K324" s="512">
        <v>0.04</v>
      </c>
      <c r="L324" s="512">
        <v>0.14000000000000001</v>
      </c>
      <c r="M324" s="512">
        <v>1.4999999999999999E-2</v>
      </c>
      <c r="N324" s="513" t="s">
        <v>175</v>
      </c>
      <c r="O324" s="514">
        <v>26000</v>
      </c>
    </row>
    <row r="325" spans="2:15" ht="15" x14ac:dyDescent="0.2">
      <c r="B325" s="507" t="s">
        <v>672</v>
      </c>
      <c r="C325" s="508" t="s">
        <v>670</v>
      </c>
      <c r="D325" s="509">
        <v>0.14000000000000001</v>
      </c>
      <c r="E325" s="510">
        <v>0</v>
      </c>
      <c r="F325" s="511">
        <v>2.1000000000000001E-2</v>
      </c>
      <c r="G325" s="511">
        <v>9.6500000000000002E-2</v>
      </c>
      <c r="H325" s="512">
        <v>6.4999999999999997E-3</v>
      </c>
      <c r="I325" s="512">
        <v>0.03</v>
      </c>
      <c r="J325" s="512">
        <v>0.18</v>
      </c>
      <c r="K325" s="512">
        <v>0.04</v>
      </c>
      <c r="L325" s="512">
        <v>0.14000000000000001</v>
      </c>
      <c r="M325" s="512">
        <v>1.4999999999999999E-2</v>
      </c>
      <c r="N325" s="513" t="s">
        <v>175</v>
      </c>
      <c r="O325" s="514">
        <v>26000</v>
      </c>
    </row>
    <row r="326" spans="2:15" ht="15" x14ac:dyDescent="0.2">
      <c r="B326" s="507" t="s">
        <v>673</v>
      </c>
      <c r="C326" s="508" t="s">
        <v>674</v>
      </c>
      <c r="D326" s="509">
        <v>0.14000000000000001</v>
      </c>
      <c r="E326" s="510">
        <v>0.03</v>
      </c>
      <c r="F326" s="511">
        <v>2.1000000000000001E-2</v>
      </c>
      <c r="G326" s="511">
        <v>9.6500000000000002E-2</v>
      </c>
      <c r="H326" s="512">
        <v>6.4999999999999997E-3</v>
      </c>
      <c r="I326" s="512">
        <v>0.03</v>
      </c>
      <c r="J326" s="512">
        <v>0.18</v>
      </c>
      <c r="K326" s="512">
        <v>0.04</v>
      </c>
      <c r="L326" s="512">
        <v>0.14000000000000001</v>
      </c>
      <c r="M326" s="512">
        <v>1.4999999999999999E-2</v>
      </c>
      <c r="N326" s="513" t="s">
        <v>175</v>
      </c>
      <c r="O326" s="514">
        <v>210000</v>
      </c>
    </row>
    <row r="327" spans="2:15" ht="15" x14ac:dyDescent="0.2">
      <c r="B327" s="507" t="s">
        <v>675</v>
      </c>
      <c r="C327" s="508" t="s">
        <v>279</v>
      </c>
      <c r="D327" s="509">
        <v>0.16</v>
      </c>
      <c r="E327" s="510">
        <v>0.1</v>
      </c>
      <c r="F327" s="511">
        <v>2.1000000000000001E-2</v>
      </c>
      <c r="G327" s="511">
        <v>0.1065</v>
      </c>
      <c r="H327" s="512">
        <v>6.4999999999999997E-3</v>
      </c>
      <c r="I327" s="512">
        <v>0.03</v>
      </c>
      <c r="J327" s="512">
        <v>0.18</v>
      </c>
      <c r="K327" s="512">
        <v>0.04</v>
      </c>
      <c r="L327" s="512">
        <v>0.14000000000000001</v>
      </c>
      <c r="M327" s="512">
        <v>1.4999999999999999E-2</v>
      </c>
      <c r="N327" s="513" t="s">
        <v>175</v>
      </c>
      <c r="O327" s="514"/>
    </row>
    <row r="328" spans="2:15" ht="15" x14ac:dyDescent="0.2">
      <c r="B328" s="507" t="s">
        <v>676</v>
      </c>
      <c r="C328" s="508" t="s">
        <v>279</v>
      </c>
      <c r="D328" s="509">
        <v>0.16</v>
      </c>
      <c r="E328" s="510">
        <v>0.1</v>
      </c>
      <c r="F328" s="511">
        <v>2.1000000000000001E-2</v>
      </c>
      <c r="G328" s="511">
        <v>0.1065</v>
      </c>
      <c r="H328" s="512">
        <v>6.4999999999999997E-3</v>
      </c>
      <c r="I328" s="512">
        <v>0.03</v>
      </c>
      <c r="J328" s="512">
        <v>0.18</v>
      </c>
      <c r="K328" s="512">
        <v>0.04</v>
      </c>
      <c r="L328" s="512">
        <v>0.14000000000000001</v>
      </c>
      <c r="M328" s="512">
        <v>1.4999999999999999E-2</v>
      </c>
      <c r="N328" s="513" t="s">
        <v>175</v>
      </c>
      <c r="O328" s="514"/>
    </row>
    <row r="329" spans="2:15" ht="15" x14ac:dyDescent="0.2">
      <c r="B329" s="507" t="s">
        <v>677</v>
      </c>
      <c r="C329" s="508" t="s">
        <v>279</v>
      </c>
      <c r="D329" s="509">
        <v>0.16</v>
      </c>
      <c r="E329" s="510">
        <v>0.1</v>
      </c>
      <c r="F329" s="511">
        <v>2.1000000000000001E-2</v>
      </c>
      <c r="G329" s="511">
        <v>0.1065</v>
      </c>
      <c r="H329" s="512">
        <v>6.4999999999999997E-3</v>
      </c>
      <c r="I329" s="512">
        <v>0.03</v>
      </c>
      <c r="J329" s="512">
        <v>0.18</v>
      </c>
      <c r="K329" s="512">
        <v>0.04</v>
      </c>
      <c r="L329" s="512">
        <v>0.14000000000000001</v>
      </c>
      <c r="M329" s="512">
        <v>1.4999999999999999E-2</v>
      </c>
      <c r="N329" s="513" t="s">
        <v>175</v>
      </c>
      <c r="O329" s="514"/>
    </row>
    <row r="330" spans="2:15" ht="15" x14ac:dyDescent="0.2">
      <c r="B330" s="507" t="s">
        <v>678</v>
      </c>
      <c r="C330" s="508" t="s">
        <v>279</v>
      </c>
      <c r="D330" s="509">
        <v>0.16</v>
      </c>
      <c r="E330" s="510">
        <v>0.1</v>
      </c>
      <c r="F330" s="511">
        <v>2.1000000000000001E-2</v>
      </c>
      <c r="G330" s="511">
        <v>0.1065</v>
      </c>
      <c r="H330" s="512">
        <v>6.4999999999999997E-3</v>
      </c>
      <c r="I330" s="512">
        <v>0.03</v>
      </c>
      <c r="J330" s="512">
        <v>0.18</v>
      </c>
      <c r="K330" s="512">
        <v>0.04</v>
      </c>
      <c r="L330" s="512">
        <v>0.14000000000000001</v>
      </c>
      <c r="M330" s="512">
        <v>1.4999999999999999E-2</v>
      </c>
      <c r="N330" s="513" t="s">
        <v>175</v>
      </c>
      <c r="O330" s="514"/>
    </row>
    <row r="65735" spans="4:9" x14ac:dyDescent="0.15">
      <c r="D65735" s="9">
        <v>0.26</v>
      </c>
      <c r="E65735" s="9"/>
      <c r="F65735" s="9">
        <v>0</v>
      </c>
      <c r="G65735" s="9">
        <v>0</v>
      </c>
      <c r="H65735" s="10">
        <v>2.1000000000000001E-2</v>
      </c>
      <c r="I65735" s="10">
        <v>0.1065</v>
      </c>
    </row>
  </sheetData>
  <autoFilter ref="B2:I137" xr:uid="{00000000-0009-0000-0000-000000000000}">
    <sortState xmlns:xlrd2="http://schemas.microsoft.com/office/spreadsheetml/2017/richdata2" ref="B3:I137">
      <sortCondition ref="C3:C137"/>
    </sortState>
  </autoFilter>
  <sortState xmlns:xlrd2="http://schemas.microsoft.com/office/spreadsheetml/2017/richdata2" ref="B3:O220">
    <sortCondition ref="B3:B220"/>
  </sortState>
  <conditionalFormatting sqref="B2">
    <cfRule type="duplicateValues" dxfId="37" priority="161"/>
  </conditionalFormatting>
  <conditionalFormatting sqref="B3:B142 B144:B330">
    <cfRule type="duplicateValues" dxfId="36" priority="22"/>
  </conditionalFormatting>
  <conditionalFormatting sqref="B46">
    <cfRule type="duplicateValues" dxfId="35" priority="15"/>
  </conditionalFormatting>
  <conditionalFormatting sqref="B91:B94 B97:B106">
    <cfRule type="duplicateValues" dxfId="34" priority="14"/>
  </conditionalFormatting>
  <conditionalFormatting sqref="B95:B96">
    <cfRule type="duplicateValues" dxfId="33" priority="13"/>
  </conditionalFormatting>
  <conditionalFormatting sqref="B143">
    <cfRule type="duplicateValues" dxfId="32" priority="1"/>
    <cfRule type="duplicateValues" dxfId="31" priority="2"/>
  </conditionalFormatting>
  <conditionalFormatting sqref="B148:B151">
    <cfRule type="duplicateValues" dxfId="30" priority="16"/>
  </conditionalFormatting>
  <conditionalFormatting sqref="B152:B157 B115:B142 B144:B147">
    <cfRule type="duplicateValues" dxfId="29" priority="20"/>
  </conditionalFormatting>
  <conditionalFormatting sqref="B158 B3:B45 B107:B114 B47:B90 B255:B258 B249 B242 B172:B233">
    <cfRule type="duplicateValues" dxfId="28" priority="19"/>
  </conditionalFormatting>
  <conditionalFormatting sqref="B166:B168">
    <cfRule type="duplicateValues" dxfId="27" priority="21"/>
  </conditionalFormatting>
  <conditionalFormatting sqref="B169">
    <cfRule type="duplicateValues" dxfId="26" priority="17"/>
  </conditionalFormatting>
  <conditionalFormatting sqref="B170:B171 B159:B165">
    <cfRule type="duplicateValues" dxfId="25" priority="18"/>
  </conditionalFormatting>
  <conditionalFormatting sqref="B234:B241">
    <cfRule type="duplicateValues" dxfId="24" priority="9"/>
  </conditionalFormatting>
  <conditionalFormatting sqref="B243:B244">
    <cfRule type="duplicateValues" dxfId="23" priority="4"/>
    <cfRule type="duplicateValues" dxfId="22" priority="5"/>
  </conditionalFormatting>
  <conditionalFormatting sqref="B245:B248">
    <cfRule type="duplicateValues" dxfId="21" priority="12"/>
  </conditionalFormatting>
  <conditionalFormatting sqref="B250">
    <cfRule type="duplicateValues" dxfId="20" priority="10"/>
  </conditionalFormatting>
  <conditionalFormatting sqref="B251:B252 B254">
    <cfRule type="duplicateValues" dxfId="19" priority="6"/>
  </conditionalFormatting>
  <conditionalFormatting sqref="B253">
    <cfRule type="duplicateValues" dxfId="18" priority="3"/>
  </conditionalFormatting>
  <conditionalFormatting sqref="B258:B259">
    <cfRule type="duplicateValues" dxfId="17" priority="11"/>
  </conditionalFormatting>
  <conditionalFormatting sqref="B260">
    <cfRule type="duplicateValues" dxfId="16" priority="8"/>
  </conditionalFormatting>
  <conditionalFormatting sqref="B261:B270">
    <cfRule type="duplicateValues" dxfId="15" priority="7"/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063AE-7941-42DC-8D88-BE84CA33EA24}">
  <sheetPr codeName="Planilha6"/>
  <dimension ref="B6:K195"/>
  <sheetViews>
    <sheetView showGridLines="0" view="pageBreakPreview" topLeftCell="A37" zoomScale="85" zoomScaleNormal="85" zoomScaleSheetLayoutView="85" workbookViewId="0">
      <selection activeCell="E49" sqref="E49:F52"/>
    </sheetView>
  </sheetViews>
  <sheetFormatPr baseColWidth="10" defaultColWidth="9.1640625" defaultRowHeight="15" x14ac:dyDescent="0.2"/>
  <cols>
    <col min="1" max="1" width="9.1640625" style="11"/>
    <col min="2" max="2" width="58.83203125" style="4" bestFit="1" customWidth="1"/>
    <col min="3" max="3" width="13.5" style="189" customWidth="1"/>
    <col min="4" max="4" width="17.1640625" style="4" customWidth="1"/>
    <col min="5" max="5" width="18" style="143" bestFit="1" customWidth="1"/>
    <col min="6" max="6" width="15.6640625" style="231" bestFit="1" customWidth="1"/>
    <col min="7" max="7" width="12.83203125" style="11" bestFit="1" customWidth="1"/>
    <col min="8" max="8" width="10.5" style="11" bestFit="1" customWidth="1"/>
    <col min="9" max="10" width="9.1640625" style="11"/>
    <col min="11" max="11" width="11.5" style="11" bestFit="1" customWidth="1"/>
    <col min="12" max="16384" width="9.1640625" style="11"/>
  </cols>
  <sheetData>
    <row r="6" spans="2:9" ht="15" customHeight="1" x14ac:dyDescent="0.2">
      <c r="B6" s="615" t="str">
        <f ca="1">CONCATENATE("TABELA DE PREÇOS ",TEXT(TODAY(),"DD/MM/AA"))</f>
        <v>TABELA DE PREÇOS 28/05/26</v>
      </c>
      <c r="C6" s="615"/>
      <c r="D6" s="615"/>
      <c r="E6" s="615"/>
      <c r="F6" s="615"/>
      <c r="G6" s="144"/>
    </row>
    <row r="7" spans="2:9" ht="15" customHeight="1" x14ac:dyDescent="0.2">
      <c r="B7" s="615"/>
      <c r="C7" s="615"/>
      <c r="D7" s="615"/>
      <c r="E7" s="615"/>
      <c r="F7" s="615"/>
      <c r="G7" s="144"/>
    </row>
    <row r="8" spans="2:9" ht="15.75" customHeight="1" x14ac:dyDescent="0.2">
      <c r="B8" s="616" t="str">
        <f ca="1">CONCATENATE("VALIDADE ",TEXT(TODAY()+7,"DD/MM/AA"))</f>
        <v>VALIDADE 04/06/26</v>
      </c>
      <c r="C8" s="616"/>
      <c r="D8" s="616"/>
      <c r="E8" s="616"/>
      <c r="F8" s="616"/>
      <c r="G8" s="144"/>
    </row>
    <row r="9" spans="2:9" ht="16" thickBot="1" x14ac:dyDescent="0.25"/>
    <row r="10" spans="2:9" ht="33" thickBot="1" x14ac:dyDescent="0.25">
      <c r="B10" s="147" t="s">
        <v>122</v>
      </c>
      <c r="C10" s="147" t="s">
        <v>426</v>
      </c>
      <c r="D10" s="145" t="s">
        <v>427</v>
      </c>
      <c r="E10" s="146" t="s">
        <v>428</v>
      </c>
      <c r="F10" s="232" t="s">
        <v>429</v>
      </c>
      <c r="I10" s="125" t="s">
        <v>193</v>
      </c>
    </row>
    <row r="11" spans="2:9" ht="16" x14ac:dyDescent="0.2">
      <c r="B11" s="126" t="s">
        <v>173</v>
      </c>
      <c r="C11" s="126" t="s">
        <v>430</v>
      </c>
      <c r="D11" s="124" t="e">
        <f>VLOOKUP(B11,'TABELA MATRIZ MG'!$A$1:$N$329,14,FALSE)</f>
        <v>#N/A</v>
      </c>
      <c r="E11" s="191" t="e">
        <f>VLOOKUP(B11,'TABELA MATRIZ MG'!$A$2:$BY$329,66,FALSE)</f>
        <v>#N/A</v>
      </c>
      <c r="F11" s="233" t="e">
        <f>E11*'CALCULO GERAL'!$C$11</f>
        <v>#N/A</v>
      </c>
      <c r="I11" s="125" t="s">
        <v>195</v>
      </c>
    </row>
    <row r="12" spans="2:9" ht="16" x14ac:dyDescent="0.2">
      <c r="B12" s="126" t="s">
        <v>176</v>
      </c>
      <c r="C12" s="127" t="s">
        <v>430</v>
      </c>
      <c r="D12" s="124" t="e">
        <f>VLOOKUP(B12,'TABELA MATRIZ MG'!$A$1:$N$329,14,FALSE)</f>
        <v>#N/A</v>
      </c>
      <c r="E12" s="191" t="e">
        <f>VLOOKUP(B12,'TABELA MATRIZ MG'!$A$2:$BY$329,66,FALSE)</f>
        <v>#N/A</v>
      </c>
      <c r="F12" s="233" t="e">
        <f>E12*'CALCULO GERAL'!$C$11</f>
        <v>#N/A</v>
      </c>
      <c r="I12" s="125" t="s">
        <v>196</v>
      </c>
    </row>
    <row r="13" spans="2:9" ht="16" x14ac:dyDescent="0.2">
      <c r="B13" s="127" t="s">
        <v>177</v>
      </c>
      <c r="C13" s="127" t="s">
        <v>430</v>
      </c>
      <c r="D13" s="124" t="e">
        <f>VLOOKUP(B13,'TABELA MATRIZ MG'!$A$1:$N$329,14,FALSE)</f>
        <v>#N/A</v>
      </c>
      <c r="E13" s="191" t="e">
        <f>VLOOKUP(B13,'TABELA MATRIZ MG'!$A$2:$BY$329,66,FALSE)</f>
        <v>#N/A</v>
      </c>
      <c r="F13" s="233" t="e">
        <f>E13*'CALCULO GERAL'!$C$11</f>
        <v>#N/A</v>
      </c>
      <c r="I13" s="125" t="s">
        <v>197</v>
      </c>
    </row>
    <row r="14" spans="2:9" ht="16" x14ac:dyDescent="0.2">
      <c r="B14" s="127" t="s">
        <v>178</v>
      </c>
      <c r="C14" s="127" t="s">
        <v>431</v>
      </c>
      <c r="D14" s="124" t="e">
        <f>VLOOKUP(B14,'TABELA MATRIZ MG'!$A$1:$N$329,14,FALSE)</f>
        <v>#N/A</v>
      </c>
      <c r="E14" s="191" t="e">
        <f>VLOOKUP(B14,'TABELA MATRIZ MG'!$A$2:$BY$329,66,FALSE)</f>
        <v>#N/A</v>
      </c>
      <c r="F14" s="233" t="e">
        <f>E14*'CALCULO GERAL'!$C$11</f>
        <v>#N/A</v>
      </c>
    </row>
    <row r="15" spans="2:9" ht="16" x14ac:dyDescent="0.2">
      <c r="B15" s="127" t="s">
        <v>179</v>
      </c>
      <c r="C15" s="127"/>
      <c r="D15" s="124" t="e">
        <f>VLOOKUP(B15,'TABELA MATRIZ MG'!$A$1:$N$329,14,FALSE)</f>
        <v>#N/A</v>
      </c>
      <c r="E15" s="191" t="e">
        <f>VLOOKUP(B15,'TABELA MATRIZ MG'!$A$2:$BY$329,66,FALSE)</f>
        <v>#N/A</v>
      </c>
      <c r="F15" s="233" t="e">
        <f>E15*'CALCULO GERAL'!$C$11</f>
        <v>#N/A</v>
      </c>
    </row>
    <row r="16" spans="2:9" ht="16" x14ac:dyDescent="0.2">
      <c r="B16" s="126" t="s">
        <v>180</v>
      </c>
      <c r="C16" s="127"/>
      <c r="D16" s="124" t="e">
        <f>VLOOKUP(B16,'TABELA MATRIZ MG'!$A$1:$N$329,14,FALSE)</f>
        <v>#N/A</v>
      </c>
      <c r="E16" s="191" t="e">
        <f>VLOOKUP(B16,'TABELA MATRIZ MG'!$A$2:$BY$329,66,FALSE)</f>
        <v>#N/A</v>
      </c>
      <c r="F16" s="233" t="e">
        <f>E16*'CALCULO GERAL'!$C$11</f>
        <v>#N/A</v>
      </c>
    </row>
    <row r="17" spans="2:6" ht="16" x14ac:dyDescent="0.2">
      <c r="B17" s="127" t="s">
        <v>181</v>
      </c>
      <c r="C17" s="127"/>
      <c r="D17" s="124" t="e">
        <f>VLOOKUP(B17,'TABELA MATRIZ MG'!$A$1:$N$329,14,FALSE)</f>
        <v>#N/A</v>
      </c>
      <c r="E17" s="191" t="e">
        <f>VLOOKUP(B17,'TABELA MATRIZ MG'!$A$2:$BY$329,66,FALSE)</f>
        <v>#N/A</v>
      </c>
      <c r="F17" s="233" t="e">
        <f>E17*'CALCULO GERAL'!$C$11</f>
        <v>#N/A</v>
      </c>
    </row>
    <row r="18" spans="2:6" ht="16" x14ac:dyDescent="0.2">
      <c r="B18" s="127" t="s">
        <v>182</v>
      </c>
      <c r="C18" s="127"/>
      <c r="D18" s="124" t="e">
        <f>VLOOKUP(B18,'TABELA MATRIZ MG'!$A$1:$N$329,14,FALSE)</f>
        <v>#N/A</v>
      </c>
      <c r="E18" s="191" t="e">
        <f>VLOOKUP(B18,'TABELA MATRIZ MG'!$A$2:$BY$329,66,FALSE)</f>
        <v>#N/A</v>
      </c>
      <c r="F18" s="233" t="e">
        <f>E18*'CALCULO GERAL'!$C$11</f>
        <v>#N/A</v>
      </c>
    </row>
    <row r="19" spans="2:6" ht="16" x14ac:dyDescent="0.2">
      <c r="B19" s="127" t="s">
        <v>183</v>
      </c>
      <c r="C19" s="127"/>
      <c r="D19" s="124" t="e">
        <f>VLOOKUP(B19,'TABELA MATRIZ MG'!$A$1:$N$329,14,FALSE)</f>
        <v>#N/A</v>
      </c>
      <c r="E19" s="191" t="e">
        <f>VLOOKUP(B19,'TABELA MATRIZ MG'!$A$2:$BY$329,66,FALSE)</f>
        <v>#N/A</v>
      </c>
      <c r="F19" s="233" t="e">
        <f>E19*'CALCULO GERAL'!$C$11</f>
        <v>#N/A</v>
      </c>
    </row>
    <row r="20" spans="2:6" ht="16" x14ac:dyDescent="0.2">
      <c r="B20" s="126" t="s">
        <v>184</v>
      </c>
      <c r="C20" s="127"/>
      <c r="D20" s="124" t="e">
        <f>VLOOKUP(B20,'TABELA MATRIZ MG'!$A$1:$N$329,14,FALSE)</f>
        <v>#N/A</v>
      </c>
      <c r="E20" s="191" t="e">
        <f>VLOOKUP(B20,'TABELA MATRIZ MG'!$A$2:$BY$329,66,FALSE)</f>
        <v>#N/A</v>
      </c>
      <c r="F20" s="233" t="e">
        <f>E20*'CALCULO GERAL'!$C$11</f>
        <v>#N/A</v>
      </c>
    </row>
    <row r="21" spans="2:6" ht="16" x14ac:dyDescent="0.2">
      <c r="B21" s="127" t="s">
        <v>185</v>
      </c>
      <c r="C21" s="127"/>
      <c r="D21" s="124" t="e">
        <f>VLOOKUP(B21,'TABELA MATRIZ MG'!$A$1:$N$329,14,FALSE)</f>
        <v>#N/A</v>
      </c>
      <c r="E21" s="191" t="e">
        <f>VLOOKUP(B21,'TABELA MATRIZ MG'!$A$2:$BY$329,66,FALSE)</f>
        <v>#N/A</v>
      </c>
      <c r="F21" s="233" t="e">
        <f>E21*'CALCULO GERAL'!$C$11</f>
        <v>#N/A</v>
      </c>
    </row>
    <row r="22" spans="2:6" ht="16" x14ac:dyDescent="0.2">
      <c r="B22" s="127" t="s">
        <v>186</v>
      </c>
      <c r="C22" s="127"/>
      <c r="D22" s="124" t="e">
        <f>VLOOKUP(B22,'TABELA MATRIZ MG'!$A$1:$N$329,14,FALSE)</f>
        <v>#N/A</v>
      </c>
      <c r="E22" s="191" t="e">
        <f>VLOOKUP(B22,'TABELA MATRIZ MG'!$A$2:$BY$329,66,FALSE)</f>
        <v>#N/A</v>
      </c>
      <c r="F22" s="233" t="e">
        <f>E22*'CALCULO GERAL'!$C$11</f>
        <v>#N/A</v>
      </c>
    </row>
    <row r="23" spans="2:6" ht="16" x14ac:dyDescent="0.2">
      <c r="B23" s="127" t="s">
        <v>187</v>
      </c>
      <c r="C23" s="127"/>
      <c r="D23" s="124">
        <f>VLOOKUP(B23,'TABELA MATRIZ MG'!$A$1:$N$329,14,FALSE)</f>
        <v>24000</v>
      </c>
      <c r="E23" s="191">
        <f>VLOOKUP(B23,'TABELA MATRIZ MG'!$A$2:$BY$329,66,FALSE)</f>
        <v>13.23</v>
      </c>
      <c r="F23" s="233">
        <f>E23*'CALCULO GERAL'!$C$11</f>
        <v>66.40137</v>
      </c>
    </row>
    <row r="24" spans="2:6" ht="16" x14ac:dyDescent="0.2">
      <c r="B24" s="127" t="s">
        <v>189</v>
      </c>
      <c r="C24" s="127" t="s">
        <v>432</v>
      </c>
      <c r="D24" s="124">
        <f>VLOOKUP(B24,'TABELA MATRIZ MG'!$A$1:$N$329,14,FALSE)</f>
        <v>24000</v>
      </c>
      <c r="E24" s="191">
        <f>VLOOKUP(B24,'TABELA MATRIZ MG'!$A$2:$BY$329,66,FALSE)</f>
        <v>2.0699999999999998</v>
      </c>
      <c r="F24" s="233">
        <f>E24*'CALCULO GERAL'!$C$11</f>
        <v>10.389329999999999</v>
      </c>
    </row>
    <row r="25" spans="2:6" ht="16" x14ac:dyDescent="0.2">
      <c r="B25" s="127" t="s">
        <v>191</v>
      </c>
      <c r="C25" s="127" t="s">
        <v>433</v>
      </c>
      <c r="D25" s="124">
        <f>VLOOKUP(B25,'TABELA MATRIZ MG'!$A$1:$N$329,14,FALSE)</f>
        <v>22000</v>
      </c>
      <c r="E25" s="191">
        <f>VLOOKUP(B25,'TABELA MATRIZ MG'!$A$2:$BY$329,66,FALSE)</f>
        <v>2.72</v>
      </c>
      <c r="F25" s="233">
        <f>E25*'CALCULO GERAL'!$C$11</f>
        <v>13.651680000000001</v>
      </c>
    </row>
    <row r="26" spans="2:6" ht="16" x14ac:dyDescent="0.2">
      <c r="B26" s="127" t="s">
        <v>193</v>
      </c>
      <c r="C26" s="127" t="s">
        <v>433</v>
      </c>
      <c r="D26" s="124">
        <f>VLOOKUP(B26,'TABELA MATRIZ MG'!$A$1:$N$329,14,FALSE)</f>
        <v>16000</v>
      </c>
      <c r="E26" s="191">
        <f>VLOOKUP(B26,'TABELA MATRIZ MG'!$A$2:$BY$329,66,FALSE)</f>
        <v>7.58</v>
      </c>
      <c r="F26" s="233">
        <f>E26*'CALCULO GERAL'!$C$11</f>
        <v>38.044020000000003</v>
      </c>
    </row>
    <row r="27" spans="2:6" ht="16" x14ac:dyDescent="0.2">
      <c r="B27" s="127" t="s">
        <v>195</v>
      </c>
      <c r="C27" s="127" t="s">
        <v>433</v>
      </c>
      <c r="D27" s="124">
        <f>VLOOKUP(B27,'TABELA MATRIZ MG'!$A$1:$N$329,14,FALSE)</f>
        <v>16000</v>
      </c>
      <c r="E27" s="191">
        <f>VLOOKUP(B27,'TABELA MATRIZ MG'!$A$2:$BY$329,66,FALSE)</f>
        <v>8.41</v>
      </c>
      <c r="F27" s="233">
        <f>E27*'CALCULO GERAL'!$C$11</f>
        <v>42.209790000000005</v>
      </c>
    </row>
    <row r="28" spans="2:6" ht="16" x14ac:dyDescent="0.2">
      <c r="B28" s="127" t="s">
        <v>196</v>
      </c>
      <c r="C28" s="127" t="s">
        <v>433</v>
      </c>
      <c r="D28" s="124">
        <f>VLOOKUP(B28,'TABELA MATRIZ MG'!$A$1:$N$329,14,FALSE)</f>
        <v>16000</v>
      </c>
      <c r="E28" s="191">
        <f>VLOOKUP(B28,'TABELA MATRIZ MG'!$A$2:$BY$329,66,FALSE)</f>
        <v>9.2799999999999994</v>
      </c>
      <c r="F28" s="233">
        <f>E28*'CALCULO GERAL'!$C$11</f>
        <v>46.576319999999996</v>
      </c>
    </row>
    <row r="29" spans="2:6" ht="16" x14ac:dyDescent="0.2">
      <c r="B29" s="127" t="s">
        <v>197</v>
      </c>
      <c r="C29" s="127" t="s">
        <v>434</v>
      </c>
      <c r="D29" s="124">
        <f>VLOOKUP(B29,'TABELA MATRIZ MG'!$A$1:$N$329,14,FALSE)</f>
        <v>16000</v>
      </c>
      <c r="E29" s="191">
        <f>VLOOKUP(B29,'TABELA MATRIZ MG'!$A$2:$BY$329,66,FALSE)</f>
        <v>10.47</v>
      </c>
      <c r="F29" s="233">
        <f>E29*'CALCULO GERAL'!$C$11</f>
        <v>52.548930000000006</v>
      </c>
    </row>
    <row r="30" spans="2:6" ht="16" x14ac:dyDescent="0.2">
      <c r="B30" s="127" t="s">
        <v>198</v>
      </c>
      <c r="C30" s="127" t="s">
        <v>434</v>
      </c>
      <c r="D30" s="124">
        <f>VLOOKUP(B30,'TABELA MATRIZ MG'!$A$1:$N$329,14,FALSE)</f>
        <v>10500</v>
      </c>
      <c r="E30" s="191">
        <f>VLOOKUP(B30,'TABELA MATRIZ MG'!$A$2:$BY$329,66,FALSE)</f>
        <v>7.25</v>
      </c>
      <c r="F30" s="233">
        <f>E30*'CALCULO GERAL'!$C$11</f>
        <v>36.387750000000004</v>
      </c>
    </row>
    <row r="31" spans="2:6" ht="16" x14ac:dyDescent="0.2">
      <c r="B31" s="127" t="s">
        <v>199</v>
      </c>
      <c r="C31" s="127" t="s">
        <v>434</v>
      </c>
      <c r="D31" s="124">
        <f>VLOOKUP(B31,'TABELA MATRIZ MG'!$A$1:$N$329,14,FALSE)</f>
        <v>10500</v>
      </c>
      <c r="E31" s="191">
        <f>VLOOKUP(B31,'TABELA MATRIZ MG'!$A$2:$BY$329,66,FALSE)</f>
        <v>8.56</v>
      </c>
      <c r="F31" s="233">
        <f>E31*'CALCULO GERAL'!$C$11</f>
        <v>42.96264</v>
      </c>
    </row>
    <row r="32" spans="2:6" ht="16" x14ac:dyDescent="0.2">
      <c r="B32" s="127" t="s">
        <v>200</v>
      </c>
      <c r="C32" s="127" t="s">
        <v>432</v>
      </c>
      <c r="D32" s="124">
        <f>VLOOKUP(B32,'TABELA MATRIZ MG'!$A$1:$N$329,14,FALSE)</f>
        <v>8500</v>
      </c>
      <c r="E32" s="191">
        <f>VLOOKUP(B32,'TABELA MATRIZ MG'!$A$2:$BY$329,66,FALSE)</f>
        <v>9.6199999999999992</v>
      </c>
      <c r="F32" s="233">
        <f>E32*'CALCULO GERAL'!$C$11</f>
        <v>48.282779999999995</v>
      </c>
    </row>
    <row r="33" spans="2:11" ht="16" x14ac:dyDescent="0.2">
      <c r="B33" s="127" t="s">
        <v>201</v>
      </c>
      <c r="C33" s="127" t="s">
        <v>433</v>
      </c>
      <c r="D33" s="124">
        <f>VLOOKUP(B33,'TABELA MATRIZ MG'!$A$1:$N$329,14,FALSE)</f>
        <v>7000</v>
      </c>
      <c r="E33" s="191">
        <f>VLOOKUP(B33,'TABELA MATRIZ MG'!$A$2:$BY$329,66,FALSE)</f>
        <v>10.69</v>
      </c>
      <c r="F33" s="233">
        <f>E33*'CALCULO GERAL'!$C$11</f>
        <v>53.653109999999998</v>
      </c>
    </row>
    <row r="34" spans="2:11" ht="16" x14ac:dyDescent="0.2">
      <c r="B34" s="127" t="s">
        <v>202</v>
      </c>
      <c r="C34" s="127" t="s">
        <v>433</v>
      </c>
      <c r="D34" s="124">
        <f>VLOOKUP(B34,'TABELA MATRIZ MG'!$A$1:$N$329,14,FALSE)</f>
        <v>7000</v>
      </c>
      <c r="E34" s="191">
        <f>VLOOKUP(B34,'TABELA MATRIZ MG'!$A$2:$BY$329,66,FALSE)</f>
        <v>9.44</v>
      </c>
      <c r="F34" s="233">
        <f>E34*'CALCULO GERAL'!$C$11</f>
        <v>47.379359999999998</v>
      </c>
    </row>
    <row r="35" spans="2:11" ht="16" x14ac:dyDescent="0.2">
      <c r="B35" s="127" t="s">
        <v>203</v>
      </c>
      <c r="C35" s="127" t="s">
        <v>433</v>
      </c>
      <c r="D35" s="124">
        <f>VLOOKUP(B35,'TABELA MATRIZ MG'!$A$1:$N$329,14,FALSE)</f>
        <v>7000</v>
      </c>
      <c r="E35" s="191">
        <f>VLOOKUP(B35,'TABELA MATRIZ MG'!$A$2:$BY$329,66,FALSE)</f>
        <v>10.34</v>
      </c>
      <c r="F35" s="233">
        <f>E35*'CALCULO GERAL'!$C$11</f>
        <v>51.896459999999998</v>
      </c>
    </row>
    <row r="36" spans="2:11" ht="16" x14ac:dyDescent="0.2">
      <c r="B36" s="127" t="s">
        <v>204</v>
      </c>
      <c r="C36" s="127" t="s">
        <v>433</v>
      </c>
      <c r="D36" s="124">
        <f>VLOOKUP(B36,'TABELA MATRIZ MG'!$A$1:$N$329,14,FALSE)</f>
        <v>7000</v>
      </c>
      <c r="E36" s="191">
        <f>VLOOKUP(B36,'TABELA MATRIZ MG'!$A$2:$BY$329,66,FALSE)</f>
        <v>11.27</v>
      </c>
      <c r="F36" s="233">
        <f>E36*'CALCULO GERAL'!$C$11</f>
        <v>56.564129999999999</v>
      </c>
    </row>
    <row r="37" spans="2:11" ht="16" x14ac:dyDescent="0.2">
      <c r="B37" s="127" t="s">
        <v>205</v>
      </c>
      <c r="C37" s="127" t="s">
        <v>434</v>
      </c>
      <c r="D37" s="124">
        <f>VLOOKUP(B37,'TABELA MATRIZ MG'!$A$1:$N$329,14,FALSE)</f>
        <v>7000</v>
      </c>
      <c r="E37" s="191">
        <f>VLOOKUP(B37,'TABELA MATRIZ MG'!$A$2:$BY$329,66,FALSE)</f>
        <v>12.53</v>
      </c>
      <c r="F37" s="233">
        <f>E37*'CALCULO GERAL'!$C$11</f>
        <v>62.888069999999999</v>
      </c>
    </row>
    <row r="38" spans="2:11" ht="16" x14ac:dyDescent="0.2">
      <c r="B38" s="127" t="s">
        <v>206</v>
      </c>
      <c r="C38" s="127" t="s">
        <v>434</v>
      </c>
      <c r="D38" s="124">
        <f>VLOOKUP(B38,'TABELA MATRIZ MG'!$A$1:$N$329,14,FALSE)</f>
        <v>16000</v>
      </c>
      <c r="E38" s="191">
        <f>VLOOKUP(B38,'TABELA MATRIZ MG'!$A$2:$BY$329,66,FALSE)</f>
        <v>8.36</v>
      </c>
      <c r="F38" s="233">
        <f>E38*'CALCULO GERAL'!$C$11</f>
        <v>41.958839999999995</v>
      </c>
      <c r="I38" s="11">
        <v>0.98</v>
      </c>
      <c r="J38" s="11">
        <v>4.8499999999999996</v>
      </c>
      <c r="K38" s="11">
        <f>I38*J38</f>
        <v>4.7529999999999992</v>
      </c>
    </row>
    <row r="39" spans="2:11" ht="16" x14ac:dyDescent="0.2">
      <c r="B39" s="127" t="s">
        <v>207</v>
      </c>
      <c r="C39" s="127" t="s">
        <v>434</v>
      </c>
      <c r="D39" s="124">
        <f>VLOOKUP(B39,'TABELA MATRIZ MG'!$A$1:$N$329,14,FALSE)</f>
        <v>14500</v>
      </c>
      <c r="E39" s="191">
        <f>VLOOKUP(B39,'TABELA MATRIZ MG'!$A$2:$BY$329,66,FALSE)</f>
        <v>11.1</v>
      </c>
      <c r="F39" s="233">
        <f>E39*'CALCULO GERAL'!$C$11</f>
        <v>55.710900000000002</v>
      </c>
      <c r="I39" s="11">
        <v>1.08</v>
      </c>
      <c r="J39" s="11">
        <v>4.8499999999999996</v>
      </c>
      <c r="K39" s="11">
        <f>I39*J39</f>
        <v>5.2379999999999995</v>
      </c>
    </row>
    <row r="40" spans="2:11" ht="16" x14ac:dyDescent="0.2">
      <c r="B40" s="127" t="s">
        <v>208</v>
      </c>
      <c r="C40" s="127" t="s">
        <v>433</v>
      </c>
      <c r="D40" s="124">
        <f>VLOOKUP(B40,'TABELA MATRIZ MG'!$A$1:$N$329,14,FALSE)</f>
        <v>12500</v>
      </c>
      <c r="E40" s="191">
        <f>VLOOKUP(B40,'TABELA MATRIZ MG'!$A$2:$BY$329,66,FALSE)</f>
        <v>12.37</v>
      </c>
      <c r="F40" s="233">
        <f>E40*'CALCULO GERAL'!$C$11</f>
        <v>62.085029999999996</v>
      </c>
    </row>
    <row r="41" spans="2:11" ht="16" x14ac:dyDescent="0.2">
      <c r="B41" s="127" t="s">
        <v>209</v>
      </c>
      <c r="C41" s="127" t="s">
        <v>434</v>
      </c>
      <c r="D41" s="124">
        <f>VLOOKUP(B41,'TABELA MATRIZ MG'!$A$1:$N$329,14,FALSE)</f>
        <v>10500</v>
      </c>
      <c r="E41" s="191">
        <f>VLOOKUP(B41,'TABELA MATRIZ MG'!$A$2:$BY$329,66,FALSE)</f>
        <v>14.1</v>
      </c>
      <c r="F41" s="233">
        <f>E41*'CALCULO GERAL'!$C$11</f>
        <v>70.767899999999997</v>
      </c>
    </row>
    <row r="42" spans="2:11" ht="16" x14ac:dyDescent="0.2">
      <c r="B42" s="127" t="s">
        <v>210</v>
      </c>
      <c r="C42" s="127" t="s">
        <v>434</v>
      </c>
      <c r="D42" s="124" t="e">
        <f>VLOOKUP(B42,'TABELA MATRIZ MG'!$A$1:$N$329,14,FALSE)</f>
        <v>#N/A</v>
      </c>
      <c r="E42" s="191" t="e">
        <f>VLOOKUP(B42,'TABELA MATRIZ MG'!$A$2:$BY$329,66,FALSE)</f>
        <v>#N/A</v>
      </c>
      <c r="F42" s="233" t="e">
        <f>E42*'CALCULO GERAL'!$C$11</f>
        <v>#N/A</v>
      </c>
    </row>
    <row r="43" spans="2:11" ht="16" x14ac:dyDescent="0.2">
      <c r="B43" s="127" t="s">
        <v>212</v>
      </c>
      <c r="C43" s="127" t="s">
        <v>434</v>
      </c>
      <c r="D43" s="124" t="e">
        <f>VLOOKUP(B43,'TABELA MATRIZ MG'!$A$1:$N$329,14,FALSE)</f>
        <v>#N/A</v>
      </c>
      <c r="E43" s="191" t="e">
        <f>VLOOKUP(B43,'TABELA MATRIZ MG'!$A$2:$BY$329,66,FALSE)</f>
        <v>#N/A</v>
      </c>
      <c r="F43" s="233" t="e">
        <f>E43*'CALCULO GERAL'!$C$11</f>
        <v>#N/A</v>
      </c>
    </row>
    <row r="44" spans="2:11" ht="16" x14ac:dyDescent="0.2">
      <c r="B44" s="127" t="s">
        <v>213</v>
      </c>
      <c r="C44" s="127" t="s">
        <v>435</v>
      </c>
      <c r="D44" s="124" t="e">
        <f>VLOOKUP(B44,'TABELA MATRIZ MG'!$A$1:$N$329,14,FALSE)</f>
        <v>#N/A</v>
      </c>
      <c r="E44" s="191" t="e">
        <f>VLOOKUP(B44,'TABELA MATRIZ MG'!$A$2:$BY$329,66,FALSE)</f>
        <v>#N/A</v>
      </c>
      <c r="F44" s="233" t="e">
        <f>E44*'CALCULO GERAL'!$C$11</f>
        <v>#N/A</v>
      </c>
    </row>
    <row r="45" spans="2:11" ht="16" x14ac:dyDescent="0.2">
      <c r="B45" s="127" t="s">
        <v>214</v>
      </c>
      <c r="C45" s="127" t="s">
        <v>435</v>
      </c>
      <c r="D45" s="124" t="e">
        <f>VLOOKUP(B45,'TABELA MATRIZ MG'!$A$1:$N$329,14,FALSE)</f>
        <v>#N/A</v>
      </c>
      <c r="E45" s="191" t="e">
        <f>VLOOKUP(B45,'TABELA MATRIZ MG'!$A$2:$BY$329,66,FALSE)</f>
        <v>#N/A</v>
      </c>
      <c r="F45" s="233" t="e">
        <f>E45*'CALCULO GERAL'!$C$11</f>
        <v>#N/A</v>
      </c>
    </row>
    <row r="46" spans="2:11" ht="16" x14ac:dyDescent="0.2">
      <c r="B46" s="127" t="s">
        <v>216</v>
      </c>
      <c r="C46" s="127" t="s">
        <v>435</v>
      </c>
      <c r="D46" s="124">
        <f>VLOOKUP(B46,'TABELA MATRIZ MG'!$A$1:$N$329,14,FALSE)</f>
        <v>3840</v>
      </c>
      <c r="E46" s="191">
        <f>VLOOKUP(B46,'TABELA MATRIZ MG'!$A$2:$BY$329,66,FALSE)</f>
        <v>36.5</v>
      </c>
      <c r="F46" s="233">
        <f>E46*'CALCULO GERAL'!$C$11</f>
        <v>183.1935</v>
      </c>
    </row>
    <row r="47" spans="2:11" ht="16" x14ac:dyDescent="0.2">
      <c r="B47" s="127" t="s">
        <v>217</v>
      </c>
      <c r="C47" s="127" t="s">
        <v>436</v>
      </c>
      <c r="D47" s="124">
        <f>VLOOKUP(B47,'TABELA MATRIZ MG'!$A$1:$N$329,14,FALSE)</f>
        <v>2944</v>
      </c>
      <c r="E47" s="191">
        <f>VLOOKUP(B47,'TABELA MATRIZ MG'!$A$2:$BY$329,66,FALSE)</f>
        <v>42.3</v>
      </c>
      <c r="F47" s="233">
        <f>E47*'CALCULO GERAL'!$C$11</f>
        <v>212.30369999999999</v>
      </c>
    </row>
    <row r="48" spans="2:11" ht="16" x14ac:dyDescent="0.2">
      <c r="B48" s="127" t="s">
        <v>218</v>
      </c>
      <c r="C48" s="127" t="s">
        <v>436</v>
      </c>
      <c r="D48" s="124">
        <f>VLOOKUP(B48,'TABELA MATRIZ MG'!$A$1:$N$329,14,FALSE)</f>
        <v>1920</v>
      </c>
      <c r="E48" s="191">
        <f>VLOOKUP(B48,'TABELA MATRIZ MG'!$A$2:$BY$329,66,FALSE)</f>
        <v>50.67</v>
      </c>
      <c r="F48" s="233">
        <f>E48*'CALCULO GERAL'!$C$11</f>
        <v>254.31273000000002</v>
      </c>
    </row>
    <row r="49" spans="2:9" ht="16" x14ac:dyDescent="0.2">
      <c r="B49" s="127" t="s">
        <v>219</v>
      </c>
      <c r="C49" s="127" t="s">
        <v>436</v>
      </c>
      <c r="D49" s="124">
        <f>VLOOKUP(B49,'TABELA MATRIZ MG'!$A$1:$N$329,14,FALSE)</f>
        <v>4600</v>
      </c>
      <c r="E49" s="191">
        <f>VLOOKUP(B49,'TABELA MATRIZ MG'!$A$2:$BY$329,66,FALSE)</f>
        <v>9.56</v>
      </c>
      <c r="F49" s="233">
        <f>E49*'CALCULO GERAL'!$C$11</f>
        <v>47.981640000000006</v>
      </c>
    </row>
    <row r="50" spans="2:9" ht="16" x14ac:dyDescent="0.2">
      <c r="B50" s="127" t="s">
        <v>220</v>
      </c>
      <c r="C50" s="127" t="s">
        <v>436</v>
      </c>
      <c r="D50" s="124">
        <f>VLOOKUP(B50,'TABELA MATRIZ MG'!$A$1:$N$329,14,FALSE)</f>
        <v>3840</v>
      </c>
      <c r="E50" s="191">
        <f>VLOOKUP(B50,'TABELA MATRIZ MG'!$A$2:$BY$329,66,FALSE)</f>
        <v>12.62</v>
      </c>
      <c r="F50" s="233">
        <f>E50*'CALCULO GERAL'!$C$11</f>
        <v>63.339779999999998</v>
      </c>
    </row>
    <row r="51" spans="2:9" ht="16" x14ac:dyDescent="0.2">
      <c r="B51" s="127" t="s">
        <v>221</v>
      </c>
      <c r="C51" s="127"/>
      <c r="D51" s="124">
        <f>VLOOKUP(B51,'TABELA MATRIZ MG'!$A$1:$N$329,14,FALSE)</f>
        <v>2944</v>
      </c>
      <c r="E51" s="191">
        <f>VLOOKUP(B51,'TABELA MATRIZ MG'!$A$2:$BY$329,66,FALSE)</f>
        <v>15.28</v>
      </c>
      <c r="F51" s="233">
        <f>E51*'CALCULO GERAL'!$C$11</f>
        <v>76.69032</v>
      </c>
    </row>
    <row r="52" spans="2:9" ht="16" x14ac:dyDescent="0.2">
      <c r="B52" s="127" t="s">
        <v>222</v>
      </c>
      <c r="C52" s="127" t="s">
        <v>437</v>
      </c>
      <c r="D52" s="124">
        <f>VLOOKUP(B52,'TABELA MATRIZ MG'!$A$1:$N$329,14,FALSE)</f>
        <v>1920</v>
      </c>
      <c r="E52" s="191">
        <f>VLOOKUP(B52,'TABELA MATRIZ MG'!$A$2:$BY$329,66,FALSE)</f>
        <v>19.89</v>
      </c>
      <c r="F52" s="233">
        <f>E52*'CALCULO GERAL'!$C$11</f>
        <v>99.827910000000003</v>
      </c>
    </row>
    <row r="53" spans="2:9" ht="16" x14ac:dyDescent="0.2">
      <c r="B53" s="127" t="s">
        <v>223</v>
      </c>
      <c r="C53" s="127" t="s">
        <v>438</v>
      </c>
      <c r="D53" s="124" t="e">
        <f>VLOOKUP(B53,'TABELA MATRIZ MG'!$A$1:$N$329,14,FALSE)</f>
        <v>#N/A</v>
      </c>
      <c r="E53" s="191" t="e">
        <f>VLOOKUP(B53,'TABELA MATRIZ MG'!$A$2:$BY$329,66,FALSE)</f>
        <v>#N/A</v>
      </c>
      <c r="F53" s="233" t="e">
        <f>E53*'CALCULO GERAL'!$C$11</f>
        <v>#N/A</v>
      </c>
    </row>
    <row r="54" spans="2:9" ht="16" x14ac:dyDescent="0.2">
      <c r="B54" s="127" t="s">
        <v>224</v>
      </c>
      <c r="C54" s="127" t="s">
        <v>437</v>
      </c>
      <c r="D54" s="124">
        <f>VLOOKUP(B54,'TABELA MATRIZ MG'!$A$1:$N$329,14,FALSE)</f>
        <v>49500</v>
      </c>
      <c r="E54" s="191">
        <f>VLOOKUP(B54,'TABELA MATRIZ MG'!$A$2:$BY$329,66,FALSE)</f>
        <v>1.93</v>
      </c>
      <c r="F54" s="233">
        <f>E54*'CALCULO GERAL'!$C$11</f>
        <v>9.6866699999999994</v>
      </c>
    </row>
    <row r="55" spans="2:9" ht="16" x14ac:dyDescent="0.2">
      <c r="B55" s="127" t="s">
        <v>226</v>
      </c>
      <c r="C55" s="127" t="s">
        <v>437</v>
      </c>
      <c r="D55" s="124">
        <f>VLOOKUP(B55,'TABELA MATRIZ MG'!$A$1:$N$329,14,FALSE)</f>
        <v>60000</v>
      </c>
      <c r="E55" s="191">
        <f>VLOOKUP(B55,'TABELA MATRIZ MG'!$A$2:$BY$329,66,FALSE)</f>
        <v>1.36</v>
      </c>
      <c r="F55" s="233">
        <f>E55*'CALCULO GERAL'!$C$11</f>
        <v>6.8258400000000004</v>
      </c>
    </row>
    <row r="56" spans="2:9" ht="16" x14ac:dyDescent="0.2">
      <c r="B56" s="127" t="s">
        <v>229</v>
      </c>
      <c r="C56" s="127" t="s">
        <v>437</v>
      </c>
      <c r="D56" s="124">
        <f>VLOOKUP(B56,'TABELA MATRIZ MG'!$A$1:$N$329,14,FALSE)</f>
        <v>18000</v>
      </c>
      <c r="E56" s="191">
        <f>VLOOKUP(B56,'TABELA MATRIZ MG'!$A$2:$BY$329,66,FALSE)</f>
        <v>4.5999999999999996</v>
      </c>
      <c r="F56" s="233">
        <f>E56*'CALCULO GERAL'!$C$11</f>
        <v>23.087399999999999</v>
      </c>
    </row>
    <row r="57" spans="2:9" ht="16" x14ac:dyDescent="0.2">
      <c r="B57" s="127" t="s">
        <v>231</v>
      </c>
      <c r="C57" s="127" t="s">
        <v>437</v>
      </c>
      <c r="D57" s="124">
        <f>VLOOKUP(B57,'TABELA MATRIZ MG'!$A$1:$N$329,14,FALSE)</f>
        <v>18000</v>
      </c>
      <c r="E57" s="191">
        <f>VLOOKUP(B57,'TABELA MATRIZ MG'!$A$2:$BY$329,66,FALSE)</f>
        <v>4.6500000000000004</v>
      </c>
      <c r="F57" s="233">
        <f>E57*'CALCULO GERAL'!$C$11</f>
        <v>23.338350000000002</v>
      </c>
    </row>
    <row r="58" spans="2:9" ht="16" x14ac:dyDescent="0.2">
      <c r="B58" s="127" t="s">
        <v>232</v>
      </c>
      <c r="C58" s="127" t="s">
        <v>437</v>
      </c>
      <c r="D58" s="124">
        <f>VLOOKUP(B58,'TABELA MATRIZ MG'!$A$1:$N$329,14,FALSE)</f>
        <v>27200</v>
      </c>
      <c r="E58" s="191">
        <f>VLOOKUP(B58,'TABELA MATRIZ MG'!$A$2:$BY$329,66,FALSE)</f>
        <v>3.86</v>
      </c>
      <c r="F58" s="233">
        <f>E58*'CALCULO GERAL'!$C$11</f>
        <v>19.373339999999999</v>
      </c>
    </row>
    <row r="59" spans="2:9" ht="16" x14ac:dyDescent="0.2">
      <c r="B59" s="127" t="s">
        <v>233</v>
      </c>
      <c r="C59" s="127" t="s">
        <v>437</v>
      </c>
      <c r="D59" s="124">
        <f>VLOOKUP(B59,'TABELA MATRIZ MG'!$A$1:$N$329,14,FALSE)</f>
        <v>25822</v>
      </c>
      <c r="E59" s="191">
        <f>VLOOKUP(B59,'TABELA MATRIZ MG'!$A$2:$BY$329,66,FALSE)</f>
        <v>6.37</v>
      </c>
      <c r="F59" s="233">
        <f>E59*'CALCULO GERAL'!$C$11</f>
        <v>31.971030000000003</v>
      </c>
    </row>
    <row r="60" spans="2:9" ht="16" x14ac:dyDescent="0.2">
      <c r="B60" s="127" t="s">
        <v>235</v>
      </c>
      <c r="C60" s="127" t="s">
        <v>437</v>
      </c>
      <c r="D60" s="124">
        <f>VLOOKUP(B60,'TABELA MATRIZ MG'!$A$1:$N$329,14,FALSE)</f>
        <v>59000</v>
      </c>
      <c r="E60" s="191">
        <f>VLOOKUP(B60,'TABELA MATRIZ MG'!$A$2:$BY$329,66,FALSE)</f>
        <v>2.14</v>
      </c>
      <c r="F60" s="233">
        <f>E60*'CALCULO GERAL'!$C$11</f>
        <v>10.74066</v>
      </c>
    </row>
    <row r="61" spans="2:9" ht="16" x14ac:dyDescent="0.2">
      <c r="B61" s="127" t="s">
        <v>237</v>
      </c>
      <c r="C61" s="127" t="s">
        <v>437</v>
      </c>
      <c r="D61" s="124">
        <f>VLOOKUP(B61,'TABELA MATRIZ MG'!$A$1:$N$329,14,FALSE)</f>
        <v>59000</v>
      </c>
      <c r="E61" s="191">
        <f>VLOOKUP(B61,'TABELA MATRIZ MG'!$A$2:$BY$329,66,FALSE)</f>
        <v>2.41</v>
      </c>
      <c r="F61" s="233">
        <f>E61*'CALCULO GERAL'!$C$11</f>
        <v>12.095790000000001</v>
      </c>
    </row>
    <row r="62" spans="2:9" ht="16" x14ac:dyDescent="0.2">
      <c r="B62" s="127" t="s">
        <v>238</v>
      </c>
      <c r="C62" s="127" t="s">
        <v>439</v>
      </c>
      <c r="D62" s="124">
        <f>VLOOKUP(B62,'TABELA MATRIZ MG'!$A$1:$N$329,14,FALSE)</f>
        <v>163000</v>
      </c>
      <c r="E62" s="191">
        <f>VLOOKUP(B62,'TABELA MATRIZ MG'!$A$2:$BY$329,66,FALSE)</f>
        <v>2.75</v>
      </c>
      <c r="F62" s="233">
        <f>E62*'CALCULO GERAL'!$C$11</f>
        <v>13.802250000000001</v>
      </c>
    </row>
    <row r="63" spans="2:9" ht="16" x14ac:dyDescent="0.2">
      <c r="B63" s="127" t="s">
        <v>240</v>
      </c>
      <c r="C63" s="127" t="s">
        <v>439</v>
      </c>
      <c r="D63" s="124">
        <f>VLOOKUP(B63,'TABELA MATRIZ MG'!$A$1:$N$329,14,FALSE)</f>
        <v>135000</v>
      </c>
      <c r="E63" s="191">
        <f>VLOOKUP(B63,'TABELA MATRIZ MG'!$A$2:$BY$329,66,FALSE)</f>
        <v>1.64</v>
      </c>
      <c r="F63" s="233">
        <f>E63*'CALCULO GERAL'!$C$11</f>
        <v>8.2311599999999991</v>
      </c>
    </row>
    <row r="64" spans="2:9" ht="16" x14ac:dyDescent="0.2">
      <c r="B64" s="127" t="s">
        <v>250</v>
      </c>
      <c r="C64" s="127" t="s">
        <v>439</v>
      </c>
      <c r="D64" s="124">
        <f>VLOOKUP(B64,'TABELA MATRIZ MG'!$A$1:$N$329,14,FALSE)</f>
        <v>1440</v>
      </c>
      <c r="E64" s="191">
        <f>VLOOKUP(B64,'TABELA MATRIZ MG'!$A$2:$BY$329,66,FALSE)</f>
        <v>39.44</v>
      </c>
      <c r="F64" s="233">
        <f>E64*'CALCULO GERAL'!$C$11</f>
        <v>197.94935999999998</v>
      </c>
      <c r="I64" s="5"/>
    </row>
    <row r="65" spans="2:9" ht="16" x14ac:dyDescent="0.2">
      <c r="B65" s="127" t="s">
        <v>252</v>
      </c>
      <c r="C65" s="127" t="s">
        <v>439</v>
      </c>
      <c r="D65" s="124">
        <f>VLOOKUP(B65,'TABELA MATRIZ MG'!$A$1:$N$329,14,FALSE)</f>
        <v>840</v>
      </c>
      <c r="E65" s="191">
        <f>VLOOKUP(B65,'TABELA MATRIZ MG'!$A$2:$BY$329,66,FALSE)</f>
        <v>46.5</v>
      </c>
      <c r="F65" s="233">
        <f>E65*'CALCULO GERAL'!$C$11</f>
        <v>233.3835</v>
      </c>
      <c r="I65" s="5"/>
    </row>
    <row r="66" spans="2:9" ht="16" x14ac:dyDescent="0.2">
      <c r="B66" s="127" t="s">
        <v>282</v>
      </c>
      <c r="C66" s="127" t="s">
        <v>439</v>
      </c>
      <c r="D66" s="124">
        <f>VLOOKUP(B66,'TABELA MATRIZ MG'!$A$1:$N$329,14,FALSE)</f>
        <v>160000</v>
      </c>
      <c r="E66" s="191">
        <f>VLOOKUP(B66,'TABELA MATRIZ MG'!$A$2:$BY$329,66,FALSE)</f>
        <v>0.41</v>
      </c>
      <c r="F66" s="233">
        <f>E66*'CALCULO GERAL'!$C$11</f>
        <v>2.0577899999999998</v>
      </c>
      <c r="I66" s="5"/>
    </row>
    <row r="67" spans="2:9" ht="16" x14ac:dyDescent="0.2">
      <c r="B67" s="127" t="s">
        <v>284</v>
      </c>
      <c r="C67" s="127" t="s">
        <v>439</v>
      </c>
      <c r="D67" s="124">
        <f>VLOOKUP(B67,'TABELA MATRIZ MG'!$A$1:$N$329,14,FALSE)</f>
        <v>105000</v>
      </c>
      <c r="E67" s="191">
        <f>VLOOKUP(B67,'TABELA MATRIZ MG'!$A$2:$BY$329,66,FALSE)</f>
        <v>0.88</v>
      </c>
      <c r="F67" s="233">
        <f>E67*'CALCULO GERAL'!$C$11</f>
        <v>4.4167199999999998</v>
      </c>
    </row>
    <row r="68" spans="2:9" ht="16" x14ac:dyDescent="0.2">
      <c r="B68" s="127" t="s">
        <v>285</v>
      </c>
      <c r="C68" s="127" t="s">
        <v>439</v>
      </c>
      <c r="D68" s="124">
        <f>VLOOKUP(B68,'TABELA MATRIZ MG'!$A$1:$N$329,14,FALSE)</f>
        <v>95000</v>
      </c>
      <c r="E68" s="191">
        <f>VLOOKUP(B68,'TABELA MATRIZ MG'!$A$2:$BY$329,66,FALSE)</f>
        <v>1.35</v>
      </c>
      <c r="F68" s="233">
        <f>E68*'CALCULO GERAL'!$C$11</f>
        <v>6.7756500000000006</v>
      </c>
    </row>
    <row r="69" spans="2:9" ht="16" x14ac:dyDescent="0.2">
      <c r="B69" s="127" t="s">
        <v>286</v>
      </c>
      <c r="C69" s="266" t="s">
        <v>439</v>
      </c>
      <c r="D69" s="124">
        <f>VLOOKUP(B69,'TABELA MATRIZ MG'!$A$1:$N$329,14,FALSE)</f>
        <v>50000</v>
      </c>
      <c r="E69" s="191">
        <f>VLOOKUP(B69,'TABELA MATRIZ MG'!$A$2:$BY$329,66,FALSE)</f>
        <v>3.37</v>
      </c>
      <c r="F69" s="233">
        <f>E69*'CALCULO GERAL'!$C$11</f>
        <v>16.91403</v>
      </c>
    </row>
    <row r="70" spans="2:9" ht="16" x14ac:dyDescent="0.2">
      <c r="B70" s="127" t="s">
        <v>288</v>
      </c>
      <c r="C70" s="266" t="s">
        <v>439</v>
      </c>
      <c r="D70" s="124">
        <f>VLOOKUP(B70,'TABELA MATRIZ MG'!$A$1:$N$329,14,FALSE)</f>
        <v>50000</v>
      </c>
      <c r="E70" s="191">
        <f>VLOOKUP(B70,'TABELA MATRIZ MG'!$A$2:$BY$329,66,FALSE)</f>
        <v>4.13</v>
      </c>
      <c r="F70" s="233">
        <f>E70*'CALCULO GERAL'!$C$11</f>
        <v>20.728470000000002</v>
      </c>
    </row>
    <row r="71" spans="2:9" ht="16" x14ac:dyDescent="0.2">
      <c r="B71" s="127" t="s">
        <v>289</v>
      </c>
      <c r="C71" s="266" t="s">
        <v>440</v>
      </c>
      <c r="D71" s="124">
        <f>VLOOKUP(B71,'TABELA MATRIZ MG'!$A$1:$N$329,14,FALSE)</f>
        <v>37500</v>
      </c>
      <c r="E71" s="191">
        <f>VLOOKUP(B71,'TABELA MATRIZ MG'!$A$2:$BY$329,66,FALSE)</f>
        <v>3.21</v>
      </c>
      <c r="F71" s="233">
        <f>E71*'CALCULO GERAL'!$C$11</f>
        <v>16.110990000000001</v>
      </c>
    </row>
    <row r="72" spans="2:9" ht="16" x14ac:dyDescent="0.2">
      <c r="B72" s="127" t="s">
        <v>290</v>
      </c>
      <c r="C72" s="266" t="s">
        <v>440</v>
      </c>
      <c r="D72" s="124">
        <f>VLOOKUP(B72,'TABELA MATRIZ MG'!$A$1:$N$329,14,FALSE)</f>
        <v>45000</v>
      </c>
      <c r="E72" s="191">
        <f>VLOOKUP(B72,'TABELA MATRIZ MG'!$A$2:$BY$329,66,FALSE)</f>
        <v>2.4900000000000002</v>
      </c>
      <c r="F72" s="233">
        <f>E72*'CALCULO GERAL'!$C$11</f>
        <v>12.497310000000001</v>
      </c>
    </row>
    <row r="73" spans="2:9" ht="16" x14ac:dyDescent="0.2">
      <c r="B73" s="127" t="s">
        <v>291</v>
      </c>
      <c r="C73" s="266" t="s">
        <v>439</v>
      </c>
      <c r="D73" s="124">
        <f>VLOOKUP(B73,'TABELA MATRIZ MG'!$A$1:$N$329,14,FALSE)</f>
        <v>27000</v>
      </c>
      <c r="E73" s="191">
        <f>VLOOKUP(B73,'TABELA MATRIZ MG'!$A$2:$BY$329,66,FALSE)</f>
        <v>4.84</v>
      </c>
      <c r="F73" s="233">
        <f>E73*'CALCULO GERAL'!$C$11</f>
        <v>24.29196</v>
      </c>
    </row>
    <row r="74" spans="2:9" ht="16" x14ac:dyDescent="0.2">
      <c r="B74" s="127" t="s">
        <v>292</v>
      </c>
      <c r="C74" s="266" t="s">
        <v>439</v>
      </c>
      <c r="D74" s="124">
        <f>VLOOKUP(B74,'TABELA MATRIZ MG'!$A$1:$N$329,14,FALSE)</f>
        <v>39000</v>
      </c>
      <c r="E74" s="191">
        <f>VLOOKUP(B74,'TABELA MATRIZ MG'!$A$2:$BY$329,66,FALSE)</f>
        <v>2.81</v>
      </c>
      <c r="F74" s="233">
        <f>E74*'CALCULO GERAL'!$C$11</f>
        <v>14.103390000000001</v>
      </c>
    </row>
    <row r="75" spans="2:9" ht="16" x14ac:dyDescent="0.2">
      <c r="B75" s="127" t="s">
        <v>294</v>
      </c>
      <c r="C75" s="266" t="s">
        <v>439</v>
      </c>
      <c r="D75" s="124" t="e">
        <f>VLOOKUP(B75,'TABELA MATRIZ MG'!$A$1:$N$329,14,FALSE)</f>
        <v>#N/A</v>
      </c>
      <c r="E75" s="191" t="e">
        <f>VLOOKUP(B75,'TABELA MATRIZ MG'!$A$2:$BY$329,66,FALSE)</f>
        <v>#N/A</v>
      </c>
      <c r="F75" s="233" t="e">
        <f>E75*'CALCULO GERAL'!$C$11</f>
        <v>#N/A</v>
      </c>
    </row>
    <row r="76" spans="2:9" ht="16" x14ac:dyDescent="0.2">
      <c r="B76" s="127" t="s">
        <v>295</v>
      </c>
      <c r="C76" s="266" t="s">
        <v>439</v>
      </c>
      <c r="D76" s="124" t="e">
        <f>VLOOKUP(B76,'TABELA MATRIZ MG'!$A$1:$N$329,14,FALSE)</f>
        <v>#N/A</v>
      </c>
      <c r="E76" s="191" t="e">
        <f>VLOOKUP(B76,'TABELA MATRIZ MG'!$A$2:$BY$329,66,FALSE)</f>
        <v>#N/A</v>
      </c>
      <c r="F76" s="233" t="e">
        <f>E76*'CALCULO GERAL'!$C$11</f>
        <v>#N/A</v>
      </c>
    </row>
    <row r="77" spans="2:9" ht="16" x14ac:dyDescent="0.2">
      <c r="B77" s="127" t="s">
        <v>296</v>
      </c>
      <c r="C77" s="266" t="s">
        <v>440</v>
      </c>
      <c r="D77" s="124">
        <f>VLOOKUP(B77,'TABELA MATRIZ MG'!$A$1:$N$329,14,FALSE)</f>
        <v>62000</v>
      </c>
      <c r="E77" s="191">
        <f>VLOOKUP(B77,'TABELA MATRIZ MG'!$A$2:$BY$329,66,FALSE)</f>
        <v>2.0499999999999998</v>
      </c>
      <c r="F77" s="233">
        <f>E77*'CALCULO GERAL'!$C$11</f>
        <v>10.28895</v>
      </c>
    </row>
    <row r="78" spans="2:9" ht="16" x14ac:dyDescent="0.2">
      <c r="B78" s="127" t="s">
        <v>298</v>
      </c>
      <c r="C78" s="266" t="s">
        <v>440</v>
      </c>
      <c r="D78" s="124">
        <f>VLOOKUP(B78,'TABELA MATRIZ MG'!$A$1:$N$329,14,FALSE)</f>
        <v>62000</v>
      </c>
      <c r="E78" s="191">
        <f>VLOOKUP(B78,'TABELA MATRIZ MG'!$A$2:$BY$329,66,FALSE)</f>
        <v>2.12</v>
      </c>
      <c r="F78" s="233">
        <f>E78*'CALCULO GERAL'!$C$11</f>
        <v>10.640280000000001</v>
      </c>
    </row>
    <row r="79" spans="2:9" ht="16" x14ac:dyDescent="0.2">
      <c r="B79" s="127" t="s">
        <v>301</v>
      </c>
      <c r="C79" s="266" t="s">
        <v>440</v>
      </c>
      <c r="D79" s="124">
        <f>VLOOKUP(B79,'TABELA MATRIZ MG'!$A$1:$N$329,14,FALSE)</f>
        <v>17500</v>
      </c>
      <c r="E79" s="191">
        <f>VLOOKUP(B79,'TABELA MATRIZ MG'!$A$2:$BY$329,66,FALSE)</f>
        <v>4.7699999999999996</v>
      </c>
      <c r="F79" s="233">
        <f>E79*'CALCULO GERAL'!$C$11</f>
        <v>23.940629999999999</v>
      </c>
    </row>
    <row r="80" spans="2:9" ht="16" x14ac:dyDescent="0.2">
      <c r="B80" s="127" t="s">
        <v>303</v>
      </c>
      <c r="C80" s="266" t="s">
        <v>439</v>
      </c>
      <c r="D80" s="124">
        <f>VLOOKUP(B80,'TABELA MATRIZ MG'!$A$1:$N$329,14,FALSE)</f>
        <v>17500</v>
      </c>
      <c r="E80" s="191">
        <f>VLOOKUP(B80,'TABELA MATRIZ MG'!$A$2:$BY$329,66,FALSE)</f>
        <v>3.68</v>
      </c>
      <c r="F80" s="233">
        <f>E80*'CALCULO GERAL'!$C$11</f>
        <v>18.469920000000002</v>
      </c>
    </row>
    <row r="81" spans="2:7" ht="16" x14ac:dyDescent="0.2">
      <c r="B81" s="127" t="s">
        <v>305</v>
      </c>
      <c r="C81" s="266" t="s">
        <v>439</v>
      </c>
      <c r="D81" s="124">
        <f>VLOOKUP(B81,'TABELA MATRIZ MG'!$A$1:$N$329,14,FALSE)</f>
        <v>17500</v>
      </c>
      <c r="E81" s="191">
        <f>VLOOKUP(B81,'TABELA MATRIZ MG'!$A$2:$BY$329,66,FALSE)</f>
        <v>4.7</v>
      </c>
      <c r="F81" s="233">
        <f>E81*'CALCULO GERAL'!$C$11</f>
        <v>23.589300000000001</v>
      </c>
    </row>
    <row r="82" spans="2:7" ht="16" x14ac:dyDescent="0.2">
      <c r="B82" s="127" t="s">
        <v>306</v>
      </c>
      <c r="C82" s="266" t="s">
        <v>439</v>
      </c>
      <c r="D82" s="124">
        <f>VLOOKUP(B82,'TABELA MATRIZ MG'!$A$1:$N$329,14,FALSE)</f>
        <v>17500</v>
      </c>
      <c r="E82" s="191">
        <f>VLOOKUP(B82,'TABELA MATRIZ MG'!$A$2:$BY$329,66,FALSE)</f>
        <v>3.97</v>
      </c>
      <c r="F82" s="233">
        <f>E82*'CALCULO GERAL'!$C$11</f>
        <v>19.925430000000002</v>
      </c>
    </row>
    <row r="83" spans="2:7" ht="16" x14ac:dyDescent="0.2">
      <c r="B83" s="127" t="s">
        <v>307</v>
      </c>
      <c r="C83" s="266" t="s">
        <v>439</v>
      </c>
      <c r="D83" s="124">
        <f>VLOOKUP(B83,'TABELA MATRIZ MG'!$A$1:$N$329,14,FALSE)</f>
        <v>17000</v>
      </c>
      <c r="E83" s="191">
        <f>VLOOKUP(B83,'TABELA MATRIZ MG'!$A$2:$BY$329,66,FALSE)</f>
        <v>4.03</v>
      </c>
      <c r="F83" s="233">
        <f>E83*'CALCULO GERAL'!$C$11</f>
        <v>20.226570000000002</v>
      </c>
    </row>
    <row r="84" spans="2:7" ht="16" x14ac:dyDescent="0.2">
      <c r="B84" s="127" t="s">
        <v>308</v>
      </c>
      <c r="C84" s="266" t="s">
        <v>439</v>
      </c>
      <c r="D84" s="124">
        <f>VLOOKUP(B84,'TABELA MATRIZ MG'!$A$1:$N$329,14,FALSE)</f>
        <v>29000</v>
      </c>
      <c r="E84" s="191">
        <f>VLOOKUP(B84,'TABELA MATRIZ MG'!$A$2:$BY$329,66,FALSE)</f>
        <v>3.36</v>
      </c>
      <c r="F84" s="233">
        <f>E84*'CALCULO GERAL'!$C$11</f>
        <v>16.86384</v>
      </c>
    </row>
    <row r="85" spans="2:7" ht="16" x14ac:dyDescent="0.2">
      <c r="B85" s="127" t="s">
        <v>309</v>
      </c>
      <c r="C85" s="266" t="s">
        <v>439</v>
      </c>
      <c r="D85" s="124">
        <f>VLOOKUP(B85,'TABELA MATRIZ MG'!$A$1:$N$329,14,FALSE)</f>
        <v>25000</v>
      </c>
      <c r="E85" s="191">
        <f>VLOOKUP(B85,'TABELA MATRIZ MG'!$A$2:$BY$329,66,FALSE)</f>
        <v>4.03</v>
      </c>
      <c r="F85" s="233">
        <f>E85*'CALCULO GERAL'!$C$11</f>
        <v>20.226570000000002</v>
      </c>
    </row>
    <row r="86" spans="2:7" ht="16" x14ac:dyDescent="0.2">
      <c r="B86" s="127" t="s">
        <v>310</v>
      </c>
      <c r="C86" s="266" t="s">
        <v>439</v>
      </c>
      <c r="D86" s="124">
        <f>VLOOKUP(B86,'TABELA MATRIZ MG'!$A$1:$N$329,14,FALSE)</f>
        <v>25000</v>
      </c>
      <c r="E86" s="191">
        <f>VLOOKUP(B86,'TABELA MATRIZ MG'!$A$2:$BY$329,66,FALSE)</f>
        <v>4.47</v>
      </c>
      <c r="F86" s="233">
        <f>E86*'CALCULO GERAL'!$C$11</f>
        <v>22.434929999999998</v>
      </c>
    </row>
    <row r="87" spans="2:7" ht="16" x14ac:dyDescent="0.2">
      <c r="B87" s="127" t="s">
        <v>312</v>
      </c>
      <c r="C87" s="266" t="s">
        <v>439</v>
      </c>
      <c r="D87" s="124">
        <f>VLOOKUP(B87,'TABELA MATRIZ MG'!$A$1:$N$329,14,FALSE)</f>
        <v>80000</v>
      </c>
      <c r="E87" s="191">
        <f>VLOOKUP(B87,'TABELA MATRIZ MG'!$A$2:$BY$329,66,FALSE)</f>
        <v>3.63</v>
      </c>
      <c r="F87" s="233">
        <f>E87*'CALCULO GERAL'!$C$11</f>
        <v>18.218969999999999</v>
      </c>
      <c r="G87" s="11">
        <v>16.899999999999999</v>
      </c>
    </row>
    <row r="88" spans="2:7" ht="16" x14ac:dyDescent="0.2">
      <c r="B88" s="127" t="s">
        <v>313</v>
      </c>
      <c r="C88" s="266" t="s">
        <v>439</v>
      </c>
      <c r="D88" s="124">
        <f>VLOOKUP(B88,'TABELA MATRIZ MG'!$A$1:$N$329,14,FALSE)</f>
        <v>60000</v>
      </c>
      <c r="E88" s="191">
        <f>VLOOKUP(B88,'TABELA MATRIZ MG'!$A$2:$BY$329,66,FALSE)</f>
        <v>4.01</v>
      </c>
      <c r="F88" s="233">
        <f>E88*'CALCULO GERAL'!$C$11</f>
        <v>20.126190000000001</v>
      </c>
    </row>
    <row r="89" spans="2:7" ht="16" x14ac:dyDescent="0.2">
      <c r="B89" s="127" t="s">
        <v>314</v>
      </c>
      <c r="C89" s="266" t="s">
        <v>439</v>
      </c>
      <c r="D89" s="124">
        <f>VLOOKUP(B89,'TABELA MATRIZ MG'!$A$1:$N$329,14,FALSE)</f>
        <v>75000</v>
      </c>
      <c r="E89" s="191">
        <f>VLOOKUP(B89,'TABELA MATRIZ MG'!$A$2:$BY$329,66,FALSE)</f>
        <v>4.2300000000000004</v>
      </c>
      <c r="F89" s="233">
        <f>E89*'CALCULO GERAL'!$C$11</f>
        <v>21.230370000000004</v>
      </c>
      <c r="G89" s="11">
        <v>29.9</v>
      </c>
    </row>
    <row r="90" spans="2:7" ht="16" x14ac:dyDescent="0.2">
      <c r="B90" s="127" t="s">
        <v>315</v>
      </c>
      <c r="C90" s="266" t="s">
        <v>439</v>
      </c>
      <c r="D90" s="124">
        <f>VLOOKUP(B90,'TABELA MATRIZ MG'!$A$1:$N$329,14,FALSE)</f>
        <v>60000</v>
      </c>
      <c r="E90" s="191">
        <f>VLOOKUP(B90,'TABELA MATRIZ MG'!$A$2:$BY$329,66,FALSE)</f>
        <v>6.1</v>
      </c>
      <c r="F90" s="233">
        <f>E90*'CALCULO GERAL'!$C$11</f>
        <v>30.6159</v>
      </c>
    </row>
    <row r="91" spans="2:7" ht="16" x14ac:dyDescent="0.2">
      <c r="B91" s="127" t="s">
        <v>316</v>
      </c>
      <c r="C91" s="266" t="s">
        <v>439</v>
      </c>
      <c r="D91" s="124">
        <f>VLOOKUP(B91,'TABELA MATRIZ MG'!$A$1:$N$329,14,FALSE)</f>
        <v>60000</v>
      </c>
      <c r="E91" s="191">
        <f>VLOOKUP(B91,'TABELA MATRIZ MG'!$A$2:$BY$329,66,FALSE)</f>
        <v>6.5</v>
      </c>
      <c r="F91" s="233">
        <f>E91*'CALCULO GERAL'!$C$11</f>
        <v>32.6235</v>
      </c>
      <c r="G91" s="11">
        <v>33.9</v>
      </c>
    </row>
    <row r="92" spans="2:7" ht="16" x14ac:dyDescent="0.2">
      <c r="B92" s="127" t="s">
        <v>317</v>
      </c>
      <c r="C92" s="266" t="s">
        <v>439</v>
      </c>
      <c r="D92" s="124">
        <f>VLOOKUP(B92,'TABELA MATRIZ MG'!$A$1:$N$329,14,FALSE)</f>
        <v>80000</v>
      </c>
      <c r="E92" s="191">
        <f>VLOOKUP(B92,'TABELA MATRIZ MG'!$A$2:$BY$329,66,FALSE)</f>
        <v>3.8</v>
      </c>
      <c r="F92" s="233">
        <f>E92*'CALCULO GERAL'!$C$11</f>
        <v>19.072199999999999</v>
      </c>
    </row>
    <row r="93" spans="2:7" ht="16" x14ac:dyDescent="0.2">
      <c r="B93" s="127" t="s">
        <v>318</v>
      </c>
      <c r="C93" s="266" t="s">
        <v>439</v>
      </c>
      <c r="D93" s="124">
        <f>VLOOKUP(B93,'TABELA MATRIZ MG'!$A$1:$N$329,14,FALSE)</f>
        <v>60000</v>
      </c>
      <c r="E93" s="191">
        <f>VLOOKUP(B93,'TABELA MATRIZ MG'!$A$2:$BY$329,66,FALSE)</f>
        <v>4.18</v>
      </c>
      <c r="F93" s="233">
        <f>E93*'CALCULO GERAL'!$C$11</f>
        <v>20.979419999999998</v>
      </c>
    </row>
    <row r="94" spans="2:7" ht="16" x14ac:dyDescent="0.2">
      <c r="B94" s="127" t="s">
        <v>319</v>
      </c>
      <c r="C94" s="266" t="s">
        <v>439</v>
      </c>
      <c r="D94" s="124">
        <f>VLOOKUP(B94,'TABELA MATRIZ MG'!$A$1:$N$329,14,FALSE)</f>
        <v>75000</v>
      </c>
      <c r="E94" s="191">
        <f>VLOOKUP(B94,'TABELA MATRIZ MG'!$A$2:$BY$329,66,FALSE)</f>
        <v>6.14</v>
      </c>
      <c r="F94" s="233">
        <f>E94*'CALCULO GERAL'!$C$11</f>
        <v>30.816659999999999</v>
      </c>
    </row>
    <row r="95" spans="2:7" ht="16" x14ac:dyDescent="0.2">
      <c r="B95" s="127" t="s">
        <v>320</v>
      </c>
      <c r="C95" s="266" t="s">
        <v>439</v>
      </c>
      <c r="D95" s="124">
        <f>VLOOKUP(B95,'TABELA MATRIZ MG'!$A$1:$N$329,14,FALSE)</f>
        <v>60000</v>
      </c>
      <c r="E95" s="191">
        <f>VLOOKUP(B95,'TABELA MATRIZ MG'!$A$2:$BY$329,66,FALSE)</f>
        <v>6.29</v>
      </c>
      <c r="F95" s="233">
        <f>E95*'CALCULO GERAL'!$C$11</f>
        <v>31.569510000000001</v>
      </c>
    </row>
    <row r="96" spans="2:7" ht="16" x14ac:dyDescent="0.2">
      <c r="B96" s="127" t="s">
        <v>321</v>
      </c>
      <c r="C96" s="266" t="s">
        <v>439</v>
      </c>
      <c r="D96" s="124">
        <f>VLOOKUP(B96,'TABELA MATRIZ MG'!$A$1:$N$329,14,FALSE)</f>
        <v>60000</v>
      </c>
      <c r="E96" s="191">
        <f>VLOOKUP(B96,'TABELA MATRIZ MG'!$A$2:$BY$329,66,FALSE)</f>
        <v>6.66</v>
      </c>
      <c r="F96" s="233">
        <f>E96*'CALCULO GERAL'!$C$11</f>
        <v>33.426540000000003</v>
      </c>
    </row>
    <row r="97" spans="2:6" ht="16" x14ac:dyDescent="0.2">
      <c r="B97" s="127" t="s">
        <v>323</v>
      </c>
      <c r="C97" s="266" t="s">
        <v>441</v>
      </c>
      <c r="D97" s="124">
        <f>VLOOKUP(B97,'TABELA MATRIZ MG'!$A$1:$N$329,14,FALSE)</f>
        <v>54000</v>
      </c>
      <c r="E97" s="191">
        <f>VLOOKUP(B97,'TABELA MATRIZ MG'!$A$2:$BY$329,66,FALSE)</f>
        <v>4.8899999999999997</v>
      </c>
      <c r="F97" s="233">
        <f>E97*'CALCULO GERAL'!$C$11</f>
        <v>24.542909999999999</v>
      </c>
    </row>
    <row r="98" spans="2:6" ht="16" x14ac:dyDescent="0.2">
      <c r="B98" s="127" t="s">
        <v>324</v>
      </c>
      <c r="C98" s="266" t="s">
        <v>441</v>
      </c>
      <c r="D98" s="124">
        <f>VLOOKUP(B98,'TABELA MATRIZ MG'!$A$1:$N$329,14,FALSE)</f>
        <v>180000</v>
      </c>
      <c r="E98" s="191">
        <f>VLOOKUP(B98,'TABELA MATRIZ MG'!$A$2:$BY$329,66,FALSE)</f>
        <v>0.54</v>
      </c>
      <c r="F98" s="233">
        <f>E98*'CALCULO GERAL'!$C$11</f>
        <v>2.7102600000000003</v>
      </c>
    </row>
    <row r="99" spans="2:6" ht="16" x14ac:dyDescent="0.2">
      <c r="B99" s="127" t="s">
        <v>326</v>
      </c>
      <c r="C99" s="266" t="s">
        <v>441</v>
      </c>
      <c r="D99" s="124">
        <f>VLOOKUP(B99,'TABELA MATRIZ MG'!$A$1:$N$329,14,FALSE)</f>
        <v>180000</v>
      </c>
      <c r="E99" s="191">
        <f>VLOOKUP(B99,'TABELA MATRIZ MG'!$A$2:$BY$329,66,FALSE)</f>
        <v>0.59</v>
      </c>
      <c r="F99" s="233">
        <f>E99*'CALCULO GERAL'!$C$11</f>
        <v>2.9612099999999999</v>
      </c>
    </row>
    <row r="100" spans="2:6" ht="16" x14ac:dyDescent="0.2">
      <c r="B100" s="127" t="s">
        <v>327</v>
      </c>
      <c r="C100" s="266" t="s">
        <v>441</v>
      </c>
      <c r="D100" s="124">
        <f>VLOOKUP(B100,'TABELA MATRIZ MG'!$A$1:$N$329,14,FALSE)</f>
        <v>175000</v>
      </c>
      <c r="E100" s="191">
        <f>VLOOKUP(B100,'TABELA MATRIZ MG'!$A$2:$BY$329,66,FALSE)</f>
        <v>0.6</v>
      </c>
      <c r="F100" s="233">
        <f>E100*'CALCULO GERAL'!$C$11</f>
        <v>3.0114000000000001</v>
      </c>
    </row>
    <row r="101" spans="2:6" ht="16" x14ac:dyDescent="0.2">
      <c r="B101" s="127" t="s">
        <v>328</v>
      </c>
      <c r="C101" s="266" t="s">
        <v>441</v>
      </c>
      <c r="D101" s="124">
        <f>VLOOKUP(B101,'TABELA MATRIZ MG'!$A$1:$N$329,14,FALSE)</f>
        <v>165000</v>
      </c>
      <c r="E101" s="191">
        <f>VLOOKUP(B101,'TABELA MATRIZ MG'!$A$2:$BY$329,66,FALSE)</f>
        <v>0.62</v>
      </c>
      <c r="F101" s="233">
        <f>E101*'CALCULO GERAL'!$C$11</f>
        <v>3.11178</v>
      </c>
    </row>
    <row r="102" spans="2:6" ht="16" x14ac:dyDescent="0.2">
      <c r="B102" s="127" t="s">
        <v>329</v>
      </c>
      <c r="C102" s="266" t="s">
        <v>441</v>
      </c>
      <c r="D102" s="124">
        <f>VLOOKUP(B102,'TABELA MATRIZ MG'!$A$1:$N$329,14,FALSE)</f>
        <v>160000</v>
      </c>
      <c r="E102" s="191">
        <f>VLOOKUP(B102,'TABELA MATRIZ MG'!$A$2:$BY$329,66,FALSE)</f>
        <v>0.65</v>
      </c>
      <c r="F102" s="233">
        <f>E102*'CALCULO GERAL'!$C$11</f>
        <v>3.2623500000000001</v>
      </c>
    </row>
    <row r="103" spans="2:6" ht="16" x14ac:dyDescent="0.2">
      <c r="B103" s="127" t="s">
        <v>330</v>
      </c>
      <c r="C103" s="266" t="s">
        <v>441</v>
      </c>
      <c r="D103" s="124">
        <f>VLOOKUP(B103,'TABELA MATRIZ MG'!$A$1:$N$329,14,FALSE)</f>
        <v>140000</v>
      </c>
      <c r="E103" s="191">
        <f>VLOOKUP(B103,'TABELA MATRIZ MG'!$A$2:$BY$329,66,FALSE)</f>
        <v>0.8</v>
      </c>
      <c r="F103" s="233">
        <f>E103*'CALCULO GERAL'!$C$11</f>
        <v>4.0152000000000001</v>
      </c>
    </row>
    <row r="104" spans="2:6" ht="16" x14ac:dyDescent="0.2">
      <c r="B104" s="127" t="s">
        <v>332</v>
      </c>
      <c r="C104" s="266" t="s">
        <v>439</v>
      </c>
      <c r="D104" s="124">
        <f>VLOOKUP(B104,'TABELA MATRIZ MG'!$A$1:$N$329,14,FALSE)</f>
        <v>175000</v>
      </c>
      <c r="E104" s="191">
        <f>VLOOKUP(B104,'TABELA MATRIZ MG'!$A$2:$BY$329,66,FALSE)</f>
        <v>0.66</v>
      </c>
      <c r="F104" s="233">
        <f>E104*'CALCULO GERAL'!$C$11</f>
        <v>3.3125400000000003</v>
      </c>
    </row>
    <row r="105" spans="2:6" ht="16" x14ac:dyDescent="0.2">
      <c r="B105" s="127" t="s">
        <v>333</v>
      </c>
      <c r="C105" s="266" t="s">
        <v>439</v>
      </c>
      <c r="D105" s="124">
        <f>VLOOKUP(B105,'TABELA MATRIZ MG'!$A$1:$N$329,14,FALSE)</f>
        <v>165000</v>
      </c>
      <c r="E105" s="191">
        <f>VLOOKUP(B105,'TABELA MATRIZ MG'!$A$2:$BY$329,66,FALSE)</f>
        <v>0.64</v>
      </c>
      <c r="F105" s="233">
        <f>E105*'CALCULO GERAL'!$C$11</f>
        <v>3.2121600000000003</v>
      </c>
    </row>
    <row r="106" spans="2:6" ht="16" x14ac:dyDescent="0.2">
      <c r="B106" s="127" t="s">
        <v>334</v>
      </c>
      <c r="C106" s="266" t="s">
        <v>441</v>
      </c>
      <c r="D106" s="124">
        <f>VLOOKUP(B106,'TABELA MATRIZ MG'!$A$1:$N$329,14,FALSE)</f>
        <v>160000</v>
      </c>
      <c r="E106" s="191">
        <f>VLOOKUP(B106,'TABELA MATRIZ MG'!$A$2:$BY$329,66,FALSE)</f>
        <v>0.7</v>
      </c>
      <c r="F106" s="233">
        <f>E106*'CALCULO GERAL'!$C$11</f>
        <v>3.5132999999999996</v>
      </c>
    </row>
    <row r="107" spans="2:6" ht="16" x14ac:dyDescent="0.2">
      <c r="B107" s="127" t="s">
        <v>335</v>
      </c>
      <c r="C107" s="266" t="s">
        <v>441</v>
      </c>
      <c r="D107" s="124">
        <f>VLOOKUP(B107,'TABELA MATRIZ MG'!$A$1:$N$329,14,FALSE)</f>
        <v>140000</v>
      </c>
      <c r="E107" s="191">
        <f>VLOOKUP(B107,'TABELA MATRIZ MG'!$A$2:$BY$329,66,FALSE)</f>
        <v>0.76</v>
      </c>
      <c r="F107" s="233">
        <f>E107*'CALCULO GERAL'!$C$11</f>
        <v>3.8144400000000003</v>
      </c>
    </row>
    <row r="108" spans="2:6" ht="16" x14ac:dyDescent="0.2">
      <c r="B108" s="127" t="s">
        <v>336</v>
      </c>
      <c r="C108" s="266" t="s">
        <v>441</v>
      </c>
      <c r="D108" s="124">
        <f>VLOOKUP(B108,'TABELA MATRIZ MG'!$A$1:$N$329,14,FALSE)</f>
        <v>130000</v>
      </c>
      <c r="E108" s="191">
        <f>VLOOKUP(B108,'TABELA MATRIZ MG'!$A$2:$BY$329,66,FALSE)</f>
        <v>0.81</v>
      </c>
      <c r="F108" s="233">
        <f>E108*'CALCULO GERAL'!$C$11</f>
        <v>4.0653900000000007</v>
      </c>
    </row>
    <row r="109" spans="2:6" ht="16" x14ac:dyDescent="0.2">
      <c r="B109" s="127" t="s">
        <v>337</v>
      </c>
      <c r="C109" s="266" t="s">
        <v>441</v>
      </c>
      <c r="D109" s="124">
        <f>VLOOKUP(B109,'TABELA MATRIZ MG'!$A$1:$N$329,14,FALSE)</f>
        <v>165000</v>
      </c>
      <c r="E109" s="191">
        <f>VLOOKUP(B109,'TABELA MATRIZ MG'!$A$2:$BY$329,66,FALSE)</f>
        <v>0.88</v>
      </c>
      <c r="F109" s="233">
        <f>E109*'CALCULO GERAL'!$C$11</f>
        <v>4.4167199999999998</v>
      </c>
    </row>
    <row r="110" spans="2:6" ht="16" x14ac:dyDescent="0.2">
      <c r="B110" s="127" t="s">
        <v>338</v>
      </c>
      <c r="C110" s="266" t="s">
        <v>441</v>
      </c>
      <c r="D110" s="124">
        <f>VLOOKUP(B110,'TABELA MATRIZ MG'!$A$1:$N$329,14,FALSE)</f>
        <v>145000</v>
      </c>
      <c r="E110" s="191">
        <f>VLOOKUP(B110,'TABELA MATRIZ MG'!$A$2:$BY$329,66,FALSE)</f>
        <v>0.71</v>
      </c>
      <c r="F110" s="233">
        <f>E110*'CALCULO GERAL'!$C$11</f>
        <v>3.5634899999999998</v>
      </c>
    </row>
    <row r="111" spans="2:6" ht="16" x14ac:dyDescent="0.2">
      <c r="B111" s="127" t="s">
        <v>339</v>
      </c>
      <c r="C111" s="266" t="s">
        <v>441</v>
      </c>
      <c r="D111" s="124">
        <f>VLOOKUP(B111,'TABELA MATRIZ MG'!$A$1:$N$329,14,FALSE)</f>
        <v>165000</v>
      </c>
      <c r="E111" s="191">
        <f>VLOOKUP(B111,'TABELA MATRIZ MG'!$A$2:$BY$329,66,FALSE)</f>
        <v>0.64</v>
      </c>
      <c r="F111" s="233">
        <f>E111*'CALCULO GERAL'!$C$11</f>
        <v>3.2121600000000003</v>
      </c>
    </row>
    <row r="112" spans="2:6" ht="16" x14ac:dyDescent="0.2">
      <c r="B112" s="127" t="s">
        <v>340</v>
      </c>
      <c r="C112" s="266" t="s">
        <v>442</v>
      </c>
      <c r="D112" s="124">
        <f>VLOOKUP(B112,'TABELA MATRIZ MG'!$A$1:$N$329,14,FALSE)</f>
        <v>145000</v>
      </c>
      <c r="E112" s="191">
        <f>VLOOKUP(B112,'TABELA MATRIZ MG'!$A$2:$BY$329,66,FALSE)</f>
        <v>0.84</v>
      </c>
      <c r="F112" s="233">
        <f>E112*'CALCULO GERAL'!$C$11</f>
        <v>4.2159599999999999</v>
      </c>
    </row>
    <row r="113" spans="2:7" ht="16" x14ac:dyDescent="0.2">
      <c r="B113" s="127" t="s">
        <v>341</v>
      </c>
      <c r="C113" s="266" t="s">
        <v>442</v>
      </c>
      <c r="D113" s="124">
        <f>VLOOKUP(B113,'TABELA MATRIZ MG'!$A$1:$N$329,14,FALSE)</f>
        <v>165000</v>
      </c>
      <c r="E113" s="191">
        <f>VLOOKUP(B113,'TABELA MATRIZ MG'!$A$2:$BY$329,66,FALSE)</f>
        <v>0.67</v>
      </c>
      <c r="F113" s="233">
        <f>E113*'CALCULO GERAL'!$C$11</f>
        <v>3.3627300000000004</v>
      </c>
    </row>
    <row r="114" spans="2:7" ht="16" x14ac:dyDescent="0.2">
      <c r="B114" s="127" t="s">
        <v>342</v>
      </c>
      <c r="C114" s="266" t="s">
        <v>439</v>
      </c>
      <c r="D114" s="124">
        <f>VLOOKUP(B114,'TABELA MATRIZ MG'!$A$1:$N$329,14,FALSE)</f>
        <v>154000</v>
      </c>
      <c r="E114" s="191">
        <f>VLOOKUP(B114,'TABELA MATRIZ MG'!$A$2:$BY$329,66,FALSE)</f>
        <v>0.76</v>
      </c>
      <c r="F114" s="233">
        <f>E114*'CALCULO GERAL'!$C$11</f>
        <v>3.8144400000000003</v>
      </c>
    </row>
    <row r="115" spans="2:7" ht="16" x14ac:dyDescent="0.2">
      <c r="B115" s="127" t="s">
        <v>343</v>
      </c>
      <c r="C115" s="266" t="s">
        <v>439</v>
      </c>
      <c r="D115" s="124">
        <f>VLOOKUP(B115,'TABELA MATRIZ MG'!$A$1:$N$329,14,FALSE)</f>
        <v>138000</v>
      </c>
      <c r="E115" s="191">
        <f>VLOOKUP(B115,'TABELA MATRIZ MG'!$A$2:$BY$329,66,FALSE)</f>
        <v>0.9</v>
      </c>
      <c r="F115" s="233">
        <f>E115*'CALCULO GERAL'!$C$11</f>
        <v>4.5171000000000001</v>
      </c>
    </row>
    <row r="116" spans="2:7" ht="16" x14ac:dyDescent="0.2">
      <c r="B116" s="127" t="s">
        <v>344</v>
      </c>
      <c r="C116" s="266" t="s">
        <v>439</v>
      </c>
      <c r="D116" s="124">
        <f>VLOOKUP(B116,'TABELA MATRIZ MG'!$A$1:$N$329,14,FALSE)</f>
        <v>165000</v>
      </c>
      <c r="E116" s="191">
        <f>VLOOKUP(B116,'TABELA MATRIZ MG'!$A$2:$BY$329,66,FALSE)</f>
        <v>0.56999999999999995</v>
      </c>
      <c r="F116" s="233">
        <f>E116*'CALCULO GERAL'!$C$11</f>
        <v>2.86083</v>
      </c>
    </row>
    <row r="117" spans="2:7" ht="16" x14ac:dyDescent="0.2">
      <c r="B117" s="127" t="s">
        <v>345</v>
      </c>
      <c r="C117" s="266" t="s">
        <v>439</v>
      </c>
      <c r="D117" s="124">
        <f>VLOOKUP(B117,'TABELA MATRIZ MG'!$A$1:$N$329,14,FALSE)</f>
        <v>154000</v>
      </c>
      <c r="E117" s="191">
        <f>VLOOKUP(B117,'TABELA MATRIZ MG'!$A$2:$BY$329,66,FALSE)</f>
        <v>0.69</v>
      </c>
      <c r="F117" s="233">
        <f>E117*'CALCULO GERAL'!$C$11</f>
        <v>3.4631099999999999</v>
      </c>
    </row>
    <row r="118" spans="2:7" ht="16" x14ac:dyDescent="0.2">
      <c r="B118" s="127" t="s">
        <v>346</v>
      </c>
      <c r="C118" s="266" t="s">
        <v>439</v>
      </c>
      <c r="D118" s="124">
        <f>VLOOKUP(B118,'TABELA MATRIZ MG'!$A$1:$N$329,14,FALSE)</f>
        <v>138000</v>
      </c>
      <c r="E118" s="191">
        <f>VLOOKUP(B118,'TABELA MATRIZ MG'!$A$2:$BY$329,66,FALSE)</f>
        <v>0.75</v>
      </c>
      <c r="F118" s="233">
        <f>E118*'CALCULO GERAL'!$C$11</f>
        <v>3.7642500000000001</v>
      </c>
    </row>
    <row r="119" spans="2:7" ht="16" x14ac:dyDescent="0.2">
      <c r="B119" s="127" t="s">
        <v>443</v>
      </c>
      <c r="C119" s="266" t="s">
        <v>439</v>
      </c>
      <c r="D119" s="124" t="e">
        <f>VLOOKUP(B119,'TABELA MATRIZ MG'!$A$1:$N$329,14,FALSE)</f>
        <v>#N/A</v>
      </c>
      <c r="E119" s="191" t="e">
        <f>VLOOKUP(B119,'TABELA MATRIZ MG'!$A$2:$BY$329,66,FALSE)</f>
        <v>#N/A</v>
      </c>
      <c r="F119" s="233" t="e">
        <f>E119*'CALCULO GERAL'!$C$11</f>
        <v>#N/A</v>
      </c>
    </row>
    <row r="120" spans="2:7" ht="16" x14ac:dyDescent="0.2">
      <c r="B120" s="127" t="s">
        <v>351</v>
      </c>
      <c r="C120" s="266" t="s">
        <v>439</v>
      </c>
      <c r="D120" s="124">
        <f>VLOOKUP(B120,'TABELA MATRIZ MG'!$A$1:$N$329,14,FALSE)</f>
        <v>135000</v>
      </c>
      <c r="E120" s="191">
        <f>VLOOKUP(B120,'TABELA MATRIZ MG'!$A$2:$BY$329,66,FALSE)</f>
        <v>0.88</v>
      </c>
      <c r="F120" s="233">
        <f>E120*'CALCULO GERAL'!$C$11</f>
        <v>4.4167199999999998</v>
      </c>
    </row>
    <row r="121" spans="2:7" ht="16" x14ac:dyDescent="0.2">
      <c r="B121" s="127" t="s">
        <v>352</v>
      </c>
      <c r="C121" s="266" t="s">
        <v>439</v>
      </c>
      <c r="D121" s="124">
        <f>VLOOKUP(B121,'TABELA MATRIZ MG'!$A$1:$N$329,14,FALSE)</f>
        <v>120000</v>
      </c>
      <c r="E121" s="191">
        <f>VLOOKUP(B121,'TABELA MATRIZ MG'!$A$2:$BY$329,66,FALSE)</f>
        <v>0.9</v>
      </c>
      <c r="F121" s="233">
        <f>E121*'CALCULO GERAL'!$C$11</f>
        <v>4.5171000000000001</v>
      </c>
    </row>
    <row r="122" spans="2:7" ht="16" x14ac:dyDescent="0.2">
      <c r="B122" s="127" t="s">
        <v>353</v>
      </c>
      <c r="C122" s="266" t="s">
        <v>439</v>
      </c>
      <c r="D122" s="124">
        <f>VLOOKUP(B122,'TABELA MATRIZ MG'!$A$1:$N$329,14,FALSE)</f>
        <v>135000</v>
      </c>
      <c r="E122" s="191">
        <f>VLOOKUP(B122,'TABELA MATRIZ MG'!$A$2:$BY$329,66,FALSE)</f>
        <v>0.84</v>
      </c>
      <c r="F122" s="233">
        <f>E122*'CALCULO GERAL'!$C$11</f>
        <v>4.2159599999999999</v>
      </c>
    </row>
    <row r="123" spans="2:7" ht="16" x14ac:dyDescent="0.2">
      <c r="B123" s="127" t="s">
        <v>354</v>
      </c>
      <c r="C123" s="266" t="s">
        <v>439</v>
      </c>
      <c r="D123" s="124">
        <f>VLOOKUP(B123,'TABELA MATRIZ MG'!$A$1:$N$329,14,FALSE)</f>
        <v>120000</v>
      </c>
      <c r="E123" s="191">
        <f>VLOOKUP(B123,'TABELA MATRIZ MG'!$A$2:$BY$329,66,FALSE)</f>
        <v>0.87</v>
      </c>
      <c r="F123" s="233">
        <f>E123*'CALCULO GERAL'!$C$11</f>
        <v>4.36653</v>
      </c>
    </row>
    <row r="124" spans="2:7" ht="16" x14ac:dyDescent="0.2">
      <c r="B124" s="127" t="s">
        <v>355</v>
      </c>
      <c r="C124" s="266" t="s">
        <v>439</v>
      </c>
      <c r="D124" s="124">
        <f>VLOOKUP(B124,'TABELA MATRIZ MG'!$A$1:$N$329,14,FALSE)</f>
        <v>115000</v>
      </c>
      <c r="E124" s="191">
        <f>VLOOKUP(B124,'TABELA MATRIZ MG'!$A$2:$BY$329,66,FALSE)</f>
        <v>0.96</v>
      </c>
      <c r="F124" s="233">
        <f>E124*'CALCULO GERAL'!$C$11</f>
        <v>4.8182400000000003</v>
      </c>
    </row>
    <row r="125" spans="2:7" ht="16" x14ac:dyDescent="0.2">
      <c r="B125" s="127" t="s">
        <v>356</v>
      </c>
      <c r="C125" s="266" t="s">
        <v>439</v>
      </c>
      <c r="D125" s="124">
        <f>VLOOKUP(B125,'TABELA MATRIZ MG'!$A$1:$N$329,14,FALSE)</f>
        <v>100000</v>
      </c>
      <c r="E125" s="191">
        <f>VLOOKUP(B125,'TABELA MATRIZ MG'!$A$2:$BY$329,66,FALSE)</f>
        <v>1.1299999999999999</v>
      </c>
      <c r="F125" s="233">
        <f>E125*'CALCULO GERAL'!$C$11</f>
        <v>5.6714699999999993</v>
      </c>
    </row>
    <row r="126" spans="2:7" ht="16" x14ac:dyDescent="0.2">
      <c r="B126" s="127" t="s">
        <v>92</v>
      </c>
      <c r="C126" s="266" t="s">
        <v>439</v>
      </c>
      <c r="D126" s="124">
        <f>VLOOKUP(B126,'TABELA MATRIZ MG'!$A$1:$N$329,14,FALSE)</f>
        <v>120000</v>
      </c>
      <c r="E126" s="191">
        <f>VLOOKUP(B126,'TABELA MATRIZ MG'!$A$2:$BY$329,66,FALSE)</f>
        <v>0.87</v>
      </c>
      <c r="F126" s="233">
        <f>E126*'CALCULO GERAL'!$C$11</f>
        <v>4.36653</v>
      </c>
    </row>
    <row r="127" spans="2:7" ht="16" x14ac:dyDescent="0.2">
      <c r="B127" s="127" t="s">
        <v>357</v>
      </c>
      <c r="C127" s="266" t="s">
        <v>439</v>
      </c>
      <c r="D127" s="124">
        <f>VLOOKUP(B127,'TABELA MATRIZ MG'!$A$1:$N$329,14,FALSE)</f>
        <v>100000</v>
      </c>
      <c r="E127" s="191">
        <f>VLOOKUP(B127,'TABELA MATRIZ MG'!$A$2:$BY$329,66,FALSE)</f>
        <v>1.0900000000000001</v>
      </c>
      <c r="F127" s="233">
        <f>E127*'CALCULO GERAL'!$C$11</f>
        <v>5.4707100000000004</v>
      </c>
    </row>
    <row r="128" spans="2:7" ht="16" x14ac:dyDescent="0.2">
      <c r="B128" s="127" t="s">
        <v>359</v>
      </c>
      <c r="C128" s="266" t="s">
        <v>439</v>
      </c>
      <c r="D128" s="124">
        <f>VLOOKUP(B128,'TABELA MATRIZ MG'!$A$1:$N$329,14,FALSE)</f>
        <v>160000</v>
      </c>
      <c r="E128" s="191">
        <f>VLOOKUP(B128,'TABELA MATRIZ MG'!$A$2:$BY$329,66,FALSE)</f>
        <v>0.79</v>
      </c>
      <c r="F128" s="233">
        <f>E128*'CALCULO GERAL'!$C$11</f>
        <v>3.9650100000000004</v>
      </c>
      <c r="G128" s="151"/>
    </row>
    <row r="129" spans="2:7" ht="16" x14ac:dyDescent="0.2">
      <c r="B129" s="127" t="s">
        <v>360</v>
      </c>
      <c r="C129" s="266" t="s">
        <v>439</v>
      </c>
      <c r="D129" s="124">
        <f>VLOOKUP(B129,'TABELA MATRIZ MG'!$A$1:$N$329,14,FALSE)</f>
        <v>115000</v>
      </c>
      <c r="E129" s="191">
        <f>VLOOKUP(B129,'TABELA MATRIZ MG'!$A$2:$BY$329,66,FALSE)</f>
        <v>0.93</v>
      </c>
      <c r="F129" s="233">
        <f>E129*'CALCULO GERAL'!$C$11</f>
        <v>4.6676700000000002</v>
      </c>
      <c r="G129" s="151"/>
    </row>
    <row r="130" spans="2:7" ht="16" x14ac:dyDescent="0.2">
      <c r="B130" s="127" t="s">
        <v>361</v>
      </c>
      <c r="C130" s="266" t="s">
        <v>439</v>
      </c>
      <c r="D130" s="124">
        <f>VLOOKUP(B130,'TABELA MATRIZ MG'!$A$1:$N$329,14,FALSE)</f>
        <v>108000</v>
      </c>
      <c r="E130" s="191">
        <f>VLOOKUP(B130,'TABELA MATRIZ MG'!$A$2:$BY$329,66,FALSE)</f>
        <v>0.98</v>
      </c>
      <c r="F130" s="233">
        <f>E130*'CALCULO GERAL'!$C$11</f>
        <v>4.9186199999999998</v>
      </c>
    </row>
    <row r="131" spans="2:7" ht="16" x14ac:dyDescent="0.2">
      <c r="B131" s="127" t="s">
        <v>362</v>
      </c>
      <c r="C131" s="266" t="s">
        <v>439</v>
      </c>
      <c r="D131" s="124">
        <f>VLOOKUP(B131,'TABELA MATRIZ MG'!$A$1:$N$329,14,FALSE)</f>
        <v>104000</v>
      </c>
      <c r="E131" s="191">
        <f>VLOOKUP(B131,'TABELA MATRIZ MG'!$A$2:$BY$329,66,FALSE)</f>
        <v>1.01</v>
      </c>
      <c r="F131" s="233">
        <f>E131*'CALCULO GERAL'!$C$11</f>
        <v>5.0691899999999999</v>
      </c>
    </row>
    <row r="132" spans="2:7" ht="16" x14ac:dyDescent="0.2">
      <c r="B132" s="127" t="s">
        <v>363</v>
      </c>
      <c r="C132" s="266" t="s">
        <v>439</v>
      </c>
      <c r="D132" s="124">
        <f>VLOOKUP(B132,'TABELA MATRIZ MG'!$A$1:$N$329,14,FALSE)</f>
        <v>160000</v>
      </c>
      <c r="E132" s="191">
        <f>VLOOKUP(B132,'TABELA MATRIZ MG'!$A$2:$BY$329,66,FALSE)</f>
        <v>0.65</v>
      </c>
      <c r="F132" s="233">
        <f>E132*'CALCULO GERAL'!$C$11</f>
        <v>3.2623500000000001</v>
      </c>
    </row>
    <row r="133" spans="2:7" ht="16" x14ac:dyDescent="0.2">
      <c r="B133" s="127" t="s">
        <v>364</v>
      </c>
      <c r="C133" s="266" t="s">
        <v>439</v>
      </c>
      <c r="D133" s="124">
        <f>VLOOKUP(B133,'TABELA MATRIZ MG'!$A$1:$N$329,14,FALSE)</f>
        <v>115000</v>
      </c>
      <c r="E133" s="191">
        <f>VLOOKUP(B133,'TABELA MATRIZ MG'!$A$2:$BY$329,66,FALSE)</f>
        <v>0.96</v>
      </c>
      <c r="F133" s="233">
        <f>E133*'CALCULO GERAL'!$C$11</f>
        <v>4.8182400000000003</v>
      </c>
    </row>
    <row r="134" spans="2:7" ht="16" x14ac:dyDescent="0.2">
      <c r="B134" s="127" t="s">
        <v>365</v>
      </c>
      <c r="C134" s="266" t="s">
        <v>439</v>
      </c>
      <c r="D134" s="124">
        <f>VLOOKUP(B134,'TABELA MATRIZ MG'!$A$1:$N$329,14,FALSE)</f>
        <v>108000</v>
      </c>
      <c r="E134" s="191">
        <f>VLOOKUP(B134,'TABELA MATRIZ MG'!$A$2:$BY$329,66,FALSE)</f>
        <v>1.01</v>
      </c>
      <c r="F134" s="233">
        <f>E134*'CALCULO GERAL'!$C$11</f>
        <v>5.0691899999999999</v>
      </c>
    </row>
    <row r="135" spans="2:7" ht="16" x14ac:dyDescent="0.2">
      <c r="B135" s="127" t="s">
        <v>366</v>
      </c>
      <c r="C135" s="266" t="s">
        <v>439</v>
      </c>
      <c r="D135" s="124">
        <f>VLOOKUP(B135,'TABELA MATRIZ MG'!$A$1:$N$329,14,FALSE)</f>
        <v>104000</v>
      </c>
      <c r="E135" s="191">
        <f>VLOOKUP(B135,'TABELA MATRIZ MG'!$A$2:$BY$329,66,FALSE)</f>
        <v>1.03</v>
      </c>
      <c r="F135" s="233">
        <f>E135*'CALCULO GERAL'!$C$11</f>
        <v>5.1695700000000002</v>
      </c>
    </row>
    <row r="136" spans="2:7" ht="16" x14ac:dyDescent="0.2">
      <c r="B136" s="127" t="s">
        <v>372</v>
      </c>
      <c r="C136" s="266" t="s">
        <v>439</v>
      </c>
      <c r="D136" s="124">
        <f>VLOOKUP(B136,'TABELA MATRIZ MG'!$A$1:$N$329,14,FALSE)</f>
        <v>70000</v>
      </c>
      <c r="E136" s="191">
        <f>VLOOKUP(B136,'TABELA MATRIZ MG'!$A$2:$BY$329,66,FALSE)</f>
        <v>1.5</v>
      </c>
      <c r="F136" s="233">
        <f>E136*'CALCULO GERAL'!$C$11</f>
        <v>7.5285000000000002</v>
      </c>
    </row>
    <row r="137" spans="2:7" ht="16" x14ac:dyDescent="0.2">
      <c r="B137" s="127" t="s">
        <v>373</v>
      </c>
      <c r="C137" s="266" t="s">
        <v>439</v>
      </c>
      <c r="D137" s="124">
        <f>VLOOKUP(B137,'TABELA MATRIZ MG'!$A$1:$N$329,14,FALSE)</f>
        <v>65000</v>
      </c>
      <c r="E137" s="191">
        <f>VLOOKUP(B137,'TABELA MATRIZ MG'!$A$2:$BY$329,66,FALSE)</f>
        <v>1.56</v>
      </c>
      <c r="F137" s="233">
        <f>E137*'CALCULO GERAL'!$C$11</f>
        <v>7.8296400000000004</v>
      </c>
    </row>
    <row r="138" spans="2:7" ht="16" x14ac:dyDescent="0.2">
      <c r="B138" s="127" t="s">
        <v>374</v>
      </c>
      <c r="C138" s="266" t="s">
        <v>439</v>
      </c>
      <c r="D138" s="124">
        <f>VLOOKUP(B138,'TABELA MATRIZ MG'!$A$1:$N$329,14,FALSE)</f>
        <v>60000</v>
      </c>
      <c r="E138" s="191">
        <f>VLOOKUP(B138,'TABELA MATRIZ MG'!$A$2:$BY$329,66,FALSE)</f>
        <v>1.67</v>
      </c>
      <c r="F138" s="233">
        <f>E138*'CALCULO GERAL'!$C$11</f>
        <v>8.3817299999999992</v>
      </c>
    </row>
    <row r="139" spans="2:7" ht="16" x14ac:dyDescent="0.2">
      <c r="B139" s="127" t="s">
        <v>375</v>
      </c>
      <c r="C139" s="266" t="s">
        <v>439</v>
      </c>
      <c r="D139" s="124">
        <f>VLOOKUP(B139,'TABELA MATRIZ MG'!$A$1:$N$329,14,FALSE)</f>
        <v>75000</v>
      </c>
      <c r="E139" s="191">
        <f>VLOOKUP(B139,'TABELA MATRIZ MG'!$A$2:$BY$329,66,FALSE)</f>
        <v>1.89</v>
      </c>
      <c r="F139" s="233">
        <f>E139*'CALCULO GERAL'!$C$11</f>
        <v>9.4859100000000005</v>
      </c>
    </row>
    <row r="140" spans="2:7" ht="16" x14ac:dyDescent="0.2">
      <c r="B140" s="127" t="s">
        <v>376</v>
      </c>
      <c r="C140" s="266" t="s">
        <v>439</v>
      </c>
      <c r="D140" s="124">
        <f>VLOOKUP(B140,'TABELA MATRIZ MG'!$A$1:$N$329,14,FALSE)</f>
        <v>70000</v>
      </c>
      <c r="E140" s="191">
        <f>VLOOKUP(B140,'TABELA MATRIZ MG'!$A$2:$BY$329,66,FALSE)</f>
        <v>1.98</v>
      </c>
      <c r="F140" s="233">
        <f>E140*'CALCULO GERAL'!$C$11</f>
        <v>9.9376200000000008</v>
      </c>
    </row>
    <row r="141" spans="2:7" ht="16" x14ac:dyDescent="0.2">
      <c r="B141" s="127" t="s">
        <v>377</v>
      </c>
      <c r="C141" s="266" t="s">
        <v>439</v>
      </c>
      <c r="D141" s="124">
        <f>VLOOKUP(B141,'TABELA MATRIZ MG'!$A$1:$N$329,14,FALSE)</f>
        <v>160000</v>
      </c>
      <c r="E141" s="191">
        <f>VLOOKUP(B141,'TABELA MATRIZ MG'!$A$2:$BY$329,66,FALSE)</f>
        <v>1.22</v>
      </c>
      <c r="F141" s="233">
        <f>E141*'CALCULO GERAL'!$C$11</f>
        <v>6.1231799999999996</v>
      </c>
    </row>
    <row r="142" spans="2:7" ht="16" x14ac:dyDescent="0.2">
      <c r="B142" s="127" t="s">
        <v>378</v>
      </c>
      <c r="C142" s="266" t="s">
        <v>439</v>
      </c>
      <c r="D142" s="124">
        <f>VLOOKUP(B142,'TABELA MATRIZ MG'!$A$1:$N$329,14,FALSE)</f>
        <v>74000</v>
      </c>
      <c r="E142" s="191">
        <f>VLOOKUP(B142,'TABELA MATRIZ MG'!$A$2:$BY$329,66,FALSE)</f>
        <v>2.5099999999999998</v>
      </c>
      <c r="F142" s="233">
        <f>E142*'CALCULO GERAL'!$C$11</f>
        <v>12.59769</v>
      </c>
    </row>
    <row r="143" spans="2:7" ht="16" x14ac:dyDescent="0.2">
      <c r="B143" s="127" t="s">
        <v>379</v>
      </c>
      <c r="C143" s="266" t="s">
        <v>439</v>
      </c>
      <c r="D143" s="124">
        <f>VLOOKUP(B143,'TABELA MATRIZ MG'!$A$1:$N$329,14,FALSE)</f>
        <v>130000</v>
      </c>
      <c r="E143" s="191">
        <f>VLOOKUP(B143,'TABELA MATRIZ MG'!$A$2:$BY$329,66,FALSE)</f>
        <v>0.88</v>
      </c>
      <c r="F143" s="233">
        <f>E143*'CALCULO GERAL'!$C$11</f>
        <v>4.4167199999999998</v>
      </c>
    </row>
    <row r="144" spans="2:7" ht="16" x14ac:dyDescent="0.2">
      <c r="B144" s="127" t="s">
        <v>380</v>
      </c>
      <c r="C144" s="266" t="s">
        <v>439</v>
      </c>
      <c r="D144" s="124">
        <f>VLOOKUP(B144,'TABELA MATRIZ MG'!$A$1:$N$329,14,FALSE)</f>
        <v>120000</v>
      </c>
      <c r="E144" s="191">
        <f>VLOOKUP(B144,'TABELA MATRIZ MG'!$A$2:$BY$329,66,FALSE)</f>
        <v>0.81</v>
      </c>
      <c r="F144" s="233">
        <f>E144*'CALCULO GERAL'!$C$11</f>
        <v>4.0653900000000007</v>
      </c>
    </row>
    <row r="145" spans="2:10" ht="16" x14ac:dyDescent="0.2">
      <c r="B145" s="127" t="s">
        <v>381</v>
      </c>
      <c r="C145" s="266" t="s">
        <v>439</v>
      </c>
      <c r="D145" s="124">
        <f>VLOOKUP(B145,'TABELA MATRIZ MG'!$A$1:$N$329,14,FALSE)</f>
        <v>90000</v>
      </c>
      <c r="E145" s="191">
        <f>VLOOKUP(B145,'TABELA MATRIZ MG'!$A$2:$BY$329,66,FALSE)</f>
        <v>1.51</v>
      </c>
      <c r="F145" s="233">
        <f>E145*'CALCULO GERAL'!$C$11</f>
        <v>7.5786899999999999</v>
      </c>
    </row>
    <row r="146" spans="2:10" ht="16" x14ac:dyDescent="0.2">
      <c r="B146" s="127" t="s">
        <v>382</v>
      </c>
      <c r="C146" s="266" t="s">
        <v>440</v>
      </c>
      <c r="D146" s="124">
        <f>VLOOKUP(B146,'TABELA MATRIZ MG'!$A$1:$N$329,14,FALSE)</f>
        <v>17000</v>
      </c>
      <c r="E146" s="191">
        <f>VLOOKUP(B146,'TABELA MATRIZ MG'!$A$2:$BY$329,66,FALSE)</f>
        <v>3.8</v>
      </c>
      <c r="F146" s="233">
        <f>E146*'CALCULO GERAL'!$C$11</f>
        <v>19.072199999999999</v>
      </c>
    </row>
    <row r="147" spans="2:10" ht="16" x14ac:dyDescent="0.2">
      <c r="B147" s="127" t="s">
        <v>384</v>
      </c>
      <c r="C147" s="266" t="s">
        <v>440</v>
      </c>
      <c r="D147" s="124">
        <f>VLOOKUP(B147,'TABELA MATRIZ MG'!$A$1:$N$329,14,FALSE)</f>
        <v>17000</v>
      </c>
      <c r="E147" s="191">
        <f>VLOOKUP(B147,'TABELA MATRIZ MG'!$A$2:$BY$329,66,FALSE)</f>
        <v>4.04</v>
      </c>
      <c r="F147" s="233">
        <f>E147*'CALCULO GERAL'!$C$11</f>
        <v>20.276759999999999</v>
      </c>
      <c r="J147" s="11" t="s">
        <v>385</v>
      </c>
    </row>
    <row r="148" spans="2:10" ht="16" x14ac:dyDescent="0.2">
      <c r="B148" s="127" t="s">
        <v>385</v>
      </c>
      <c r="C148" s="266" t="s">
        <v>440</v>
      </c>
      <c r="D148" s="124">
        <f>VLOOKUP(B148,'TABELA MATRIZ MG'!$A$1:$N$329,14,FALSE)</f>
        <v>22000</v>
      </c>
      <c r="E148" s="191">
        <f>VLOOKUP(B148,'TABELA MATRIZ MG'!$A$2:$BY$329,66,FALSE)</f>
        <v>4.68</v>
      </c>
      <c r="F148" s="233">
        <f>E148*'CALCULO GERAL'!$C$11</f>
        <v>23.48892</v>
      </c>
    </row>
    <row r="149" spans="2:10" ht="16" x14ac:dyDescent="0.2">
      <c r="B149" s="127" t="s">
        <v>387</v>
      </c>
      <c r="C149" s="266" t="s">
        <v>440</v>
      </c>
      <c r="D149" s="124">
        <f>VLOOKUP(B149,'TABELA MATRIZ MG'!$A$1:$N$329,14,FALSE)</f>
        <v>20000</v>
      </c>
      <c r="E149" s="191">
        <f>VLOOKUP(B149,'TABELA MATRIZ MG'!$A$2:$BY$329,66,FALSE)</f>
        <v>5.14</v>
      </c>
      <c r="F149" s="233">
        <f>E149*'CALCULO GERAL'!$C$11</f>
        <v>25.79766</v>
      </c>
    </row>
    <row r="150" spans="2:10" ht="16" x14ac:dyDescent="0.2">
      <c r="B150" s="127" t="s">
        <v>388</v>
      </c>
      <c r="C150" s="266" t="s">
        <v>440</v>
      </c>
      <c r="D150" s="124">
        <f>VLOOKUP(B150,'TABELA MATRIZ MG'!$A$1:$N$329,14,FALSE)</f>
        <v>20000</v>
      </c>
      <c r="E150" s="191">
        <f>VLOOKUP(B150,'TABELA MATRIZ MG'!$A$2:$BY$329,66,FALSE)</f>
        <v>5.32</v>
      </c>
      <c r="F150" s="233">
        <f>E150*'CALCULO GERAL'!$C$11</f>
        <v>26.701080000000001</v>
      </c>
    </row>
    <row r="151" spans="2:10" ht="16" x14ac:dyDescent="0.2">
      <c r="B151" s="127" t="s">
        <v>389</v>
      </c>
      <c r="C151" s="266" t="s">
        <v>440</v>
      </c>
      <c r="D151" s="124">
        <f>VLOOKUP(B151,'TABELA MATRIZ MG'!$A$1:$N$329,14,FALSE)</f>
        <v>80000</v>
      </c>
      <c r="E151" s="191">
        <f>VLOOKUP(B151,'TABELA MATRIZ MG'!$A$2:$BY$329,66,FALSE)</f>
        <v>1.39</v>
      </c>
      <c r="F151" s="233">
        <f>E151*'CALCULO GERAL'!$C$11</f>
        <v>6.9764099999999996</v>
      </c>
    </row>
    <row r="152" spans="2:10" ht="16" x14ac:dyDescent="0.2">
      <c r="B152" s="127" t="s">
        <v>390</v>
      </c>
      <c r="C152" s="266" t="s">
        <v>440</v>
      </c>
      <c r="D152" s="124">
        <f>VLOOKUP(B152,'TABELA MATRIZ MG'!$A$1:$N$329,14,FALSE)</f>
        <v>19000</v>
      </c>
      <c r="E152" s="191">
        <f>VLOOKUP(B152,'TABELA MATRIZ MG'!$A$2:$BY$329,66,FALSE)</f>
        <v>5.39</v>
      </c>
      <c r="F152" s="233">
        <f>E152*'CALCULO GERAL'!$C$11</f>
        <v>27.052409999999998</v>
      </c>
    </row>
    <row r="153" spans="2:10" ht="16" x14ac:dyDescent="0.2">
      <c r="B153" s="127" t="s">
        <v>391</v>
      </c>
      <c r="C153" s="266" t="s">
        <v>440</v>
      </c>
      <c r="D153" s="124">
        <f>VLOOKUP(B153,'TABELA MATRIZ MG'!$A$1:$N$329,14,FALSE)</f>
        <v>13000</v>
      </c>
      <c r="E153" s="191">
        <f>VLOOKUP(B153,'TABELA MATRIZ MG'!$A$2:$BY$329,66,FALSE)</f>
        <v>4.49</v>
      </c>
      <c r="F153" s="233">
        <f>E153*'CALCULO GERAL'!$C$11</f>
        <v>22.535310000000003</v>
      </c>
    </row>
    <row r="154" spans="2:10" ht="16" x14ac:dyDescent="0.2">
      <c r="B154" s="127" t="s">
        <v>392</v>
      </c>
      <c r="C154" s="266" t="s">
        <v>440</v>
      </c>
      <c r="D154" s="124">
        <f>VLOOKUP(B154,'TABELA MATRIZ MG'!$A$1:$N$329,14,FALSE)</f>
        <v>13000</v>
      </c>
      <c r="E154" s="191">
        <f>VLOOKUP(B154,'TABELA MATRIZ MG'!$A$2:$BY$329,66,FALSE)</f>
        <v>5.15</v>
      </c>
      <c r="F154" s="233">
        <f>E154*'CALCULO GERAL'!$C$11</f>
        <v>25.847850000000001</v>
      </c>
    </row>
    <row r="155" spans="2:10" ht="16" x14ac:dyDescent="0.2">
      <c r="B155" s="127" t="s">
        <v>393</v>
      </c>
      <c r="C155" s="266" t="s">
        <v>440</v>
      </c>
      <c r="D155" s="124">
        <f>VLOOKUP(B155,'TABELA MATRIZ MG'!$A$1:$N$329,14,FALSE)</f>
        <v>14000</v>
      </c>
      <c r="E155" s="191">
        <f>VLOOKUP(B155,'TABELA MATRIZ MG'!$A$2:$BY$329,66,FALSE)</f>
        <v>5.14</v>
      </c>
      <c r="F155" s="233">
        <f>E155*'CALCULO GERAL'!$C$11</f>
        <v>25.79766</v>
      </c>
    </row>
    <row r="156" spans="2:10" ht="16" x14ac:dyDescent="0.2">
      <c r="B156" s="127" t="s">
        <v>394</v>
      </c>
      <c r="C156" s="266" t="s">
        <v>440</v>
      </c>
      <c r="D156" s="124">
        <f>VLOOKUP(B156,'TABELA MATRIZ MG'!$A$1:$N$329,14,FALSE)</f>
        <v>14000</v>
      </c>
      <c r="E156" s="191">
        <f>VLOOKUP(B156,'TABELA MATRIZ MG'!$A$2:$BY$329,66,FALSE)</f>
        <v>5.59</v>
      </c>
      <c r="F156" s="233">
        <f>E156*'CALCULO GERAL'!$C$11</f>
        <v>28.05621</v>
      </c>
    </row>
    <row r="157" spans="2:10" ht="16" x14ac:dyDescent="0.2">
      <c r="B157" s="127" t="s">
        <v>395</v>
      </c>
      <c r="C157" s="266" t="s">
        <v>439</v>
      </c>
      <c r="D157" s="124">
        <f>VLOOKUP(B157,'TABELA MATRIZ MG'!$A$1:$N$329,14,FALSE)</f>
        <v>60000</v>
      </c>
      <c r="E157" s="191">
        <f>VLOOKUP(B157,'TABELA MATRIZ MG'!$A$2:$BY$329,66,FALSE)</f>
        <v>1.8</v>
      </c>
      <c r="F157" s="233">
        <f>E157*'CALCULO GERAL'!$C$11</f>
        <v>9.0342000000000002</v>
      </c>
    </row>
    <row r="158" spans="2:10" ht="16" x14ac:dyDescent="0.2">
      <c r="B158" s="127" t="s">
        <v>396</v>
      </c>
      <c r="C158" s="266" t="s">
        <v>439</v>
      </c>
      <c r="D158" s="124">
        <f>VLOOKUP(B158,'TABELA MATRIZ MG'!$A$1:$N$329,14,FALSE)</f>
        <v>58000</v>
      </c>
      <c r="E158" s="191">
        <f>VLOOKUP(B158,'TABELA MATRIZ MG'!$A$2:$BY$329,66,FALSE)</f>
        <v>1.8</v>
      </c>
      <c r="F158" s="233">
        <f>E158*'CALCULO GERAL'!$C$11</f>
        <v>9.0342000000000002</v>
      </c>
    </row>
    <row r="159" spans="2:10" ht="16" x14ac:dyDescent="0.2">
      <c r="B159" s="127" t="s">
        <v>397</v>
      </c>
      <c r="C159" s="266" t="s">
        <v>439</v>
      </c>
      <c r="D159" s="124">
        <f>VLOOKUP(B159,'TABELA MATRIZ MG'!$A$1:$N$329,14,FALSE)</f>
        <v>80000</v>
      </c>
      <c r="E159" s="191">
        <f>VLOOKUP(B159,'TABELA MATRIZ MG'!$A$2:$BY$329,66,FALSE)</f>
        <v>1.38</v>
      </c>
      <c r="F159" s="233">
        <f>E159*'CALCULO GERAL'!$C$11</f>
        <v>6.9262199999999998</v>
      </c>
    </row>
    <row r="160" spans="2:10" ht="16" x14ac:dyDescent="0.2">
      <c r="B160" s="127" t="s">
        <v>398</v>
      </c>
      <c r="C160" s="266" t="s">
        <v>439</v>
      </c>
      <c r="D160" s="124">
        <f>VLOOKUP(B160,'TABELA MATRIZ MG'!$A$1:$N$329,14,FALSE)</f>
        <v>180000</v>
      </c>
      <c r="E160" s="191">
        <f>VLOOKUP(B160,'TABELA MATRIZ MG'!$A$2:$BY$329,66,FALSE)</f>
        <v>0.91</v>
      </c>
      <c r="F160" s="233">
        <f>E160*'CALCULO GERAL'!$C$11</f>
        <v>4.5672899999999998</v>
      </c>
    </row>
    <row r="161" spans="2:11" ht="16" x14ac:dyDescent="0.2">
      <c r="B161" s="127" t="s">
        <v>400</v>
      </c>
      <c r="C161" s="266" t="s">
        <v>439</v>
      </c>
      <c r="D161" s="124">
        <f>VLOOKUP(B161,'TABELA MATRIZ MG'!$A$1:$N$329,14,FALSE)</f>
        <v>180000</v>
      </c>
      <c r="E161" s="191">
        <f>VLOOKUP(B161,'TABELA MATRIZ MG'!$A$2:$BY$329,66,FALSE)</f>
        <v>0.87</v>
      </c>
      <c r="F161" s="233">
        <f>E161*'CALCULO GERAL'!$C$11</f>
        <v>4.36653</v>
      </c>
      <c r="G161" s="260">
        <f>D162/68</f>
        <v>1029.4117647058824</v>
      </c>
      <c r="H161" s="260">
        <f>G161*54</f>
        <v>55588.23529411765</v>
      </c>
    </row>
    <row r="162" spans="2:11" ht="16" x14ac:dyDescent="0.2">
      <c r="B162" s="127" t="s">
        <v>401</v>
      </c>
      <c r="C162" s="266" t="s">
        <v>439</v>
      </c>
      <c r="D162" s="124">
        <f>VLOOKUP(B162,'TABELA MATRIZ MG'!$A$1:$N$329,14,FALSE)</f>
        <v>70000</v>
      </c>
      <c r="E162" s="191">
        <f>VLOOKUP(B162,'TABELA MATRIZ MG'!$A$2:$BY$329,66,FALSE)</f>
        <v>1.73</v>
      </c>
      <c r="F162" s="233">
        <f>E162*'CALCULO GERAL'!$C$11</f>
        <v>8.6828699999999994</v>
      </c>
    </row>
    <row r="163" spans="2:11" ht="16" x14ac:dyDescent="0.2">
      <c r="B163" s="127" t="s">
        <v>406</v>
      </c>
      <c r="C163" s="127" t="s">
        <v>437</v>
      </c>
      <c r="D163" s="124" t="e">
        <f>VLOOKUP(B163,'TABELA MATRIZ MG'!$A$1:$N$329,14,FALSE)</f>
        <v>#N/A</v>
      </c>
      <c r="E163" s="191" t="e">
        <f>VLOOKUP(B163,'TABELA MATRIZ MG'!$A$2:$BY$329,66,FALSE)</f>
        <v>#N/A</v>
      </c>
      <c r="F163" s="233" t="e">
        <f>E163*'CALCULO GERAL'!$C$11</f>
        <v>#N/A</v>
      </c>
      <c r="G163" s="235">
        <f t="shared" ref="G163:G168" si="0">F149*1.05</f>
        <v>27.087543</v>
      </c>
      <c r="H163" s="11" t="s">
        <v>444</v>
      </c>
      <c r="J163" s="11">
        <v>0.88570000000000004</v>
      </c>
      <c r="K163" s="55">
        <f t="shared" ref="K163:K174" si="1">J163/F149-1</f>
        <v>-0.96566742875128986</v>
      </c>
    </row>
    <row r="164" spans="2:11" ht="16" x14ac:dyDescent="0.2">
      <c r="B164" s="127" t="s">
        <v>407</v>
      </c>
      <c r="C164" s="127" t="s">
        <v>437</v>
      </c>
      <c r="D164" s="124" t="e">
        <f>VLOOKUP(B164,'TABELA MATRIZ MG'!$A$1:$N$329,14,FALSE)</f>
        <v>#N/A</v>
      </c>
      <c r="E164" s="191" t="e">
        <f>VLOOKUP(B164,'TABELA MATRIZ MG'!$A$2:$BY$329,66,FALSE)</f>
        <v>#N/A</v>
      </c>
      <c r="F164" s="233" t="e">
        <f>E164*'CALCULO GERAL'!$C$11</f>
        <v>#N/A</v>
      </c>
      <c r="G164" s="235">
        <f t="shared" si="0"/>
        <v>28.036134000000001</v>
      </c>
      <c r="H164" s="11" t="s">
        <v>445</v>
      </c>
      <c r="J164" s="11">
        <v>0.91610000000000003</v>
      </c>
      <c r="K164" s="55">
        <f t="shared" si="1"/>
        <v>-0.96569052637571218</v>
      </c>
    </row>
    <row r="165" spans="2:11" ht="16" x14ac:dyDescent="0.2">
      <c r="B165" s="127" t="s">
        <v>408</v>
      </c>
      <c r="C165" s="127" t="s">
        <v>437</v>
      </c>
      <c r="D165" s="124" t="e">
        <f>VLOOKUP(B165,'TABELA MATRIZ MG'!$A$1:$N$329,14,FALSE)</f>
        <v>#N/A</v>
      </c>
      <c r="E165" s="191" t="e">
        <f>VLOOKUP(B165,'TABELA MATRIZ MG'!$A$2:$BY$329,66,FALSE)</f>
        <v>#N/A</v>
      </c>
      <c r="F165" s="233" t="e">
        <f>E165*'CALCULO GERAL'!$C$11</f>
        <v>#N/A</v>
      </c>
      <c r="G165" s="235">
        <f t="shared" si="0"/>
        <v>7.3252305</v>
      </c>
      <c r="H165" s="11" t="s">
        <v>446</v>
      </c>
      <c r="J165" s="11">
        <v>0.94669999999999999</v>
      </c>
      <c r="K165" s="55">
        <f t="shared" si="1"/>
        <v>-0.86429983329534821</v>
      </c>
    </row>
    <row r="166" spans="2:11" ht="16" x14ac:dyDescent="0.2">
      <c r="B166" s="127" t="s">
        <v>409</v>
      </c>
      <c r="C166" s="127" t="s">
        <v>437</v>
      </c>
      <c r="D166" s="124" t="e">
        <f>VLOOKUP(B166,'TABELA MATRIZ MG'!$A$1:$N$329,14,FALSE)</f>
        <v>#N/A</v>
      </c>
      <c r="E166" s="191" t="e">
        <f>VLOOKUP(B166,'TABELA MATRIZ MG'!$A$2:$BY$329,66,FALSE)</f>
        <v>#N/A</v>
      </c>
      <c r="F166" s="233" t="e">
        <f>E166*'CALCULO GERAL'!$C$11</f>
        <v>#N/A</v>
      </c>
      <c r="G166" s="235">
        <f t="shared" si="0"/>
        <v>28.405030499999999</v>
      </c>
      <c r="H166" s="11" t="s">
        <v>447</v>
      </c>
      <c r="J166" s="11">
        <v>0.97709999999999997</v>
      </c>
      <c r="K166" s="55">
        <f t="shared" si="1"/>
        <v>-0.96388122167304136</v>
      </c>
    </row>
    <row r="167" spans="2:11" ht="16" x14ac:dyDescent="0.2">
      <c r="B167" s="127" t="s">
        <v>410</v>
      </c>
      <c r="C167" s="127" t="s">
        <v>437</v>
      </c>
      <c r="D167" s="124" t="e">
        <f>VLOOKUP(B167,'TABELA MATRIZ MG'!$A$1:$N$329,14,FALSE)</f>
        <v>#N/A</v>
      </c>
      <c r="E167" s="191" t="e">
        <f>VLOOKUP(B167,'TABELA MATRIZ MG'!$A$2:$BY$329,66,FALSE)</f>
        <v>#N/A</v>
      </c>
      <c r="F167" s="233" t="e">
        <f>E167*'CALCULO GERAL'!$C$11</f>
        <v>#N/A</v>
      </c>
      <c r="G167" s="235">
        <f t="shared" si="0"/>
        <v>23.662075500000004</v>
      </c>
      <c r="H167" s="11" t="s">
        <v>448</v>
      </c>
      <c r="J167" s="11">
        <v>1.0381</v>
      </c>
      <c r="K167" s="55">
        <f t="shared" si="1"/>
        <v>-0.95393451432440912</v>
      </c>
    </row>
    <row r="168" spans="2:11" ht="16" x14ac:dyDescent="0.2">
      <c r="B168" s="127" t="s">
        <v>411</v>
      </c>
      <c r="C168" s="127" t="s">
        <v>437</v>
      </c>
      <c r="D168" s="124" t="e">
        <f>VLOOKUP(B168,'TABELA MATRIZ MG'!$A$1:$N$329,14,FALSE)</f>
        <v>#N/A</v>
      </c>
      <c r="E168" s="191" t="e">
        <f>VLOOKUP(B168,'TABELA MATRIZ MG'!$A$2:$BY$329,66,FALSE)</f>
        <v>#N/A</v>
      </c>
      <c r="F168" s="233" t="e">
        <f>E168*'CALCULO GERAL'!$C$11</f>
        <v>#N/A</v>
      </c>
      <c r="G168" s="235">
        <f t="shared" si="0"/>
        <v>27.140242500000003</v>
      </c>
      <c r="H168" s="11" t="s">
        <v>449</v>
      </c>
      <c r="J168" s="11">
        <v>1.0989</v>
      </c>
      <c r="K168" s="55">
        <f t="shared" si="1"/>
        <v>-0.95748582570697371</v>
      </c>
    </row>
    <row r="169" spans="2:11" ht="16" x14ac:dyDescent="0.2">
      <c r="B169" s="127" t="s">
        <v>412</v>
      </c>
      <c r="C169" s="127" t="s">
        <v>437</v>
      </c>
      <c r="D169" s="124" t="e">
        <f>VLOOKUP(B169,'TABELA MATRIZ MG'!$A$1:$N$329,14,FALSE)</f>
        <v>#N/A</v>
      </c>
      <c r="E169" s="191" t="e">
        <f>VLOOKUP(B169,'TABELA MATRIZ MG'!$A$2:$BY$329,66,FALSE)</f>
        <v>#N/A</v>
      </c>
      <c r="F169" s="233" t="e">
        <f>E169*'CALCULO GERAL'!$C$11</f>
        <v>#N/A</v>
      </c>
      <c r="H169" s="11" t="s">
        <v>450</v>
      </c>
      <c r="J169" s="11">
        <v>1.0182</v>
      </c>
      <c r="K169" s="55">
        <f t="shared" si="1"/>
        <v>-0.96053130400199094</v>
      </c>
    </row>
    <row r="170" spans="2:11" ht="16" x14ac:dyDescent="0.2">
      <c r="B170" s="127" t="s">
        <v>413</v>
      </c>
      <c r="C170" s="127" t="s">
        <v>437</v>
      </c>
      <c r="D170" s="124" t="e">
        <f>VLOOKUP(B170,'TABELA MATRIZ MG'!$A$1:$N$329,14,FALSE)</f>
        <v>#N/A</v>
      </c>
      <c r="E170" s="191" t="e">
        <f>VLOOKUP(B170,'TABELA MATRIZ MG'!$A$2:$BY$329,66,FALSE)</f>
        <v>#N/A</v>
      </c>
      <c r="F170" s="233" t="e">
        <f>E170*'CALCULO GERAL'!$C$11</f>
        <v>#N/A</v>
      </c>
      <c r="H170" s="11" t="s">
        <v>451</v>
      </c>
      <c r="J170" s="11">
        <v>1.0596000000000001</v>
      </c>
      <c r="K170" s="55">
        <f t="shared" si="1"/>
        <v>-0.96223296018956228</v>
      </c>
    </row>
    <row r="171" spans="2:11" ht="16" x14ac:dyDescent="0.2">
      <c r="B171" s="127" t="s">
        <v>414</v>
      </c>
      <c r="C171" s="127" t="s">
        <v>437</v>
      </c>
      <c r="D171" s="124" t="e">
        <f>VLOOKUP(B171,'TABELA MATRIZ MG'!$A$1:$N$329,14,FALSE)</f>
        <v>#N/A</v>
      </c>
      <c r="E171" s="191" t="e">
        <f>VLOOKUP(B171,'TABELA MATRIZ MG'!$A$2:$BY$329,66,FALSE)</f>
        <v>#N/A</v>
      </c>
      <c r="F171" s="233" t="e">
        <f>E171*'CALCULO GERAL'!$C$11</f>
        <v>#N/A</v>
      </c>
      <c r="H171" s="11" t="s">
        <v>452</v>
      </c>
      <c r="J171" s="11">
        <v>1.1011</v>
      </c>
      <c r="K171" s="55">
        <f t="shared" si="1"/>
        <v>-0.87811870447853713</v>
      </c>
    </row>
    <row r="172" spans="2:11" ht="16" x14ac:dyDescent="0.2">
      <c r="B172" s="127" t="s">
        <v>415</v>
      </c>
      <c r="C172" s="127" t="s">
        <v>437</v>
      </c>
      <c r="D172" s="124" t="e">
        <f>VLOOKUP(B172,'TABELA MATRIZ MG'!$A$1:$N$329,14,FALSE)</f>
        <v>#N/A</v>
      </c>
      <c r="E172" s="191" t="e">
        <f>VLOOKUP(B172,'TABELA MATRIZ MG'!$A$2:$BY$329,66,FALSE)</f>
        <v>#N/A</v>
      </c>
      <c r="F172" s="233" t="e">
        <f>E172*'CALCULO GERAL'!$C$11</f>
        <v>#N/A</v>
      </c>
      <c r="H172" s="11" t="s">
        <v>453</v>
      </c>
      <c r="J172" s="11">
        <v>1.1425000000000001</v>
      </c>
      <c r="K172" s="55">
        <f t="shared" si="1"/>
        <v>-0.87353611830599276</v>
      </c>
    </row>
    <row r="173" spans="2:11" ht="16" x14ac:dyDescent="0.2">
      <c r="B173" s="127" t="s">
        <v>416</v>
      </c>
      <c r="C173" s="127" t="s">
        <v>437</v>
      </c>
      <c r="D173" s="124" t="e">
        <f>VLOOKUP(B173,'TABELA MATRIZ MG'!$A$1:$N$329,14,FALSE)</f>
        <v>#N/A</v>
      </c>
      <c r="E173" s="191" t="e">
        <f>VLOOKUP(B173,'TABELA MATRIZ MG'!$A$2:$BY$329,66,FALSE)</f>
        <v>#N/A</v>
      </c>
      <c r="F173" s="233" t="e">
        <f>E173*'CALCULO GERAL'!$C$11</f>
        <v>#N/A</v>
      </c>
      <c r="H173" s="11" t="s">
        <v>454</v>
      </c>
      <c r="J173" s="11">
        <v>1.2254</v>
      </c>
      <c r="K173" s="55">
        <f t="shared" si="1"/>
        <v>-0.82307810032023232</v>
      </c>
    </row>
    <row r="174" spans="2:11" ht="16" x14ac:dyDescent="0.2">
      <c r="B174" s="127" t="s">
        <v>417</v>
      </c>
      <c r="C174" s="127" t="s">
        <v>437</v>
      </c>
      <c r="D174" s="124" t="e">
        <f>VLOOKUP(B174,'TABELA MATRIZ MG'!$A$1:$N$329,14,FALSE)</f>
        <v>#N/A</v>
      </c>
      <c r="E174" s="191" t="e">
        <f>VLOOKUP(B174,'TABELA MATRIZ MG'!$A$2:$BY$329,66,FALSE)</f>
        <v>#N/A</v>
      </c>
      <c r="F174" s="233" t="e">
        <f>E174*'CALCULO GERAL'!$C$11</f>
        <v>#N/A</v>
      </c>
      <c r="H174" s="11" t="s">
        <v>455</v>
      </c>
      <c r="J174" s="11">
        <v>1.3082</v>
      </c>
      <c r="K174" s="152">
        <f t="shared" si="1"/>
        <v>-0.71357194309973748</v>
      </c>
    </row>
    <row r="175" spans="2:11" ht="16" x14ac:dyDescent="0.2">
      <c r="B175" s="127" t="s">
        <v>418</v>
      </c>
      <c r="C175" s="127" t="s">
        <v>437</v>
      </c>
      <c r="D175" s="124" t="e">
        <f>VLOOKUP(B175,'TABELA MATRIZ MG'!$A$1:$N$329,14,FALSE)</f>
        <v>#N/A</v>
      </c>
      <c r="E175" s="191" t="e">
        <f>VLOOKUP(B175,'TABELA MATRIZ MG'!$A$2:$BY$329,66,FALSE)</f>
        <v>#N/A</v>
      </c>
      <c r="F175" s="233" t="e">
        <f>E175*'CALCULO GERAL'!$C$11</f>
        <v>#N/A</v>
      </c>
    </row>
    <row r="176" spans="2:11" ht="16" x14ac:dyDescent="0.2">
      <c r="B176" s="127" t="s">
        <v>419</v>
      </c>
      <c r="C176" s="127" t="s">
        <v>437</v>
      </c>
      <c r="D176" s="124" t="e">
        <f>VLOOKUP(B176,'TABELA MATRIZ MG'!$A$1:$N$329,14,FALSE)</f>
        <v>#N/A</v>
      </c>
      <c r="E176" s="191" t="e">
        <f>VLOOKUP(B176,'TABELA MATRIZ MG'!$A$2:$BY$329,66,FALSE)</f>
        <v>#N/A</v>
      </c>
      <c r="F176" s="233" t="e">
        <f>E176*'CALCULO GERAL'!$C$11</f>
        <v>#N/A</v>
      </c>
    </row>
    <row r="177" spans="2:8" ht="16" x14ac:dyDescent="0.2">
      <c r="B177" s="127" t="s">
        <v>420</v>
      </c>
      <c r="C177" s="127" t="s">
        <v>437</v>
      </c>
      <c r="D177" s="124" t="e">
        <f>VLOOKUP(B177,'TABELA MATRIZ MG'!$A$1:$N$329,14,FALSE)</f>
        <v>#N/A</v>
      </c>
      <c r="E177" s="191" t="e">
        <f>VLOOKUP(B177,'TABELA MATRIZ MG'!$A$2:$BY$329,66,FALSE)</f>
        <v>#N/A</v>
      </c>
      <c r="F177" s="233" t="e">
        <f>E177*'CALCULO GERAL'!$C$11</f>
        <v>#N/A</v>
      </c>
    </row>
    <row r="178" spans="2:8" ht="16" x14ac:dyDescent="0.2">
      <c r="B178" s="127" t="s">
        <v>421</v>
      </c>
      <c r="C178" s="127" t="s">
        <v>437</v>
      </c>
      <c r="D178" s="124" t="e">
        <f>VLOOKUP(B178,'TABELA MATRIZ MG'!$A$1:$N$329,14,FALSE)</f>
        <v>#N/A</v>
      </c>
      <c r="E178" s="191" t="e">
        <f>VLOOKUP(B178,'TABELA MATRIZ MG'!$A$2:$BY$329,66,FALSE)</f>
        <v>#N/A</v>
      </c>
      <c r="F178" s="233" t="e">
        <f>E178*'CALCULO GERAL'!$C$11</f>
        <v>#N/A</v>
      </c>
    </row>
    <row r="179" spans="2:8" ht="16" x14ac:dyDescent="0.2">
      <c r="B179" s="127" t="s">
        <v>422</v>
      </c>
      <c r="C179" s="127" t="s">
        <v>437</v>
      </c>
      <c r="D179" s="124" t="e">
        <f>VLOOKUP(B179,'TABELA MATRIZ MG'!$A$1:$N$329,14,FALSE)</f>
        <v>#N/A</v>
      </c>
      <c r="E179" s="191" t="e">
        <f>VLOOKUP(B179,'TABELA MATRIZ MG'!$A$2:$BY$329,66,FALSE)</f>
        <v>#N/A</v>
      </c>
      <c r="F179" s="233" t="e">
        <f>E179*'CALCULO GERAL'!$C$11</f>
        <v>#N/A</v>
      </c>
    </row>
    <row r="180" spans="2:8" ht="16" x14ac:dyDescent="0.2">
      <c r="B180" s="127" t="s">
        <v>423</v>
      </c>
      <c r="C180" s="127" t="s">
        <v>437</v>
      </c>
      <c r="D180" s="124" t="e">
        <f>VLOOKUP(B180,'TABELA MATRIZ MG'!$A$1:$N$329,14,FALSE)</f>
        <v>#N/A</v>
      </c>
      <c r="E180" s="191" t="e">
        <f>VLOOKUP(B180,'TABELA MATRIZ MG'!$A$2:$BY$329,66,FALSE)</f>
        <v>#N/A</v>
      </c>
      <c r="F180" s="233" t="e">
        <f>E180*'CALCULO GERAL'!$C$11</f>
        <v>#N/A</v>
      </c>
    </row>
    <row r="181" spans="2:8" ht="16" x14ac:dyDescent="0.2">
      <c r="B181" s="127" t="s">
        <v>424</v>
      </c>
      <c r="C181" s="127" t="s">
        <v>439</v>
      </c>
      <c r="D181" s="124" t="e">
        <f>VLOOKUP(B181,'TABELA MATRIZ MG'!$A$1:$N$329,14,FALSE)</f>
        <v>#N/A</v>
      </c>
      <c r="E181" s="191" t="e">
        <f>VLOOKUP(B181,'TABELA MATRIZ MG'!$A$2:$BY$329,66,FALSE)</f>
        <v>#N/A</v>
      </c>
      <c r="F181" s="233" t="e">
        <f>E181*'CALCULO GERAL'!$C$11</f>
        <v>#N/A</v>
      </c>
    </row>
    <row r="182" spans="2:8" ht="17" thickBot="1" x14ac:dyDescent="0.25">
      <c r="B182" s="270" t="s">
        <v>425</v>
      </c>
      <c r="C182" s="270" t="s">
        <v>437</v>
      </c>
      <c r="D182" s="271" t="e">
        <f>VLOOKUP(B182,'TABELA MATRIZ MG'!$A$1:$N$329,14,FALSE)</f>
        <v>#N/A</v>
      </c>
      <c r="E182" s="272" t="e">
        <f>VLOOKUP(B182,'TABELA MATRIZ MG'!$A$2:$BY$329,66,FALSE)</f>
        <v>#N/A</v>
      </c>
      <c r="F182" s="273" t="e">
        <f>E182*'CALCULO GERAL'!$C$11</f>
        <v>#N/A</v>
      </c>
    </row>
    <row r="183" spans="2:8" x14ac:dyDescent="0.2">
      <c r="C183" s="4"/>
      <c r="H183" s="11" t="s">
        <v>456</v>
      </c>
    </row>
    <row r="184" spans="2:8" x14ac:dyDescent="0.2">
      <c r="C184" s="4"/>
      <c r="H184" s="11" t="s">
        <v>457</v>
      </c>
    </row>
    <row r="185" spans="2:8" x14ac:dyDescent="0.2">
      <c r="C185" s="4"/>
      <c r="H185" s="11" t="s">
        <v>458</v>
      </c>
    </row>
    <row r="186" spans="2:8" x14ac:dyDescent="0.2">
      <c r="C186" s="4"/>
      <c r="H186" s="11" t="s">
        <v>459</v>
      </c>
    </row>
    <row r="187" spans="2:8" x14ac:dyDescent="0.2">
      <c r="C187" s="4"/>
      <c r="H187" s="11" t="s">
        <v>460</v>
      </c>
    </row>
    <row r="188" spans="2:8" x14ac:dyDescent="0.2">
      <c r="C188" s="4"/>
      <c r="H188" s="11" t="s">
        <v>461</v>
      </c>
    </row>
    <row r="189" spans="2:8" x14ac:dyDescent="0.2">
      <c r="C189" s="4"/>
      <c r="H189" s="11" t="s">
        <v>462</v>
      </c>
    </row>
    <row r="190" spans="2:8" x14ac:dyDescent="0.2">
      <c r="C190" s="4"/>
      <c r="H190" s="11" t="s">
        <v>463</v>
      </c>
    </row>
    <row r="191" spans="2:8" x14ac:dyDescent="0.2">
      <c r="C191" s="4"/>
      <c r="H191" s="11" t="s">
        <v>464</v>
      </c>
    </row>
    <row r="193" spans="2:6" x14ac:dyDescent="0.2">
      <c r="B193" s="613" t="s">
        <v>465</v>
      </c>
      <c r="C193" s="614"/>
      <c r="D193" s="614"/>
      <c r="E193" s="614"/>
      <c r="F193" s="614"/>
    </row>
    <row r="194" spans="2:6" ht="20.5" customHeight="1" x14ac:dyDescent="0.2">
      <c r="B194" s="614"/>
      <c r="C194" s="614"/>
      <c r="D194" s="614"/>
      <c r="E194" s="614"/>
      <c r="F194" s="614"/>
    </row>
    <row r="195" spans="2:6" ht="17.5" customHeight="1" x14ac:dyDescent="0.2">
      <c r="B195" s="614"/>
      <c r="C195" s="614"/>
      <c r="D195" s="614"/>
      <c r="E195" s="614"/>
      <c r="F195" s="614"/>
    </row>
  </sheetData>
  <autoFilter ref="B10:F191" xr:uid="{542063AE-7941-42DC-8D88-BE84CA33EA24}"/>
  <sortState xmlns:xlrd2="http://schemas.microsoft.com/office/spreadsheetml/2017/richdata2" ref="B11:F126">
    <sortCondition ref="B11:B126"/>
  </sortState>
  <mergeCells count="3">
    <mergeCell ref="B193:F195"/>
    <mergeCell ref="B6:F7"/>
    <mergeCell ref="B8:F8"/>
  </mergeCells>
  <conditionalFormatting sqref="B11:B22">
    <cfRule type="duplicateValues" dxfId="14" priority="17"/>
  </conditionalFormatting>
  <conditionalFormatting sqref="B51">
    <cfRule type="duplicateValues" dxfId="13" priority="16"/>
  </conditionalFormatting>
  <conditionalFormatting sqref="B52:B53">
    <cfRule type="duplicateValues" dxfId="12" priority="8"/>
  </conditionalFormatting>
  <conditionalFormatting sqref="B56:B57">
    <cfRule type="duplicateValues" dxfId="11" priority="3"/>
  </conditionalFormatting>
  <conditionalFormatting sqref="B66:B67">
    <cfRule type="duplicateValues" dxfId="10" priority="14"/>
  </conditionalFormatting>
  <conditionalFormatting sqref="B68:B69">
    <cfRule type="duplicateValues" dxfId="9" priority="11"/>
  </conditionalFormatting>
  <conditionalFormatting sqref="B95">
    <cfRule type="duplicateValues" dxfId="8" priority="10"/>
  </conditionalFormatting>
  <conditionalFormatting sqref="B114:B116">
    <cfRule type="duplicateValues" dxfId="7" priority="13"/>
  </conditionalFormatting>
  <conditionalFormatting sqref="B117:B119">
    <cfRule type="duplicateValues" dxfId="6" priority="38"/>
  </conditionalFormatting>
  <conditionalFormatting sqref="B120 B23:B39 B54:B55 B96:B113 B58:B65 B125:B131 B70:B94 B44:B50">
    <cfRule type="duplicateValues" dxfId="5" priority="60"/>
  </conditionalFormatting>
  <conditionalFormatting sqref="B121:B124">
    <cfRule type="duplicateValues" dxfId="4" priority="1"/>
  </conditionalFormatting>
  <conditionalFormatting sqref="B132:B139">
    <cfRule type="duplicateValues" dxfId="3" priority="4"/>
  </conditionalFormatting>
  <conditionalFormatting sqref="B140:B182">
    <cfRule type="duplicateValues" dxfId="2" priority="98"/>
  </conditionalFormatting>
  <conditionalFormatting sqref="I10:I13">
    <cfRule type="duplicateValues" dxfId="1" priority="7"/>
  </conditionalFormatting>
  <conditionalFormatting sqref="I64:I66">
    <cfRule type="duplicateValues" dxfId="0" priority="6"/>
  </conditionalFormatting>
  <printOptions horizontalCentered="1"/>
  <pageMargins left="0" right="0" top="0" bottom="0" header="0.31496062992125984" footer="0.31496062992125984"/>
  <pageSetup paperSize="9" scale="8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98B96352B9D824F97C61E73608278B5" ma:contentTypeVersion="14" ma:contentTypeDescription="Crie um novo documento." ma:contentTypeScope="" ma:versionID="f5b5a019388347b738ae8e14b44db75d">
  <xsd:schema xmlns:xsd="http://www.w3.org/2001/XMLSchema" xmlns:xs="http://www.w3.org/2001/XMLSchema" xmlns:p="http://schemas.microsoft.com/office/2006/metadata/properties" xmlns:ns2="9d32fc92-f5e0-4f4f-8228-7dc8acafb99d" xmlns:ns3="900e8337-faa3-4ce3-8032-56de53f09034" targetNamespace="http://schemas.microsoft.com/office/2006/metadata/properties" ma:root="true" ma:fieldsID="f283c3e80ce8e447a669cc281edac1dc" ns2:_="" ns3:_="">
    <xsd:import namespace="9d32fc92-f5e0-4f4f-8228-7dc8acafb99d"/>
    <xsd:import namespace="900e8337-faa3-4ce3-8032-56de53f090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32fc92-f5e0-4f4f-8228-7dc8acafb9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d78f98e9-fd46-415f-ab9e-a92b936423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0e8337-faa3-4ce3-8032-56de53f090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a7eea36-7aa3-470c-96ba-14b703ab1fba}" ma:internalName="TaxCatchAll" ma:showField="CatchAllData" ma:web="900e8337-faa3-4ce3-8032-56de53f090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d32fc92-f5e0-4f4f-8228-7dc8acafb99d">
      <Terms xmlns="http://schemas.microsoft.com/office/infopath/2007/PartnerControls"/>
    </lcf76f155ced4ddcb4097134ff3c332f>
    <TaxCatchAll xmlns="900e8337-faa3-4ce3-8032-56de53f09034" xsi:nil="true"/>
  </documentManagement>
</p:properties>
</file>

<file path=customXml/itemProps1.xml><?xml version="1.0" encoding="utf-8"?>
<ds:datastoreItem xmlns:ds="http://schemas.openxmlformats.org/officeDocument/2006/customXml" ds:itemID="{59F8C770-2899-4741-A2BB-B3CADEB9D302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85BC3BF-B647-46B1-AFCF-091D3FDF0EFD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9d32fc92-f5e0-4f4f-8228-7dc8acafb99d"/>
    <ds:schemaRef ds:uri="900e8337-faa3-4ce3-8032-56de53f09034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828CBF5-2D9E-453D-A853-0D82CEE5201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A75FE45-9FAF-4797-9B98-AF9A3FA41375}">
  <ds:schemaRefs>
    <ds:schemaRef ds:uri="900e8337-faa3-4ce3-8032-56de53f09034"/>
    <ds:schemaRef ds:uri="http://purl.org/dc/elements/1.1/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9d32fc92-f5e0-4f4f-8228-7dc8acafb99d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e0243897-1c14-4e97-b016-5a3bf4d7ed4b}" enabled="0" method="" siteId="{e0243897-1c14-4e97-b016-5a3bf4d7ed4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4</vt:i4>
      </vt:variant>
    </vt:vector>
  </HeadingPairs>
  <TitlesOfParts>
    <vt:vector size="10" baseType="lpstr">
      <vt:lpstr>CALCULO GERAL</vt:lpstr>
      <vt:lpstr>CALCULO GERAL (2)</vt:lpstr>
      <vt:lpstr>TABELA MATRIZ MG</vt:lpstr>
      <vt:lpstr>TABELA MATRIZ SC</vt:lpstr>
      <vt:lpstr>NCMS E ALÍQUOTAS</vt:lpstr>
      <vt:lpstr>TABELA DE VENDAS PILAR </vt:lpstr>
      <vt:lpstr>'CALCULO GERAL'!Area_de_impressao</vt:lpstr>
      <vt:lpstr>'CALCULO GERAL (2)'!Area_de_impressao</vt:lpstr>
      <vt:lpstr>'TABELA DE VENDAS PILAR '!Area_de_impressao</vt:lpstr>
      <vt:lpstr>'TABELA DE VENDAS PILAR 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Marcos Antônio Novo</dc:creator>
  <cp:keywords/>
  <dc:description/>
  <cp:lastModifiedBy>Henrique Orlandini</cp:lastModifiedBy>
  <cp:revision/>
  <dcterms:created xsi:type="dcterms:W3CDTF">2021-07-26T21:14:12Z</dcterms:created>
  <dcterms:modified xsi:type="dcterms:W3CDTF">2026-05-28T13:52:45Z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0x010100E98B96352B9D824F97C61E73608278B5</vt:lpwstr>
  </property>
  <property fmtid="{D5CDD505-2E9C-101B-9397-08002B2CF9AE}" pid="3" name="MediaServiceImageTags">
    <vt:lpwstr/>
  </property>
</Properties>
</file>